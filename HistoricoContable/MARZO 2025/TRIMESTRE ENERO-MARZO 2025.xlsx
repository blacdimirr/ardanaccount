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MARZO 2025\"/>
    </mc:Choice>
  </mc:AlternateContent>
  <bookViews>
    <workbookView xWindow="0" yWindow="0" windowWidth="20490" windowHeight="7365" activeTab="3"/>
  </bookViews>
  <sheets>
    <sheet name="MARZO 2025" sheetId="1" r:id="rId1"/>
    <sheet name="FEBRERO 2025" sheetId="2" r:id="rId2"/>
    <sheet name="ENERO 2025" sheetId="3" r:id="rId3"/>
    <sheet name="TRIMESTRAL" sheetId="4" r:id="rId4"/>
    <sheet name="BIMENSUAL" sheetId="5" r:id="rId5"/>
  </sheets>
  <externalReferences>
    <externalReference r:id="rId6"/>
    <externalReference r:id="rId7"/>
    <externalReference r:id="rId8"/>
  </externalReferences>
  <definedNames>
    <definedName name="_xlnm.Print_Area" localSheetId="4">BIMENSUAL!$A$1:$K$501</definedName>
    <definedName name="_xlnm.Print_Area" localSheetId="3">TRIMESTRAL!$A$1:$K$501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4" l="1"/>
  <c r="I25" i="5" l="1"/>
  <c r="O20" i="5"/>
  <c r="N20" i="5"/>
  <c r="O17" i="5"/>
  <c r="N17" i="5"/>
  <c r="G12" i="5"/>
  <c r="G12" i="4" l="1"/>
  <c r="G29" i="2"/>
  <c r="I28" i="4"/>
  <c r="I27" i="4"/>
  <c r="I26" i="4"/>
  <c r="I25" i="4"/>
  <c r="O20" i="4"/>
  <c r="N20" i="4"/>
  <c r="O17" i="4"/>
  <c r="N17" i="4"/>
  <c r="H501" i="3"/>
  <c r="G501" i="3"/>
  <c r="I500" i="3"/>
  <c r="G500" i="3"/>
  <c r="H499" i="3"/>
  <c r="G499" i="3"/>
  <c r="I498" i="3"/>
  <c r="I497" i="3" s="1"/>
  <c r="H496" i="3"/>
  <c r="G496" i="3"/>
  <c r="I495" i="3"/>
  <c r="H494" i="3"/>
  <c r="G494" i="3"/>
  <c r="I493" i="3"/>
  <c r="I492" i="3"/>
  <c r="H491" i="3"/>
  <c r="G491" i="3"/>
  <c r="I490" i="3"/>
  <c r="G490" i="3"/>
  <c r="H489" i="3"/>
  <c r="G489" i="3"/>
  <c r="I488" i="3"/>
  <c r="H487" i="3"/>
  <c r="G487" i="3"/>
  <c r="I486" i="3"/>
  <c r="G486" i="3"/>
  <c r="H485" i="3"/>
  <c r="G485" i="3"/>
  <c r="I484" i="3"/>
  <c r="H483" i="3"/>
  <c r="G483" i="3"/>
  <c r="I482" i="3"/>
  <c r="G482" i="3"/>
  <c r="H481" i="3"/>
  <c r="G481" i="3"/>
  <c r="I480" i="3"/>
  <c r="H479" i="3"/>
  <c r="G479" i="3"/>
  <c r="I478" i="3"/>
  <c r="G478" i="3"/>
  <c r="H477" i="3"/>
  <c r="G477" i="3"/>
  <c r="I476" i="3"/>
  <c r="H475" i="3"/>
  <c r="G475" i="3"/>
  <c r="I474" i="3"/>
  <c r="G474" i="3"/>
  <c r="H472" i="3"/>
  <c r="G472" i="3"/>
  <c r="I471" i="3"/>
  <c r="H470" i="3"/>
  <c r="G470" i="3"/>
  <c r="I469" i="3"/>
  <c r="H468" i="3"/>
  <c r="G468" i="3"/>
  <c r="I467" i="3"/>
  <c r="H466" i="3"/>
  <c r="G466" i="3"/>
  <c r="I465" i="3"/>
  <c r="I464" i="3"/>
  <c r="H462" i="3"/>
  <c r="G462" i="3"/>
  <c r="I461" i="3"/>
  <c r="H460" i="3"/>
  <c r="G460" i="3"/>
  <c r="H459" i="3"/>
  <c r="G459" i="3"/>
  <c r="H458" i="3"/>
  <c r="G458" i="3"/>
  <c r="I457" i="3"/>
  <c r="G457" i="3"/>
  <c r="H456" i="3"/>
  <c r="G456" i="3"/>
  <c r="I455" i="3"/>
  <c r="G455" i="3"/>
  <c r="H454" i="3"/>
  <c r="G454" i="3"/>
  <c r="I453" i="3"/>
  <c r="H452" i="3"/>
  <c r="G452" i="3"/>
  <c r="H451" i="3"/>
  <c r="G451" i="3"/>
  <c r="I450" i="3"/>
  <c r="G450" i="3"/>
  <c r="H449" i="3"/>
  <c r="G449" i="3"/>
  <c r="H448" i="3"/>
  <c r="G448" i="3"/>
  <c r="I447" i="3"/>
  <c r="G447" i="3"/>
  <c r="I446" i="3"/>
  <c r="H445" i="3"/>
  <c r="G445" i="3"/>
  <c r="I444" i="3"/>
  <c r="G444" i="3"/>
  <c r="H443" i="3"/>
  <c r="G443" i="3"/>
  <c r="H442" i="3"/>
  <c r="G442" i="3"/>
  <c r="H441" i="3"/>
  <c r="G441" i="3"/>
  <c r="I440" i="3"/>
  <c r="G440" i="3"/>
  <c r="H439" i="3"/>
  <c r="G439" i="3"/>
  <c r="I438" i="3"/>
  <c r="H437" i="3"/>
  <c r="G437" i="3"/>
  <c r="I436" i="3"/>
  <c r="G436" i="3"/>
  <c r="H435" i="3"/>
  <c r="G435" i="3"/>
  <c r="I434" i="3"/>
  <c r="H433" i="3"/>
  <c r="G433" i="3"/>
  <c r="I432" i="3"/>
  <c r="G432" i="3"/>
  <c r="H431" i="3"/>
  <c r="G431" i="3"/>
  <c r="H430" i="3"/>
  <c r="G430" i="3"/>
  <c r="I429" i="3"/>
  <c r="G429" i="3"/>
  <c r="H428" i="3"/>
  <c r="G428" i="3"/>
  <c r="I427" i="3"/>
  <c r="H426" i="3"/>
  <c r="G426" i="3"/>
  <c r="I425" i="3"/>
  <c r="G425" i="3"/>
  <c r="I424" i="3"/>
  <c r="H423" i="3"/>
  <c r="G423" i="3"/>
  <c r="I422" i="3"/>
  <c r="H421" i="3"/>
  <c r="G421" i="3"/>
  <c r="I420" i="3"/>
  <c r="G420" i="3"/>
  <c r="H419" i="3"/>
  <c r="G419" i="3"/>
  <c r="I418" i="3"/>
  <c r="H417" i="3"/>
  <c r="G417" i="3"/>
  <c r="I416" i="3"/>
  <c r="G416" i="3"/>
  <c r="H415" i="3"/>
  <c r="G415" i="3"/>
  <c r="I414" i="3"/>
  <c r="H413" i="3"/>
  <c r="G413" i="3"/>
  <c r="I412" i="3"/>
  <c r="G412" i="3"/>
  <c r="H411" i="3"/>
  <c r="G411" i="3"/>
  <c r="I410" i="3"/>
  <c r="H409" i="3"/>
  <c r="G409" i="3"/>
  <c r="I408" i="3"/>
  <c r="G408" i="3"/>
  <c r="H407" i="3"/>
  <c r="G407" i="3"/>
  <c r="I406" i="3"/>
  <c r="I405" i="3"/>
  <c r="H404" i="3"/>
  <c r="G404" i="3"/>
  <c r="I403" i="3"/>
  <c r="H402" i="3"/>
  <c r="G402" i="3"/>
  <c r="I401" i="3"/>
  <c r="G401" i="3"/>
  <c r="I400" i="3"/>
  <c r="H399" i="3"/>
  <c r="G399" i="3"/>
  <c r="I398" i="3"/>
  <c r="H397" i="3"/>
  <c r="G397" i="3"/>
  <c r="I396" i="3"/>
  <c r="G396" i="3"/>
  <c r="H395" i="3"/>
  <c r="G395" i="3"/>
  <c r="I394" i="3"/>
  <c r="H393" i="3"/>
  <c r="G393" i="3"/>
  <c r="I392" i="3"/>
  <c r="I383" i="3" s="1"/>
  <c r="G392" i="3"/>
  <c r="H391" i="3"/>
  <c r="G391" i="3"/>
  <c r="I390" i="3"/>
  <c r="H389" i="3"/>
  <c r="G389" i="3"/>
  <c r="I388" i="3"/>
  <c r="G388" i="3"/>
  <c r="H387" i="3"/>
  <c r="G387" i="3"/>
  <c r="I386" i="3"/>
  <c r="H385" i="3"/>
  <c r="G385" i="3"/>
  <c r="I384" i="3"/>
  <c r="G384" i="3"/>
  <c r="H382" i="3"/>
  <c r="G382" i="3"/>
  <c r="I381" i="3"/>
  <c r="H380" i="3"/>
  <c r="G380" i="3"/>
  <c r="I379" i="3"/>
  <c r="G379" i="3"/>
  <c r="H378" i="3"/>
  <c r="G378" i="3"/>
  <c r="I377" i="3"/>
  <c r="H376" i="3"/>
  <c r="G376" i="3"/>
  <c r="I375" i="3"/>
  <c r="G375" i="3"/>
  <c r="H374" i="3"/>
  <c r="G374" i="3"/>
  <c r="I373" i="3"/>
  <c r="H372" i="3"/>
  <c r="G372" i="3"/>
  <c r="I371" i="3"/>
  <c r="G371" i="3"/>
  <c r="H370" i="3"/>
  <c r="G370" i="3"/>
  <c r="I369" i="3"/>
  <c r="H368" i="3"/>
  <c r="G368" i="3"/>
  <c r="I367" i="3"/>
  <c r="G367" i="3"/>
  <c r="I366" i="3"/>
  <c r="H365" i="3"/>
  <c r="G365" i="3"/>
  <c r="I364" i="3"/>
  <c r="G364" i="3"/>
  <c r="H363" i="3"/>
  <c r="G363" i="3"/>
  <c r="I362" i="3"/>
  <c r="H361" i="3"/>
  <c r="G361" i="3"/>
  <c r="I360" i="3"/>
  <c r="G360" i="3"/>
  <c r="H359" i="3"/>
  <c r="G359" i="3"/>
  <c r="I358" i="3"/>
  <c r="I357" i="3"/>
  <c r="H356" i="3"/>
  <c r="G356" i="3"/>
  <c r="I355" i="3"/>
  <c r="H354" i="3"/>
  <c r="G354" i="3"/>
  <c r="I353" i="3"/>
  <c r="G353" i="3"/>
  <c r="H352" i="3"/>
  <c r="G352" i="3"/>
  <c r="I351" i="3"/>
  <c r="H350" i="3"/>
  <c r="G350" i="3"/>
  <c r="I349" i="3"/>
  <c r="G349" i="3"/>
  <c r="I348" i="3"/>
  <c r="H347" i="3"/>
  <c r="G347" i="3"/>
  <c r="I346" i="3"/>
  <c r="G346" i="3"/>
  <c r="H345" i="3"/>
  <c r="G345" i="3"/>
  <c r="I344" i="3"/>
  <c r="H343" i="3"/>
  <c r="G343" i="3"/>
  <c r="I342" i="3"/>
  <c r="G342" i="3"/>
  <c r="H341" i="3"/>
  <c r="G341" i="3"/>
  <c r="I340" i="3"/>
  <c r="H339" i="3"/>
  <c r="G339" i="3"/>
  <c r="I338" i="3"/>
  <c r="G338" i="3"/>
  <c r="I337" i="3"/>
  <c r="I336" i="3"/>
  <c r="H335" i="3"/>
  <c r="G335" i="3"/>
  <c r="H334" i="3"/>
  <c r="G334" i="3"/>
  <c r="H333" i="3"/>
  <c r="G333" i="3"/>
  <c r="H332" i="3"/>
  <c r="G332" i="3"/>
  <c r="H331" i="3"/>
  <c r="G331" i="3"/>
  <c r="I330" i="3"/>
  <c r="H329" i="3"/>
  <c r="G329" i="3"/>
  <c r="H328" i="3"/>
  <c r="G328" i="3"/>
  <c r="I327" i="3"/>
  <c r="G327" i="3"/>
  <c r="H326" i="3"/>
  <c r="G326" i="3"/>
  <c r="H325" i="3"/>
  <c r="G325" i="3"/>
  <c r="I324" i="3"/>
  <c r="H323" i="3"/>
  <c r="G323" i="3"/>
  <c r="I322" i="3"/>
  <c r="G322" i="3"/>
  <c r="H321" i="3"/>
  <c r="G321" i="3"/>
  <c r="I320" i="3"/>
  <c r="H319" i="3"/>
  <c r="G319" i="3"/>
  <c r="I318" i="3"/>
  <c r="G318" i="3"/>
  <c r="H317" i="3"/>
  <c r="G317" i="3"/>
  <c r="I316" i="3"/>
  <c r="H315" i="3"/>
  <c r="G315" i="3"/>
  <c r="I314" i="3"/>
  <c r="G314" i="3"/>
  <c r="H313" i="3"/>
  <c r="G313" i="3"/>
  <c r="I312" i="3"/>
  <c r="H311" i="3"/>
  <c r="G311" i="3"/>
  <c r="H310" i="3"/>
  <c r="G310" i="3"/>
  <c r="I309" i="3"/>
  <c r="G309" i="3"/>
  <c r="I308" i="3"/>
  <c r="H307" i="3"/>
  <c r="G307" i="3"/>
  <c r="I306" i="3"/>
  <c r="H305" i="3"/>
  <c r="G305" i="3"/>
  <c r="I304" i="3"/>
  <c r="G304" i="3"/>
  <c r="I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I295" i="3"/>
  <c r="G295" i="3"/>
  <c r="H294" i="3"/>
  <c r="G294" i="3"/>
  <c r="H293" i="3"/>
  <c r="G293" i="3"/>
  <c r="H292" i="3"/>
  <c r="G292" i="3"/>
  <c r="H291" i="3"/>
  <c r="G291" i="3"/>
  <c r="H290" i="3"/>
  <c r="G290" i="3"/>
  <c r="H289" i="3"/>
  <c r="G289" i="3"/>
  <c r="H288" i="3"/>
  <c r="G288" i="3"/>
  <c r="I287" i="3"/>
  <c r="G287" i="3"/>
  <c r="I286" i="3"/>
  <c r="H285" i="3"/>
  <c r="G285" i="3"/>
  <c r="I284" i="3"/>
  <c r="G284" i="3"/>
  <c r="H283" i="3"/>
  <c r="G283" i="3"/>
  <c r="H282" i="3"/>
  <c r="G282" i="3"/>
  <c r="H281" i="3"/>
  <c r="G281" i="3"/>
  <c r="H280" i="3"/>
  <c r="G280" i="3"/>
  <c r="H279" i="3"/>
  <c r="G279" i="3"/>
  <c r="H278" i="3"/>
  <c r="G278" i="3"/>
  <c r="H277" i="3"/>
  <c r="G277" i="3"/>
  <c r="I276" i="3"/>
  <c r="G276" i="3"/>
  <c r="H275" i="3"/>
  <c r="G275" i="3"/>
  <c r="H274" i="3"/>
  <c r="G274" i="3"/>
  <c r="H273" i="3"/>
  <c r="G273" i="3"/>
  <c r="I272" i="3"/>
  <c r="G272" i="3"/>
  <c r="H271" i="3"/>
  <c r="G271" i="3"/>
  <c r="H270" i="3"/>
  <c r="G270" i="3"/>
  <c r="H269" i="3"/>
  <c r="G269" i="3"/>
  <c r="I268" i="3"/>
  <c r="H267" i="3"/>
  <c r="G267" i="3"/>
  <c r="H266" i="3"/>
  <c r="G266" i="3"/>
  <c r="H265" i="3"/>
  <c r="G265" i="3"/>
  <c r="H264" i="3"/>
  <c r="G264" i="3"/>
  <c r="H263" i="3"/>
  <c r="G263" i="3"/>
  <c r="I262" i="3"/>
  <c r="G262" i="3"/>
  <c r="I261" i="3"/>
  <c r="H260" i="3"/>
  <c r="G260" i="3"/>
  <c r="I259" i="3"/>
  <c r="G259" i="3"/>
  <c r="H258" i="3"/>
  <c r="G258" i="3"/>
  <c r="I257" i="3"/>
  <c r="H256" i="3"/>
  <c r="G256" i="3"/>
  <c r="I255" i="3"/>
  <c r="G255" i="3"/>
  <c r="H254" i="3"/>
  <c r="G254" i="3"/>
  <c r="I253" i="3"/>
  <c r="H252" i="3"/>
  <c r="G252" i="3"/>
  <c r="I251" i="3"/>
  <c r="I250" i="3" s="1"/>
  <c r="G251" i="3"/>
  <c r="H249" i="3"/>
  <c r="G249" i="3"/>
  <c r="I248" i="3"/>
  <c r="G248" i="3"/>
  <c r="H247" i="3"/>
  <c r="G247" i="3"/>
  <c r="I246" i="3"/>
  <c r="I245" i="3" s="1"/>
  <c r="H244" i="3"/>
  <c r="G244" i="3"/>
  <c r="I243" i="3"/>
  <c r="H242" i="3"/>
  <c r="G242" i="3"/>
  <c r="I241" i="3"/>
  <c r="H240" i="3"/>
  <c r="G240" i="3"/>
  <c r="I239" i="3"/>
  <c r="H238" i="3"/>
  <c r="G238" i="3"/>
  <c r="I237" i="3"/>
  <c r="H236" i="3"/>
  <c r="G236" i="3"/>
  <c r="I235" i="3"/>
  <c r="H234" i="3"/>
  <c r="G234" i="3"/>
  <c r="I233" i="3"/>
  <c r="I232" i="3"/>
  <c r="H231" i="3"/>
  <c r="G231" i="3"/>
  <c r="I230" i="3"/>
  <c r="H229" i="3"/>
  <c r="G229" i="3"/>
  <c r="I228" i="3"/>
  <c r="G228" i="3"/>
  <c r="H227" i="3"/>
  <c r="G227" i="3"/>
  <c r="I226" i="3"/>
  <c r="I225" i="3" s="1"/>
  <c r="H224" i="3"/>
  <c r="H223" i="3" s="1"/>
  <c r="G224" i="3"/>
  <c r="I223" i="3"/>
  <c r="H222" i="3"/>
  <c r="G222" i="3"/>
  <c r="H221" i="3"/>
  <c r="G221" i="3"/>
  <c r="H220" i="3"/>
  <c r="H219" i="3" s="1"/>
  <c r="G220" i="3"/>
  <c r="I219" i="3"/>
  <c r="H218" i="3"/>
  <c r="H217" i="3" s="1"/>
  <c r="G218" i="3"/>
  <c r="I217" i="3"/>
  <c r="H216" i="3"/>
  <c r="G216" i="3"/>
  <c r="H215" i="3"/>
  <c r="H214" i="3" s="1"/>
  <c r="G215" i="3"/>
  <c r="I214" i="3"/>
  <c r="I213" i="3" s="1"/>
  <c r="I212" i="3" s="1"/>
  <c r="H211" i="3"/>
  <c r="G211" i="3"/>
  <c r="H210" i="3"/>
  <c r="H209" i="3" s="1"/>
  <c r="G210" i="3"/>
  <c r="I209" i="3"/>
  <c r="I208" i="3"/>
  <c r="H207" i="3"/>
  <c r="G207" i="3"/>
  <c r="H206" i="3"/>
  <c r="G206" i="3"/>
  <c r="H205" i="3"/>
  <c r="G205" i="3"/>
  <c r="I204" i="3"/>
  <c r="G204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I197" i="3"/>
  <c r="G197" i="3"/>
  <c r="H196" i="3"/>
  <c r="G196" i="3"/>
  <c r="H195" i="3"/>
  <c r="G195" i="3"/>
  <c r="H194" i="3"/>
  <c r="G194" i="3"/>
  <c r="H193" i="3"/>
  <c r="G193" i="3"/>
  <c r="I192" i="3"/>
  <c r="G192" i="3"/>
  <c r="H191" i="3"/>
  <c r="G191" i="3"/>
  <c r="H190" i="3"/>
  <c r="G190" i="3"/>
  <c r="H189" i="3"/>
  <c r="G189" i="3"/>
  <c r="I188" i="3"/>
  <c r="H188" i="3"/>
  <c r="H187" i="3"/>
  <c r="G187" i="3"/>
  <c r="I186" i="3"/>
  <c r="G186" i="3"/>
  <c r="H185" i="3"/>
  <c r="G185" i="3"/>
  <c r="I184" i="3"/>
  <c r="H184" i="3"/>
  <c r="H183" i="3"/>
  <c r="G183" i="3"/>
  <c r="I182" i="3"/>
  <c r="G182" i="3"/>
  <c r="H181" i="3"/>
  <c r="G181" i="3"/>
  <c r="I180" i="3"/>
  <c r="H180" i="3"/>
  <c r="I179" i="3"/>
  <c r="H178" i="3"/>
  <c r="G178" i="3"/>
  <c r="I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I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I158" i="3"/>
  <c r="I157" i="3"/>
  <c r="H156" i="3"/>
  <c r="G156" i="3"/>
  <c r="I155" i="3"/>
  <c r="G155" i="3"/>
  <c r="H154" i="3"/>
  <c r="G154" i="3"/>
  <c r="I153" i="3"/>
  <c r="H152" i="3"/>
  <c r="G152" i="3"/>
  <c r="I151" i="3"/>
  <c r="G151" i="3"/>
  <c r="H150" i="3"/>
  <c r="G150" i="3"/>
  <c r="I149" i="3"/>
  <c r="I148" i="3"/>
  <c r="H147" i="3"/>
  <c r="G147" i="3"/>
  <c r="I146" i="3"/>
  <c r="H145" i="3"/>
  <c r="G145" i="3"/>
  <c r="I144" i="3"/>
  <c r="G144" i="3"/>
  <c r="H143" i="3"/>
  <c r="G143" i="3"/>
  <c r="I142" i="3"/>
  <c r="H141" i="3"/>
  <c r="G141" i="3"/>
  <c r="I140" i="3"/>
  <c r="G140" i="3"/>
  <c r="H139" i="3"/>
  <c r="G139" i="3"/>
  <c r="I138" i="3"/>
  <c r="H137" i="3"/>
  <c r="G137" i="3"/>
  <c r="I136" i="3"/>
  <c r="G136" i="3"/>
  <c r="H135" i="3"/>
  <c r="G135" i="3"/>
  <c r="H134" i="3"/>
  <c r="G134" i="3"/>
  <c r="H133" i="3"/>
  <c r="G133" i="3"/>
  <c r="H132" i="3"/>
  <c r="G132" i="3"/>
  <c r="H131" i="3"/>
  <c r="G131" i="3"/>
  <c r="I130" i="3"/>
  <c r="H129" i="3"/>
  <c r="G129" i="3"/>
  <c r="I128" i="3"/>
  <c r="H127" i="3"/>
  <c r="G127" i="3"/>
  <c r="I126" i="3"/>
  <c r="G126" i="3"/>
  <c r="I125" i="3"/>
  <c r="H124" i="3"/>
  <c r="G124" i="3"/>
  <c r="I123" i="3"/>
  <c r="H122" i="3"/>
  <c r="G122" i="3"/>
  <c r="I121" i="3"/>
  <c r="G121" i="3"/>
  <c r="H120" i="3"/>
  <c r="G120" i="3"/>
  <c r="I119" i="3"/>
  <c r="H118" i="3"/>
  <c r="G118" i="3"/>
  <c r="I117" i="3"/>
  <c r="G117" i="3"/>
  <c r="I116" i="3"/>
  <c r="H115" i="3"/>
  <c r="G115" i="3"/>
  <c r="I114" i="3"/>
  <c r="H113" i="3"/>
  <c r="G113" i="3"/>
  <c r="I112" i="3"/>
  <c r="G112" i="3"/>
  <c r="I111" i="3"/>
  <c r="H110" i="3"/>
  <c r="G110" i="3"/>
  <c r="I109" i="3"/>
  <c r="H108" i="3"/>
  <c r="G108" i="3"/>
  <c r="I107" i="3"/>
  <c r="G107" i="3"/>
  <c r="I106" i="3"/>
  <c r="H105" i="3"/>
  <c r="G105" i="3"/>
  <c r="I104" i="3"/>
  <c r="H103" i="3"/>
  <c r="G103" i="3"/>
  <c r="I102" i="3"/>
  <c r="G102" i="3"/>
  <c r="H101" i="3"/>
  <c r="G101" i="3"/>
  <c r="H100" i="3"/>
  <c r="G100" i="3"/>
  <c r="I99" i="3"/>
  <c r="G99" i="3"/>
  <c r="H98" i="3"/>
  <c r="G98" i="3"/>
  <c r="I97" i="3"/>
  <c r="H96" i="3"/>
  <c r="G96" i="3"/>
  <c r="I95" i="3"/>
  <c r="G95" i="3"/>
  <c r="H94" i="3"/>
  <c r="G94" i="3"/>
  <c r="I93" i="3"/>
  <c r="H92" i="3"/>
  <c r="G92" i="3"/>
  <c r="I91" i="3"/>
  <c r="G91" i="3"/>
  <c r="H90" i="3"/>
  <c r="G90" i="3"/>
  <c r="I89" i="3"/>
  <c r="I88" i="3"/>
  <c r="I87" i="3"/>
  <c r="I86" i="3"/>
  <c r="I85" i="3" s="1"/>
  <c r="H86" i="3"/>
  <c r="G86" i="3"/>
  <c r="H85" i="3"/>
  <c r="I84" i="3"/>
  <c r="I83" i="3" s="1"/>
  <c r="H84" i="3"/>
  <c r="G84" i="3"/>
  <c r="H83" i="3"/>
  <c r="I82" i="3"/>
  <c r="I81" i="3" s="1"/>
  <c r="H82" i="3"/>
  <c r="G82" i="3"/>
  <c r="H81" i="3"/>
  <c r="I80" i="3"/>
  <c r="I79" i="3" s="1"/>
  <c r="I78" i="3" s="1"/>
  <c r="H80" i="3"/>
  <c r="G80" i="3"/>
  <c r="H79" i="3"/>
  <c r="I77" i="3"/>
  <c r="H77" i="3"/>
  <c r="G77" i="3"/>
  <c r="I76" i="3"/>
  <c r="H76" i="3"/>
  <c r="G76" i="3"/>
  <c r="I75" i="3"/>
  <c r="H75" i="3"/>
  <c r="G75" i="3"/>
  <c r="I73" i="3"/>
  <c r="I72" i="3" s="1"/>
  <c r="H73" i="3"/>
  <c r="G73" i="3"/>
  <c r="H72" i="3"/>
  <c r="I70" i="3"/>
  <c r="H70" i="3"/>
  <c r="G70" i="3"/>
  <c r="I69" i="3"/>
  <c r="H69" i="3"/>
  <c r="G69" i="3"/>
  <c r="I67" i="3"/>
  <c r="H67" i="3"/>
  <c r="G67" i="3"/>
  <c r="I66" i="3"/>
  <c r="H66" i="3"/>
  <c r="G66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56" i="3"/>
  <c r="H56" i="3"/>
  <c r="G56" i="3"/>
  <c r="I55" i="3"/>
  <c r="H55" i="3"/>
  <c r="G55" i="3"/>
  <c r="I53" i="3"/>
  <c r="I52" i="3" s="1"/>
  <c r="H53" i="3"/>
  <c r="G53" i="3"/>
  <c r="I50" i="3"/>
  <c r="H50" i="3"/>
  <c r="G50" i="3"/>
  <c r="I49" i="3"/>
  <c r="H49" i="3"/>
  <c r="G49" i="3"/>
  <c r="I48" i="3"/>
  <c r="H48" i="3"/>
  <c r="G48" i="3"/>
  <c r="I47" i="3"/>
  <c r="H47" i="3"/>
  <c r="G47" i="3"/>
  <c r="I45" i="3"/>
  <c r="I44" i="3" s="1"/>
  <c r="H45" i="3"/>
  <c r="G45" i="3"/>
  <c r="H44" i="3"/>
  <c r="I43" i="3"/>
  <c r="I42" i="3" s="1"/>
  <c r="H43" i="3"/>
  <c r="G43" i="3"/>
  <c r="H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G36" i="3"/>
  <c r="I34" i="3"/>
  <c r="H34" i="3"/>
  <c r="G34" i="3"/>
  <c r="I33" i="3"/>
  <c r="H33" i="3"/>
  <c r="G33" i="3"/>
  <c r="I32" i="3"/>
  <c r="H32" i="3"/>
  <c r="G32" i="3"/>
  <c r="I31" i="3"/>
  <c r="H31" i="3"/>
  <c r="G31" i="3"/>
  <c r="I30" i="3"/>
  <c r="H30" i="3"/>
  <c r="G30" i="3"/>
  <c r="I29" i="3"/>
  <c r="H29" i="3"/>
  <c r="G29" i="3"/>
  <c r="O20" i="3"/>
  <c r="N20" i="3"/>
  <c r="O17" i="3"/>
  <c r="N17" i="3"/>
  <c r="G16" i="3"/>
  <c r="J15" i="3"/>
  <c r="J14" i="3"/>
  <c r="G29" i="5" l="1"/>
  <c r="I68" i="3"/>
  <c r="J15" i="5"/>
  <c r="G44" i="3"/>
  <c r="H52" i="3"/>
  <c r="G81" i="3"/>
  <c r="G85" i="3"/>
  <c r="H91" i="3"/>
  <c r="H95" i="3"/>
  <c r="J95" i="3" s="1"/>
  <c r="H102" i="3"/>
  <c r="H107" i="3"/>
  <c r="J107" i="3" s="1"/>
  <c r="H112" i="3"/>
  <c r="H117" i="3"/>
  <c r="H121" i="3"/>
  <c r="H128" i="3"/>
  <c r="G130" i="3"/>
  <c r="H138" i="3"/>
  <c r="H140" i="3"/>
  <c r="H146" i="3"/>
  <c r="H149" i="3"/>
  <c r="H151" i="3"/>
  <c r="J151" i="3" s="1"/>
  <c r="G153" i="3"/>
  <c r="G158" i="3"/>
  <c r="H167" i="3"/>
  <c r="H177" i="3"/>
  <c r="G180" i="3"/>
  <c r="G184" i="3"/>
  <c r="G188" i="3"/>
  <c r="J190" i="3"/>
  <c r="J193" i="3"/>
  <c r="J195" i="3"/>
  <c r="J198" i="3"/>
  <c r="J200" i="3"/>
  <c r="J202" i="3"/>
  <c r="J205" i="3"/>
  <c r="J207" i="3"/>
  <c r="G209" i="3"/>
  <c r="J209" i="3" s="1"/>
  <c r="J211" i="3"/>
  <c r="H213" i="3"/>
  <c r="J216" i="3"/>
  <c r="G217" i="3"/>
  <c r="J217" i="3" s="1"/>
  <c r="G219" i="3"/>
  <c r="J221" i="3"/>
  <c r="J222" i="3"/>
  <c r="G223" i="3"/>
  <c r="J223" i="3" s="1"/>
  <c r="H226" i="3"/>
  <c r="H228" i="3"/>
  <c r="J228" i="3" s="1"/>
  <c r="G233" i="3"/>
  <c r="H235" i="3"/>
  <c r="G237" i="3"/>
  <c r="H239" i="3"/>
  <c r="G241" i="3"/>
  <c r="H243" i="3"/>
  <c r="H253" i="3"/>
  <c r="H255" i="3"/>
  <c r="J255" i="3" s="1"/>
  <c r="G268" i="3"/>
  <c r="H287" i="3"/>
  <c r="J287" i="3" s="1"/>
  <c r="H306" i="3"/>
  <c r="H309" i="3"/>
  <c r="G312" i="3"/>
  <c r="H316" i="3"/>
  <c r="H318" i="3"/>
  <c r="G320" i="3"/>
  <c r="H324" i="3"/>
  <c r="H327" i="3"/>
  <c r="H338" i="3"/>
  <c r="G340" i="3"/>
  <c r="H344" i="3"/>
  <c r="H346" i="3"/>
  <c r="J346" i="3" s="1"/>
  <c r="H351" i="3"/>
  <c r="H353" i="3"/>
  <c r="H358" i="3"/>
  <c r="H360" i="3"/>
  <c r="G362" i="3"/>
  <c r="H367" i="3"/>
  <c r="J367" i="3" s="1"/>
  <c r="H373" i="3"/>
  <c r="H375" i="3"/>
  <c r="J375" i="3" s="1"/>
  <c r="H381" i="3"/>
  <c r="H384" i="3"/>
  <c r="J384" i="3" s="1"/>
  <c r="H390" i="3"/>
  <c r="H392" i="3"/>
  <c r="J392" i="3" s="1"/>
  <c r="H398" i="3"/>
  <c r="H403" i="3"/>
  <c r="H406" i="3"/>
  <c r="H408" i="3"/>
  <c r="G410" i="3"/>
  <c r="H414" i="3"/>
  <c r="H416" i="3"/>
  <c r="G418" i="3"/>
  <c r="H422" i="3"/>
  <c r="H425" i="3"/>
  <c r="G427" i="3"/>
  <c r="H434" i="3"/>
  <c r="H436" i="3"/>
  <c r="G438" i="3"/>
  <c r="H455" i="3"/>
  <c r="H465" i="3"/>
  <c r="G467" i="3"/>
  <c r="H469" i="3"/>
  <c r="G471" i="3"/>
  <c r="H476" i="3"/>
  <c r="H478" i="3"/>
  <c r="H484" i="3"/>
  <c r="H486" i="3"/>
  <c r="G493" i="3"/>
  <c r="H495" i="3"/>
  <c r="H500" i="3"/>
  <c r="J500" i="3" s="1"/>
  <c r="G52" i="3"/>
  <c r="I65" i="3"/>
  <c r="I64" i="3" s="1"/>
  <c r="G68" i="3"/>
  <c r="J73" i="3"/>
  <c r="H89" i="3"/>
  <c r="G89" i="3"/>
  <c r="H93" i="3"/>
  <c r="G93" i="3"/>
  <c r="H97" i="3"/>
  <c r="G97" i="3"/>
  <c r="J100" i="3"/>
  <c r="H104" i="3"/>
  <c r="G104" i="3"/>
  <c r="H109" i="3"/>
  <c r="G109" i="3"/>
  <c r="H114" i="3"/>
  <c r="J114" i="3" s="1"/>
  <c r="G114" i="3"/>
  <c r="H119" i="3"/>
  <c r="G119" i="3"/>
  <c r="H123" i="3"/>
  <c r="G123" i="3"/>
  <c r="H126" i="3"/>
  <c r="J126" i="3" s="1"/>
  <c r="G128" i="3"/>
  <c r="H136" i="3"/>
  <c r="H142" i="3"/>
  <c r="H144" i="3"/>
  <c r="G149" i="3"/>
  <c r="J149" i="3" s="1"/>
  <c r="H153" i="3"/>
  <c r="H155" i="3"/>
  <c r="H158" i="3"/>
  <c r="G167" i="3"/>
  <c r="H182" i="3"/>
  <c r="J182" i="3" s="1"/>
  <c r="H186" i="3"/>
  <c r="H230" i="3"/>
  <c r="H233" i="3"/>
  <c r="G235" i="3"/>
  <c r="H237" i="3"/>
  <c r="G239" i="3"/>
  <c r="H241" i="3"/>
  <c r="G243" i="3"/>
  <c r="H246" i="3"/>
  <c r="H248" i="3"/>
  <c r="H251" i="3"/>
  <c r="H257" i="3"/>
  <c r="H259" i="3"/>
  <c r="H268" i="3"/>
  <c r="H284" i="3"/>
  <c r="G286" i="3"/>
  <c r="H304" i="3"/>
  <c r="H312" i="3"/>
  <c r="H314" i="3"/>
  <c r="G316" i="3"/>
  <c r="H320" i="3"/>
  <c r="H322" i="3"/>
  <c r="J322" i="3" s="1"/>
  <c r="G324" i="3"/>
  <c r="H330" i="3"/>
  <c r="H340" i="3"/>
  <c r="H342" i="3"/>
  <c r="G344" i="3"/>
  <c r="H349" i="3"/>
  <c r="H355" i="3"/>
  <c r="G358" i="3"/>
  <c r="J358" i="3" s="1"/>
  <c r="H362" i="3"/>
  <c r="H364" i="3"/>
  <c r="J364" i="3" s="1"/>
  <c r="H369" i="3"/>
  <c r="H371" i="3"/>
  <c r="J371" i="3" s="1"/>
  <c r="H377" i="3"/>
  <c r="H379" i="3"/>
  <c r="H386" i="3"/>
  <c r="H388" i="3"/>
  <c r="J388" i="3" s="1"/>
  <c r="H394" i="3"/>
  <c r="H396" i="3"/>
  <c r="H401" i="3"/>
  <c r="G406" i="3"/>
  <c r="H410" i="3"/>
  <c r="H412" i="3"/>
  <c r="G414" i="3"/>
  <c r="H418" i="3"/>
  <c r="H420" i="3"/>
  <c r="G422" i="3"/>
  <c r="H427" i="3"/>
  <c r="H432" i="3"/>
  <c r="G434" i="3"/>
  <c r="H438" i="3"/>
  <c r="H444" i="3"/>
  <c r="H453" i="3"/>
  <c r="H461" i="3"/>
  <c r="G461" i="3"/>
  <c r="G465" i="3"/>
  <c r="H467" i="3"/>
  <c r="G469" i="3"/>
  <c r="H471" i="3"/>
  <c r="H474" i="3"/>
  <c r="H480" i="3"/>
  <c r="H482" i="3"/>
  <c r="H488" i="3"/>
  <c r="H490" i="3"/>
  <c r="H493" i="3"/>
  <c r="G495" i="3"/>
  <c r="H498" i="3"/>
  <c r="I35" i="3"/>
  <c r="J47" i="3"/>
  <c r="I46" i="3"/>
  <c r="H46" i="3"/>
  <c r="J49" i="3"/>
  <c r="J50" i="3"/>
  <c r="J270" i="3"/>
  <c r="J273" i="3"/>
  <c r="J275" i="3"/>
  <c r="J278" i="3"/>
  <c r="J280" i="3"/>
  <c r="J282" i="3"/>
  <c r="J326" i="3"/>
  <c r="J422" i="3"/>
  <c r="J436" i="3"/>
  <c r="G261" i="3"/>
  <c r="G35" i="3"/>
  <c r="J43" i="3"/>
  <c r="G65" i="3"/>
  <c r="H74" i="3"/>
  <c r="J84" i="3"/>
  <c r="J131" i="3"/>
  <c r="J133" i="3"/>
  <c r="J135" i="3"/>
  <c r="J169" i="3"/>
  <c r="J171" i="3"/>
  <c r="J173" i="3"/>
  <c r="J175" i="3"/>
  <c r="J186" i="3"/>
  <c r="J284" i="3"/>
  <c r="J314" i="3"/>
  <c r="J338" i="3"/>
  <c r="J430" i="3"/>
  <c r="J441" i="3"/>
  <c r="J443" i="3"/>
  <c r="J478" i="3"/>
  <c r="J486" i="3"/>
  <c r="G64" i="3"/>
  <c r="H78" i="3"/>
  <c r="J139" i="3"/>
  <c r="G138" i="3"/>
  <c r="J143" i="3"/>
  <c r="G142" i="3"/>
  <c r="J147" i="3"/>
  <c r="G146" i="3"/>
  <c r="J215" i="3"/>
  <c r="G214" i="3"/>
  <c r="J219" i="3"/>
  <c r="J247" i="3"/>
  <c r="G246" i="3"/>
  <c r="J251" i="3"/>
  <c r="J254" i="3"/>
  <c r="G253" i="3"/>
  <c r="J258" i="3"/>
  <c r="G257" i="3"/>
  <c r="H262" i="3"/>
  <c r="J262" i="3" s="1"/>
  <c r="H295" i="3"/>
  <c r="J454" i="3"/>
  <c r="G453" i="3"/>
  <c r="J477" i="3"/>
  <c r="G476" i="3"/>
  <c r="J481" i="3"/>
  <c r="G480" i="3"/>
  <c r="J485" i="3"/>
  <c r="G484" i="3"/>
  <c r="J489" i="3"/>
  <c r="G488" i="3"/>
  <c r="J17" i="3"/>
  <c r="I28" i="3"/>
  <c r="H28" i="3"/>
  <c r="J31" i="3"/>
  <c r="J32" i="3"/>
  <c r="J33" i="3"/>
  <c r="J34" i="3"/>
  <c r="J36" i="3"/>
  <c r="H35" i="3"/>
  <c r="J35" i="3" s="1"/>
  <c r="J38" i="3"/>
  <c r="J39" i="3"/>
  <c r="J40" i="3"/>
  <c r="J41" i="3"/>
  <c r="J45" i="3"/>
  <c r="G46" i="3"/>
  <c r="J53" i="3"/>
  <c r="H54" i="3"/>
  <c r="I54" i="3"/>
  <c r="I51" i="3" s="1"/>
  <c r="J57" i="3"/>
  <c r="J58" i="3"/>
  <c r="J59" i="3"/>
  <c r="J60" i="3"/>
  <c r="J61" i="3"/>
  <c r="J62" i="3"/>
  <c r="J63" i="3"/>
  <c r="J66" i="3"/>
  <c r="H65" i="3"/>
  <c r="J80" i="3"/>
  <c r="G79" i="3"/>
  <c r="J117" i="3"/>
  <c r="J140" i="3"/>
  <c r="J155" i="3"/>
  <c r="H208" i="3"/>
  <c r="J227" i="3"/>
  <c r="G226" i="3"/>
  <c r="J231" i="3"/>
  <c r="G230" i="3"/>
  <c r="J241" i="3"/>
  <c r="J259" i="3"/>
  <c r="J307" i="3"/>
  <c r="G306" i="3"/>
  <c r="H337" i="3"/>
  <c r="J352" i="3"/>
  <c r="G351" i="3"/>
  <c r="J356" i="3"/>
  <c r="G355" i="3"/>
  <c r="J69" i="3"/>
  <c r="H68" i="3"/>
  <c r="J75" i="3"/>
  <c r="I74" i="3"/>
  <c r="I71" i="3" s="1"/>
  <c r="J77" i="3"/>
  <c r="J82" i="3"/>
  <c r="J86" i="3"/>
  <c r="J92" i="3"/>
  <c r="J96" i="3"/>
  <c r="H99" i="3"/>
  <c r="J103" i="3"/>
  <c r="J108" i="3"/>
  <c r="J113" i="3"/>
  <c r="J118" i="3"/>
  <c r="J122" i="3"/>
  <c r="J127" i="3"/>
  <c r="H130" i="3"/>
  <c r="J152" i="3"/>
  <c r="J156" i="3"/>
  <c r="J160" i="3"/>
  <c r="J162" i="3"/>
  <c r="J164" i="3"/>
  <c r="J166" i="3"/>
  <c r="J178" i="3"/>
  <c r="J183" i="3"/>
  <c r="J187" i="3"/>
  <c r="H192" i="3"/>
  <c r="J192" i="3" s="1"/>
  <c r="H197" i="3"/>
  <c r="H204" i="3"/>
  <c r="J229" i="3"/>
  <c r="J249" i="3"/>
  <c r="J252" i="3"/>
  <c r="J263" i="3"/>
  <c r="J265" i="3"/>
  <c r="J267" i="3"/>
  <c r="H272" i="3"/>
  <c r="H276" i="3"/>
  <c r="J285" i="3"/>
  <c r="J289" i="3"/>
  <c r="J291" i="3"/>
  <c r="J293" i="3"/>
  <c r="J296" i="3"/>
  <c r="J298" i="3"/>
  <c r="J300" i="3"/>
  <c r="J302" i="3"/>
  <c r="J311" i="3"/>
  <c r="J315" i="3"/>
  <c r="J319" i="3"/>
  <c r="J323" i="3"/>
  <c r="J329" i="3"/>
  <c r="J332" i="3"/>
  <c r="J333" i="3"/>
  <c r="J334" i="3"/>
  <c r="J335" i="3"/>
  <c r="J339" i="3"/>
  <c r="J343" i="3"/>
  <c r="J347" i="3"/>
  <c r="J361" i="3"/>
  <c r="J370" i="3"/>
  <c r="G369" i="3"/>
  <c r="J374" i="3"/>
  <c r="G373" i="3"/>
  <c r="J378" i="3"/>
  <c r="G377" i="3"/>
  <c r="J382" i="3"/>
  <c r="G381" i="3"/>
  <c r="J387" i="3"/>
  <c r="G386" i="3"/>
  <c r="J391" i="3"/>
  <c r="G390" i="3"/>
  <c r="J395" i="3"/>
  <c r="G394" i="3"/>
  <c r="J399" i="3"/>
  <c r="G398" i="3"/>
  <c r="J404" i="3"/>
  <c r="G403" i="3"/>
  <c r="H447" i="3"/>
  <c r="H450" i="3"/>
  <c r="H457" i="3"/>
  <c r="J499" i="3"/>
  <c r="G498" i="3"/>
  <c r="J365" i="3"/>
  <c r="J393" i="3"/>
  <c r="J397" i="3"/>
  <c r="J409" i="3"/>
  <c r="J413" i="3"/>
  <c r="J417" i="3"/>
  <c r="J421" i="3"/>
  <c r="J426" i="3"/>
  <c r="H429" i="3"/>
  <c r="J433" i="3"/>
  <c r="J437" i="3"/>
  <c r="H440" i="3"/>
  <c r="J448" i="3"/>
  <c r="J451" i="3"/>
  <c r="J458" i="3"/>
  <c r="J460" i="3"/>
  <c r="J475" i="3"/>
  <c r="J479" i="3"/>
  <c r="J483" i="3"/>
  <c r="J487" i="3"/>
  <c r="J491" i="3"/>
  <c r="J501" i="3"/>
  <c r="J233" i="3"/>
  <c r="J30" i="3"/>
  <c r="J37" i="3"/>
  <c r="J55" i="3"/>
  <c r="J67" i="3"/>
  <c r="J70" i="3"/>
  <c r="J76" i="3"/>
  <c r="G74" i="3"/>
  <c r="J81" i="3"/>
  <c r="J218" i="3"/>
  <c r="J220" i="3"/>
  <c r="J224" i="3"/>
  <c r="J234" i="3"/>
  <c r="J236" i="3"/>
  <c r="J238" i="3"/>
  <c r="J240" i="3"/>
  <c r="J242" i="3"/>
  <c r="J244" i="3"/>
  <c r="J447" i="3"/>
  <c r="G464" i="3"/>
  <c r="J466" i="3"/>
  <c r="J29" i="3"/>
  <c r="G28" i="3"/>
  <c r="G42" i="3"/>
  <c r="J48" i="3"/>
  <c r="J56" i="3"/>
  <c r="G54" i="3"/>
  <c r="G72" i="3"/>
  <c r="G83" i="3"/>
  <c r="J90" i="3"/>
  <c r="J94" i="3"/>
  <c r="J98" i="3"/>
  <c r="J101" i="3"/>
  <c r="J105" i="3"/>
  <c r="J110" i="3"/>
  <c r="J115" i="3"/>
  <c r="J120" i="3"/>
  <c r="J124" i="3"/>
  <c r="J129" i="3"/>
  <c r="J132" i="3"/>
  <c r="J134" i="3"/>
  <c r="J137" i="3"/>
  <c r="J141" i="3"/>
  <c r="J145" i="3"/>
  <c r="J150" i="3"/>
  <c r="J154" i="3"/>
  <c r="J159" i="3"/>
  <c r="J161" i="3"/>
  <c r="J163" i="3"/>
  <c r="J165" i="3"/>
  <c r="J168" i="3"/>
  <c r="J170" i="3"/>
  <c r="J172" i="3"/>
  <c r="J174" i="3"/>
  <c r="J176" i="3"/>
  <c r="J181" i="3"/>
  <c r="J185" i="3"/>
  <c r="J189" i="3"/>
  <c r="J191" i="3"/>
  <c r="J194" i="3"/>
  <c r="J196" i="3"/>
  <c r="J199" i="3"/>
  <c r="J201" i="3"/>
  <c r="J203" i="3"/>
  <c r="J206" i="3"/>
  <c r="J210" i="3"/>
  <c r="G330" i="3"/>
  <c r="J331" i="3"/>
  <c r="J401" i="3"/>
  <c r="J470" i="3"/>
  <c r="J496" i="3"/>
  <c r="J256" i="3"/>
  <c r="J260" i="3"/>
  <c r="J264" i="3"/>
  <c r="J266" i="3"/>
  <c r="J269" i="3"/>
  <c r="J271" i="3"/>
  <c r="J274" i="3"/>
  <c r="J277" i="3"/>
  <c r="J279" i="3"/>
  <c r="J281" i="3"/>
  <c r="J283" i="3"/>
  <c r="J288" i="3"/>
  <c r="J290" i="3"/>
  <c r="J292" i="3"/>
  <c r="J294" i="3"/>
  <c r="J297" i="3"/>
  <c r="J299" i="3"/>
  <c r="J301" i="3"/>
  <c r="J305" i="3"/>
  <c r="J310" i="3"/>
  <c r="J313" i="3"/>
  <c r="J317" i="3"/>
  <c r="J321" i="3"/>
  <c r="J325" i="3"/>
  <c r="J328" i="3"/>
  <c r="J341" i="3"/>
  <c r="J345" i="3"/>
  <c r="J350" i="3"/>
  <c r="J354" i="3"/>
  <c r="J359" i="3"/>
  <c r="J363" i="3"/>
  <c r="J368" i="3"/>
  <c r="J372" i="3"/>
  <c r="J376" i="3"/>
  <c r="J380" i="3"/>
  <c r="J385" i="3"/>
  <c r="J389" i="3"/>
  <c r="J468" i="3"/>
  <c r="J472" i="3"/>
  <c r="G473" i="3"/>
  <c r="I473" i="3"/>
  <c r="I463" i="3" s="1"/>
  <c r="J494" i="3"/>
  <c r="J402" i="3"/>
  <c r="J407" i="3"/>
  <c r="J411" i="3"/>
  <c r="J415" i="3"/>
  <c r="J419" i="3"/>
  <c r="J423" i="3"/>
  <c r="J428" i="3"/>
  <c r="J431" i="3"/>
  <c r="J435" i="3"/>
  <c r="J439" i="3"/>
  <c r="J442" i="3"/>
  <c r="J445" i="3"/>
  <c r="J449" i="3"/>
  <c r="J452" i="3"/>
  <c r="J456" i="3"/>
  <c r="J459" i="3"/>
  <c r="J462" i="3"/>
  <c r="H383" i="3" l="1"/>
  <c r="H405" i="3"/>
  <c r="J52" i="3"/>
  <c r="G213" i="3"/>
  <c r="H148" i="3"/>
  <c r="J46" i="3"/>
  <c r="J128" i="3"/>
  <c r="J474" i="3"/>
  <c r="J68" i="3"/>
  <c r="J469" i="3"/>
  <c r="J396" i="3"/>
  <c r="H303" i="3"/>
  <c r="H250" i="3"/>
  <c r="J237" i="3"/>
  <c r="J158" i="3"/>
  <c r="J136" i="3"/>
  <c r="G492" i="3"/>
  <c r="J490" i="3"/>
  <c r="J304" i="3"/>
  <c r="J248" i="3"/>
  <c r="H157" i="3"/>
  <c r="J434" i="3"/>
  <c r="J414" i="3"/>
  <c r="J349" i="3"/>
  <c r="J440" i="3"/>
  <c r="J457" i="3"/>
  <c r="J450" i="3"/>
  <c r="G400" i="3"/>
  <c r="J398" i="3"/>
  <c r="J276" i="3"/>
  <c r="J204" i="3"/>
  <c r="J130" i="3"/>
  <c r="G303" i="3"/>
  <c r="J303" i="3" s="1"/>
  <c r="J230" i="3"/>
  <c r="J79" i="3"/>
  <c r="H51" i="3"/>
  <c r="J488" i="3"/>
  <c r="J484" i="3"/>
  <c r="J480" i="3"/>
  <c r="J476" i="3"/>
  <c r="G446" i="3"/>
  <c r="J295" i="3"/>
  <c r="J257" i="3"/>
  <c r="J253" i="3"/>
  <c r="J214" i="3"/>
  <c r="J146" i="3"/>
  <c r="J142" i="3"/>
  <c r="J461" i="3"/>
  <c r="J444" i="3"/>
  <c r="J438" i="3"/>
  <c r="J432" i="3"/>
  <c r="J420" i="3"/>
  <c r="J418" i="3"/>
  <c r="J412" i="3"/>
  <c r="J410" i="3"/>
  <c r="G405" i="3"/>
  <c r="O18" i="3"/>
  <c r="J320" i="3"/>
  <c r="H245" i="3"/>
  <c r="J123" i="3"/>
  <c r="G116" i="3"/>
  <c r="H111" i="3"/>
  <c r="G106" i="3"/>
  <c r="J104" i="3"/>
  <c r="J93" i="3"/>
  <c r="G88" i="3"/>
  <c r="G424" i="3"/>
  <c r="J360" i="3"/>
  <c r="J324" i="3"/>
  <c r="J316" i="3"/>
  <c r="G308" i="3"/>
  <c r="J188" i="3"/>
  <c r="J184" i="3"/>
  <c r="G179" i="3"/>
  <c r="J180" i="3"/>
  <c r="J167" i="3"/>
  <c r="G157" i="3"/>
  <c r="J427" i="3"/>
  <c r="J65" i="3"/>
  <c r="J42" i="3"/>
  <c r="J465" i="3"/>
  <c r="J340" i="3"/>
  <c r="J312" i="3"/>
  <c r="J119" i="3"/>
  <c r="J109" i="3"/>
  <c r="G232" i="3"/>
  <c r="H125" i="3"/>
  <c r="J471" i="3"/>
  <c r="J467" i="3"/>
  <c r="J429" i="3"/>
  <c r="G497" i="3"/>
  <c r="H473" i="3"/>
  <c r="J455" i="3"/>
  <c r="J406" i="3"/>
  <c r="J394" i="3"/>
  <c r="J390" i="3"/>
  <c r="J386" i="3"/>
  <c r="J381" i="3"/>
  <c r="J377" i="3"/>
  <c r="J373" i="3"/>
  <c r="J272" i="3"/>
  <c r="J197" i="3"/>
  <c r="H88" i="3"/>
  <c r="J88" i="3" s="1"/>
  <c r="H366" i="3"/>
  <c r="H357" i="3"/>
  <c r="G348" i="3"/>
  <c r="J351" i="3"/>
  <c r="H348" i="3"/>
  <c r="H308" i="3"/>
  <c r="J243" i="3"/>
  <c r="J239" i="3"/>
  <c r="J235" i="3"/>
  <c r="J226" i="3"/>
  <c r="J177" i="3"/>
  <c r="J144" i="3"/>
  <c r="J121" i="3"/>
  <c r="J112" i="3"/>
  <c r="J102" i="3"/>
  <c r="J91" i="3"/>
  <c r="I27" i="3"/>
  <c r="J495" i="3"/>
  <c r="J493" i="3"/>
  <c r="J246" i="3"/>
  <c r="J44" i="3"/>
  <c r="J482" i="3"/>
  <c r="H464" i="3"/>
  <c r="J379" i="3"/>
  <c r="J342" i="3"/>
  <c r="J327" i="3"/>
  <c r="J318" i="3"/>
  <c r="J309" i="3"/>
  <c r="H71" i="3"/>
  <c r="H400" i="3"/>
  <c r="H232" i="3"/>
  <c r="J425" i="3"/>
  <c r="J416" i="3"/>
  <c r="J408" i="3"/>
  <c r="J362" i="3"/>
  <c r="H497" i="3"/>
  <c r="H492" i="3"/>
  <c r="G357" i="3"/>
  <c r="J268" i="3"/>
  <c r="J153" i="3"/>
  <c r="G148" i="3"/>
  <c r="H116" i="3"/>
  <c r="G111" i="3"/>
  <c r="H106" i="3"/>
  <c r="J97" i="3"/>
  <c r="J89" i="3"/>
  <c r="J85" i="3"/>
  <c r="J353" i="3"/>
  <c r="J344" i="3"/>
  <c r="G337" i="3"/>
  <c r="H225" i="3"/>
  <c r="G208" i="3"/>
  <c r="H446" i="3"/>
  <c r="G366" i="3"/>
  <c r="J498" i="3"/>
  <c r="H424" i="3"/>
  <c r="G383" i="3"/>
  <c r="G245" i="3"/>
  <c r="J232" i="3"/>
  <c r="J99" i="3"/>
  <c r="I26" i="3"/>
  <c r="J369" i="3"/>
  <c r="J355" i="3"/>
  <c r="J306" i="3"/>
  <c r="G125" i="3"/>
  <c r="J138" i="3"/>
  <c r="G225" i="3"/>
  <c r="H261" i="3"/>
  <c r="J74" i="3"/>
  <c r="H179" i="3"/>
  <c r="J403" i="3"/>
  <c r="J348" i="3"/>
  <c r="H286" i="3"/>
  <c r="H64" i="3"/>
  <c r="H27" i="3"/>
  <c r="J453" i="3"/>
  <c r="G250" i="3"/>
  <c r="J72" i="3"/>
  <c r="G71" i="3"/>
  <c r="J54" i="3"/>
  <c r="G51" i="3"/>
  <c r="I25" i="3"/>
  <c r="J473" i="3"/>
  <c r="J383" i="3"/>
  <c r="J330" i="3"/>
  <c r="N18" i="3"/>
  <c r="J213" i="3"/>
  <c r="J83" i="3"/>
  <c r="G78" i="3"/>
  <c r="J28" i="3"/>
  <c r="G27" i="3"/>
  <c r="J464" i="3"/>
  <c r="J261" i="3"/>
  <c r="G463" i="3" l="1"/>
  <c r="J64" i="3"/>
  <c r="J179" i="3"/>
  <c r="J245" i="3"/>
  <c r="J424" i="3"/>
  <c r="J337" i="3"/>
  <c r="H87" i="3"/>
  <c r="O16" i="3" s="1"/>
  <c r="J78" i="3"/>
  <c r="J51" i="3"/>
  <c r="J71" i="3"/>
  <c r="J250" i="3"/>
  <c r="J286" i="3"/>
  <c r="J225" i="3"/>
  <c r="G87" i="3"/>
  <c r="J366" i="3"/>
  <c r="H336" i="3"/>
  <c r="J400" i="3"/>
  <c r="G336" i="3"/>
  <c r="J446" i="3"/>
  <c r="J111" i="3"/>
  <c r="J208" i="3"/>
  <c r="J308" i="3"/>
  <c r="J357" i="3"/>
  <c r="H463" i="3"/>
  <c r="J497" i="3"/>
  <c r="J106" i="3"/>
  <c r="J116" i="3"/>
  <c r="J157" i="3"/>
  <c r="J148" i="3"/>
  <c r="J492" i="3"/>
  <c r="J405" i="3"/>
  <c r="H212" i="3"/>
  <c r="G212" i="3"/>
  <c r="H26" i="3"/>
  <c r="O15" i="3" s="1"/>
  <c r="J125" i="3"/>
  <c r="J27" i="3"/>
  <c r="G26" i="3"/>
  <c r="J336" i="3"/>
  <c r="N19" i="3"/>
  <c r="N16" i="3" l="1"/>
  <c r="J463" i="3"/>
  <c r="J87" i="3"/>
  <c r="O19" i="3"/>
  <c r="H25" i="3"/>
  <c r="J212" i="3"/>
  <c r="J26" i="3"/>
  <c r="G25" i="3"/>
  <c r="N15" i="3"/>
  <c r="J25" i="3" l="1"/>
  <c r="K87" i="3" s="1"/>
  <c r="K69" i="3"/>
  <c r="K66" i="3"/>
  <c r="K62" i="3"/>
  <c r="K60" i="3"/>
  <c r="K58" i="3"/>
  <c r="K53" i="3"/>
  <c r="K40" i="3"/>
  <c r="K38" i="3"/>
  <c r="K36" i="3"/>
  <c r="K33" i="3"/>
  <c r="K31" i="3"/>
  <c r="K32" i="3"/>
  <c r="K39" i="3"/>
  <c r="K45" i="3"/>
  <c r="K59" i="3"/>
  <c r="K63" i="3"/>
  <c r="K77" i="3"/>
  <c r="K86" i="3"/>
  <c r="K96" i="3"/>
  <c r="K108" i="3"/>
  <c r="K118" i="3"/>
  <c r="K127" i="3"/>
  <c r="K156" i="3"/>
  <c r="K162" i="3"/>
  <c r="K166" i="3"/>
  <c r="K183" i="3"/>
  <c r="K229" i="3"/>
  <c r="K252" i="3"/>
  <c r="K265" i="3"/>
  <c r="K285" i="3"/>
  <c r="K291" i="3"/>
  <c r="K296" i="3"/>
  <c r="K300" i="3"/>
  <c r="K311" i="3"/>
  <c r="K319" i="3"/>
  <c r="K329" i="3"/>
  <c r="K335" i="3"/>
  <c r="K343" i="3"/>
  <c r="K361" i="3"/>
  <c r="K409" i="3"/>
  <c r="K417" i="3"/>
  <c r="K426" i="3"/>
  <c r="K458" i="3"/>
  <c r="K43" i="3"/>
  <c r="K49" i="3"/>
  <c r="K73" i="3"/>
  <c r="K100" i="3"/>
  <c r="K131" i="3"/>
  <c r="K135" i="3"/>
  <c r="K143" i="3"/>
  <c r="K169" i="3"/>
  <c r="K173" i="3"/>
  <c r="K190" i="3"/>
  <c r="K195" i="3"/>
  <c r="K200" i="3"/>
  <c r="K205" i="3"/>
  <c r="K211" i="3"/>
  <c r="K216" i="3"/>
  <c r="K222" i="3"/>
  <c r="K231" i="3"/>
  <c r="K254" i="3"/>
  <c r="K270" i="3"/>
  <c r="K275" i="3"/>
  <c r="K280" i="3"/>
  <c r="K307" i="3"/>
  <c r="K352" i="3"/>
  <c r="K370" i="3"/>
  <c r="K378" i="3"/>
  <c r="K387" i="3"/>
  <c r="K404" i="3"/>
  <c r="K332" i="3"/>
  <c r="K430" i="3"/>
  <c r="K460" i="3"/>
  <c r="K475" i="3"/>
  <c r="K334" i="3"/>
  <c r="K391" i="3"/>
  <c r="K399" i="3"/>
  <c r="K433" i="3"/>
  <c r="K443" i="3"/>
  <c r="K483" i="3"/>
  <c r="K491" i="3"/>
  <c r="K501" i="3"/>
  <c r="K393" i="3"/>
  <c r="K477" i="3"/>
  <c r="K485" i="3"/>
  <c r="K34" i="3"/>
  <c r="K57" i="3"/>
  <c r="K61" i="3"/>
  <c r="K75" i="3"/>
  <c r="K92" i="3"/>
  <c r="K113" i="3"/>
  <c r="K122" i="3"/>
  <c r="K152" i="3"/>
  <c r="K164" i="3"/>
  <c r="K178" i="3"/>
  <c r="K187" i="3"/>
  <c r="K249" i="3"/>
  <c r="K263" i="3"/>
  <c r="K267" i="3"/>
  <c r="K289" i="3"/>
  <c r="K293" i="3"/>
  <c r="K298" i="3"/>
  <c r="K302" i="3"/>
  <c r="K315" i="3"/>
  <c r="K323" i="3"/>
  <c r="K333" i="3"/>
  <c r="K339" i="3"/>
  <c r="K347" i="3"/>
  <c r="K365" i="3"/>
  <c r="K413" i="3"/>
  <c r="K421" i="3"/>
  <c r="K448" i="3"/>
  <c r="K50" i="3"/>
  <c r="K84" i="3"/>
  <c r="K147" i="3"/>
  <c r="K175" i="3"/>
  <c r="K193" i="3"/>
  <c r="K198" i="3"/>
  <c r="K207" i="3"/>
  <c r="K215" i="3"/>
  <c r="K221" i="3"/>
  <c r="K247" i="3"/>
  <c r="K258" i="3"/>
  <c r="K278" i="3"/>
  <c r="K282" i="3"/>
  <c r="K326" i="3"/>
  <c r="K374" i="3"/>
  <c r="K382" i="3"/>
  <c r="K400" i="3"/>
  <c r="K454" i="3"/>
  <c r="K395" i="3"/>
  <c r="K437" i="3"/>
  <c r="K479" i="3"/>
  <c r="K41" i="3"/>
  <c r="K82" i="3"/>
  <c r="K103" i="3"/>
  <c r="K160" i="3"/>
  <c r="K47" i="3"/>
  <c r="K133" i="3"/>
  <c r="K139" i="3"/>
  <c r="K171" i="3"/>
  <c r="K202" i="3"/>
  <c r="K227" i="3"/>
  <c r="K273" i="3"/>
  <c r="K356" i="3"/>
  <c r="K441" i="3"/>
  <c r="K451" i="3"/>
  <c r="K487" i="3"/>
  <c r="K397" i="3"/>
  <c r="K481" i="3"/>
  <c r="K489" i="3"/>
  <c r="K499" i="3"/>
  <c r="K452" i="3"/>
  <c r="K415" i="3"/>
  <c r="K354" i="3"/>
  <c r="K299" i="3"/>
  <c r="K269" i="3"/>
  <c r="K189" i="3"/>
  <c r="K161" i="3"/>
  <c r="K124" i="3"/>
  <c r="K244" i="3"/>
  <c r="K70" i="3"/>
  <c r="K445" i="3"/>
  <c r="K423" i="3"/>
  <c r="K468" i="3"/>
  <c r="K380" i="3"/>
  <c r="K345" i="3"/>
  <c r="K313" i="3"/>
  <c r="K294" i="3"/>
  <c r="K279" i="3"/>
  <c r="K264" i="3"/>
  <c r="K496" i="3"/>
  <c r="K210" i="3"/>
  <c r="K194" i="3"/>
  <c r="K174" i="3"/>
  <c r="K154" i="3"/>
  <c r="K132" i="3"/>
  <c r="K105" i="3"/>
  <c r="K48" i="3"/>
  <c r="K466" i="3"/>
  <c r="K236" i="3"/>
  <c r="K55" i="3"/>
  <c r="K456" i="3"/>
  <c r="K442" i="3"/>
  <c r="K428" i="3"/>
  <c r="K411" i="3"/>
  <c r="K494" i="3"/>
  <c r="K472" i="3"/>
  <c r="K376" i="3"/>
  <c r="K359" i="3"/>
  <c r="K341" i="3"/>
  <c r="K317" i="3"/>
  <c r="K301" i="3"/>
  <c r="K292" i="3"/>
  <c r="K281" i="3"/>
  <c r="K271" i="3"/>
  <c r="K260" i="3"/>
  <c r="K206" i="3"/>
  <c r="K196" i="3"/>
  <c r="K185" i="3"/>
  <c r="K172" i="3"/>
  <c r="K163" i="3"/>
  <c r="K150" i="3"/>
  <c r="K134" i="3"/>
  <c r="K120" i="3"/>
  <c r="K101" i="3"/>
  <c r="K56" i="3"/>
  <c r="K238" i="3"/>
  <c r="K220" i="3"/>
  <c r="K439" i="3"/>
  <c r="K372" i="3"/>
  <c r="K321" i="3"/>
  <c r="K283" i="3"/>
  <c r="K199" i="3"/>
  <c r="K170" i="3"/>
  <c r="K137" i="3"/>
  <c r="K98" i="3"/>
  <c r="K224" i="3"/>
  <c r="K459" i="3"/>
  <c r="K431" i="3"/>
  <c r="K407" i="3"/>
  <c r="K389" i="3"/>
  <c r="K363" i="3"/>
  <c r="K328" i="3"/>
  <c r="K305" i="3"/>
  <c r="K290" i="3"/>
  <c r="K274" i="3"/>
  <c r="K256" i="3"/>
  <c r="K331" i="3"/>
  <c r="K203" i="3"/>
  <c r="K181" i="3"/>
  <c r="K165" i="3"/>
  <c r="K145" i="3"/>
  <c r="K115" i="3"/>
  <c r="K90" i="3"/>
  <c r="K29" i="3"/>
  <c r="K240" i="3"/>
  <c r="K218" i="3"/>
  <c r="K37" i="3"/>
  <c r="K462" i="3"/>
  <c r="K449" i="3"/>
  <c r="K435" i="3"/>
  <c r="K419" i="3"/>
  <c r="K402" i="3"/>
  <c r="K385" i="3"/>
  <c r="K368" i="3"/>
  <c r="K350" i="3"/>
  <c r="K325" i="3"/>
  <c r="K310" i="3"/>
  <c r="K297" i="3"/>
  <c r="K288" i="3"/>
  <c r="K277" i="3"/>
  <c r="K266" i="3"/>
  <c r="K470" i="3"/>
  <c r="K201" i="3"/>
  <c r="K191" i="3"/>
  <c r="K176" i="3"/>
  <c r="K168" i="3"/>
  <c r="K159" i="3"/>
  <c r="K141" i="3"/>
  <c r="K129" i="3"/>
  <c r="K110" i="3"/>
  <c r="K94" i="3"/>
  <c r="K242" i="3"/>
  <c r="K234" i="3"/>
  <c r="K76" i="3"/>
  <c r="K30" i="3"/>
  <c r="K67" i="3"/>
  <c r="K28" i="3"/>
  <c r="K330" i="3"/>
  <c r="K463" i="3"/>
  <c r="K336" i="3"/>
  <c r="K26" i="3" l="1"/>
  <c r="K80" i="3"/>
  <c r="K27" i="3"/>
  <c r="K212" i="3"/>
  <c r="K25" i="3" s="1"/>
  <c r="H501" i="2" l="1"/>
  <c r="H501" i="5" s="1"/>
  <c r="G501" i="2"/>
  <c r="H500" i="2"/>
  <c r="H500" i="5" s="1"/>
  <c r="H499" i="2"/>
  <c r="G499" i="2"/>
  <c r="G499" i="5" s="1"/>
  <c r="H496" i="2"/>
  <c r="G496" i="2"/>
  <c r="H494" i="2"/>
  <c r="H494" i="5" s="1"/>
  <c r="G494" i="2"/>
  <c r="H493" i="2"/>
  <c r="H493" i="5" s="1"/>
  <c r="H491" i="2"/>
  <c r="H491" i="5" s="1"/>
  <c r="G491" i="2"/>
  <c r="H490" i="2"/>
  <c r="H490" i="5" s="1"/>
  <c r="H489" i="2"/>
  <c r="G489" i="2"/>
  <c r="G489" i="5" s="1"/>
  <c r="H487" i="2"/>
  <c r="H487" i="5" s="1"/>
  <c r="G487" i="2"/>
  <c r="H486" i="2"/>
  <c r="H486" i="5" s="1"/>
  <c r="H485" i="2"/>
  <c r="G485" i="2"/>
  <c r="H483" i="2"/>
  <c r="H483" i="5" s="1"/>
  <c r="G483" i="2"/>
  <c r="H482" i="2"/>
  <c r="H482" i="5" s="1"/>
  <c r="H481" i="2"/>
  <c r="G481" i="2"/>
  <c r="H479" i="2"/>
  <c r="H479" i="5" s="1"/>
  <c r="G479" i="2"/>
  <c r="H478" i="2"/>
  <c r="H478" i="5" s="1"/>
  <c r="H477" i="2"/>
  <c r="G477" i="2"/>
  <c r="H475" i="2"/>
  <c r="H475" i="5" s="1"/>
  <c r="G475" i="2"/>
  <c r="H474" i="2"/>
  <c r="H474" i="5" s="1"/>
  <c r="H472" i="2"/>
  <c r="H472" i="5" s="1"/>
  <c r="G472" i="2"/>
  <c r="H471" i="2"/>
  <c r="H471" i="5" s="1"/>
  <c r="H470" i="2"/>
  <c r="G470" i="2"/>
  <c r="G470" i="5" s="1"/>
  <c r="H468" i="2"/>
  <c r="H468" i="5" s="1"/>
  <c r="G468" i="2"/>
  <c r="H467" i="2"/>
  <c r="H467" i="5" s="1"/>
  <c r="H466" i="2"/>
  <c r="G466" i="2"/>
  <c r="H462" i="2"/>
  <c r="G462" i="2"/>
  <c r="H460" i="2"/>
  <c r="H460" i="5" s="1"/>
  <c r="G460" i="2"/>
  <c r="G460" i="5" s="1"/>
  <c r="H459" i="2"/>
  <c r="H459" i="5" s="1"/>
  <c r="G459" i="2"/>
  <c r="G459" i="5" s="1"/>
  <c r="H458" i="2"/>
  <c r="H458" i="5" s="1"/>
  <c r="G458" i="2"/>
  <c r="G458" i="5" s="1"/>
  <c r="H457" i="2"/>
  <c r="H457" i="5" s="1"/>
  <c r="H456" i="2"/>
  <c r="G456" i="2"/>
  <c r="G456" i="5" s="1"/>
  <c r="H454" i="2"/>
  <c r="H454" i="5" s="1"/>
  <c r="G454" i="2"/>
  <c r="H453" i="2"/>
  <c r="H453" i="5" s="1"/>
  <c r="H452" i="2"/>
  <c r="H452" i="5" s="1"/>
  <c r="G452" i="2"/>
  <c r="G452" i="5" s="1"/>
  <c r="H451" i="2"/>
  <c r="H451" i="5" s="1"/>
  <c r="G451" i="2"/>
  <c r="H449" i="2"/>
  <c r="H449" i="5" s="1"/>
  <c r="G449" i="2"/>
  <c r="G449" i="5" s="1"/>
  <c r="H448" i="2"/>
  <c r="H448" i="5" s="1"/>
  <c r="G448" i="2"/>
  <c r="H447" i="2"/>
  <c r="H447" i="5" s="1"/>
  <c r="H445" i="2"/>
  <c r="H445" i="5" s="1"/>
  <c r="G445" i="2"/>
  <c r="H444" i="2"/>
  <c r="H444" i="5" s="1"/>
  <c r="H443" i="2"/>
  <c r="H443" i="5" s="1"/>
  <c r="G443" i="2"/>
  <c r="G443" i="5" s="1"/>
  <c r="H442" i="2"/>
  <c r="H442" i="5" s="1"/>
  <c r="G442" i="2"/>
  <c r="G442" i="5" s="1"/>
  <c r="H441" i="2"/>
  <c r="H441" i="5" s="1"/>
  <c r="G441" i="2"/>
  <c r="H439" i="2"/>
  <c r="H439" i="5" s="1"/>
  <c r="G439" i="2"/>
  <c r="H438" i="2"/>
  <c r="H438" i="5" s="1"/>
  <c r="H437" i="2"/>
  <c r="G437" i="2"/>
  <c r="G437" i="5" s="1"/>
  <c r="H435" i="2"/>
  <c r="H435" i="5" s="1"/>
  <c r="G435" i="2"/>
  <c r="G435" i="5" s="1"/>
  <c r="H434" i="2"/>
  <c r="H434" i="5" s="1"/>
  <c r="G434" i="2"/>
  <c r="G434" i="5" s="1"/>
  <c r="H433" i="2"/>
  <c r="H433" i="5" s="1"/>
  <c r="G433" i="2"/>
  <c r="H432" i="2"/>
  <c r="H432" i="5" s="1"/>
  <c r="H431" i="2"/>
  <c r="H431" i="5" s="1"/>
  <c r="G431" i="2"/>
  <c r="G431" i="5" s="1"/>
  <c r="J431" i="5" s="1"/>
  <c r="H430" i="2"/>
  <c r="G430" i="2"/>
  <c r="H428" i="2"/>
  <c r="H428" i="5" s="1"/>
  <c r="G428" i="2"/>
  <c r="H427" i="2"/>
  <c r="H427" i="5" s="1"/>
  <c r="H426" i="2"/>
  <c r="G426" i="2"/>
  <c r="H423" i="2"/>
  <c r="G423" i="2"/>
  <c r="H421" i="2"/>
  <c r="H421" i="5" s="1"/>
  <c r="G421" i="2"/>
  <c r="H420" i="2"/>
  <c r="H420" i="5" s="1"/>
  <c r="H419" i="2"/>
  <c r="G419" i="2"/>
  <c r="H417" i="2"/>
  <c r="H417" i="5" s="1"/>
  <c r="G417" i="2"/>
  <c r="H416" i="2"/>
  <c r="H416" i="5" s="1"/>
  <c r="H415" i="2"/>
  <c r="G415" i="2"/>
  <c r="H413" i="2"/>
  <c r="H413" i="5" s="1"/>
  <c r="G413" i="2"/>
  <c r="H412" i="2"/>
  <c r="H412" i="5" s="1"/>
  <c r="H411" i="2"/>
  <c r="G411" i="2"/>
  <c r="G411" i="5" s="1"/>
  <c r="H409" i="2"/>
  <c r="H409" i="5" s="1"/>
  <c r="G409" i="2"/>
  <c r="H408" i="2"/>
  <c r="H408" i="5" s="1"/>
  <c r="H407" i="2"/>
  <c r="G407" i="2"/>
  <c r="G407" i="5" s="1"/>
  <c r="H404" i="2"/>
  <c r="G404" i="2"/>
  <c r="G404" i="5" s="1"/>
  <c r="H402" i="2"/>
  <c r="H402" i="5" s="1"/>
  <c r="G402" i="2"/>
  <c r="H401" i="2"/>
  <c r="H401" i="5" s="1"/>
  <c r="H399" i="2"/>
  <c r="G399" i="2"/>
  <c r="H397" i="2"/>
  <c r="H397" i="5" s="1"/>
  <c r="G397" i="2"/>
  <c r="H396" i="2"/>
  <c r="H396" i="5" s="1"/>
  <c r="H395" i="2"/>
  <c r="G395" i="2"/>
  <c r="G395" i="5" s="1"/>
  <c r="H393" i="2"/>
  <c r="H393" i="5" s="1"/>
  <c r="G393" i="2"/>
  <c r="H392" i="2"/>
  <c r="H392" i="5" s="1"/>
  <c r="H391" i="2"/>
  <c r="G391" i="2"/>
  <c r="H389" i="2"/>
  <c r="H389" i="5" s="1"/>
  <c r="G389" i="2"/>
  <c r="H388" i="2"/>
  <c r="H388" i="5" s="1"/>
  <c r="H387" i="2"/>
  <c r="G387" i="2"/>
  <c r="H385" i="2"/>
  <c r="H385" i="5" s="1"/>
  <c r="G385" i="2"/>
  <c r="H384" i="2"/>
  <c r="H384" i="5" s="1"/>
  <c r="H382" i="2"/>
  <c r="H382" i="5" s="1"/>
  <c r="G382" i="2"/>
  <c r="H381" i="2"/>
  <c r="H381" i="5" s="1"/>
  <c r="H380" i="2"/>
  <c r="G380" i="2"/>
  <c r="G380" i="5" s="1"/>
  <c r="H378" i="2"/>
  <c r="H378" i="5" s="1"/>
  <c r="G378" i="2"/>
  <c r="H377" i="2"/>
  <c r="H377" i="5" s="1"/>
  <c r="H376" i="2"/>
  <c r="G376" i="2"/>
  <c r="G376" i="5" s="1"/>
  <c r="H374" i="2"/>
  <c r="H374" i="5" s="1"/>
  <c r="G374" i="2"/>
  <c r="H373" i="2"/>
  <c r="H373" i="5" s="1"/>
  <c r="H372" i="2"/>
  <c r="G372" i="2"/>
  <c r="G372" i="5" s="1"/>
  <c r="H370" i="2"/>
  <c r="H370" i="5" s="1"/>
  <c r="G370" i="2"/>
  <c r="H369" i="2"/>
  <c r="H369" i="5" s="1"/>
  <c r="H368" i="2"/>
  <c r="G368" i="2"/>
  <c r="G368" i="5" s="1"/>
  <c r="H365" i="2"/>
  <c r="G365" i="2"/>
  <c r="H363" i="2"/>
  <c r="H363" i="5" s="1"/>
  <c r="G363" i="2"/>
  <c r="H362" i="2"/>
  <c r="H362" i="5" s="1"/>
  <c r="H361" i="2"/>
  <c r="G361" i="2"/>
  <c r="H359" i="2"/>
  <c r="H359" i="5" s="1"/>
  <c r="G359" i="2"/>
  <c r="H358" i="2"/>
  <c r="H358" i="5" s="1"/>
  <c r="H356" i="2"/>
  <c r="H356" i="5" s="1"/>
  <c r="G356" i="2"/>
  <c r="H355" i="2"/>
  <c r="H355" i="5" s="1"/>
  <c r="H354" i="2"/>
  <c r="G354" i="2"/>
  <c r="G354" i="5" s="1"/>
  <c r="H352" i="2"/>
  <c r="H352" i="5" s="1"/>
  <c r="G352" i="2"/>
  <c r="H351" i="2"/>
  <c r="H351" i="5" s="1"/>
  <c r="H350" i="2"/>
  <c r="G350" i="2"/>
  <c r="G350" i="5" s="1"/>
  <c r="H347" i="2"/>
  <c r="G347" i="2"/>
  <c r="H345" i="2"/>
  <c r="H345" i="5" s="1"/>
  <c r="G345" i="2"/>
  <c r="H344" i="2"/>
  <c r="H344" i="5" s="1"/>
  <c r="H343" i="2"/>
  <c r="G343" i="2"/>
  <c r="G343" i="5" s="1"/>
  <c r="H341" i="2"/>
  <c r="H341" i="5" s="1"/>
  <c r="G341" i="2"/>
  <c r="H340" i="2"/>
  <c r="H340" i="5" s="1"/>
  <c r="H339" i="2"/>
  <c r="G339" i="2"/>
  <c r="H335" i="2"/>
  <c r="H335" i="5" s="1"/>
  <c r="G335" i="2"/>
  <c r="G335" i="5" s="1"/>
  <c r="H334" i="2"/>
  <c r="H334" i="5" s="1"/>
  <c r="G334" i="2"/>
  <c r="G334" i="5" s="1"/>
  <c r="H333" i="2"/>
  <c r="H333" i="5" s="1"/>
  <c r="G333" i="2"/>
  <c r="G333" i="5" s="1"/>
  <c r="H332" i="2"/>
  <c r="H332" i="5" s="1"/>
  <c r="G332" i="2"/>
  <c r="G332" i="5" s="1"/>
  <c r="H331" i="2"/>
  <c r="H331" i="5" s="1"/>
  <c r="G331" i="2"/>
  <c r="G331" i="5" s="1"/>
  <c r="H330" i="2"/>
  <c r="G330" i="2"/>
  <c r="H329" i="2"/>
  <c r="H329" i="5" s="1"/>
  <c r="G329" i="2"/>
  <c r="G329" i="5" s="1"/>
  <c r="H328" i="2"/>
  <c r="G328" i="2"/>
  <c r="H326" i="2"/>
  <c r="H326" i="5" s="1"/>
  <c r="G326" i="2"/>
  <c r="G326" i="5" s="1"/>
  <c r="H325" i="2"/>
  <c r="H325" i="5" s="1"/>
  <c r="G325" i="2"/>
  <c r="G325" i="5" s="1"/>
  <c r="H324" i="2"/>
  <c r="H324" i="5" s="1"/>
  <c r="H323" i="2"/>
  <c r="G323" i="2"/>
  <c r="G323" i="5" s="1"/>
  <c r="H321" i="2"/>
  <c r="H321" i="5" s="1"/>
  <c r="G321" i="2"/>
  <c r="H320" i="2"/>
  <c r="H320" i="5" s="1"/>
  <c r="H319" i="2"/>
  <c r="G319" i="2"/>
  <c r="G319" i="5" s="1"/>
  <c r="H317" i="2"/>
  <c r="H317" i="5" s="1"/>
  <c r="G317" i="2"/>
  <c r="H316" i="2"/>
  <c r="H316" i="5" s="1"/>
  <c r="H315" i="2"/>
  <c r="G315" i="2"/>
  <c r="H313" i="2"/>
  <c r="H313" i="5" s="1"/>
  <c r="G313" i="2"/>
  <c r="H312" i="2"/>
  <c r="H312" i="5" s="1"/>
  <c r="H311" i="2"/>
  <c r="H311" i="5" s="1"/>
  <c r="G311" i="2"/>
  <c r="G311" i="5" s="1"/>
  <c r="J311" i="5" s="1"/>
  <c r="H310" i="2"/>
  <c r="G310" i="2"/>
  <c r="G310" i="5" s="1"/>
  <c r="H307" i="2"/>
  <c r="G307" i="2"/>
  <c r="H305" i="2"/>
  <c r="H305" i="5" s="1"/>
  <c r="G305" i="2"/>
  <c r="H304" i="2"/>
  <c r="H304" i="5" s="1"/>
  <c r="H302" i="2"/>
  <c r="H302" i="5" s="1"/>
  <c r="G302" i="2"/>
  <c r="G302" i="5" s="1"/>
  <c r="H301" i="2"/>
  <c r="H301" i="5" s="1"/>
  <c r="G301" i="2"/>
  <c r="G301" i="5" s="1"/>
  <c r="H300" i="2"/>
  <c r="H300" i="5" s="1"/>
  <c r="G300" i="2"/>
  <c r="G300" i="5" s="1"/>
  <c r="H299" i="2"/>
  <c r="H299" i="5" s="1"/>
  <c r="G299" i="2"/>
  <c r="G299" i="5" s="1"/>
  <c r="H298" i="2"/>
  <c r="H298" i="5" s="1"/>
  <c r="G298" i="2"/>
  <c r="G298" i="5" s="1"/>
  <c r="H297" i="2"/>
  <c r="H297" i="5" s="1"/>
  <c r="G297" i="2"/>
  <c r="G297" i="5" s="1"/>
  <c r="H296" i="2"/>
  <c r="H296" i="5" s="1"/>
  <c r="G296" i="2"/>
  <c r="H295" i="2"/>
  <c r="H295" i="5" s="1"/>
  <c r="H294" i="2"/>
  <c r="H294" i="5" s="1"/>
  <c r="G294" i="2"/>
  <c r="G294" i="5" s="1"/>
  <c r="H293" i="2"/>
  <c r="H293" i="5" s="1"/>
  <c r="G293" i="2"/>
  <c r="G293" i="5" s="1"/>
  <c r="H292" i="2"/>
  <c r="H292" i="5" s="1"/>
  <c r="G292" i="2"/>
  <c r="G292" i="5" s="1"/>
  <c r="H291" i="2"/>
  <c r="H291" i="5" s="1"/>
  <c r="G291" i="2"/>
  <c r="G291" i="5" s="1"/>
  <c r="H290" i="2"/>
  <c r="H290" i="5" s="1"/>
  <c r="G290" i="2"/>
  <c r="G290" i="5" s="1"/>
  <c r="H289" i="2"/>
  <c r="H289" i="5" s="1"/>
  <c r="G289" i="2"/>
  <c r="G289" i="5" s="1"/>
  <c r="H288" i="2"/>
  <c r="H288" i="5" s="1"/>
  <c r="G288" i="2"/>
  <c r="G288" i="5" s="1"/>
  <c r="H285" i="2"/>
  <c r="G285" i="2"/>
  <c r="H283" i="2"/>
  <c r="H283" i="5" s="1"/>
  <c r="G283" i="2"/>
  <c r="H282" i="2"/>
  <c r="H282" i="5" s="1"/>
  <c r="G282" i="2"/>
  <c r="H281" i="2"/>
  <c r="H281" i="5" s="1"/>
  <c r="G281" i="2"/>
  <c r="H280" i="2"/>
  <c r="H280" i="5" s="1"/>
  <c r="G280" i="2"/>
  <c r="H279" i="2"/>
  <c r="H279" i="5" s="1"/>
  <c r="G279" i="2"/>
  <c r="H278" i="2"/>
  <c r="H278" i="5" s="1"/>
  <c r="G278" i="2"/>
  <c r="H277" i="2"/>
  <c r="H277" i="5" s="1"/>
  <c r="G277" i="2"/>
  <c r="G277" i="5" s="1"/>
  <c r="H276" i="2"/>
  <c r="H276" i="5" s="1"/>
  <c r="H275" i="2"/>
  <c r="H275" i="5" s="1"/>
  <c r="G275" i="2"/>
  <c r="G275" i="5" s="1"/>
  <c r="H274" i="2"/>
  <c r="H274" i="5" s="1"/>
  <c r="G274" i="2"/>
  <c r="G274" i="5" s="1"/>
  <c r="H273" i="2"/>
  <c r="G273" i="2"/>
  <c r="G273" i="5" s="1"/>
  <c r="H271" i="2"/>
  <c r="H271" i="5" s="1"/>
  <c r="G271" i="2"/>
  <c r="G271" i="5" s="1"/>
  <c r="H270" i="2"/>
  <c r="H270" i="5" s="1"/>
  <c r="G270" i="2"/>
  <c r="G270" i="5" s="1"/>
  <c r="J270" i="5" s="1"/>
  <c r="H269" i="2"/>
  <c r="H269" i="5" s="1"/>
  <c r="G269" i="2"/>
  <c r="H268" i="2"/>
  <c r="H268" i="5" s="1"/>
  <c r="H267" i="2"/>
  <c r="H267" i="5" s="1"/>
  <c r="G267" i="2"/>
  <c r="H266" i="2"/>
  <c r="H266" i="5" s="1"/>
  <c r="G266" i="2"/>
  <c r="G266" i="5" s="1"/>
  <c r="H265" i="2"/>
  <c r="H265" i="5" s="1"/>
  <c r="G265" i="2"/>
  <c r="H264" i="2"/>
  <c r="H264" i="5" s="1"/>
  <c r="G264" i="2"/>
  <c r="G264" i="5" s="1"/>
  <c r="H263" i="2"/>
  <c r="H263" i="5" s="1"/>
  <c r="G263" i="2"/>
  <c r="H260" i="2"/>
  <c r="G260" i="2"/>
  <c r="H258" i="2"/>
  <c r="H258" i="5" s="1"/>
  <c r="G258" i="2"/>
  <c r="H257" i="2"/>
  <c r="H257" i="5" s="1"/>
  <c r="H256" i="2"/>
  <c r="G256" i="2"/>
  <c r="G256" i="5" s="1"/>
  <c r="H254" i="2"/>
  <c r="H254" i="5" s="1"/>
  <c r="G254" i="2"/>
  <c r="H253" i="2"/>
  <c r="H253" i="5" s="1"/>
  <c r="H252" i="2"/>
  <c r="G252" i="2"/>
  <c r="G252" i="5" s="1"/>
  <c r="H249" i="2"/>
  <c r="G249" i="2"/>
  <c r="G249" i="5" s="1"/>
  <c r="H247" i="2"/>
  <c r="H247" i="5" s="1"/>
  <c r="G247" i="2"/>
  <c r="H246" i="2"/>
  <c r="H246" i="5" s="1"/>
  <c r="H244" i="2"/>
  <c r="H244" i="5" s="1"/>
  <c r="G244" i="2"/>
  <c r="H243" i="2"/>
  <c r="H243" i="5" s="1"/>
  <c r="H242" i="2"/>
  <c r="G242" i="2"/>
  <c r="G242" i="5" s="1"/>
  <c r="H240" i="2"/>
  <c r="H240" i="5" s="1"/>
  <c r="G240" i="2"/>
  <c r="H239" i="2"/>
  <c r="H239" i="5" s="1"/>
  <c r="H238" i="2"/>
  <c r="G238" i="2"/>
  <c r="H236" i="2"/>
  <c r="H236" i="5" s="1"/>
  <c r="G236" i="2"/>
  <c r="H235" i="2"/>
  <c r="H235" i="5" s="1"/>
  <c r="H234" i="2"/>
  <c r="G234" i="2"/>
  <c r="H231" i="2"/>
  <c r="G231" i="2"/>
  <c r="G231" i="5" s="1"/>
  <c r="H229" i="2"/>
  <c r="H229" i="5" s="1"/>
  <c r="G229" i="2"/>
  <c r="H228" i="2"/>
  <c r="H228" i="5" s="1"/>
  <c r="H227" i="2"/>
  <c r="G227" i="2"/>
  <c r="H224" i="2"/>
  <c r="G224" i="2"/>
  <c r="H222" i="2"/>
  <c r="H222" i="5" s="1"/>
  <c r="G222" i="2"/>
  <c r="G222" i="5" s="1"/>
  <c r="H221" i="2"/>
  <c r="H221" i="5" s="1"/>
  <c r="G221" i="2"/>
  <c r="G221" i="5" s="1"/>
  <c r="H220" i="2"/>
  <c r="H220" i="5" s="1"/>
  <c r="G220" i="2"/>
  <c r="G220" i="5" s="1"/>
  <c r="H219" i="2"/>
  <c r="H219" i="5" s="1"/>
  <c r="H218" i="2"/>
  <c r="G218" i="2"/>
  <c r="G218" i="5" s="1"/>
  <c r="H216" i="2"/>
  <c r="H216" i="5" s="1"/>
  <c r="G216" i="2"/>
  <c r="G216" i="5" s="1"/>
  <c r="H215" i="2"/>
  <c r="H215" i="5" s="1"/>
  <c r="G215" i="2"/>
  <c r="G215" i="5" s="1"/>
  <c r="H214" i="2"/>
  <c r="H214" i="5" s="1"/>
  <c r="H211" i="2"/>
  <c r="H211" i="5" s="1"/>
  <c r="G211" i="2"/>
  <c r="G211" i="5" s="1"/>
  <c r="J211" i="5" s="1"/>
  <c r="H210" i="2"/>
  <c r="H210" i="5" s="1"/>
  <c r="G210" i="2"/>
  <c r="H209" i="2"/>
  <c r="H207" i="2"/>
  <c r="H207" i="5" s="1"/>
  <c r="G207" i="2"/>
  <c r="G207" i="5" s="1"/>
  <c r="H206" i="2"/>
  <c r="H206" i="5" s="1"/>
  <c r="G206" i="2"/>
  <c r="G206" i="5" s="1"/>
  <c r="H205" i="2"/>
  <c r="H205" i="5" s="1"/>
  <c r="G205" i="2"/>
  <c r="H204" i="2"/>
  <c r="H204" i="5" s="1"/>
  <c r="H203" i="2"/>
  <c r="H203" i="5" s="1"/>
  <c r="G203" i="2"/>
  <c r="G203" i="5" s="1"/>
  <c r="J203" i="5" s="1"/>
  <c r="H202" i="2"/>
  <c r="H202" i="5" s="1"/>
  <c r="G202" i="2"/>
  <c r="G202" i="5" s="1"/>
  <c r="J202" i="5" s="1"/>
  <c r="H201" i="2"/>
  <c r="H201" i="5" s="1"/>
  <c r="G201" i="2"/>
  <c r="G201" i="5" s="1"/>
  <c r="J201" i="5" s="1"/>
  <c r="H200" i="2"/>
  <c r="H200" i="5" s="1"/>
  <c r="G200" i="2"/>
  <c r="G200" i="5" s="1"/>
  <c r="J200" i="5" s="1"/>
  <c r="H199" i="2"/>
  <c r="H199" i="5" s="1"/>
  <c r="G199" i="2"/>
  <c r="G199" i="5" s="1"/>
  <c r="J199" i="5" s="1"/>
  <c r="H198" i="2"/>
  <c r="G198" i="2"/>
  <c r="H196" i="2"/>
  <c r="H196" i="5" s="1"/>
  <c r="G196" i="2"/>
  <c r="G196" i="5" s="1"/>
  <c r="J196" i="5" s="1"/>
  <c r="H195" i="2"/>
  <c r="H195" i="5" s="1"/>
  <c r="G195" i="2"/>
  <c r="G195" i="5" s="1"/>
  <c r="J195" i="5" s="1"/>
  <c r="H194" i="2"/>
  <c r="H194" i="5" s="1"/>
  <c r="G194" i="2"/>
  <c r="G194" i="5" s="1"/>
  <c r="J194" i="5" s="1"/>
  <c r="H193" i="2"/>
  <c r="H193" i="5" s="1"/>
  <c r="G193" i="2"/>
  <c r="G193" i="5" s="1"/>
  <c r="J193" i="5" s="1"/>
  <c r="H192" i="2"/>
  <c r="H192" i="5" s="1"/>
  <c r="H191" i="2"/>
  <c r="H191" i="5" s="1"/>
  <c r="G191" i="2"/>
  <c r="G191" i="5" s="1"/>
  <c r="H190" i="2"/>
  <c r="H190" i="5" s="1"/>
  <c r="G190" i="2"/>
  <c r="H189" i="2"/>
  <c r="G189" i="2"/>
  <c r="H187" i="2"/>
  <c r="H187" i="5" s="1"/>
  <c r="G187" i="2"/>
  <c r="H186" i="2"/>
  <c r="H186" i="5" s="1"/>
  <c r="H185" i="2"/>
  <c r="G185" i="2"/>
  <c r="H183" i="2"/>
  <c r="H183" i="5" s="1"/>
  <c r="G183" i="2"/>
  <c r="H182" i="2"/>
  <c r="H182" i="5" s="1"/>
  <c r="H181" i="2"/>
  <c r="G181" i="2"/>
  <c r="H178" i="2"/>
  <c r="G178" i="2"/>
  <c r="G178" i="5" s="1"/>
  <c r="G177" i="2"/>
  <c r="H176" i="2"/>
  <c r="H176" i="5" s="1"/>
  <c r="G176" i="2"/>
  <c r="H175" i="2"/>
  <c r="H175" i="5" s="1"/>
  <c r="G175" i="2"/>
  <c r="H174" i="2"/>
  <c r="H174" i="5" s="1"/>
  <c r="G174" i="2"/>
  <c r="H173" i="2"/>
  <c r="H173" i="5" s="1"/>
  <c r="G173" i="2"/>
  <c r="H172" i="2"/>
  <c r="H172" i="5" s="1"/>
  <c r="G172" i="2"/>
  <c r="H171" i="2"/>
  <c r="H171" i="5" s="1"/>
  <c r="G171" i="2"/>
  <c r="H170" i="2"/>
  <c r="H170" i="5" s="1"/>
  <c r="G170" i="2"/>
  <c r="H169" i="2"/>
  <c r="H169" i="5" s="1"/>
  <c r="G169" i="2"/>
  <c r="H168" i="2"/>
  <c r="H168" i="5" s="1"/>
  <c r="G168" i="2"/>
  <c r="H167" i="2"/>
  <c r="H167" i="5" s="1"/>
  <c r="H166" i="2"/>
  <c r="H166" i="5" s="1"/>
  <c r="G166" i="2"/>
  <c r="G166" i="5" s="1"/>
  <c r="H165" i="2"/>
  <c r="H165" i="5" s="1"/>
  <c r="G165" i="2"/>
  <c r="G165" i="5" s="1"/>
  <c r="H164" i="2"/>
  <c r="H164" i="5" s="1"/>
  <c r="G164" i="2"/>
  <c r="G164" i="5" s="1"/>
  <c r="H163" i="2"/>
  <c r="H163" i="5" s="1"/>
  <c r="G163" i="2"/>
  <c r="G163" i="5" s="1"/>
  <c r="H162" i="2"/>
  <c r="H162" i="5" s="1"/>
  <c r="G162" i="2"/>
  <c r="G162" i="5" s="1"/>
  <c r="H161" i="2"/>
  <c r="H161" i="5" s="1"/>
  <c r="G161" i="2"/>
  <c r="G161" i="5" s="1"/>
  <c r="H160" i="2"/>
  <c r="H160" i="5" s="1"/>
  <c r="G160" i="2"/>
  <c r="G160" i="5" s="1"/>
  <c r="H159" i="2"/>
  <c r="G159" i="2"/>
  <c r="G159" i="5" s="1"/>
  <c r="H156" i="2"/>
  <c r="G156" i="2"/>
  <c r="H154" i="2"/>
  <c r="H154" i="5" s="1"/>
  <c r="G154" i="2"/>
  <c r="H153" i="2"/>
  <c r="H153" i="5" s="1"/>
  <c r="H152" i="2"/>
  <c r="G152" i="2"/>
  <c r="H150" i="2"/>
  <c r="H150" i="5" s="1"/>
  <c r="G150" i="2"/>
  <c r="H149" i="2"/>
  <c r="H149" i="5" s="1"/>
  <c r="H147" i="2"/>
  <c r="H147" i="5" s="1"/>
  <c r="G147" i="2"/>
  <c r="H146" i="2"/>
  <c r="H146" i="5" s="1"/>
  <c r="H145" i="2"/>
  <c r="G145" i="2"/>
  <c r="H143" i="2"/>
  <c r="H143" i="5" s="1"/>
  <c r="G143" i="2"/>
  <c r="H142" i="2"/>
  <c r="H142" i="5" s="1"/>
  <c r="H141" i="2"/>
  <c r="G141" i="2"/>
  <c r="H139" i="2"/>
  <c r="H139" i="5" s="1"/>
  <c r="G139" i="2"/>
  <c r="H138" i="2"/>
  <c r="H138" i="5" s="1"/>
  <c r="H137" i="2"/>
  <c r="G137" i="2"/>
  <c r="G137" i="5" s="1"/>
  <c r="H135" i="2"/>
  <c r="H135" i="5" s="1"/>
  <c r="G135" i="2"/>
  <c r="G135" i="5" s="1"/>
  <c r="H134" i="2"/>
  <c r="H134" i="5" s="1"/>
  <c r="G134" i="2"/>
  <c r="G134" i="5" s="1"/>
  <c r="H133" i="2"/>
  <c r="H133" i="5" s="1"/>
  <c r="G133" i="2"/>
  <c r="G133" i="5" s="1"/>
  <c r="H132" i="2"/>
  <c r="H132" i="5" s="1"/>
  <c r="G132" i="2"/>
  <c r="G132" i="5" s="1"/>
  <c r="H131" i="2"/>
  <c r="H131" i="5" s="1"/>
  <c r="G131" i="2"/>
  <c r="H130" i="2"/>
  <c r="H130" i="5" s="1"/>
  <c r="H129" i="2"/>
  <c r="G129" i="2"/>
  <c r="G129" i="5" s="1"/>
  <c r="H127" i="2"/>
  <c r="H127" i="5" s="1"/>
  <c r="G127" i="2"/>
  <c r="H126" i="2"/>
  <c r="H124" i="2"/>
  <c r="H124" i="5" s="1"/>
  <c r="G124" i="2"/>
  <c r="H123" i="2"/>
  <c r="H123" i="5" s="1"/>
  <c r="H122" i="2"/>
  <c r="G122" i="2"/>
  <c r="G122" i="5" s="1"/>
  <c r="H120" i="2"/>
  <c r="H120" i="5" s="1"/>
  <c r="G120" i="2"/>
  <c r="H119" i="2"/>
  <c r="H119" i="5" s="1"/>
  <c r="H118" i="2"/>
  <c r="G118" i="2"/>
  <c r="G118" i="5" s="1"/>
  <c r="H115" i="2"/>
  <c r="G115" i="2"/>
  <c r="H113" i="2"/>
  <c r="H113" i="5" s="1"/>
  <c r="G113" i="2"/>
  <c r="H112" i="2"/>
  <c r="H112" i="5" s="1"/>
  <c r="H110" i="2"/>
  <c r="H110" i="5" s="1"/>
  <c r="G110" i="2"/>
  <c r="H109" i="2"/>
  <c r="H109" i="5" s="1"/>
  <c r="H108" i="2"/>
  <c r="G108" i="2"/>
  <c r="H105" i="2"/>
  <c r="G105" i="2"/>
  <c r="G105" i="5" s="1"/>
  <c r="H103" i="2"/>
  <c r="H103" i="5" s="1"/>
  <c r="G103" i="2"/>
  <c r="H102" i="2"/>
  <c r="H102" i="5" s="1"/>
  <c r="H101" i="2"/>
  <c r="H101" i="5" s="1"/>
  <c r="G101" i="2"/>
  <c r="G101" i="5" s="1"/>
  <c r="H100" i="2"/>
  <c r="G100" i="2"/>
  <c r="G100" i="5" s="1"/>
  <c r="H98" i="2"/>
  <c r="H98" i="5" s="1"/>
  <c r="G98" i="2"/>
  <c r="H97" i="2"/>
  <c r="H97" i="5" s="1"/>
  <c r="H96" i="2"/>
  <c r="G96" i="2"/>
  <c r="G96" i="5" s="1"/>
  <c r="H94" i="2"/>
  <c r="H94" i="5" s="1"/>
  <c r="G94" i="2"/>
  <c r="H93" i="2"/>
  <c r="H93" i="5" s="1"/>
  <c r="H92" i="2"/>
  <c r="G92" i="2"/>
  <c r="G92" i="5" s="1"/>
  <c r="H90" i="2"/>
  <c r="H90" i="5" s="1"/>
  <c r="G90" i="2"/>
  <c r="H89" i="2"/>
  <c r="H89" i="5" s="1"/>
  <c r="H86" i="2"/>
  <c r="H86" i="5" s="1"/>
  <c r="G86" i="2"/>
  <c r="H85" i="2"/>
  <c r="H85" i="5" s="1"/>
  <c r="H84" i="2"/>
  <c r="G84" i="2"/>
  <c r="H82" i="2"/>
  <c r="H82" i="5" s="1"/>
  <c r="G82" i="2"/>
  <c r="H81" i="2"/>
  <c r="H81" i="5" s="1"/>
  <c r="H80" i="2"/>
  <c r="G80" i="2"/>
  <c r="H77" i="2"/>
  <c r="H77" i="5" s="1"/>
  <c r="G77" i="2"/>
  <c r="G77" i="5" s="1"/>
  <c r="H76" i="2"/>
  <c r="H76" i="5" s="1"/>
  <c r="G76" i="2"/>
  <c r="G76" i="5" s="1"/>
  <c r="H75" i="2"/>
  <c r="G75" i="2"/>
  <c r="G75" i="5" s="1"/>
  <c r="H73" i="2"/>
  <c r="H73" i="5" s="1"/>
  <c r="G73" i="2"/>
  <c r="H72" i="2"/>
  <c r="H72" i="5" s="1"/>
  <c r="H70" i="2"/>
  <c r="H70" i="5" s="1"/>
  <c r="G70" i="2"/>
  <c r="H69" i="2"/>
  <c r="H69" i="5" s="1"/>
  <c r="G69" i="2"/>
  <c r="H68" i="2"/>
  <c r="H68" i="5" s="1"/>
  <c r="H67" i="2"/>
  <c r="H67" i="5" s="1"/>
  <c r="G67" i="2"/>
  <c r="G67" i="5" s="1"/>
  <c r="H66" i="2"/>
  <c r="G66" i="2"/>
  <c r="G66" i="5" s="1"/>
  <c r="H63" i="2"/>
  <c r="H63" i="5" s="1"/>
  <c r="G63" i="2"/>
  <c r="H62" i="2"/>
  <c r="H62" i="5" s="1"/>
  <c r="G62" i="2"/>
  <c r="H61" i="2"/>
  <c r="H61" i="5" s="1"/>
  <c r="G61" i="2"/>
  <c r="H60" i="2"/>
  <c r="H60" i="5" s="1"/>
  <c r="G60" i="2"/>
  <c r="H59" i="2"/>
  <c r="H59" i="5" s="1"/>
  <c r="G59" i="2"/>
  <c r="H58" i="2"/>
  <c r="H58" i="5" s="1"/>
  <c r="G58" i="2"/>
  <c r="H57" i="2"/>
  <c r="H57" i="5" s="1"/>
  <c r="G57" i="2"/>
  <c r="H56" i="2"/>
  <c r="H56" i="5" s="1"/>
  <c r="G56" i="2"/>
  <c r="H55" i="2"/>
  <c r="G55" i="2"/>
  <c r="H53" i="2"/>
  <c r="H53" i="5" s="1"/>
  <c r="G53" i="2"/>
  <c r="H52" i="2"/>
  <c r="H52" i="5" s="1"/>
  <c r="H50" i="2"/>
  <c r="H50" i="5" s="1"/>
  <c r="G50" i="2"/>
  <c r="G50" i="5" s="1"/>
  <c r="J50" i="5" s="1"/>
  <c r="H49" i="2"/>
  <c r="H49" i="5" s="1"/>
  <c r="G49" i="2"/>
  <c r="G49" i="5" s="1"/>
  <c r="J49" i="5" s="1"/>
  <c r="H48" i="2"/>
  <c r="H48" i="5" s="1"/>
  <c r="G48" i="2"/>
  <c r="G48" i="5" s="1"/>
  <c r="J48" i="5" s="1"/>
  <c r="H47" i="2"/>
  <c r="H47" i="5" s="1"/>
  <c r="G47" i="2"/>
  <c r="H46" i="2"/>
  <c r="H46" i="5" s="1"/>
  <c r="H45" i="2"/>
  <c r="G45" i="2"/>
  <c r="H43" i="2"/>
  <c r="H43" i="5" s="1"/>
  <c r="G43" i="2"/>
  <c r="H42" i="2"/>
  <c r="H42" i="5" s="1"/>
  <c r="H41" i="2"/>
  <c r="H41" i="5" s="1"/>
  <c r="G41" i="2"/>
  <c r="G41" i="5" s="1"/>
  <c r="J41" i="5" s="1"/>
  <c r="H40" i="2"/>
  <c r="H40" i="5" s="1"/>
  <c r="G40" i="2"/>
  <c r="G40" i="5" s="1"/>
  <c r="J40" i="5" s="1"/>
  <c r="H39" i="2"/>
  <c r="H39" i="5" s="1"/>
  <c r="G39" i="2"/>
  <c r="G39" i="5" s="1"/>
  <c r="J39" i="5" s="1"/>
  <c r="H38" i="2"/>
  <c r="H38" i="5" s="1"/>
  <c r="G38" i="2"/>
  <c r="G38" i="5" s="1"/>
  <c r="J38" i="5" s="1"/>
  <c r="H37" i="2"/>
  <c r="H37" i="5" s="1"/>
  <c r="G37" i="2"/>
  <c r="G37" i="5" s="1"/>
  <c r="J37" i="5" s="1"/>
  <c r="H36" i="2"/>
  <c r="G36" i="2"/>
  <c r="H34" i="2"/>
  <c r="H34" i="5" s="1"/>
  <c r="G34" i="2"/>
  <c r="G34" i="5" s="1"/>
  <c r="J34" i="5" s="1"/>
  <c r="H33" i="2"/>
  <c r="H33" i="5" s="1"/>
  <c r="G33" i="2"/>
  <c r="G33" i="5" s="1"/>
  <c r="J33" i="5" s="1"/>
  <c r="H32" i="2"/>
  <c r="H32" i="5" s="1"/>
  <c r="G32" i="2"/>
  <c r="G32" i="5" s="1"/>
  <c r="J32" i="5" s="1"/>
  <c r="H31" i="2"/>
  <c r="H31" i="5" s="1"/>
  <c r="G31" i="2"/>
  <c r="G31" i="5" s="1"/>
  <c r="J31" i="5" s="1"/>
  <c r="H30" i="2"/>
  <c r="H30" i="5" s="1"/>
  <c r="G30" i="2"/>
  <c r="G30" i="5" s="1"/>
  <c r="H29" i="2"/>
  <c r="H28" i="2"/>
  <c r="N20" i="2"/>
  <c r="M20" i="2"/>
  <c r="N17" i="2"/>
  <c r="M17" i="2"/>
  <c r="G16" i="2"/>
  <c r="G15" i="2"/>
  <c r="G241" i="2" l="1"/>
  <c r="G241" i="5" s="1"/>
  <c r="J271" i="5"/>
  <c r="G272" i="2"/>
  <c r="G272" i="5" s="1"/>
  <c r="G65" i="2"/>
  <c r="J101" i="5"/>
  <c r="J160" i="5"/>
  <c r="J161" i="5"/>
  <c r="J162" i="5"/>
  <c r="G230" i="2"/>
  <c r="G230" i="5" s="1"/>
  <c r="J274" i="5"/>
  <c r="J275" i="5"/>
  <c r="J297" i="5"/>
  <c r="J298" i="5"/>
  <c r="J299" i="5"/>
  <c r="J300" i="5"/>
  <c r="J301" i="5"/>
  <c r="J302" i="5"/>
  <c r="J434" i="5"/>
  <c r="J435" i="5"/>
  <c r="G436" i="2"/>
  <c r="J442" i="5"/>
  <c r="J443" i="5"/>
  <c r="J449" i="5"/>
  <c r="J452" i="5"/>
  <c r="J458" i="5"/>
  <c r="J459" i="5"/>
  <c r="G35" i="2"/>
  <c r="G35" i="5" s="1"/>
  <c r="G36" i="5"/>
  <c r="H44" i="2"/>
  <c r="H44" i="5" s="1"/>
  <c r="H45" i="5"/>
  <c r="G46" i="2"/>
  <c r="G46" i="5" s="1"/>
  <c r="J46" i="5" s="1"/>
  <c r="G47" i="5"/>
  <c r="J47" i="5" s="1"/>
  <c r="H54" i="2"/>
  <c r="H54" i="5" s="1"/>
  <c r="H55" i="5"/>
  <c r="J67" i="5"/>
  <c r="G72" i="2"/>
  <c r="G72" i="5" s="1"/>
  <c r="J72" i="5" s="1"/>
  <c r="G73" i="5"/>
  <c r="J73" i="5" s="1"/>
  <c r="J76" i="5"/>
  <c r="J77" i="5"/>
  <c r="G79" i="2"/>
  <c r="G79" i="5" s="1"/>
  <c r="G80" i="5"/>
  <c r="H83" i="2"/>
  <c r="H83" i="5" s="1"/>
  <c r="H84" i="5"/>
  <c r="G85" i="2"/>
  <c r="G85" i="5" s="1"/>
  <c r="J85" i="5" s="1"/>
  <c r="G86" i="5"/>
  <c r="J86" i="5" s="1"/>
  <c r="H91" i="2"/>
  <c r="H91" i="5" s="1"/>
  <c r="H92" i="5"/>
  <c r="J92" i="5" s="1"/>
  <c r="G93" i="2"/>
  <c r="G93" i="5" s="1"/>
  <c r="G94" i="5"/>
  <c r="J94" i="5" s="1"/>
  <c r="H99" i="2"/>
  <c r="H99" i="5" s="1"/>
  <c r="H100" i="5"/>
  <c r="J100" i="5" s="1"/>
  <c r="G102" i="2"/>
  <c r="G102" i="5" s="1"/>
  <c r="J102" i="5" s="1"/>
  <c r="G103" i="5"/>
  <c r="J103" i="5" s="1"/>
  <c r="G107" i="2"/>
  <c r="G108" i="5"/>
  <c r="G112" i="2"/>
  <c r="G112" i="5" s="1"/>
  <c r="J112" i="5" s="1"/>
  <c r="G113" i="5"/>
  <c r="J113" i="5" s="1"/>
  <c r="I115" i="2"/>
  <c r="G115" i="5"/>
  <c r="G117" i="2"/>
  <c r="H117" i="2"/>
  <c r="H118" i="5"/>
  <c r="G119" i="2"/>
  <c r="G120" i="5"/>
  <c r="J120" i="5" s="1"/>
  <c r="G121" i="2"/>
  <c r="H121" i="2"/>
  <c r="H121" i="5" s="1"/>
  <c r="H122" i="5"/>
  <c r="J122" i="5" s="1"/>
  <c r="G123" i="2"/>
  <c r="G123" i="5" s="1"/>
  <c r="J123" i="5" s="1"/>
  <c r="G124" i="5"/>
  <c r="J124" i="5" s="1"/>
  <c r="H126" i="5"/>
  <c r="H128" i="2"/>
  <c r="H128" i="5" s="1"/>
  <c r="H129" i="5"/>
  <c r="G130" i="2"/>
  <c r="G130" i="5" s="1"/>
  <c r="J130" i="5" s="1"/>
  <c r="G131" i="5"/>
  <c r="J131" i="5" s="1"/>
  <c r="J132" i="5"/>
  <c r="J133" i="5"/>
  <c r="J134" i="5"/>
  <c r="J135" i="5"/>
  <c r="G136" i="2"/>
  <c r="H136" i="2"/>
  <c r="H136" i="5" s="1"/>
  <c r="H137" i="5"/>
  <c r="J137" i="5" s="1"/>
  <c r="G138" i="2"/>
  <c r="G138" i="5" s="1"/>
  <c r="J138" i="5" s="1"/>
  <c r="G139" i="5"/>
  <c r="J139" i="5" s="1"/>
  <c r="G140" i="2"/>
  <c r="G141" i="5"/>
  <c r="H144" i="2"/>
  <c r="H144" i="5" s="1"/>
  <c r="H145" i="5"/>
  <c r="G146" i="2"/>
  <c r="G146" i="5" s="1"/>
  <c r="J146" i="5" s="1"/>
  <c r="G147" i="5"/>
  <c r="J147" i="5" s="1"/>
  <c r="H151" i="2"/>
  <c r="H151" i="5" s="1"/>
  <c r="H152" i="5"/>
  <c r="G153" i="2"/>
  <c r="G153" i="5" s="1"/>
  <c r="J153" i="5" s="1"/>
  <c r="G154" i="5"/>
  <c r="J154" i="5" s="1"/>
  <c r="G155" i="2"/>
  <c r="G156" i="5"/>
  <c r="G158" i="2"/>
  <c r="H158" i="2"/>
  <c r="H158" i="5" s="1"/>
  <c r="H159" i="5"/>
  <c r="J159" i="5" s="1"/>
  <c r="G167" i="2"/>
  <c r="G167" i="5" s="1"/>
  <c r="J167" i="5" s="1"/>
  <c r="G168" i="5"/>
  <c r="J168" i="5" s="1"/>
  <c r="I169" i="2"/>
  <c r="G169" i="5"/>
  <c r="J169" i="5" s="1"/>
  <c r="I170" i="2"/>
  <c r="G170" i="5"/>
  <c r="J170" i="5" s="1"/>
  <c r="I171" i="2"/>
  <c r="G171" i="5"/>
  <c r="J171" i="5" s="1"/>
  <c r="I172" i="2"/>
  <c r="G172" i="5"/>
  <c r="J172" i="5" s="1"/>
  <c r="I173" i="2"/>
  <c r="G173" i="5"/>
  <c r="J173" i="5" s="1"/>
  <c r="I174" i="2"/>
  <c r="G174" i="5"/>
  <c r="J174" i="5" s="1"/>
  <c r="I175" i="2"/>
  <c r="G175" i="5"/>
  <c r="J175" i="5" s="1"/>
  <c r="I176" i="2"/>
  <c r="G176" i="5"/>
  <c r="J176" i="5" s="1"/>
  <c r="G177" i="5"/>
  <c r="H177" i="2"/>
  <c r="H177" i="5" s="1"/>
  <c r="H178" i="5"/>
  <c r="H180" i="2"/>
  <c r="H180" i="5" s="1"/>
  <c r="H181" i="5"/>
  <c r="G182" i="2"/>
  <c r="G182" i="5" s="1"/>
  <c r="J182" i="5" s="1"/>
  <c r="G183" i="5"/>
  <c r="J183" i="5" s="1"/>
  <c r="G184" i="2"/>
  <c r="G185" i="5"/>
  <c r="H188" i="2"/>
  <c r="H188" i="5" s="1"/>
  <c r="H189" i="5"/>
  <c r="G197" i="2"/>
  <c r="G197" i="5" s="1"/>
  <c r="G198" i="5"/>
  <c r="G209" i="2"/>
  <c r="G209" i="5" s="1"/>
  <c r="G210" i="5"/>
  <c r="J210" i="5" s="1"/>
  <c r="H223" i="2"/>
  <c r="H223" i="5" s="1"/>
  <c r="H224" i="5"/>
  <c r="H226" i="2"/>
  <c r="H226" i="5" s="1"/>
  <c r="H227" i="5"/>
  <c r="G228" i="2"/>
  <c r="G228" i="5" s="1"/>
  <c r="J228" i="5" s="1"/>
  <c r="G229" i="5"/>
  <c r="J229" i="5" s="1"/>
  <c r="G233" i="2"/>
  <c r="G233" i="5" s="1"/>
  <c r="G234" i="5"/>
  <c r="H237" i="2"/>
  <c r="H237" i="5" s="1"/>
  <c r="H238" i="5"/>
  <c r="G239" i="2"/>
  <c r="G239" i="5" s="1"/>
  <c r="J239" i="5" s="1"/>
  <c r="G240" i="5"/>
  <c r="J240" i="5" s="1"/>
  <c r="H259" i="2"/>
  <c r="H259" i="5" s="1"/>
  <c r="H260" i="5"/>
  <c r="G268" i="2"/>
  <c r="G268" i="5" s="1"/>
  <c r="G269" i="5"/>
  <c r="J269" i="5" s="1"/>
  <c r="H284" i="2"/>
  <c r="H284" i="5" s="1"/>
  <c r="H285" i="5"/>
  <c r="G295" i="2"/>
  <c r="G295" i="5" s="1"/>
  <c r="G296" i="5"/>
  <c r="J296" i="5" s="1"/>
  <c r="H306" i="2"/>
  <c r="H306" i="5" s="1"/>
  <c r="H307" i="5"/>
  <c r="H314" i="2"/>
  <c r="H314" i="5" s="1"/>
  <c r="H315" i="5"/>
  <c r="G316" i="2"/>
  <c r="G316" i="5" s="1"/>
  <c r="G317" i="5"/>
  <c r="J317" i="5" s="1"/>
  <c r="H327" i="2"/>
  <c r="H327" i="5" s="1"/>
  <c r="H328" i="5"/>
  <c r="N18" i="2"/>
  <c r="H330" i="5"/>
  <c r="O18" i="5" s="1"/>
  <c r="H338" i="2"/>
  <c r="H338" i="5" s="1"/>
  <c r="H339" i="5"/>
  <c r="G340" i="2"/>
  <c r="G340" i="5" s="1"/>
  <c r="J340" i="5" s="1"/>
  <c r="G341" i="5"/>
  <c r="J341" i="5" s="1"/>
  <c r="H346" i="2"/>
  <c r="H346" i="5" s="1"/>
  <c r="H347" i="5"/>
  <c r="G358" i="2"/>
  <c r="G358" i="5" s="1"/>
  <c r="J358" i="5" s="1"/>
  <c r="G359" i="5"/>
  <c r="J359" i="5" s="1"/>
  <c r="G360" i="2"/>
  <c r="G360" i="5" s="1"/>
  <c r="G361" i="5"/>
  <c r="H364" i="2"/>
  <c r="H364" i="5" s="1"/>
  <c r="H365" i="5"/>
  <c r="G384" i="2"/>
  <c r="G384" i="5" s="1"/>
  <c r="G385" i="5"/>
  <c r="J385" i="5" s="1"/>
  <c r="G386" i="2"/>
  <c r="G386" i="5" s="1"/>
  <c r="G387" i="5"/>
  <c r="H390" i="2"/>
  <c r="H390" i="5" s="1"/>
  <c r="H391" i="5"/>
  <c r="G392" i="2"/>
  <c r="G392" i="5" s="1"/>
  <c r="J392" i="5" s="1"/>
  <c r="G393" i="5"/>
  <c r="J393" i="5" s="1"/>
  <c r="H398" i="2"/>
  <c r="H398" i="5" s="1"/>
  <c r="H399" i="5"/>
  <c r="H414" i="2"/>
  <c r="H414" i="5" s="1"/>
  <c r="H415" i="5"/>
  <c r="G416" i="2"/>
  <c r="G416" i="5" s="1"/>
  <c r="J416" i="5" s="1"/>
  <c r="G417" i="5"/>
  <c r="J417" i="5" s="1"/>
  <c r="G418" i="2"/>
  <c r="G418" i="5" s="1"/>
  <c r="G419" i="5"/>
  <c r="H422" i="2"/>
  <c r="H422" i="5" s="1"/>
  <c r="H423" i="5"/>
  <c r="H425" i="2"/>
  <c r="H425" i="5" s="1"/>
  <c r="H426" i="5"/>
  <c r="G427" i="2"/>
  <c r="G427" i="5" s="1"/>
  <c r="J427" i="5" s="1"/>
  <c r="G428" i="5"/>
  <c r="J428" i="5" s="1"/>
  <c r="G429" i="2"/>
  <c r="G429" i="5" s="1"/>
  <c r="G430" i="5"/>
  <c r="G444" i="2"/>
  <c r="G444" i="5" s="1"/>
  <c r="G445" i="5"/>
  <c r="G453" i="2"/>
  <c r="G453" i="5" s="1"/>
  <c r="J453" i="5" s="1"/>
  <c r="G454" i="5"/>
  <c r="J454" i="5" s="1"/>
  <c r="H461" i="2"/>
  <c r="H461" i="5" s="1"/>
  <c r="H462" i="5"/>
  <c r="H465" i="2"/>
  <c r="H465" i="5" s="1"/>
  <c r="H466" i="5"/>
  <c r="G467" i="2"/>
  <c r="G467" i="5" s="1"/>
  <c r="J467" i="5" s="1"/>
  <c r="G468" i="5"/>
  <c r="J468" i="5" s="1"/>
  <c r="G474" i="2"/>
  <c r="G474" i="5" s="1"/>
  <c r="J474" i="5" s="1"/>
  <c r="G475" i="5"/>
  <c r="G476" i="2"/>
  <c r="G476" i="5" s="1"/>
  <c r="G477" i="5"/>
  <c r="H480" i="2"/>
  <c r="H480" i="5" s="1"/>
  <c r="H481" i="5"/>
  <c r="G482" i="2"/>
  <c r="G482" i="5" s="1"/>
  <c r="G483" i="5"/>
  <c r="J483" i="5" s="1"/>
  <c r="G484" i="2"/>
  <c r="G485" i="5"/>
  <c r="H488" i="2"/>
  <c r="H488" i="5" s="1"/>
  <c r="H489" i="5"/>
  <c r="J489" i="5" s="1"/>
  <c r="G490" i="2"/>
  <c r="G490" i="5" s="1"/>
  <c r="J490" i="5" s="1"/>
  <c r="G491" i="5"/>
  <c r="H495" i="2"/>
  <c r="H495" i="5" s="1"/>
  <c r="H496" i="5"/>
  <c r="J30" i="5"/>
  <c r="G28" i="5"/>
  <c r="G28" i="2"/>
  <c r="I29" i="2"/>
  <c r="H29" i="5"/>
  <c r="J29" i="5" s="1"/>
  <c r="H35" i="2"/>
  <c r="H35" i="5" s="1"/>
  <c r="H36" i="5"/>
  <c r="G42" i="2"/>
  <c r="G42" i="5" s="1"/>
  <c r="J42" i="5" s="1"/>
  <c r="G43" i="5"/>
  <c r="J43" i="5" s="1"/>
  <c r="G44" i="2"/>
  <c r="G45" i="5"/>
  <c r="J45" i="5" s="1"/>
  <c r="G52" i="2"/>
  <c r="G52" i="5" s="1"/>
  <c r="J52" i="5" s="1"/>
  <c r="G53" i="5"/>
  <c r="J53" i="5" s="1"/>
  <c r="I55" i="2"/>
  <c r="G55" i="5"/>
  <c r="J55" i="5" s="1"/>
  <c r="I56" i="2"/>
  <c r="G56" i="5"/>
  <c r="J56" i="5" s="1"/>
  <c r="I57" i="2"/>
  <c r="G57" i="5"/>
  <c r="J57" i="5" s="1"/>
  <c r="I58" i="2"/>
  <c r="G58" i="5"/>
  <c r="J58" i="5" s="1"/>
  <c r="I59" i="2"/>
  <c r="G59" i="5"/>
  <c r="J59" i="5" s="1"/>
  <c r="I60" i="2"/>
  <c r="G60" i="5"/>
  <c r="J60" i="5" s="1"/>
  <c r="I61" i="2"/>
  <c r="G61" i="5"/>
  <c r="J61" i="5" s="1"/>
  <c r="I62" i="2"/>
  <c r="G62" i="5"/>
  <c r="J62" i="5" s="1"/>
  <c r="I63" i="2"/>
  <c r="G63" i="5"/>
  <c r="J63" i="5" s="1"/>
  <c r="G65" i="5"/>
  <c r="H65" i="2"/>
  <c r="H66" i="5"/>
  <c r="J66" i="5" s="1"/>
  <c r="G68" i="2"/>
  <c r="G69" i="5"/>
  <c r="J69" i="5" s="1"/>
  <c r="I70" i="2"/>
  <c r="G70" i="5"/>
  <c r="J70" i="5" s="1"/>
  <c r="H74" i="2"/>
  <c r="H74" i="5" s="1"/>
  <c r="H75" i="5"/>
  <c r="J75" i="5" s="1"/>
  <c r="H79" i="2"/>
  <c r="H79" i="5" s="1"/>
  <c r="H80" i="5"/>
  <c r="G81" i="2"/>
  <c r="G81" i="5" s="1"/>
  <c r="J81" i="5" s="1"/>
  <c r="G82" i="5"/>
  <c r="J82" i="5" s="1"/>
  <c r="G83" i="2"/>
  <c r="G83" i="5" s="1"/>
  <c r="J83" i="5" s="1"/>
  <c r="G84" i="5"/>
  <c r="J84" i="5" s="1"/>
  <c r="G89" i="2"/>
  <c r="G89" i="5" s="1"/>
  <c r="J89" i="5" s="1"/>
  <c r="G90" i="5"/>
  <c r="J90" i="5" s="1"/>
  <c r="J93" i="5"/>
  <c r="H95" i="2"/>
  <c r="H95" i="5" s="1"/>
  <c r="H96" i="5"/>
  <c r="J96" i="5" s="1"/>
  <c r="G97" i="2"/>
  <c r="G97" i="5" s="1"/>
  <c r="J97" i="5" s="1"/>
  <c r="G98" i="5"/>
  <c r="J98" i="5" s="1"/>
  <c r="H104" i="2"/>
  <c r="H104" i="5" s="1"/>
  <c r="H105" i="5"/>
  <c r="J105" i="5" s="1"/>
  <c r="H107" i="2"/>
  <c r="H107" i="5" s="1"/>
  <c r="H108" i="5"/>
  <c r="G109" i="2"/>
  <c r="G109" i="5" s="1"/>
  <c r="J109" i="5" s="1"/>
  <c r="G110" i="5"/>
  <c r="J110" i="5" s="1"/>
  <c r="H114" i="2"/>
  <c r="H114" i="5" s="1"/>
  <c r="H115" i="5"/>
  <c r="J118" i="5"/>
  <c r="G126" i="2"/>
  <c r="G126" i="5" s="1"/>
  <c r="J126" i="5" s="1"/>
  <c r="G127" i="5"/>
  <c r="J127" i="5" s="1"/>
  <c r="J129" i="5"/>
  <c r="H140" i="2"/>
  <c r="H140" i="5" s="1"/>
  <c r="H141" i="5"/>
  <c r="G142" i="2"/>
  <c r="G142" i="5" s="1"/>
  <c r="J142" i="5" s="1"/>
  <c r="G143" i="5"/>
  <c r="J143" i="5" s="1"/>
  <c r="G144" i="2"/>
  <c r="G144" i="5" s="1"/>
  <c r="G145" i="5"/>
  <c r="G149" i="2"/>
  <c r="G149" i="5" s="1"/>
  <c r="J149" i="5" s="1"/>
  <c r="G150" i="5"/>
  <c r="J150" i="5" s="1"/>
  <c r="G151" i="2"/>
  <c r="G151" i="5" s="1"/>
  <c r="J151" i="5" s="1"/>
  <c r="G152" i="5"/>
  <c r="H155" i="2"/>
  <c r="H155" i="5" s="1"/>
  <c r="H156" i="5"/>
  <c r="J163" i="5"/>
  <c r="J164" i="5"/>
  <c r="J165" i="5"/>
  <c r="J166" i="5"/>
  <c r="J178" i="5"/>
  <c r="G180" i="2"/>
  <c r="G181" i="5"/>
  <c r="J181" i="5" s="1"/>
  <c r="H184" i="2"/>
  <c r="H184" i="5" s="1"/>
  <c r="H185" i="5"/>
  <c r="G186" i="2"/>
  <c r="G186" i="5" s="1"/>
  <c r="J186" i="5" s="1"/>
  <c r="G187" i="5"/>
  <c r="J187" i="5" s="1"/>
  <c r="G188" i="2"/>
  <c r="G189" i="5"/>
  <c r="I190" i="2"/>
  <c r="G190" i="5"/>
  <c r="J190" i="5" s="1"/>
  <c r="J191" i="5"/>
  <c r="H197" i="2"/>
  <c r="H197" i="5" s="1"/>
  <c r="J197" i="5" s="1"/>
  <c r="H198" i="5"/>
  <c r="G204" i="2"/>
  <c r="G204" i="5" s="1"/>
  <c r="J204" i="5" s="1"/>
  <c r="G205" i="5"/>
  <c r="J205" i="5" s="1"/>
  <c r="J206" i="5"/>
  <c r="J207" i="5"/>
  <c r="H208" i="2"/>
  <c r="H208" i="5" s="1"/>
  <c r="H209" i="5"/>
  <c r="J215" i="5"/>
  <c r="J216" i="5"/>
  <c r="G217" i="2"/>
  <c r="H217" i="2"/>
  <c r="H217" i="5" s="1"/>
  <c r="H218" i="5"/>
  <c r="J218" i="5" s="1"/>
  <c r="J220" i="5"/>
  <c r="J221" i="5"/>
  <c r="J222" i="5"/>
  <c r="G223" i="2"/>
  <c r="G224" i="5"/>
  <c r="J224" i="5" s="1"/>
  <c r="I227" i="2"/>
  <c r="G227" i="5"/>
  <c r="H230" i="2"/>
  <c r="H230" i="5" s="1"/>
  <c r="H231" i="5"/>
  <c r="J231" i="5" s="1"/>
  <c r="H233" i="2"/>
  <c r="H233" i="5" s="1"/>
  <c r="H234" i="5"/>
  <c r="G235" i="2"/>
  <c r="G235" i="5" s="1"/>
  <c r="J235" i="5" s="1"/>
  <c r="G236" i="5"/>
  <c r="J236" i="5" s="1"/>
  <c r="I238" i="2"/>
  <c r="G238" i="5"/>
  <c r="J238" i="5" s="1"/>
  <c r="H241" i="2"/>
  <c r="H241" i="5" s="1"/>
  <c r="J241" i="5" s="1"/>
  <c r="H242" i="5"/>
  <c r="J242" i="5" s="1"/>
  <c r="G243" i="2"/>
  <c r="G243" i="5" s="1"/>
  <c r="J243" i="5" s="1"/>
  <c r="G244" i="5"/>
  <c r="J244" i="5" s="1"/>
  <c r="G246" i="2"/>
  <c r="G247" i="5"/>
  <c r="J247" i="5" s="1"/>
  <c r="G248" i="2"/>
  <c r="H248" i="2"/>
  <c r="H248" i="5" s="1"/>
  <c r="H249" i="5"/>
  <c r="J249" i="5" s="1"/>
  <c r="H251" i="2"/>
  <c r="H251" i="5" s="1"/>
  <c r="H252" i="5"/>
  <c r="J252" i="5" s="1"/>
  <c r="G253" i="2"/>
  <c r="G253" i="5" s="1"/>
  <c r="J253" i="5" s="1"/>
  <c r="G254" i="5"/>
  <c r="J254" i="5" s="1"/>
  <c r="G255" i="2"/>
  <c r="H255" i="2"/>
  <c r="H255" i="5" s="1"/>
  <c r="H256" i="5"/>
  <c r="J256" i="5" s="1"/>
  <c r="G257" i="2"/>
  <c r="G257" i="5" s="1"/>
  <c r="J257" i="5" s="1"/>
  <c r="G258" i="5"/>
  <c r="J258" i="5" s="1"/>
  <c r="G259" i="2"/>
  <c r="G260" i="5"/>
  <c r="I263" i="2"/>
  <c r="G263" i="5"/>
  <c r="J263" i="5" s="1"/>
  <c r="J264" i="5"/>
  <c r="I265" i="2"/>
  <c r="G265" i="5"/>
  <c r="J265" i="5" s="1"/>
  <c r="J266" i="5"/>
  <c r="I267" i="2"/>
  <c r="G267" i="5"/>
  <c r="J267" i="5" s="1"/>
  <c r="J268" i="5"/>
  <c r="H272" i="2"/>
  <c r="H272" i="5" s="1"/>
  <c r="J272" i="5" s="1"/>
  <c r="H273" i="5"/>
  <c r="J273" i="5" s="1"/>
  <c r="J277" i="5"/>
  <c r="I278" i="2"/>
  <c r="G278" i="5"/>
  <c r="J278" i="5" s="1"/>
  <c r="I279" i="2"/>
  <c r="G279" i="5"/>
  <c r="J279" i="5" s="1"/>
  <c r="I280" i="2"/>
  <c r="G280" i="5"/>
  <c r="J280" i="5" s="1"/>
  <c r="I281" i="2"/>
  <c r="G281" i="5"/>
  <c r="J281" i="5" s="1"/>
  <c r="I282" i="2"/>
  <c r="G282" i="5"/>
  <c r="J282" i="5" s="1"/>
  <c r="I283" i="2"/>
  <c r="G283" i="5"/>
  <c r="J283" i="5" s="1"/>
  <c r="G284" i="2"/>
  <c r="G285" i="5"/>
  <c r="J288" i="5"/>
  <c r="J289" i="5"/>
  <c r="J290" i="5"/>
  <c r="J291" i="5"/>
  <c r="J292" i="5"/>
  <c r="J293" i="5"/>
  <c r="J294" i="5"/>
  <c r="J295" i="5"/>
  <c r="G304" i="2"/>
  <c r="G304" i="5" s="1"/>
  <c r="J304" i="5" s="1"/>
  <c r="G305" i="5"/>
  <c r="J305" i="5" s="1"/>
  <c r="G306" i="2"/>
  <c r="G307" i="5"/>
  <c r="J307" i="5" s="1"/>
  <c r="G309" i="2"/>
  <c r="H309" i="2"/>
  <c r="H309" i="5" s="1"/>
  <c r="H310" i="5"/>
  <c r="J310" i="5" s="1"/>
  <c r="G312" i="2"/>
  <c r="G312" i="5" s="1"/>
  <c r="J312" i="5" s="1"/>
  <c r="G313" i="5"/>
  <c r="J313" i="5" s="1"/>
  <c r="G314" i="2"/>
  <c r="G315" i="5"/>
  <c r="J316" i="5"/>
  <c r="H318" i="2"/>
  <c r="H318" i="5" s="1"/>
  <c r="H319" i="5"/>
  <c r="J319" i="5" s="1"/>
  <c r="G320" i="2"/>
  <c r="G320" i="5" s="1"/>
  <c r="J320" i="5" s="1"/>
  <c r="G321" i="5"/>
  <c r="J321" i="5" s="1"/>
  <c r="G322" i="2"/>
  <c r="H322" i="2"/>
  <c r="H322" i="5" s="1"/>
  <c r="H323" i="5"/>
  <c r="J323" i="5" s="1"/>
  <c r="J325" i="5"/>
  <c r="J326" i="5"/>
  <c r="G327" i="2"/>
  <c r="G328" i="5"/>
  <c r="J329" i="5"/>
  <c r="M18" i="2"/>
  <c r="G330" i="5"/>
  <c r="J331" i="5"/>
  <c r="J332" i="5"/>
  <c r="J333" i="5"/>
  <c r="J334" i="5"/>
  <c r="J335" i="5"/>
  <c r="G338" i="2"/>
  <c r="G338" i="5" s="1"/>
  <c r="J338" i="5" s="1"/>
  <c r="G339" i="5"/>
  <c r="H342" i="2"/>
  <c r="H342" i="5" s="1"/>
  <c r="H343" i="5"/>
  <c r="J343" i="5" s="1"/>
  <c r="G344" i="2"/>
  <c r="G344" i="5" s="1"/>
  <c r="J344" i="5" s="1"/>
  <c r="G345" i="5"/>
  <c r="J345" i="5" s="1"/>
  <c r="G346" i="2"/>
  <c r="G347" i="5"/>
  <c r="G349" i="2"/>
  <c r="H349" i="2"/>
  <c r="H349" i="5" s="1"/>
  <c r="H350" i="5"/>
  <c r="J350" i="5" s="1"/>
  <c r="G351" i="2"/>
  <c r="G351" i="5" s="1"/>
  <c r="J351" i="5" s="1"/>
  <c r="G352" i="5"/>
  <c r="J352" i="5" s="1"/>
  <c r="G353" i="2"/>
  <c r="H353" i="2"/>
  <c r="H353" i="5" s="1"/>
  <c r="H354" i="5"/>
  <c r="J354" i="5" s="1"/>
  <c r="G355" i="2"/>
  <c r="G355" i="5" s="1"/>
  <c r="J355" i="5" s="1"/>
  <c r="G356" i="5"/>
  <c r="J356" i="5" s="1"/>
  <c r="H360" i="2"/>
  <c r="H360" i="5" s="1"/>
  <c r="J360" i="5" s="1"/>
  <c r="H361" i="5"/>
  <c r="G362" i="2"/>
  <c r="G362" i="5" s="1"/>
  <c r="J362" i="5" s="1"/>
  <c r="G363" i="5"/>
  <c r="J363" i="5" s="1"/>
  <c r="I365" i="2"/>
  <c r="G365" i="5"/>
  <c r="G367" i="2"/>
  <c r="G367" i="5" s="1"/>
  <c r="H367" i="2"/>
  <c r="H367" i="5" s="1"/>
  <c r="H368" i="5"/>
  <c r="J368" i="5" s="1"/>
  <c r="G369" i="2"/>
  <c r="G370" i="5"/>
  <c r="J370" i="5" s="1"/>
  <c r="G371" i="2"/>
  <c r="H371" i="2"/>
  <c r="H371" i="5" s="1"/>
  <c r="H372" i="5"/>
  <c r="J372" i="5" s="1"/>
  <c r="G373" i="2"/>
  <c r="G373" i="5" s="1"/>
  <c r="J373" i="5" s="1"/>
  <c r="G374" i="5"/>
  <c r="J374" i="5" s="1"/>
  <c r="G375" i="2"/>
  <c r="H375" i="2"/>
  <c r="H375" i="5" s="1"/>
  <c r="H376" i="5"/>
  <c r="J376" i="5" s="1"/>
  <c r="G377" i="2"/>
  <c r="G377" i="5" s="1"/>
  <c r="J377" i="5" s="1"/>
  <c r="G378" i="5"/>
  <c r="J378" i="5" s="1"/>
  <c r="G379" i="2"/>
  <c r="H379" i="2"/>
  <c r="H379" i="5" s="1"/>
  <c r="H380" i="5"/>
  <c r="J380" i="5" s="1"/>
  <c r="G381" i="2"/>
  <c r="G381" i="5" s="1"/>
  <c r="J381" i="5" s="1"/>
  <c r="G382" i="5"/>
  <c r="J382" i="5" s="1"/>
  <c r="J384" i="5"/>
  <c r="H386" i="2"/>
  <c r="H386" i="5" s="1"/>
  <c r="H387" i="5"/>
  <c r="J387" i="5" s="1"/>
  <c r="G388" i="2"/>
  <c r="G388" i="5" s="1"/>
  <c r="J388" i="5" s="1"/>
  <c r="G389" i="5"/>
  <c r="J389" i="5" s="1"/>
  <c r="G390" i="2"/>
  <c r="G391" i="5"/>
  <c r="H394" i="2"/>
  <c r="H394" i="5" s="1"/>
  <c r="H395" i="5"/>
  <c r="J395" i="5" s="1"/>
  <c r="G396" i="2"/>
  <c r="G396" i="5" s="1"/>
  <c r="J396" i="5" s="1"/>
  <c r="G397" i="5"/>
  <c r="J397" i="5" s="1"/>
  <c r="G398" i="2"/>
  <c r="G399" i="5"/>
  <c r="G401" i="2"/>
  <c r="G401" i="5" s="1"/>
  <c r="J401" i="5" s="1"/>
  <c r="G402" i="5"/>
  <c r="J402" i="5" s="1"/>
  <c r="G403" i="2"/>
  <c r="H403" i="2"/>
  <c r="H403" i="5" s="1"/>
  <c r="H404" i="5"/>
  <c r="J404" i="5" s="1"/>
  <c r="H406" i="2"/>
  <c r="H406" i="5" s="1"/>
  <c r="H407" i="5"/>
  <c r="J407" i="5" s="1"/>
  <c r="G408" i="2"/>
  <c r="G408" i="5" s="1"/>
  <c r="J408" i="5" s="1"/>
  <c r="G409" i="5"/>
  <c r="J409" i="5" s="1"/>
  <c r="G410" i="2"/>
  <c r="H410" i="2"/>
  <c r="H410" i="5" s="1"/>
  <c r="H411" i="5"/>
  <c r="J411" i="5" s="1"/>
  <c r="G412" i="2"/>
  <c r="G412" i="5" s="1"/>
  <c r="J412" i="5" s="1"/>
  <c r="G413" i="5"/>
  <c r="J413" i="5" s="1"/>
  <c r="G414" i="2"/>
  <c r="G415" i="5"/>
  <c r="H418" i="2"/>
  <c r="H418" i="5" s="1"/>
  <c r="H419" i="5"/>
  <c r="G420" i="2"/>
  <c r="G420" i="5" s="1"/>
  <c r="J420" i="5" s="1"/>
  <c r="G421" i="5"/>
  <c r="J421" i="5" s="1"/>
  <c r="G422" i="2"/>
  <c r="G423" i="5"/>
  <c r="I426" i="2"/>
  <c r="G426" i="5"/>
  <c r="H429" i="2"/>
  <c r="H429" i="5" s="1"/>
  <c r="J429" i="5" s="1"/>
  <c r="H430" i="5"/>
  <c r="G432" i="2"/>
  <c r="G432" i="5" s="1"/>
  <c r="J432" i="5" s="1"/>
  <c r="G433" i="5"/>
  <c r="J433" i="5" s="1"/>
  <c r="G436" i="5"/>
  <c r="H436" i="2"/>
  <c r="H436" i="5" s="1"/>
  <c r="H437" i="5"/>
  <c r="J437" i="5" s="1"/>
  <c r="G438" i="2"/>
  <c r="G438" i="5" s="1"/>
  <c r="J438" i="5" s="1"/>
  <c r="G439" i="5"/>
  <c r="J439" i="5" s="1"/>
  <c r="G440" i="2"/>
  <c r="G440" i="5" s="1"/>
  <c r="G441" i="5"/>
  <c r="J441" i="5" s="1"/>
  <c r="J444" i="5"/>
  <c r="J445" i="5"/>
  <c r="G447" i="2"/>
  <c r="G447" i="5" s="1"/>
  <c r="J447" i="5" s="1"/>
  <c r="G448" i="5"/>
  <c r="J448" i="5" s="1"/>
  <c r="I451" i="2"/>
  <c r="G451" i="5"/>
  <c r="J451" i="5" s="1"/>
  <c r="H455" i="2"/>
  <c r="H455" i="5" s="1"/>
  <c r="H456" i="5"/>
  <c r="J456" i="5" s="1"/>
  <c r="J460" i="5"/>
  <c r="G461" i="2"/>
  <c r="G462" i="5"/>
  <c r="G465" i="2"/>
  <c r="G466" i="5"/>
  <c r="H469" i="2"/>
  <c r="H469" i="5" s="1"/>
  <c r="H470" i="5"/>
  <c r="J470" i="5" s="1"/>
  <c r="G471" i="2"/>
  <c r="G471" i="5" s="1"/>
  <c r="J471" i="5" s="1"/>
  <c r="G472" i="5"/>
  <c r="J472" i="5" s="1"/>
  <c r="J475" i="5"/>
  <c r="H476" i="2"/>
  <c r="H476" i="5" s="1"/>
  <c r="H477" i="5"/>
  <c r="G478" i="2"/>
  <c r="G478" i="5" s="1"/>
  <c r="J478" i="5" s="1"/>
  <c r="G479" i="5"/>
  <c r="J479" i="5" s="1"/>
  <c r="G480" i="2"/>
  <c r="G481" i="5"/>
  <c r="J481" i="5" s="1"/>
  <c r="J482" i="5"/>
  <c r="H484" i="2"/>
  <c r="H484" i="5" s="1"/>
  <c r="H485" i="5"/>
  <c r="G486" i="2"/>
  <c r="G486" i="5" s="1"/>
  <c r="J486" i="5" s="1"/>
  <c r="G487" i="5"/>
  <c r="J487" i="5" s="1"/>
  <c r="J491" i="5"/>
  <c r="G493" i="2"/>
  <c r="G493" i="5" s="1"/>
  <c r="J493" i="5" s="1"/>
  <c r="G494" i="5"/>
  <c r="J494" i="5" s="1"/>
  <c r="G495" i="2"/>
  <c r="G496" i="5"/>
  <c r="J496" i="5" s="1"/>
  <c r="G498" i="2"/>
  <c r="H498" i="2"/>
  <c r="H498" i="5" s="1"/>
  <c r="H499" i="5"/>
  <c r="J499" i="5" s="1"/>
  <c r="G500" i="2"/>
  <c r="G500" i="5" s="1"/>
  <c r="J500" i="5" s="1"/>
  <c r="G501" i="5"/>
  <c r="J501" i="5" s="1"/>
  <c r="I83" i="2"/>
  <c r="I92" i="2"/>
  <c r="I100" i="2"/>
  <c r="I101" i="2"/>
  <c r="I144" i="2"/>
  <c r="I386" i="2"/>
  <c r="I418" i="2"/>
  <c r="I35" i="2"/>
  <c r="I151" i="2"/>
  <c r="G78" i="2"/>
  <c r="G78" i="5" s="1"/>
  <c r="I17" i="2"/>
  <c r="I28" i="2"/>
  <c r="I30" i="2"/>
  <c r="I31" i="2"/>
  <c r="I32" i="2"/>
  <c r="I33" i="2"/>
  <c r="I34" i="2"/>
  <c r="H27" i="2"/>
  <c r="I48" i="2"/>
  <c r="I49" i="2"/>
  <c r="I50" i="2"/>
  <c r="I75" i="2"/>
  <c r="I76" i="2"/>
  <c r="I77" i="2"/>
  <c r="H78" i="2"/>
  <c r="H78" i="5" s="1"/>
  <c r="I81" i="2"/>
  <c r="I85" i="2"/>
  <c r="I96" i="2"/>
  <c r="I105" i="2"/>
  <c r="I109" i="2"/>
  <c r="I129" i="2"/>
  <c r="I142" i="2"/>
  <c r="I197" i="2"/>
  <c r="I199" i="2"/>
  <c r="I201" i="2"/>
  <c r="I203" i="2"/>
  <c r="I209" i="2"/>
  <c r="I211" i="2"/>
  <c r="I221" i="2"/>
  <c r="I222" i="2"/>
  <c r="I233" i="2"/>
  <c r="H232" i="2"/>
  <c r="H232" i="5" s="1"/>
  <c r="I252" i="2"/>
  <c r="I288" i="2"/>
  <c r="I290" i="2"/>
  <c r="I292" i="2"/>
  <c r="I294" i="2"/>
  <c r="I304" i="2"/>
  <c r="I311" i="2"/>
  <c r="I319" i="2"/>
  <c r="I326" i="2"/>
  <c r="I343" i="2"/>
  <c r="I395" i="2"/>
  <c r="I407" i="2"/>
  <c r="I416" i="2"/>
  <c r="I431" i="2"/>
  <c r="I444" i="2"/>
  <c r="I456" i="2"/>
  <c r="I470" i="2"/>
  <c r="I489" i="2"/>
  <c r="I36" i="2"/>
  <c r="I37" i="2"/>
  <c r="I38" i="2"/>
  <c r="I39" i="2"/>
  <c r="I40" i="2"/>
  <c r="I41" i="2"/>
  <c r="I45" i="2"/>
  <c r="G54" i="2"/>
  <c r="I66" i="2"/>
  <c r="I67" i="2"/>
  <c r="G74" i="2"/>
  <c r="I80" i="2"/>
  <c r="I84" i="2"/>
  <c r="G91" i="2"/>
  <c r="G95" i="2"/>
  <c r="G99" i="2"/>
  <c r="G104" i="2"/>
  <c r="I108" i="2"/>
  <c r="G114" i="2"/>
  <c r="I118" i="2"/>
  <c r="G128" i="2"/>
  <c r="I132" i="2"/>
  <c r="I133" i="2"/>
  <c r="I134" i="2"/>
  <c r="I135" i="2"/>
  <c r="I141" i="2"/>
  <c r="I152" i="2"/>
  <c r="I160" i="2"/>
  <c r="I162" i="2"/>
  <c r="I164" i="2"/>
  <c r="I166" i="2"/>
  <c r="H179" i="2"/>
  <c r="H179" i="5" s="1"/>
  <c r="I185" i="2"/>
  <c r="I194" i="2"/>
  <c r="I195" i="2"/>
  <c r="I196" i="2"/>
  <c r="I206" i="2"/>
  <c r="I207" i="2"/>
  <c r="I216" i="2"/>
  <c r="I224" i="2"/>
  <c r="G226" i="2"/>
  <c r="G237" i="2"/>
  <c r="I249" i="2"/>
  <c r="G251" i="2"/>
  <c r="I260" i="2"/>
  <c r="G262" i="2"/>
  <c r="G262" i="5" s="1"/>
  <c r="I270" i="2"/>
  <c r="I271" i="2"/>
  <c r="I274" i="2"/>
  <c r="I285" i="2"/>
  <c r="G287" i="2"/>
  <c r="I297" i="2"/>
  <c r="I298" i="2"/>
  <c r="I299" i="2"/>
  <c r="I300" i="2"/>
  <c r="I301" i="2"/>
  <c r="I302" i="2"/>
  <c r="I312" i="2"/>
  <c r="G318" i="2"/>
  <c r="I329" i="2"/>
  <c r="I331" i="2"/>
  <c r="I333" i="2"/>
  <c r="I335" i="2"/>
  <c r="G342" i="2"/>
  <c r="H348" i="2"/>
  <c r="H348" i="5" s="1"/>
  <c r="I354" i="2"/>
  <c r="G364" i="2"/>
  <c r="I368" i="2"/>
  <c r="I376" i="2"/>
  <c r="I387" i="2"/>
  <c r="G394" i="2"/>
  <c r="I396" i="2"/>
  <c r="I404" i="2"/>
  <c r="G406" i="2"/>
  <c r="I415" i="2"/>
  <c r="I423" i="2"/>
  <c r="G425" i="2"/>
  <c r="I427" i="2"/>
  <c r="I435" i="2"/>
  <c r="I441" i="2"/>
  <c r="I443" i="2"/>
  <c r="I449" i="2"/>
  <c r="G450" i="2"/>
  <c r="G450" i="5" s="1"/>
  <c r="G455" i="2"/>
  <c r="I459" i="2"/>
  <c r="I460" i="2"/>
  <c r="G469" i="2"/>
  <c r="G464" i="2" s="1"/>
  <c r="G464" i="5" s="1"/>
  <c r="I481" i="2"/>
  <c r="G488" i="2"/>
  <c r="I490" i="2"/>
  <c r="H225" i="2"/>
  <c r="H225" i="5" s="1"/>
  <c r="I93" i="2"/>
  <c r="I97" i="2"/>
  <c r="I102" i="2"/>
  <c r="I153" i="2"/>
  <c r="I186" i="2"/>
  <c r="I204" i="2"/>
  <c r="I228" i="2"/>
  <c r="I239" i="2"/>
  <c r="H245" i="2"/>
  <c r="I268" i="2"/>
  <c r="I295" i="2"/>
  <c r="I320" i="2"/>
  <c r="I377" i="2"/>
  <c r="I388" i="2"/>
  <c r="I408" i="2"/>
  <c r="I434" i="2"/>
  <c r="I482" i="2"/>
  <c r="I52" i="2"/>
  <c r="I72" i="2"/>
  <c r="I89" i="2"/>
  <c r="I112" i="2"/>
  <c r="G27" i="2"/>
  <c r="H71" i="2"/>
  <c r="H71" i="5" s="1"/>
  <c r="H111" i="2"/>
  <c r="H111" i="5" s="1"/>
  <c r="I43" i="2"/>
  <c r="I47" i="2"/>
  <c r="I53" i="2"/>
  <c r="I65" i="2"/>
  <c r="I69" i="2"/>
  <c r="I73" i="2"/>
  <c r="I79" i="2"/>
  <c r="I82" i="2"/>
  <c r="I86" i="2"/>
  <c r="I90" i="2"/>
  <c r="I94" i="2"/>
  <c r="I98" i="2"/>
  <c r="I103" i="2"/>
  <c r="I107" i="2"/>
  <c r="I110" i="2"/>
  <c r="I113" i="2"/>
  <c r="I120" i="2"/>
  <c r="I131" i="2"/>
  <c r="I143" i="2"/>
  <c r="I154" i="2"/>
  <c r="I168" i="2"/>
  <c r="I187" i="2"/>
  <c r="I205" i="2"/>
  <c r="I210" i="2"/>
  <c r="I229" i="2"/>
  <c r="I240" i="2"/>
  <c r="I254" i="2"/>
  <c r="I269" i="2"/>
  <c r="I296" i="2"/>
  <c r="I305" i="2"/>
  <c r="I313" i="2"/>
  <c r="I321" i="2"/>
  <c r="I345" i="2"/>
  <c r="I356" i="2"/>
  <c r="I370" i="2"/>
  <c r="I389" i="2"/>
  <c r="I406" i="2"/>
  <c r="I417" i="2"/>
  <c r="I433" i="2"/>
  <c r="I474" i="2"/>
  <c r="G473" i="2"/>
  <c r="G473" i="5" s="1"/>
  <c r="I475" i="2"/>
  <c r="I491" i="2"/>
  <c r="I122" i="2"/>
  <c r="I123" i="2"/>
  <c r="I124" i="2"/>
  <c r="I126" i="2"/>
  <c r="I127" i="2"/>
  <c r="I137" i="2"/>
  <c r="I138" i="2"/>
  <c r="I139" i="2"/>
  <c r="I145" i="2"/>
  <c r="I146" i="2"/>
  <c r="I147" i="2"/>
  <c r="I149" i="2"/>
  <c r="I150" i="2"/>
  <c r="I156" i="2"/>
  <c r="I159" i="2"/>
  <c r="I161" i="2"/>
  <c r="I163" i="2"/>
  <c r="I165" i="2"/>
  <c r="I178" i="2"/>
  <c r="I181" i="2"/>
  <c r="I182" i="2"/>
  <c r="I183" i="2"/>
  <c r="I189" i="2"/>
  <c r="I191" i="2"/>
  <c r="G192" i="2"/>
  <c r="I193" i="2"/>
  <c r="I198" i="2"/>
  <c r="I200" i="2"/>
  <c r="I202" i="2"/>
  <c r="G208" i="2"/>
  <c r="G214" i="2"/>
  <c r="G214" i="5" s="1"/>
  <c r="J214" i="5" s="1"/>
  <c r="I215" i="2"/>
  <c r="I218" i="2"/>
  <c r="G219" i="2"/>
  <c r="I220" i="2"/>
  <c r="I231" i="2"/>
  <c r="I234" i="2"/>
  <c r="I235" i="2"/>
  <c r="I236" i="2"/>
  <c r="I242" i="2"/>
  <c r="I243" i="2"/>
  <c r="I244" i="2"/>
  <c r="I246" i="2"/>
  <c r="I247" i="2"/>
  <c r="I251" i="2"/>
  <c r="I256" i="2"/>
  <c r="I257" i="2"/>
  <c r="I258" i="2"/>
  <c r="H262" i="2"/>
  <c r="I264" i="2"/>
  <c r="I266" i="2"/>
  <c r="I273" i="2"/>
  <c r="I275" i="2"/>
  <c r="G276" i="2"/>
  <c r="I277" i="2"/>
  <c r="H287" i="2"/>
  <c r="I289" i="2"/>
  <c r="I291" i="2"/>
  <c r="I293" i="2"/>
  <c r="G303" i="2"/>
  <c r="G303" i="5" s="1"/>
  <c r="H303" i="2"/>
  <c r="H303" i="5" s="1"/>
  <c r="I307" i="2"/>
  <c r="I310" i="2"/>
  <c r="I315" i="2"/>
  <c r="I316" i="2"/>
  <c r="I317" i="2"/>
  <c r="I323" i="2"/>
  <c r="G324" i="2"/>
  <c r="I325" i="2"/>
  <c r="I328" i="2"/>
  <c r="I330" i="2"/>
  <c r="I332" i="2"/>
  <c r="I334" i="2"/>
  <c r="I358" i="2"/>
  <c r="I359" i="2"/>
  <c r="G366" i="2"/>
  <c r="G366" i="5" s="1"/>
  <c r="I378" i="2"/>
  <c r="I397" i="2"/>
  <c r="I409" i="2"/>
  <c r="H405" i="2"/>
  <c r="H405" i="5" s="1"/>
  <c r="I428" i="2"/>
  <c r="I447" i="2"/>
  <c r="I448" i="2"/>
  <c r="I339" i="2"/>
  <c r="I340" i="2"/>
  <c r="I341" i="2"/>
  <c r="I347" i="2"/>
  <c r="G348" i="2"/>
  <c r="G348" i="5" s="1"/>
  <c r="J348" i="5" s="1"/>
  <c r="I350" i="2"/>
  <c r="I351" i="2"/>
  <c r="I352" i="2"/>
  <c r="H357" i="2"/>
  <c r="H357" i="5" s="1"/>
  <c r="I361" i="2"/>
  <c r="I362" i="2"/>
  <c r="I363" i="2"/>
  <c r="I372" i="2"/>
  <c r="I374" i="2"/>
  <c r="I380" i="2"/>
  <c r="I381" i="2"/>
  <c r="I382" i="2"/>
  <c r="I384" i="2"/>
  <c r="I385" i="2"/>
  <c r="I391" i="2"/>
  <c r="I392" i="2"/>
  <c r="I393" i="2"/>
  <c r="I399" i="2"/>
  <c r="I401" i="2"/>
  <c r="I402" i="2"/>
  <c r="I411" i="2"/>
  <c r="I412" i="2"/>
  <c r="I413" i="2"/>
  <c r="I419" i="2"/>
  <c r="I421" i="2"/>
  <c r="I430" i="2"/>
  <c r="I445" i="2"/>
  <c r="G457" i="2"/>
  <c r="I458" i="2"/>
  <c r="I472" i="2"/>
  <c r="I483" i="2"/>
  <c r="I493" i="2"/>
  <c r="I494" i="2"/>
  <c r="I437" i="2"/>
  <c r="I438" i="2"/>
  <c r="I439" i="2"/>
  <c r="H440" i="2"/>
  <c r="I442" i="2"/>
  <c r="H450" i="2"/>
  <c r="I452" i="2"/>
  <c r="I453" i="2"/>
  <c r="I454" i="2"/>
  <c r="I462" i="2"/>
  <c r="I466" i="2"/>
  <c r="I467" i="2"/>
  <c r="I468" i="2"/>
  <c r="I477" i="2"/>
  <c r="I479" i="2"/>
  <c r="I485" i="2"/>
  <c r="I487" i="2"/>
  <c r="H492" i="2"/>
  <c r="H492" i="5" s="1"/>
  <c r="I496" i="2"/>
  <c r="I499" i="2"/>
  <c r="I500" i="2"/>
  <c r="I501" i="2"/>
  <c r="I478" i="2" l="1"/>
  <c r="H473" i="2"/>
  <c r="H473" i="5" s="1"/>
  <c r="J473" i="5" s="1"/>
  <c r="G492" i="2"/>
  <c r="G492" i="5" s="1"/>
  <c r="J492" i="5" s="1"/>
  <c r="I355" i="2"/>
  <c r="I476" i="2"/>
  <c r="J436" i="5"/>
  <c r="I117" i="2"/>
  <c r="I230" i="2"/>
  <c r="I486" i="2"/>
  <c r="I420" i="2"/>
  <c r="G400" i="2"/>
  <c r="I373" i="2"/>
  <c r="G383" i="2"/>
  <c r="I367" i="2"/>
  <c r="I338" i="2"/>
  <c r="G157" i="2"/>
  <c r="G157" i="5" s="1"/>
  <c r="H88" i="2"/>
  <c r="H88" i="5" s="1"/>
  <c r="H51" i="2"/>
  <c r="H51" i="5" s="1"/>
  <c r="I42" i="2"/>
  <c r="G51" i="2"/>
  <c r="G51" i="5" s="1"/>
  <c r="I498" i="2"/>
  <c r="I471" i="2"/>
  <c r="I432" i="2"/>
  <c r="H366" i="2"/>
  <c r="H366" i="5" s="1"/>
  <c r="J366" i="5" s="1"/>
  <c r="H337" i="2"/>
  <c r="H337" i="5" s="1"/>
  <c r="I253" i="2"/>
  <c r="I167" i="2"/>
  <c r="I130" i="2"/>
  <c r="H250" i="2"/>
  <c r="H250" i="5" s="1"/>
  <c r="H497" i="2"/>
  <c r="H383" i="2"/>
  <c r="H383" i="5" s="1"/>
  <c r="I344" i="2"/>
  <c r="H157" i="2"/>
  <c r="H157" i="5" s="1"/>
  <c r="H148" i="2"/>
  <c r="H148" i="5" s="1"/>
  <c r="I429" i="2"/>
  <c r="I360" i="2"/>
  <c r="H308" i="2"/>
  <c r="H308" i="5" s="1"/>
  <c r="H213" i="2"/>
  <c r="H213" i="5" s="1"/>
  <c r="H106" i="2"/>
  <c r="I46" i="2"/>
  <c r="G148" i="2"/>
  <c r="G148" i="5" s="1"/>
  <c r="J148" i="5" s="1"/>
  <c r="H464" i="2"/>
  <c r="H464" i="5" s="1"/>
  <c r="J466" i="5"/>
  <c r="J462" i="5"/>
  <c r="J426" i="5"/>
  <c r="J423" i="5"/>
  <c r="J415" i="5"/>
  <c r="J399" i="5"/>
  <c r="J328" i="5"/>
  <c r="J230" i="5"/>
  <c r="J189" i="5"/>
  <c r="J156" i="5"/>
  <c r="J152" i="5"/>
  <c r="J145" i="5"/>
  <c r="I192" i="2"/>
  <c r="G192" i="5"/>
  <c r="J192" i="5" s="1"/>
  <c r="J51" i="5"/>
  <c r="H497" i="5"/>
  <c r="I488" i="2"/>
  <c r="G488" i="5"/>
  <c r="J488" i="5" s="1"/>
  <c r="I469" i="2"/>
  <c r="G469" i="5"/>
  <c r="J469" i="5" s="1"/>
  <c r="I425" i="2"/>
  <c r="G425" i="5"/>
  <c r="J425" i="5" s="1"/>
  <c r="I394" i="2"/>
  <c r="G394" i="5"/>
  <c r="J394" i="5" s="1"/>
  <c r="I318" i="2"/>
  <c r="G318" i="5"/>
  <c r="J318" i="5" s="1"/>
  <c r="G286" i="2"/>
  <c r="G286" i="5" s="1"/>
  <c r="G287" i="5"/>
  <c r="G225" i="2"/>
  <c r="G225" i="5" s="1"/>
  <c r="J225" i="5" s="1"/>
  <c r="G226" i="5"/>
  <c r="J226" i="5" s="1"/>
  <c r="I128" i="2"/>
  <c r="G128" i="5"/>
  <c r="J128" i="5" s="1"/>
  <c r="I114" i="2"/>
  <c r="G114" i="5"/>
  <c r="J114" i="5" s="1"/>
  <c r="I104" i="2"/>
  <c r="G104" i="5"/>
  <c r="J104" i="5" s="1"/>
  <c r="I95" i="2"/>
  <c r="G95" i="5"/>
  <c r="I74" i="2"/>
  <c r="G74" i="5"/>
  <c r="J74" i="5" s="1"/>
  <c r="H106" i="5"/>
  <c r="J464" i="5"/>
  <c r="I465" i="2"/>
  <c r="G465" i="5"/>
  <c r="J465" i="5" s="1"/>
  <c r="I461" i="2"/>
  <c r="G461" i="5"/>
  <c r="J461" i="5" s="1"/>
  <c r="I410" i="2"/>
  <c r="G410" i="5"/>
  <c r="J410" i="5" s="1"/>
  <c r="H400" i="2"/>
  <c r="H400" i="5" s="1"/>
  <c r="I398" i="2"/>
  <c r="G398" i="5"/>
  <c r="J398" i="5" s="1"/>
  <c r="I375" i="2"/>
  <c r="G375" i="5"/>
  <c r="J375" i="5" s="1"/>
  <c r="I349" i="2"/>
  <c r="G349" i="5"/>
  <c r="I346" i="2"/>
  <c r="G346" i="5"/>
  <c r="J346" i="5" s="1"/>
  <c r="N18" i="5"/>
  <c r="J330" i="5"/>
  <c r="I327" i="2"/>
  <c r="G327" i="5"/>
  <c r="I314" i="2"/>
  <c r="G314" i="5"/>
  <c r="I259" i="2"/>
  <c r="G259" i="5"/>
  <c r="J259" i="5" s="1"/>
  <c r="I248" i="2"/>
  <c r="G248" i="5"/>
  <c r="G246" i="5"/>
  <c r="J246" i="5" s="1"/>
  <c r="G245" i="2"/>
  <c r="G245" i="5" s="1"/>
  <c r="I180" i="2"/>
  <c r="G180" i="5"/>
  <c r="J180" i="5" s="1"/>
  <c r="J95" i="5"/>
  <c r="I68" i="2"/>
  <c r="G68" i="5"/>
  <c r="J68" i="5" s="1"/>
  <c r="H64" i="2"/>
  <c r="H64" i="5" s="1"/>
  <c r="H65" i="5"/>
  <c r="G64" i="2"/>
  <c r="I44" i="2"/>
  <c r="G44" i="5"/>
  <c r="J44" i="5" s="1"/>
  <c r="G27" i="5"/>
  <c r="I484" i="2"/>
  <c r="G484" i="5"/>
  <c r="J484" i="5" s="1"/>
  <c r="J476" i="5"/>
  <c r="J418" i="5"/>
  <c r="J386" i="5"/>
  <c r="J347" i="5"/>
  <c r="J339" i="5"/>
  <c r="J314" i="5"/>
  <c r="J285" i="5"/>
  <c r="J260" i="5"/>
  <c r="J234" i="5"/>
  <c r="J185" i="5"/>
  <c r="I158" i="2"/>
  <c r="G158" i="5"/>
  <c r="J158" i="5" s="1"/>
  <c r="I155" i="2"/>
  <c r="G155" i="5"/>
  <c r="J144" i="5"/>
  <c r="I140" i="2"/>
  <c r="G140" i="5"/>
  <c r="J140" i="5" s="1"/>
  <c r="H125" i="2"/>
  <c r="H125" i="5" s="1"/>
  <c r="G116" i="2"/>
  <c r="G117" i="5"/>
  <c r="G106" i="2"/>
  <c r="G106" i="5" s="1"/>
  <c r="G107" i="5"/>
  <c r="J107" i="5" s="1"/>
  <c r="J80" i="5"/>
  <c r="J35" i="5"/>
  <c r="H261" i="2"/>
  <c r="H261" i="5" s="1"/>
  <c r="H262" i="5"/>
  <c r="J262" i="5" s="1"/>
  <c r="H446" i="2"/>
  <c r="H446" i="5" s="1"/>
  <c r="H450" i="5"/>
  <c r="J450" i="5" s="1"/>
  <c r="H424" i="2"/>
  <c r="H424" i="5" s="1"/>
  <c r="H440" i="5"/>
  <c r="J440" i="5" s="1"/>
  <c r="I457" i="2"/>
  <c r="G457" i="5"/>
  <c r="J457" i="5" s="1"/>
  <c r="G400" i="5"/>
  <c r="J400" i="5" s="1"/>
  <c r="G383" i="5"/>
  <c r="J383" i="5" s="1"/>
  <c r="I324" i="2"/>
  <c r="G324" i="5"/>
  <c r="J324" i="5" s="1"/>
  <c r="J303" i="5"/>
  <c r="H286" i="2"/>
  <c r="H287" i="5"/>
  <c r="I276" i="2"/>
  <c r="G276" i="5"/>
  <c r="J276" i="5" s="1"/>
  <c r="I219" i="2"/>
  <c r="G219" i="5"/>
  <c r="J219" i="5" s="1"/>
  <c r="I208" i="2"/>
  <c r="G208" i="5"/>
  <c r="J208" i="5" s="1"/>
  <c r="G424" i="2"/>
  <c r="G424" i="5" s="1"/>
  <c r="J424" i="5" s="1"/>
  <c r="I245" i="2"/>
  <c r="H245" i="5"/>
  <c r="I455" i="2"/>
  <c r="G455" i="5"/>
  <c r="J455" i="5" s="1"/>
  <c r="G405" i="2"/>
  <c r="G405" i="5" s="1"/>
  <c r="J405" i="5" s="1"/>
  <c r="G406" i="5"/>
  <c r="J406" i="5" s="1"/>
  <c r="I364" i="2"/>
  <c r="G364" i="5"/>
  <c r="J364" i="5" s="1"/>
  <c r="I342" i="2"/>
  <c r="G342" i="5"/>
  <c r="J342" i="5" s="1"/>
  <c r="G250" i="2"/>
  <c r="G250" i="5" s="1"/>
  <c r="G251" i="5"/>
  <c r="J251" i="5" s="1"/>
  <c r="I237" i="2"/>
  <c r="G237" i="5"/>
  <c r="J237" i="5" s="1"/>
  <c r="I99" i="2"/>
  <c r="G99" i="5"/>
  <c r="I91" i="2"/>
  <c r="G91" i="5"/>
  <c r="J91" i="5" s="1"/>
  <c r="I54" i="2"/>
  <c r="G54" i="5"/>
  <c r="J54" i="5" s="1"/>
  <c r="J78" i="5"/>
  <c r="G497" i="2"/>
  <c r="G497" i="5" s="1"/>
  <c r="J497" i="5" s="1"/>
  <c r="G498" i="5"/>
  <c r="J498" i="5" s="1"/>
  <c r="I495" i="2"/>
  <c r="G495" i="5"/>
  <c r="J495" i="5" s="1"/>
  <c r="I480" i="2"/>
  <c r="G480" i="5"/>
  <c r="J480" i="5" s="1"/>
  <c r="I436" i="2"/>
  <c r="I422" i="2"/>
  <c r="G422" i="5"/>
  <c r="J422" i="5" s="1"/>
  <c r="I414" i="2"/>
  <c r="G414" i="5"/>
  <c r="J414" i="5" s="1"/>
  <c r="I403" i="2"/>
  <c r="G403" i="5"/>
  <c r="J403" i="5" s="1"/>
  <c r="I390" i="2"/>
  <c r="G390" i="5"/>
  <c r="J390" i="5" s="1"/>
  <c r="I379" i="2"/>
  <c r="G379" i="5"/>
  <c r="J379" i="5" s="1"/>
  <c r="I371" i="2"/>
  <c r="G371" i="5"/>
  <c r="J371" i="5" s="1"/>
  <c r="I369" i="2"/>
  <c r="G369" i="5"/>
  <c r="J369" i="5" s="1"/>
  <c r="J367" i="5"/>
  <c r="I353" i="2"/>
  <c r="G353" i="5"/>
  <c r="J353" i="5" s="1"/>
  <c r="J349" i="5"/>
  <c r="I322" i="2"/>
  <c r="G322" i="5"/>
  <c r="J322" i="5" s="1"/>
  <c r="I309" i="2"/>
  <c r="G309" i="5"/>
  <c r="J309" i="5" s="1"/>
  <c r="I306" i="2"/>
  <c r="G306" i="5"/>
  <c r="J306" i="5" s="1"/>
  <c r="I284" i="2"/>
  <c r="G284" i="5"/>
  <c r="J284" i="5" s="1"/>
  <c r="I272" i="2"/>
  <c r="I255" i="2"/>
  <c r="G255" i="5"/>
  <c r="J255" i="5" s="1"/>
  <c r="J248" i="5"/>
  <c r="I241" i="2"/>
  <c r="I223" i="2"/>
  <c r="G223" i="5"/>
  <c r="J223" i="5" s="1"/>
  <c r="I217" i="2"/>
  <c r="G217" i="5"/>
  <c r="J217" i="5" s="1"/>
  <c r="I188" i="2"/>
  <c r="G188" i="5"/>
  <c r="J188" i="5" s="1"/>
  <c r="J155" i="5"/>
  <c r="J65" i="5"/>
  <c r="H28" i="5"/>
  <c r="J28" i="5" s="1"/>
  <c r="J485" i="5"/>
  <c r="J477" i="5"/>
  <c r="J430" i="5"/>
  <c r="J419" i="5"/>
  <c r="J391" i="5"/>
  <c r="J365" i="5"/>
  <c r="J361" i="5"/>
  <c r="J327" i="5"/>
  <c r="J315" i="5"/>
  <c r="J233" i="5"/>
  <c r="J227" i="5"/>
  <c r="J209" i="5"/>
  <c r="J198" i="5"/>
  <c r="I184" i="2"/>
  <c r="G184" i="5"/>
  <c r="J184" i="5" s="1"/>
  <c r="J177" i="5"/>
  <c r="I177" i="2"/>
  <c r="J141" i="5"/>
  <c r="I136" i="2"/>
  <c r="G136" i="5"/>
  <c r="J136" i="5" s="1"/>
  <c r="I121" i="2"/>
  <c r="G121" i="5"/>
  <c r="J121" i="5" s="1"/>
  <c r="I119" i="2"/>
  <c r="G119" i="5"/>
  <c r="J119" i="5" s="1"/>
  <c r="H116" i="2"/>
  <c r="H116" i="5" s="1"/>
  <c r="H117" i="5"/>
  <c r="J115" i="5"/>
  <c r="J108" i="5"/>
  <c r="J99" i="5"/>
  <c r="J79" i="5"/>
  <c r="J36" i="5"/>
  <c r="H463" i="2"/>
  <c r="H463" i="5" s="1"/>
  <c r="I148" i="2"/>
  <c r="I450" i="2"/>
  <c r="I287" i="2"/>
  <c r="I262" i="2"/>
  <c r="I226" i="2"/>
  <c r="G111" i="2"/>
  <c r="G111" i="5" s="1"/>
  <c r="J111" i="5" s="1"/>
  <c r="G88" i="2"/>
  <c r="G88" i="5" s="1"/>
  <c r="G71" i="2"/>
  <c r="G71" i="5" s="1"/>
  <c r="J71" i="5" s="1"/>
  <c r="G125" i="2"/>
  <c r="I78" i="2"/>
  <c r="I348" i="2"/>
  <c r="I366" i="2"/>
  <c r="G357" i="2"/>
  <c r="G357" i="5" s="1"/>
  <c r="J357" i="5" s="1"/>
  <c r="G232" i="2"/>
  <c r="H26" i="2"/>
  <c r="N15" i="2" s="1"/>
  <c r="G337" i="2"/>
  <c r="H336" i="2"/>
  <c r="I464" i="2"/>
  <c r="I440" i="2"/>
  <c r="G308" i="2"/>
  <c r="I214" i="2"/>
  <c r="G213" i="2"/>
  <c r="G213" i="5" s="1"/>
  <c r="J213" i="5" s="1"/>
  <c r="G179" i="2"/>
  <c r="I424" i="2"/>
  <c r="G261" i="2"/>
  <c r="I27" i="2"/>
  <c r="I492" i="2"/>
  <c r="G446" i="2"/>
  <c r="I303" i="2"/>
  <c r="I473" i="2"/>
  <c r="I405" i="2"/>
  <c r="I88" i="2"/>
  <c r="I51" i="2"/>
  <c r="I383" i="2" l="1"/>
  <c r="I400" i="2"/>
  <c r="I71" i="2"/>
  <c r="H87" i="2"/>
  <c r="N16" i="2" s="1"/>
  <c r="G26" i="2"/>
  <c r="I357" i="2"/>
  <c r="K357" i="2" s="1"/>
  <c r="G463" i="2"/>
  <c r="I250" i="2"/>
  <c r="J88" i="5"/>
  <c r="I157" i="2"/>
  <c r="H212" i="2"/>
  <c r="H212" i="5" s="1"/>
  <c r="I225" i="2"/>
  <c r="J117" i="5"/>
  <c r="J250" i="5"/>
  <c r="J106" i="5"/>
  <c r="J157" i="5"/>
  <c r="I446" i="2"/>
  <c r="G446" i="5"/>
  <c r="I179" i="2"/>
  <c r="G179" i="5"/>
  <c r="J179" i="5" s="1"/>
  <c r="I463" i="2"/>
  <c r="G463" i="5"/>
  <c r="J463" i="5" s="1"/>
  <c r="I125" i="2"/>
  <c r="G125" i="5"/>
  <c r="J125" i="5" s="1"/>
  <c r="I286" i="2"/>
  <c r="H286" i="5"/>
  <c r="J286" i="5" s="1"/>
  <c r="I116" i="2"/>
  <c r="G116" i="5"/>
  <c r="J116" i="5" s="1"/>
  <c r="H27" i="5"/>
  <c r="H26" i="5" s="1"/>
  <c r="J245" i="5"/>
  <c r="I106" i="2"/>
  <c r="J287" i="5"/>
  <c r="H87" i="5"/>
  <c r="O16" i="5" s="1"/>
  <c r="I261" i="2"/>
  <c r="G261" i="5"/>
  <c r="J261" i="5" s="1"/>
  <c r="N19" i="2"/>
  <c r="H336" i="5"/>
  <c r="O19" i="5" s="1"/>
  <c r="I308" i="2"/>
  <c r="G308" i="5"/>
  <c r="J308" i="5" s="1"/>
  <c r="I111" i="2"/>
  <c r="I337" i="2"/>
  <c r="G337" i="5"/>
  <c r="J337" i="5" s="1"/>
  <c r="I232" i="2"/>
  <c r="G232" i="5"/>
  <c r="J232" i="5" s="1"/>
  <c r="J446" i="5"/>
  <c r="I64" i="2"/>
  <c r="G64" i="5"/>
  <c r="G26" i="5" s="1"/>
  <c r="I497" i="2"/>
  <c r="G87" i="2"/>
  <c r="I26" i="2"/>
  <c r="M15" i="2"/>
  <c r="G336" i="2"/>
  <c r="G336" i="5" s="1"/>
  <c r="I213" i="2"/>
  <c r="G212" i="2"/>
  <c r="H25" i="2" l="1"/>
  <c r="M25" i="3" s="1"/>
  <c r="I87" i="2"/>
  <c r="N15" i="5"/>
  <c r="J26" i="5"/>
  <c r="J336" i="5"/>
  <c r="N19" i="5"/>
  <c r="J64" i="5"/>
  <c r="I212" i="2"/>
  <c r="G212" i="5"/>
  <c r="J212" i="5" s="1"/>
  <c r="M16" i="2"/>
  <c r="G87" i="5"/>
  <c r="O15" i="5"/>
  <c r="H25" i="5"/>
  <c r="J27" i="5"/>
  <c r="I336" i="2"/>
  <c r="K336" i="2" s="1"/>
  <c r="M19" i="2"/>
  <c r="G25" i="2"/>
  <c r="I25" i="2" l="1"/>
  <c r="J212" i="2" s="1"/>
  <c r="L25" i="3"/>
  <c r="N16" i="5"/>
  <c r="J87" i="5"/>
  <c r="G25" i="5"/>
  <c r="J25" i="5" s="1"/>
  <c r="K336" i="5" s="1"/>
  <c r="J36" i="2"/>
  <c r="J40" i="2"/>
  <c r="J67" i="2"/>
  <c r="J118" i="2"/>
  <c r="J133" i="2"/>
  <c r="J135" i="2"/>
  <c r="J169" i="2"/>
  <c r="J171" i="2"/>
  <c r="J173" i="2"/>
  <c r="J175" i="2"/>
  <c r="J190" i="2"/>
  <c r="J207" i="2"/>
  <c r="J224" i="2"/>
  <c r="J260" i="2"/>
  <c r="J271" i="2"/>
  <c r="J285" i="2"/>
  <c r="J298" i="2"/>
  <c r="J300" i="2"/>
  <c r="J302" i="2"/>
  <c r="J368" i="2"/>
  <c r="J404" i="2"/>
  <c r="J426" i="2"/>
  <c r="J460" i="2"/>
  <c r="J28" i="2"/>
  <c r="J30" i="2"/>
  <c r="J32" i="2"/>
  <c r="J34" i="2"/>
  <c r="J48" i="2"/>
  <c r="J50" i="2"/>
  <c r="J55" i="2"/>
  <c r="J57" i="2"/>
  <c r="J59" i="2"/>
  <c r="J61" i="2"/>
  <c r="J63" i="2"/>
  <c r="J76" i="2"/>
  <c r="J96" i="2"/>
  <c r="J101" i="2"/>
  <c r="J129" i="2"/>
  <c r="J160" i="2"/>
  <c r="J164" i="2"/>
  <c r="J185" i="2"/>
  <c r="J195" i="2"/>
  <c r="J199" i="2"/>
  <c r="J203" i="2"/>
  <c r="J221" i="2"/>
  <c r="J227" i="2"/>
  <c r="J252" i="2"/>
  <c r="J265" i="2"/>
  <c r="J278" i="2"/>
  <c r="J280" i="2"/>
  <c r="J282" i="2"/>
  <c r="J288" i="2"/>
  <c r="J292" i="2"/>
  <c r="J319" i="2"/>
  <c r="J329" i="2"/>
  <c r="J333" i="2"/>
  <c r="J354" i="2"/>
  <c r="J376" i="2"/>
  <c r="J407" i="2"/>
  <c r="J431" i="2"/>
  <c r="J443" i="2"/>
  <c r="J435" i="2"/>
  <c r="J459" i="2"/>
  <c r="J481" i="2"/>
  <c r="J37" i="2"/>
  <c r="J39" i="2"/>
  <c r="J41" i="2"/>
  <c r="J66" i="2"/>
  <c r="J80" i="2"/>
  <c r="J108" i="2"/>
  <c r="J132" i="2"/>
  <c r="J134" i="2"/>
  <c r="J141" i="2"/>
  <c r="J170" i="2"/>
  <c r="J172" i="2"/>
  <c r="J174" i="2"/>
  <c r="J176" i="2"/>
  <c r="J206" i="2"/>
  <c r="J216" i="2"/>
  <c r="J249" i="2"/>
  <c r="J270" i="2"/>
  <c r="J274" i="2"/>
  <c r="J297" i="2"/>
  <c r="J299" i="2"/>
  <c r="J301" i="2"/>
  <c r="J311" i="2"/>
  <c r="J343" i="2"/>
  <c r="J395" i="2"/>
  <c r="J415" i="2"/>
  <c r="J441" i="2"/>
  <c r="J489" i="2"/>
  <c r="J29" i="2"/>
  <c r="J31" i="2"/>
  <c r="J33" i="2"/>
  <c r="J49" i="2"/>
  <c r="J56" i="2"/>
  <c r="J58" i="2"/>
  <c r="J60" i="2"/>
  <c r="J62" i="2"/>
  <c r="J70" i="2"/>
  <c r="J75" i="2"/>
  <c r="J77" i="2"/>
  <c r="J92" i="2"/>
  <c r="J100" i="2"/>
  <c r="J105" i="2"/>
  <c r="J115" i="2"/>
  <c r="J152" i="2"/>
  <c r="J162" i="2"/>
  <c r="J166" i="2"/>
  <c r="J194" i="2"/>
  <c r="J196" i="2"/>
  <c r="J201" i="2"/>
  <c r="J211" i="2"/>
  <c r="J222" i="2"/>
  <c r="J238" i="2"/>
  <c r="J263" i="2"/>
  <c r="J267" i="2"/>
  <c r="J279" i="2"/>
  <c r="J281" i="2"/>
  <c r="J283" i="2"/>
  <c r="J290" i="2"/>
  <c r="J294" i="2"/>
  <c r="J326" i="2"/>
  <c r="J331" i="2"/>
  <c r="J335" i="2"/>
  <c r="J365" i="2"/>
  <c r="J387" i="2"/>
  <c r="J423" i="2"/>
  <c r="J451" i="2"/>
  <c r="J456" i="2"/>
  <c r="J470" i="2"/>
  <c r="J449" i="2"/>
  <c r="J501" i="2"/>
  <c r="J496" i="2"/>
  <c r="J485" i="2"/>
  <c r="J452" i="2"/>
  <c r="J472" i="2"/>
  <c r="J421" i="2"/>
  <c r="J402" i="2"/>
  <c r="J391" i="2"/>
  <c r="J372" i="2"/>
  <c r="J339" i="2"/>
  <c r="J397" i="2"/>
  <c r="J328" i="2"/>
  <c r="J315" i="2"/>
  <c r="J293" i="2"/>
  <c r="J273" i="2"/>
  <c r="J236" i="2"/>
  <c r="J231" i="2"/>
  <c r="J218" i="2"/>
  <c r="J198" i="2"/>
  <c r="J161" i="2"/>
  <c r="J147" i="2"/>
  <c r="J127" i="2"/>
  <c r="J122" i="2"/>
  <c r="J433" i="2"/>
  <c r="J389" i="2"/>
  <c r="J305" i="2"/>
  <c r="J229" i="2"/>
  <c r="J168" i="2"/>
  <c r="J120" i="2"/>
  <c r="J98" i="2"/>
  <c r="J82" i="2"/>
  <c r="J47" i="2"/>
  <c r="J477" i="2"/>
  <c r="J466" i="2"/>
  <c r="J442" i="2"/>
  <c r="J437" i="2"/>
  <c r="J483" i="2"/>
  <c r="J445" i="2"/>
  <c r="J413" i="2"/>
  <c r="J400" i="2"/>
  <c r="J385" i="2"/>
  <c r="J380" i="2"/>
  <c r="J361" i="2"/>
  <c r="J350" i="2"/>
  <c r="J409" i="2"/>
  <c r="J334" i="2"/>
  <c r="J325" i="2"/>
  <c r="J310" i="2"/>
  <c r="J277" i="2"/>
  <c r="J266" i="2"/>
  <c r="J256" i="2"/>
  <c r="J244" i="2"/>
  <c r="J215" i="2"/>
  <c r="J193" i="2"/>
  <c r="J183" i="2"/>
  <c r="J178" i="2"/>
  <c r="J159" i="2"/>
  <c r="J139" i="2"/>
  <c r="J491" i="2"/>
  <c r="J417" i="2"/>
  <c r="J370" i="2"/>
  <c r="J313" i="2"/>
  <c r="J269" i="2"/>
  <c r="J240" i="2"/>
  <c r="J187" i="2"/>
  <c r="J131" i="2"/>
  <c r="J103" i="2"/>
  <c r="J86" i="2"/>
  <c r="J53" i="2"/>
  <c r="J499" i="2"/>
  <c r="J487" i="2"/>
  <c r="J454" i="2"/>
  <c r="J494" i="2"/>
  <c r="J419" i="2"/>
  <c r="J393" i="2"/>
  <c r="J374" i="2"/>
  <c r="J341" i="2"/>
  <c r="J448" i="2"/>
  <c r="J378" i="2"/>
  <c r="J332" i="2"/>
  <c r="J317" i="2"/>
  <c r="J289" i="2"/>
  <c r="J264" i="2"/>
  <c r="J234" i="2"/>
  <c r="J220" i="2"/>
  <c r="J202" i="2"/>
  <c r="J189" i="2"/>
  <c r="J165" i="2"/>
  <c r="J150" i="2"/>
  <c r="J145" i="2"/>
  <c r="J124" i="2"/>
  <c r="J475" i="2"/>
  <c r="J356" i="2"/>
  <c r="J321" i="2"/>
  <c r="J205" i="2"/>
  <c r="J143" i="2"/>
  <c r="J113" i="2"/>
  <c r="J90" i="2"/>
  <c r="J73" i="2"/>
  <c r="J479" i="2"/>
  <c r="J468" i="2"/>
  <c r="J462" i="2"/>
  <c r="J439" i="2"/>
  <c r="J458" i="2"/>
  <c r="J430" i="2"/>
  <c r="J411" i="2"/>
  <c r="J399" i="2"/>
  <c r="J382" i="2"/>
  <c r="J363" i="2"/>
  <c r="J352" i="2"/>
  <c r="J347" i="2"/>
  <c r="J428" i="2"/>
  <c r="J359" i="2"/>
  <c r="J330" i="2"/>
  <c r="J323" i="2"/>
  <c r="J307" i="2"/>
  <c r="J291" i="2"/>
  <c r="J275" i="2"/>
  <c r="J258" i="2"/>
  <c r="J247" i="2"/>
  <c r="J242" i="2"/>
  <c r="J200" i="2"/>
  <c r="J191" i="2"/>
  <c r="J181" i="2"/>
  <c r="J163" i="2"/>
  <c r="J156" i="2"/>
  <c r="J137" i="2"/>
  <c r="J345" i="2"/>
  <c r="J296" i="2"/>
  <c r="J254" i="2"/>
  <c r="J210" i="2"/>
  <c r="J154" i="2"/>
  <c r="J110" i="2"/>
  <c r="J94" i="2"/>
  <c r="J69" i="2"/>
  <c r="J43" i="2"/>
  <c r="J27" i="2"/>
  <c r="J463" i="2"/>
  <c r="J336" i="2"/>
  <c r="J26" i="2"/>
  <c r="J84" i="2" l="1"/>
  <c r="J45" i="2"/>
  <c r="J38" i="2"/>
  <c r="J87" i="2"/>
  <c r="K27" i="5"/>
  <c r="K87" i="5"/>
  <c r="K31" i="5"/>
  <c r="K33" i="5"/>
  <c r="K37" i="5"/>
  <c r="K39" i="5"/>
  <c r="K41" i="5"/>
  <c r="K49" i="5"/>
  <c r="K193" i="5"/>
  <c r="K195" i="5"/>
  <c r="K199" i="5"/>
  <c r="K201" i="5"/>
  <c r="K203" i="5"/>
  <c r="K270" i="5"/>
  <c r="K311" i="5"/>
  <c r="K101" i="5"/>
  <c r="K161" i="5"/>
  <c r="K274" i="5"/>
  <c r="K297" i="5"/>
  <c r="K299" i="5"/>
  <c r="K301" i="5"/>
  <c r="K435" i="5"/>
  <c r="K443" i="5"/>
  <c r="K452" i="5"/>
  <c r="K459" i="5"/>
  <c r="K32" i="5"/>
  <c r="K34" i="5"/>
  <c r="K38" i="5"/>
  <c r="K40" i="5"/>
  <c r="K48" i="5"/>
  <c r="K50" i="5"/>
  <c r="K194" i="5"/>
  <c r="K196" i="5"/>
  <c r="K200" i="5"/>
  <c r="K202" i="5"/>
  <c r="K211" i="5"/>
  <c r="K271" i="5"/>
  <c r="K431" i="5"/>
  <c r="K160" i="5"/>
  <c r="K162" i="5"/>
  <c r="K275" i="5"/>
  <c r="K298" i="5"/>
  <c r="K300" i="5"/>
  <c r="K302" i="5"/>
  <c r="K442" i="5"/>
  <c r="K449" i="5"/>
  <c r="K458" i="5"/>
  <c r="K499" i="5"/>
  <c r="K421" i="5"/>
  <c r="K411" i="5"/>
  <c r="K397" i="5"/>
  <c r="K356" i="5"/>
  <c r="K343" i="5"/>
  <c r="K273" i="5"/>
  <c r="K249" i="5"/>
  <c r="K187" i="5"/>
  <c r="K105" i="5"/>
  <c r="K407" i="5"/>
  <c r="K389" i="5"/>
  <c r="K370" i="5"/>
  <c r="K350" i="5"/>
  <c r="K305" i="5"/>
  <c r="K256" i="5"/>
  <c r="K96" i="5"/>
  <c r="K66" i="5"/>
  <c r="K494" i="5"/>
  <c r="K481" i="5"/>
  <c r="K475" i="5"/>
  <c r="K448" i="5"/>
  <c r="K441" i="5"/>
  <c r="K437" i="5"/>
  <c r="K426" i="5"/>
  <c r="K415" i="5"/>
  <c r="K387" i="5"/>
  <c r="K376" i="5"/>
  <c r="K332" i="5"/>
  <c r="K325" i="5"/>
  <c r="K321" i="5"/>
  <c r="K307" i="5"/>
  <c r="K291" i="5"/>
  <c r="K283" i="5"/>
  <c r="K281" i="5"/>
  <c r="K279" i="5"/>
  <c r="K277" i="5"/>
  <c r="K264" i="5"/>
  <c r="K238" i="5"/>
  <c r="K231" i="5"/>
  <c r="K222" i="5"/>
  <c r="K216" i="5"/>
  <c r="K205" i="5"/>
  <c r="K189" i="5"/>
  <c r="K166" i="5"/>
  <c r="K156" i="5"/>
  <c r="K150" i="5"/>
  <c r="K143" i="5"/>
  <c r="K110" i="5"/>
  <c r="K454" i="5"/>
  <c r="K341" i="5"/>
  <c r="K175" i="5"/>
  <c r="K173" i="5"/>
  <c r="K171" i="5"/>
  <c r="K169" i="5"/>
  <c r="K159" i="5"/>
  <c r="K135" i="5"/>
  <c r="K131" i="5"/>
  <c r="K120" i="5"/>
  <c r="K94" i="5"/>
  <c r="K487" i="5"/>
  <c r="K466" i="5"/>
  <c r="K460" i="5"/>
  <c r="K399" i="5"/>
  <c r="K393" i="5"/>
  <c r="K380" i="5"/>
  <c r="K335" i="5"/>
  <c r="K331" i="5"/>
  <c r="K326" i="5"/>
  <c r="K313" i="5"/>
  <c r="K292" i="5"/>
  <c r="K288" i="5"/>
  <c r="K267" i="5"/>
  <c r="K263" i="5"/>
  <c r="K244" i="5"/>
  <c r="K229" i="5"/>
  <c r="K215" i="5"/>
  <c r="K191" i="5"/>
  <c r="K178" i="5"/>
  <c r="K163" i="5"/>
  <c r="K129" i="5"/>
  <c r="K90" i="5"/>
  <c r="K82" i="5"/>
  <c r="K69" i="5"/>
  <c r="K63" i="5"/>
  <c r="K61" i="5"/>
  <c r="K59" i="5"/>
  <c r="K57" i="5"/>
  <c r="K55" i="5"/>
  <c r="K45" i="5"/>
  <c r="K30" i="5"/>
  <c r="K359" i="5"/>
  <c r="K317" i="5"/>
  <c r="K154" i="5"/>
  <c r="K137" i="5"/>
  <c r="K132" i="5"/>
  <c r="K73" i="5"/>
  <c r="K47" i="5"/>
  <c r="K470" i="5"/>
  <c r="K413" i="5"/>
  <c r="K402" i="5"/>
  <c r="K374" i="5"/>
  <c r="K354" i="5"/>
  <c r="K310" i="5"/>
  <c r="K252" i="5"/>
  <c r="K218" i="5"/>
  <c r="K127" i="5"/>
  <c r="K456" i="5"/>
  <c r="K404" i="5"/>
  <c r="K378" i="5"/>
  <c r="K368" i="5"/>
  <c r="K319" i="5"/>
  <c r="K258" i="5"/>
  <c r="K242" i="5"/>
  <c r="K75" i="5"/>
  <c r="K496" i="5"/>
  <c r="K491" i="5"/>
  <c r="K479" i="5"/>
  <c r="K451" i="5"/>
  <c r="K445" i="5"/>
  <c r="K439" i="5"/>
  <c r="K433" i="5"/>
  <c r="K423" i="5"/>
  <c r="K352" i="5"/>
  <c r="K334" i="5"/>
  <c r="K329" i="5"/>
  <c r="K293" i="5"/>
  <c r="K289" i="5"/>
  <c r="K282" i="5"/>
  <c r="K280" i="5"/>
  <c r="K278" i="5"/>
  <c r="K265" i="5"/>
  <c r="K254" i="5"/>
  <c r="K236" i="5"/>
  <c r="K224" i="5"/>
  <c r="K220" i="5"/>
  <c r="K207" i="5"/>
  <c r="K190" i="5"/>
  <c r="K183" i="5"/>
  <c r="K164" i="5"/>
  <c r="K152" i="5"/>
  <c r="K145" i="5"/>
  <c r="K122" i="5"/>
  <c r="K100" i="5"/>
  <c r="K92" i="5"/>
  <c r="K468" i="5"/>
  <c r="K296" i="5"/>
  <c r="K269" i="5"/>
  <c r="K240" i="5"/>
  <c r="K210" i="5"/>
  <c r="K176" i="5"/>
  <c r="K174" i="5"/>
  <c r="K172" i="5"/>
  <c r="K170" i="5"/>
  <c r="K168" i="5"/>
  <c r="K133" i="5"/>
  <c r="K103" i="5"/>
  <c r="K86" i="5"/>
  <c r="K77" i="5"/>
  <c r="K501" i="5"/>
  <c r="K472" i="5"/>
  <c r="K462" i="5"/>
  <c r="K409" i="5"/>
  <c r="K395" i="5"/>
  <c r="K382" i="5"/>
  <c r="K372" i="5"/>
  <c r="K363" i="5"/>
  <c r="K345" i="5"/>
  <c r="K333" i="5"/>
  <c r="K328" i="5"/>
  <c r="K323" i="5"/>
  <c r="K294" i="5"/>
  <c r="K290" i="5"/>
  <c r="K266" i="5"/>
  <c r="K247" i="5"/>
  <c r="K221" i="5"/>
  <c r="K206" i="5"/>
  <c r="K181" i="5"/>
  <c r="K165" i="5"/>
  <c r="K118" i="5"/>
  <c r="K98" i="5"/>
  <c r="K84" i="5"/>
  <c r="K70" i="5"/>
  <c r="K62" i="5"/>
  <c r="K60" i="5"/>
  <c r="K58" i="5"/>
  <c r="K56" i="5"/>
  <c r="K53" i="5"/>
  <c r="K43" i="5"/>
  <c r="K489" i="5"/>
  <c r="K483" i="5"/>
  <c r="K428" i="5"/>
  <c r="K417" i="5"/>
  <c r="K385" i="5"/>
  <c r="K147" i="5"/>
  <c r="K139" i="5"/>
  <c r="K134" i="5"/>
  <c r="K124" i="5"/>
  <c r="K113" i="5"/>
  <c r="K76" i="5"/>
  <c r="K67" i="5"/>
  <c r="K28" i="5"/>
  <c r="K198" i="5"/>
  <c r="K315" i="5"/>
  <c r="K29" i="5"/>
  <c r="K339" i="5"/>
  <c r="K115" i="5"/>
  <c r="K365" i="5"/>
  <c r="K419" i="5"/>
  <c r="K477" i="5"/>
  <c r="K80" i="5"/>
  <c r="K234" i="5"/>
  <c r="K285" i="5"/>
  <c r="K330" i="5"/>
  <c r="K36" i="5"/>
  <c r="K227" i="5"/>
  <c r="K361" i="5"/>
  <c r="K400" i="5"/>
  <c r="K347" i="5"/>
  <c r="K108" i="5"/>
  <c r="K141" i="5"/>
  <c r="K391" i="5"/>
  <c r="K430" i="5"/>
  <c r="K485" i="5"/>
  <c r="K185" i="5"/>
  <c r="K260" i="5"/>
  <c r="K463" i="5"/>
  <c r="K26" i="5"/>
  <c r="K212" i="5"/>
  <c r="J25" i="2"/>
  <c r="K25" i="5" l="1"/>
  <c r="H501" i="1"/>
  <c r="H501" i="4" s="1"/>
  <c r="G501" i="1"/>
  <c r="H500" i="1"/>
  <c r="H500" i="4" s="1"/>
  <c r="H499" i="1"/>
  <c r="G499" i="1"/>
  <c r="G499" i="4" s="1"/>
  <c r="H496" i="1"/>
  <c r="G496" i="1"/>
  <c r="G496" i="4" s="1"/>
  <c r="H494" i="1"/>
  <c r="H494" i="4" s="1"/>
  <c r="G494" i="1"/>
  <c r="H493" i="1"/>
  <c r="H493" i="4" s="1"/>
  <c r="H491" i="1"/>
  <c r="H491" i="4" s="1"/>
  <c r="G491" i="1"/>
  <c r="H490" i="1"/>
  <c r="H490" i="4" s="1"/>
  <c r="H489" i="1"/>
  <c r="G489" i="1"/>
  <c r="G488" i="1" s="1"/>
  <c r="H487" i="1"/>
  <c r="H487" i="4" s="1"/>
  <c r="G487" i="1"/>
  <c r="H486" i="1"/>
  <c r="H486" i="4" s="1"/>
  <c r="H485" i="1"/>
  <c r="G485" i="1"/>
  <c r="G485" i="4" s="1"/>
  <c r="H483" i="1"/>
  <c r="H483" i="4" s="1"/>
  <c r="G483" i="1"/>
  <c r="H482" i="1"/>
  <c r="H482" i="4" s="1"/>
  <c r="H481" i="1"/>
  <c r="G481" i="1"/>
  <c r="G480" i="1" s="1"/>
  <c r="H479" i="1"/>
  <c r="H479" i="4" s="1"/>
  <c r="G479" i="1"/>
  <c r="H478" i="1"/>
  <c r="H478" i="4" s="1"/>
  <c r="H477" i="1"/>
  <c r="G477" i="1"/>
  <c r="G477" i="4" s="1"/>
  <c r="H475" i="1"/>
  <c r="H475" i="4" s="1"/>
  <c r="G475" i="1"/>
  <c r="H474" i="1"/>
  <c r="H474" i="4" s="1"/>
  <c r="H472" i="1"/>
  <c r="H472" i="4" s="1"/>
  <c r="G472" i="1"/>
  <c r="H471" i="1"/>
  <c r="H471" i="4" s="1"/>
  <c r="H470" i="1"/>
  <c r="G470" i="1"/>
  <c r="G469" i="1" s="1"/>
  <c r="H468" i="1"/>
  <c r="H468" i="4" s="1"/>
  <c r="G468" i="1"/>
  <c r="H467" i="1"/>
  <c r="H467" i="4" s="1"/>
  <c r="H466" i="1"/>
  <c r="G466" i="1"/>
  <c r="G466" i="4" s="1"/>
  <c r="H462" i="1"/>
  <c r="G462" i="1"/>
  <c r="G462" i="4" s="1"/>
  <c r="H460" i="1"/>
  <c r="H460" i="4" s="1"/>
  <c r="G460" i="1"/>
  <c r="H459" i="1"/>
  <c r="H459" i="4" s="1"/>
  <c r="G459" i="1"/>
  <c r="H458" i="1"/>
  <c r="H458" i="4" s="1"/>
  <c r="G458" i="1"/>
  <c r="G458" i="4" s="1"/>
  <c r="H457" i="1"/>
  <c r="H457" i="4" s="1"/>
  <c r="H456" i="1"/>
  <c r="G456" i="1"/>
  <c r="H454" i="1"/>
  <c r="H454" i="4" s="1"/>
  <c r="G454" i="1"/>
  <c r="H453" i="1"/>
  <c r="H453" i="4" s="1"/>
  <c r="H452" i="1"/>
  <c r="H452" i="4" s="1"/>
  <c r="G452" i="1"/>
  <c r="G452" i="4" s="1"/>
  <c r="H451" i="1"/>
  <c r="H451" i="4" s="1"/>
  <c r="G451" i="1"/>
  <c r="H449" i="1"/>
  <c r="H449" i="4" s="1"/>
  <c r="G449" i="1"/>
  <c r="H448" i="1"/>
  <c r="H448" i="4" s="1"/>
  <c r="G448" i="1"/>
  <c r="H447" i="1"/>
  <c r="H447" i="4" s="1"/>
  <c r="H445" i="1"/>
  <c r="H445" i="4" s="1"/>
  <c r="G445" i="1"/>
  <c r="H444" i="1"/>
  <c r="H444" i="4" s="1"/>
  <c r="H443" i="1"/>
  <c r="H443" i="4" s="1"/>
  <c r="G443" i="1"/>
  <c r="H442" i="1"/>
  <c r="H442" i="4" s="1"/>
  <c r="G442" i="1"/>
  <c r="G442" i="4" s="1"/>
  <c r="H441" i="1"/>
  <c r="H441" i="4" s="1"/>
  <c r="G441" i="1"/>
  <c r="G440" i="1" s="1"/>
  <c r="G440" i="4" s="1"/>
  <c r="H439" i="1"/>
  <c r="H439" i="4" s="1"/>
  <c r="G439" i="1"/>
  <c r="H438" i="1"/>
  <c r="H438" i="4" s="1"/>
  <c r="H437" i="1"/>
  <c r="G437" i="1"/>
  <c r="G437" i="4" s="1"/>
  <c r="H435" i="1"/>
  <c r="H435" i="4" s="1"/>
  <c r="G435" i="1"/>
  <c r="H434" i="1"/>
  <c r="H434" i="4" s="1"/>
  <c r="G434" i="1"/>
  <c r="H433" i="1"/>
  <c r="H433" i="4" s="1"/>
  <c r="G433" i="1"/>
  <c r="H432" i="1"/>
  <c r="H432" i="4" s="1"/>
  <c r="H431" i="1"/>
  <c r="H431" i="4" s="1"/>
  <c r="G431" i="1"/>
  <c r="H430" i="1"/>
  <c r="G430" i="1"/>
  <c r="G430" i="4" s="1"/>
  <c r="H428" i="1"/>
  <c r="H428" i="4" s="1"/>
  <c r="G428" i="1"/>
  <c r="H427" i="1"/>
  <c r="H427" i="4" s="1"/>
  <c r="H426" i="1"/>
  <c r="G426" i="1"/>
  <c r="H423" i="1"/>
  <c r="G423" i="1"/>
  <c r="G422" i="1" s="1"/>
  <c r="H421" i="1"/>
  <c r="H421" i="4" s="1"/>
  <c r="G421" i="1"/>
  <c r="H420" i="1"/>
  <c r="H420" i="4" s="1"/>
  <c r="H419" i="1"/>
  <c r="G419" i="1"/>
  <c r="G419" i="4" s="1"/>
  <c r="H417" i="1"/>
  <c r="H417" i="4" s="1"/>
  <c r="G417" i="1"/>
  <c r="H416" i="1"/>
  <c r="H416" i="4" s="1"/>
  <c r="H415" i="1"/>
  <c r="G415" i="1"/>
  <c r="H413" i="1"/>
  <c r="H413" i="4" s="1"/>
  <c r="G413" i="1"/>
  <c r="H412" i="1"/>
  <c r="H412" i="4" s="1"/>
  <c r="H411" i="1"/>
  <c r="G411" i="1"/>
  <c r="G411" i="4" s="1"/>
  <c r="H409" i="1"/>
  <c r="H409" i="4" s="1"/>
  <c r="G409" i="1"/>
  <c r="H408" i="1"/>
  <c r="H408" i="4" s="1"/>
  <c r="H407" i="1"/>
  <c r="G407" i="1"/>
  <c r="H404" i="1"/>
  <c r="G404" i="1"/>
  <c r="G403" i="1" s="1"/>
  <c r="H402" i="1"/>
  <c r="H402" i="4" s="1"/>
  <c r="G402" i="1"/>
  <c r="H401" i="1"/>
  <c r="H399" i="1"/>
  <c r="G399" i="1"/>
  <c r="G399" i="4" s="1"/>
  <c r="H397" i="1"/>
  <c r="H397" i="4" s="1"/>
  <c r="G397" i="1"/>
  <c r="H396" i="1"/>
  <c r="H396" i="4" s="1"/>
  <c r="H395" i="1"/>
  <c r="G395" i="1"/>
  <c r="H393" i="1"/>
  <c r="H393" i="4" s="1"/>
  <c r="G393" i="1"/>
  <c r="H392" i="1"/>
  <c r="H392" i="4" s="1"/>
  <c r="H391" i="1"/>
  <c r="G391" i="1"/>
  <c r="G391" i="4" s="1"/>
  <c r="H389" i="1"/>
  <c r="H389" i="4" s="1"/>
  <c r="G389" i="1"/>
  <c r="H388" i="1"/>
  <c r="H388" i="4" s="1"/>
  <c r="H387" i="1"/>
  <c r="G387" i="1"/>
  <c r="H385" i="1"/>
  <c r="H385" i="4" s="1"/>
  <c r="G385" i="1"/>
  <c r="H384" i="1"/>
  <c r="H384" i="4" s="1"/>
  <c r="H382" i="1"/>
  <c r="H382" i="4" s="1"/>
  <c r="G382" i="1"/>
  <c r="H381" i="1"/>
  <c r="H381" i="4" s="1"/>
  <c r="H380" i="1"/>
  <c r="G380" i="1"/>
  <c r="G380" i="4" s="1"/>
  <c r="H378" i="1"/>
  <c r="H378" i="4" s="1"/>
  <c r="G378" i="1"/>
  <c r="H377" i="1"/>
  <c r="H377" i="4" s="1"/>
  <c r="H376" i="1"/>
  <c r="G376" i="1"/>
  <c r="G375" i="1" s="1"/>
  <c r="H374" i="1"/>
  <c r="H374" i="4" s="1"/>
  <c r="G374" i="1"/>
  <c r="H373" i="1"/>
  <c r="H373" i="4" s="1"/>
  <c r="H372" i="1"/>
  <c r="G372" i="1"/>
  <c r="G372" i="4" s="1"/>
  <c r="H370" i="1"/>
  <c r="H370" i="4" s="1"/>
  <c r="G370" i="1"/>
  <c r="H369" i="1"/>
  <c r="H369" i="4" s="1"/>
  <c r="H368" i="1"/>
  <c r="G368" i="1"/>
  <c r="H365" i="1"/>
  <c r="G365" i="1"/>
  <c r="G364" i="1" s="1"/>
  <c r="H363" i="1"/>
  <c r="H363" i="4" s="1"/>
  <c r="G363" i="1"/>
  <c r="H362" i="1"/>
  <c r="H362" i="4" s="1"/>
  <c r="H361" i="1"/>
  <c r="G361" i="1"/>
  <c r="G361" i="4" s="1"/>
  <c r="H359" i="1"/>
  <c r="H359" i="4" s="1"/>
  <c r="G359" i="1"/>
  <c r="H358" i="1"/>
  <c r="H358" i="4" s="1"/>
  <c r="H356" i="1"/>
  <c r="H356" i="4" s="1"/>
  <c r="G356" i="1"/>
  <c r="H355" i="1"/>
  <c r="H355" i="4" s="1"/>
  <c r="H354" i="1"/>
  <c r="G354" i="1"/>
  <c r="G353" i="1" s="1"/>
  <c r="H352" i="1"/>
  <c r="H352" i="4" s="1"/>
  <c r="G352" i="1"/>
  <c r="H351" i="1"/>
  <c r="H351" i="4" s="1"/>
  <c r="H350" i="1"/>
  <c r="G350" i="1"/>
  <c r="G350" i="4" s="1"/>
  <c r="H347" i="1"/>
  <c r="G347" i="1"/>
  <c r="G347" i="4" s="1"/>
  <c r="H345" i="1"/>
  <c r="H345" i="4" s="1"/>
  <c r="G345" i="1"/>
  <c r="H344" i="1"/>
  <c r="H344" i="4" s="1"/>
  <c r="H343" i="1"/>
  <c r="G343" i="1"/>
  <c r="H341" i="1"/>
  <c r="H341" i="4" s="1"/>
  <c r="G341" i="1"/>
  <c r="H340" i="1"/>
  <c r="H339" i="1"/>
  <c r="G339" i="1"/>
  <c r="G339" i="4" s="1"/>
  <c r="H335" i="1"/>
  <c r="H335" i="4" s="1"/>
  <c r="G335" i="1"/>
  <c r="H334" i="1"/>
  <c r="H334" i="4" s="1"/>
  <c r="G334" i="1"/>
  <c r="G334" i="4" s="1"/>
  <c r="H333" i="1"/>
  <c r="H333" i="4" s="1"/>
  <c r="G333" i="1"/>
  <c r="H332" i="1"/>
  <c r="H332" i="4" s="1"/>
  <c r="G332" i="1"/>
  <c r="G332" i="4" s="1"/>
  <c r="H331" i="1"/>
  <c r="H331" i="4" s="1"/>
  <c r="G331" i="1"/>
  <c r="H330" i="1"/>
  <c r="G330" i="1"/>
  <c r="G330" i="4" s="1"/>
  <c r="H329" i="1"/>
  <c r="H329" i="4" s="1"/>
  <c r="G329" i="1"/>
  <c r="H328" i="1"/>
  <c r="G328" i="1"/>
  <c r="G328" i="4" s="1"/>
  <c r="H326" i="1"/>
  <c r="H326" i="4" s="1"/>
  <c r="G326" i="1"/>
  <c r="H325" i="1"/>
  <c r="H325" i="4" s="1"/>
  <c r="G325" i="1"/>
  <c r="G325" i="4" s="1"/>
  <c r="H324" i="1"/>
  <c r="H324" i="4" s="1"/>
  <c r="H323" i="1"/>
  <c r="G323" i="1"/>
  <c r="G323" i="4" s="1"/>
  <c r="H321" i="1"/>
  <c r="H321" i="4" s="1"/>
  <c r="G321" i="1"/>
  <c r="H320" i="1"/>
  <c r="H320" i="4" s="1"/>
  <c r="H319" i="1"/>
  <c r="G319" i="1"/>
  <c r="H317" i="1"/>
  <c r="H317" i="4" s="1"/>
  <c r="G317" i="1"/>
  <c r="H316" i="1"/>
  <c r="H316" i="4" s="1"/>
  <c r="H315" i="1"/>
  <c r="G315" i="1"/>
  <c r="G315" i="4" s="1"/>
  <c r="H313" i="1"/>
  <c r="H313" i="4" s="1"/>
  <c r="G313" i="1"/>
  <c r="H312" i="1"/>
  <c r="H311" i="1"/>
  <c r="H311" i="4" s="1"/>
  <c r="G311" i="1"/>
  <c r="H310" i="1"/>
  <c r="G310" i="1"/>
  <c r="G310" i="4" s="1"/>
  <c r="H307" i="1"/>
  <c r="G307" i="1"/>
  <c r="G307" i="4" s="1"/>
  <c r="H305" i="1"/>
  <c r="H305" i="4" s="1"/>
  <c r="G305" i="1"/>
  <c r="H304" i="1"/>
  <c r="H304" i="4" s="1"/>
  <c r="H302" i="1"/>
  <c r="H302" i="4" s="1"/>
  <c r="G302" i="1"/>
  <c r="H301" i="1"/>
  <c r="H301" i="4" s="1"/>
  <c r="G301" i="1"/>
  <c r="H300" i="1"/>
  <c r="H300" i="4" s="1"/>
  <c r="G300" i="1"/>
  <c r="H299" i="1"/>
  <c r="H299" i="4" s="1"/>
  <c r="G299" i="1"/>
  <c r="H298" i="1"/>
  <c r="H298" i="4" s="1"/>
  <c r="G298" i="1"/>
  <c r="H297" i="1"/>
  <c r="H297" i="4" s="1"/>
  <c r="G297" i="1"/>
  <c r="H296" i="1"/>
  <c r="H296" i="4" s="1"/>
  <c r="G296" i="1"/>
  <c r="H295" i="1"/>
  <c r="H295" i="4" s="1"/>
  <c r="H294" i="1"/>
  <c r="H294" i="4" s="1"/>
  <c r="G294" i="1"/>
  <c r="H293" i="1"/>
  <c r="H293" i="4" s="1"/>
  <c r="G293" i="1"/>
  <c r="G293" i="4" s="1"/>
  <c r="H292" i="1"/>
  <c r="H292" i="4" s="1"/>
  <c r="G292" i="1"/>
  <c r="H291" i="1"/>
  <c r="H291" i="4" s="1"/>
  <c r="G291" i="1"/>
  <c r="G291" i="4" s="1"/>
  <c r="H290" i="1"/>
  <c r="H290" i="4" s="1"/>
  <c r="G290" i="1"/>
  <c r="H289" i="1"/>
  <c r="H289" i="4" s="1"/>
  <c r="G289" i="1"/>
  <c r="G289" i="4" s="1"/>
  <c r="H288" i="1"/>
  <c r="H288" i="4" s="1"/>
  <c r="G288" i="1"/>
  <c r="H285" i="1"/>
  <c r="G285" i="1"/>
  <c r="G284" i="1" s="1"/>
  <c r="H283" i="1"/>
  <c r="H283" i="4" s="1"/>
  <c r="G283" i="1"/>
  <c r="H282" i="1"/>
  <c r="H282" i="4" s="1"/>
  <c r="G282" i="1"/>
  <c r="H281" i="1"/>
  <c r="H281" i="4" s="1"/>
  <c r="G281" i="1"/>
  <c r="H280" i="1"/>
  <c r="H280" i="4" s="1"/>
  <c r="G280" i="1"/>
  <c r="H279" i="1"/>
  <c r="H279" i="4" s="1"/>
  <c r="G279" i="1"/>
  <c r="H278" i="1"/>
  <c r="H278" i="4" s="1"/>
  <c r="G278" i="1"/>
  <c r="H277" i="1"/>
  <c r="H277" i="4" s="1"/>
  <c r="G277" i="1"/>
  <c r="G277" i="4" s="1"/>
  <c r="H276" i="1"/>
  <c r="H276" i="4" s="1"/>
  <c r="H275" i="1"/>
  <c r="H275" i="4" s="1"/>
  <c r="G275" i="1"/>
  <c r="G275" i="4" s="1"/>
  <c r="H274" i="1"/>
  <c r="H274" i="4" s="1"/>
  <c r="G274" i="1"/>
  <c r="H273" i="1"/>
  <c r="G273" i="1"/>
  <c r="G273" i="4" s="1"/>
  <c r="H271" i="1"/>
  <c r="H271" i="4" s="1"/>
  <c r="G271" i="1"/>
  <c r="H270" i="1"/>
  <c r="H270" i="4" s="1"/>
  <c r="G270" i="1"/>
  <c r="H269" i="1"/>
  <c r="H269" i="4" s="1"/>
  <c r="G269" i="1"/>
  <c r="H268" i="1"/>
  <c r="H268" i="4" s="1"/>
  <c r="H267" i="1"/>
  <c r="H267" i="4" s="1"/>
  <c r="G267" i="1"/>
  <c r="H266" i="1"/>
  <c r="H266" i="4" s="1"/>
  <c r="G266" i="1"/>
  <c r="G266" i="4" s="1"/>
  <c r="H265" i="1"/>
  <c r="H265" i="4" s="1"/>
  <c r="G265" i="1"/>
  <c r="H264" i="1"/>
  <c r="H264" i="4" s="1"/>
  <c r="G264" i="1"/>
  <c r="G264" i="4" s="1"/>
  <c r="H263" i="1"/>
  <c r="H263" i="4" s="1"/>
  <c r="G263" i="1"/>
  <c r="G262" i="1" s="1"/>
  <c r="G262" i="4" s="1"/>
  <c r="H260" i="1"/>
  <c r="G260" i="1"/>
  <c r="H258" i="1"/>
  <c r="H258" i="4" s="1"/>
  <c r="G258" i="1"/>
  <c r="H257" i="1"/>
  <c r="H257" i="4" s="1"/>
  <c r="H256" i="1"/>
  <c r="G256" i="1"/>
  <c r="G256" i="4" s="1"/>
  <c r="H254" i="1"/>
  <c r="H254" i="4" s="1"/>
  <c r="G254" i="1"/>
  <c r="H253" i="1"/>
  <c r="H253" i="4" s="1"/>
  <c r="H252" i="1"/>
  <c r="G252" i="1"/>
  <c r="H249" i="1"/>
  <c r="G249" i="1"/>
  <c r="G248" i="1" s="1"/>
  <c r="H247" i="1"/>
  <c r="H247" i="4" s="1"/>
  <c r="G247" i="1"/>
  <c r="H246" i="1"/>
  <c r="H244" i="1"/>
  <c r="H244" i="4" s="1"/>
  <c r="G244" i="1"/>
  <c r="H243" i="1"/>
  <c r="H243" i="4" s="1"/>
  <c r="H242" i="1"/>
  <c r="G242" i="1"/>
  <c r="G242" i="4" s="1"/>
  <c r="H240" i="1"/>
  <c r="H240" i="4" s="1"/>
  <c r="G240" i="1"/>
  <c r="H239" i="1"/>
  <c r="H239" i="4" s="1"/>
  <c r="H238" i="1"/>
  <c r="G238" i="1"/>
  <c r="G237" i="1" s="1"/>
  <c r="H236" i="1"/>
  <c r="H236" i="4" s="1"/>
  <c r="G236" i="1"/>
  <c r="H235" i="1"/>
  <c r="H235" i="4" s="1"/>
  <c r="H234" i="1"/>
  <c r="G234" i="1"/>
  <c r="G234" i="4" s="1"/>
  <c r="H231" i="1"/>
  <c r="G231" i="1"/>
  <c r="G231" i="4" s="1"/>
  <c r="H229" i="1"/>
  <c r="H229" i="4" s="1"/>
  <c r="G229" i="1"/>
  <c r="H228" i="1"/>
  <c r="H228" i="4" s="1"/>
  <c r="H227" i="1"/>
  <c r="G227" i="1"/>
  <c r="H224" i="1"/>
  <c r="G224" i="1"/>
  <c r="G223" i="1" s="1"/>
  <c r="H222" i="1"/>
  <c r="H222" i="4" s="1"/>
  <c r="G222" i="1"/>
  <c r="H221" i="1"/>
  <c r="H221" i="4" s="1"/>
  <c r="G221" i="1"/>
  <c r="H220" i="1"/>
  <c r="H220" i="4" s="1"/>
  <c r="G220" i="1"/>
  <c r="G220" i="4" s="1"/>
  <c r="H219" i="1"/>
  <c r="H219" i="4" s="1"/>
  <c r="H218" i="1"/>
  <c r="G218" i="1"/>
  <c r="G218" i="4" s="1"/>
  <c r="H216" i="1"/>
  <c r="H216" i="4" s="1"/>
  <c r="G216" i="1"/>
  <c r="H215" i="1"/>
  <c r="H215" i="4" s="1"/>
  <c r="G215" i="1"/>
  <c r="G215" i="4" s="1"/>
  <c r="H214" i="1"/>
  <c r="H214" i="4" s="1"/>
  <c r="H211" i="1"/>
  <c r="H211" i="4" s="1"/>
  <c r="G211" i="1"/>
  <c r="H210" i="1"/>
  <c r="H210" i="4" s="1"/>
  <c r="G210" i="1"/>
  <c r="H209" i="1"/>
  <c r="H207" i="1"/>
  <c r="H207" i="4" s="1"/>
  <c r="G207" i="1"/>
  <c r="H206" i="1"/>
  <c r="H206" i="4" s="1"/>
  <c r="G206" i="1"/>
  <c r="H205" i="1"/>
  <c r="H205" i="4" s="1"/>
  <c r="G205" i="1"/>
  <c r="H204" i="1"/>
  <c r="H204" i="4" s="1"/>
  <c r="H203" i="1"/>
  <c r="H203" i="4" s="1"/>
  <c r="G203" i="1"/>
  <c r="H202" i="1"/>
  <c r="H202" i="4" s="1"/>
  <c r="G202" i="1"/>
  <c r="G202" i="4" s="1"/>
  <c r="H201" i="1"/>
  <c r="H201" i="4" s="1"/>
  <c r="G201" i="1"/>
  <c r="H200" i="1"/>
  <c r="H200" i="4" s="1"/>
  <c r="G200" i="1"/>
  <c r="G200" i="4" s="1"/>
  <c r="H199" i="1"/>
  <c r="H199" i="4" s="1"/>
  <c r="G199" i="1"/>
  <c r="H198" i="1"/>
  <c r="G198" i="1"/>
  <c r="G198" i="4" s="1"/>
  <c r="H196" i="1"/>
  <c r="H196" i="4" s="1"/>
  <c r="G196" i="1"/>
  <c r="H195" i="1"/>
  <c r="H195" i="4" s="1"/>
  <c r="G195" i="1"/>
  <c r="H194" i="1"/>
  <c r="H194" i="4" s="1"/>
  <c r="G194" i="1"/>
  <c r="H193" i="1"/>
  <c r="H193" i="4" s="1"/>
  <c r="G193" i="1"/>
  <c r="G193" i="4" s="1"/>
  <c r="H192" i="1"/>
  <c r="H192" i="4" s="1"/>
  <c r="H191" i="1"/>
  <c r="H191" i="4" s="1"/>
  <c r="G191" i="1"/>
  <c r="G191" i="4" s="1"/>
  <c r="H190" i="1"/>
  <c r="H190" i="4" s="1"/>
  <c r="G190" i="1"/>
  <c r="H189" i="1"/>
  <c r="G189" i="1"/>
  <c r="G189" i="4" s="1"/>
  <c r="H187" i="1"/>
  <c r="H187" i="4" s="1"/>
  <c r="G187" i="1"/>
  <c r="H186" i="1"/>
  <c r="H186" i="4" s="1"/>
  <c r="H185" i="1"/>
  <c r="G185" i="1"/>
  <c r="H183" i="1"/>
  <c r="H183" i="4" s="1"/>
  <c r="G183" i="1"/>
  <c r="H182" i="1"/>
  <c r="H182" i="4" s="1"/>
  <c r="H181" i="1"/>
  <c r="G181" i="1"/>
  <c r="G181" i="4" s="1"/>
  <c r="H178" i="1"/>
  <c r="G178" i="1"/>
  <c r="G178" i="4" s="1"/>
  <c r="H176" i="1"/>
  <c r="H176" i="4" s="1"/>
  <c r="G176" i="1"/>
  <c r="H175" i="1"/>
  <c r="H175" i="4" s="1"/>
  <c r="G175" i="1"/>
  <c r="H174" i="1"/>
  <c r="H174" i="4" s="1"/>
  <c r="G174" i="1"/>
  <c r="H173" i="1"/>
  <c r="H173" i="4" s="1"/>
  <c r="G173" i="1"/>
  <c r="H172" i="1"/>
  <c r="H172" i="4" s="1"/>
  <c r="G172" i="1"/>
  <c r="H171" i="1"/>
  <c r="H171" i="4" s="1"/>
  <c r="G171" i="1"/>
  <c r="H170" i="1"/>
  <c r="H170" i="4" s="1"/>
  <c r="G170" i="1"/>
  <c r="H169" i="1"/>
  <c r="H169" i="4" s="1"/>
  <c r="G169" i="1"/>
  <c r="H168" i="1"/>
  <c r="H168" i="4" s="1"/>
  <c r="G168" i="1"/>
  <c r="H167" i="1"/>
  <c r="H167" i="4" s="1"/>
  <c r="H166" i="1"/>
  <c r="H166" i="4" s="1"/>
  <c r="G166" i="1"/>
  <c r="H165" i="1"/>
  <c r="H165" i="4" s="1"/>
  <c r="G165" i="1"/>
  <c r="G165" i="4" s="1"/>
  <c r="H164" i="1"/>
  <c r="H164" i="4" s="1"/>
  <c r="G164" i="1"/>
  <c r="H163" i="1"/>
  <c r="H163" i="4" s="1"/>
  <c r="G163" i="1"/>
  <c r="G163" i="4" s="1"/>
  <c r="H162" i="1"/>
  <c r="H162" i="4" s="1"/>
  <c r="G162" i="1"/>
  <c r="H161" i="1"/>
  <c r="H161" i="4" s="1"/>
  <c r="G161" i="1"/>
  <c r="G161" i="4" s="1"/>
  <c r="H160" i="1"/>
  <c r="H160" i="4" s="1"/>
  <c r="G160" i="1"/>
  <c r="H159" i="1"/>
  <c r="G159" i="1"/>
  <c r="G159" i="4" s="1"/>
  <c r="H156" i="1"/>
  <c r="G156" i="1"/>
  <c r="G156" i="4" s="1"/>
  <c r="H154" i="1"/>
  <c r="H154" i="4" s="1"/>
  <c r="G154" i="1"/>
  <c r="H153" i="1"/>
  <c r="H153" i="4" s="1"/>
  <c r="H152" i="1"/>
  <c r="G152" i="1"/>
  <c r="H150" i="1"/>
  <c r="H150" i="4" s="1"/>
  <c r="G150" i="1"/>
  <c r="H149" i="1"/>
  <c r="H149" i="4" s="1"/>
  <c r="H147" i="1"/>
  <c r="H147" i="4" s="1"/>
  <c r="G147" i="1"/>
  <c r="H146" i="1"/>
  <c r="H146" i="4" s="1"/>
  <c r="H145" i="1"/>
  <c r="G145" i="1"/>
  <c r="G145" i="4" s="1"/>
  <c r="H143" i="1"/>
  <c r="H143" i="4" s="1"/>
  <c r="G143" i="1"/>
  <c r="H142" i="1"/>
  <c r="H142" i="4" s="1"/>
  <c r="H141" i="1"/>
  <c r="G141" i="1"/>
  <c r="G140" i="1" s="1"/>
  <c r="H139" i="1"/>
  <c r="H139" i="4" s="1"/>
  <c r="G139" i="1"/>
  <c r="H138" i="1"/>
  <c r="H138" i="4" s="1"/>
  <c r="H137" i="1"/>
  <c r="G137" i="1"/>
  <c r="G137" i="4" s="1"/>
  <c r="H135" i="1"/>
  <c r="H135" i="4" s="1"/>
  <c r="G135" i="1"/>
  <c r="H134" i="1"/>
  <c r="H134" i="4" s="1"/>
  <c r="G134" i="1"/>
  <c r="H133" i="1"/>
  <c r="H133" i="4" s="1"/>
  <c r="G133" i="1"/>
  <c r="H132" i="1"/>
  <c r="H132" i="4" s="1"/>
  <c r="G132" i="1"/>
  <c r="H131" i="1"/>
  <c r="H131" i="4" s="1"/>
  <c r="G131" i="1"/>
  <c r="H130" i="1"/>
  <c r="H130" i="4" s="1"/>
  <c r="H129" i="1"/>
  <c r="G129" i="1"/>
  <c r="G128" i="1" s="1"/>
  <c r="H127" i="1"/>
  <c r="H127" i="4" s="1"/>
  <c r="G127" i="1"/>
  <c r="H126" i="1"/>
  <c r="H126" i="4" s="1"/>
  <c r="H124" i="1"/>
  <c r="H124" i="4" s="1"/>
  <c r="G124" i="1"/>
  <c r="H123" i="1"/>
  <c r="H123" i="4" s="1"/>
  <c r="H122" i="1"/>
  <c r="G122" i="1"/>
  <c r="G122" i="4" s="1"/>
  <c r="H120" i="1"/>
  <c r="H120" i="4" s="1"/>
  <c r="G120" i="1"/>
  <c r="H119" i="1"/>
  <c r="H119" i="4" s="1"/>
  <c r="H118" i="1"/>
  <c r="G118" i="1"/>
  <c r="H115" i="1"/>
  <c r="G115" i="1"/>
  <c r="G114" i="1" s="1"/>
  <c r="H113" i="1"/>
  <c r="H113" i="4" s="1"/>
  <c r="G113" i="1"/>
  <c r="H112" i="1"/>
  <c r="H112" i="4" s="1"/>
  <c r="H110" i="1"/>
  <c r="H110" i="4" s="1"/>
  <c r="G110" i="1"/>
  <c r="H109" i="1"/>
  <c r="H109" i="4" s="1"/>
  <c r="H108" i="1"/>
  <c r="G108" i="1"/>
  <c r="H105" i="1"/>
  <c r="G105" i="1"/>
  <c r="G104" i="1" s="1"/>
  <c r="H103" i="1"/>
  <c r="H103" i="4" s="1"/>
  <c r="G103" i="1"/>
  <c r="H102" i="1"/>
  <c r="H102" i="4" s="1"/>
  <c r="H101" i="1"/>
  <c r="H101" i="4" s="1"/>
  <c r="G101" i="1"/>
  <c r="H100" i="1"/>
  <c r="G100" i="1"/>
  <c r="G99" i="1" s="1"/>
  <c r="H98" i="1"/>
  <c r="H98" i="4" s="1"/>
  <c r="G98" i="1"/>
  <c r="H97" i="1"/>
  <c r="H97" i="4" s="1"/>
  <c r="H96" i="1"/>
  <c r="G96" i="1"/>
  <c r="G95" i="1" s="1"/>
  <c r="H94" i="1"/>
  <c r="H94" i="4" s="1"/>
  <c r="G94" i="1"/>
  <c r="H93" i="1"/>
  <c r="H93" i="4" s="1"/>
  <c r="H92" i="1"/>
  <c r="G92" i="1"/>
  <c r="G91" i="1" s="1"/>
  <c r="H90" i="1"/>
  <c r="H90" i="4" s="1"/>
  <c r="G90" i="1"/>
  <c r="H89" i="1"/>
  <c r="H89" i="4" s="1"/>
  <c r="H86" i="1"/>
  <c r="H86" i="4" s="1"/>
  <c r="G86" i="1"/>
  <c r="H85" i="1"/>
  <c r="H85" i="4" s="1"/>
  <c r="H84" i="1"/>
  <c r="G84" i="1"/>
  <c r="H82" i="1"/>
  <c r="H82" i="4" s="1"/>
  <c r="G82" i="1"/>
  <c r="H81" i="1"/>
  <c r="H81" i="4" s="1"/>
  <c r="H80" i="1"/>
  <c r="G80" i="1"/>
  <c r="H77" i="1"/>
  <c r="H77" i="4" s="1"/>
  <c r="G77" i="1"/>
  <c r="H76" i="1"/>
  <c r="H76" i="4" s="1"/>
  <c r="G76" i="1"/>
  <c r="H75" i="1"/>
  <c r="G75" i="1"/>
  <c r="G74" i="1" s="1"/>
  <c r="H73" i="1"/>
  <c r="H73" i="4" s="1"/>
  <c r="G73" i="1"/>
  <c r="H72" i="1"/>
  <c r="H72" i="4" s="1"/>
  <c r="H70" i="1"/>
  <c r="H70" i="4" s="1"/>
  <c r="G70" i="1"/>
  <c r="H69" i="1"/>
  <c r="H69" i="4" s="1"/>
  <c r="G69" i="1"/>
  <c r="H68" i="1"/>
  <c r="H68" i="4" s="1"/>
  <c r="H67" i="1"/>
  <c r="H67" i="4" s="1"/>
  <c r="G67" i="1"/>
  <c r="H66" i="1"/>
  <c r="G66" i="1"/>
  <c r="H63" i="1"/>
  <c r="H63" i="4" s="1"/>
  <c r="G63" i="1"/>
  <c r="H62" i="1"/>
  <c r="H62" i="4" s="1"/>
  <c r="G62" i="1"/>
  <c r="H61" i="1"/>
  <c r="H61" i="4" s="1"/>
  <c r="G61" i="1"/>
  <c r="H60" i="1"/>
  <c r="H60" i="4" s="1"/>
  <c r="G60" i="1"/>
  <c r="H59" i="1"/>
  <c r="H59" i="4" s="1"/>
  <c r="G59" i="1"/>
  <c r="H58" i="1"/>
  <c r="H58" i="4" s="1"/>
  <c r="G58" i="1"/>
  <c r="H57" i="1"/>
  <c r="H57" i="4" s="1"/>
  <c r="G57" i="1"/>
  <c r="H56" i="1"/>
  <c r="H56" i="4" s="1"/>
  <c r="G56" i="1"/>
  <c r="H55" i="1"/>
  <c r="G55" i="1"/>
  <c r="G54" i="1" s="1"/>
  <c r="H53" i="1"/>
  <c r="H53" i="4" s="1"/>
  <c r="G53" i="1"/>
  <c r="H52" i="1"/>
  <c r="H52" i="4" s="1"/>
  <c r="H50" i="1"/>
  <c r="H50" i="4" s="1"/>
  <c r="G50" i="1"/>
  <c r="H49" i="1"/>
  <c r="H49" i="4" s="1"/>
  <c r="G49" i="1"/>
  <c r="H48" i="1"/>
  <c r="H48" i="4" s="1"/>
  <c r="G48" i="1"/>
  <c r="H47" i="1"/>
  <c r="H47" i="4" s="1"/>
  <c r="G47" i="1"/>
  <c r="H46" i="1"/>
  <c r="H46" i="4" s="1"/>
  <c r="H45" i="1"/>
  <c r="G45" i="1"/>
  <c r="H43" i="1"/>
  <c r="H43" i="4" s="1"/>
  <c r="G43" i="1"/>
  <c r="H42" i="1"/>
  <c r="H42" i="4" s="1"/>
  <c r="H41" i="1"/>
  <c r="H41" i="4" s="1"/>
  <c r="G41" i="1"/>
  <c r="H40" i="1"/>
  <c r="H40" i="4" s="1"/>
  <c r="G40" i="1"/>
  <c r="H39" i="1"/>
  <c r="H39" i="4" s="1"/>
  <c r="G39" i="1"/>
  <c r="H38" i="1"/>
  <c r="H38" i="4" s="1"/>
  <c r="G38" i="1"/>
  <c r="H37" i="1"/>
  <c r="H37" i="4" s="1"/>
  <c r="G37" i="1"/>
  <c r="H36" i="1"/>
  <c r="G36" i="1"/>
  <c r="H34" i="1"/>
  <c r="H34" i="4" s="1"/>
  <c r="G34" i="1"/>
  <c r="H33" i="1"/>
  <c r="H33" i="4" s="1"/>
  <c r="G33" i="1"/>
  <c r="H32" i="1"/>
  <c r="H32" i="4" s="1"/>
  <c r="G32" i="1"/>
  <c r="H31" i="1"/>
  <c r="H31" i="4" s="1"/>
  <c r="G31" i="1"/>
  <c r="H30" i="1"/>
  <c r="H30" i="4" s="1"/>
  <c r="G30" i="1"/>
  <c r="H29" i="1"/>
  <c r="H29" i="4" s="1"/>
  <c r="H28" i="4" s="1"/>
  <c r="G29" i="1"/>
  <c r="G28" i="1" s="1"/>
  <c r="N20" i="1"/>
  <c r="M20" i="1"/>
  <c r="M18" i="1"/>
  <c r="N17" i="1"/>
  <c r="M17" i="1"/>
  <c r="G16" i="1"/>
  <c r="G15" i="1"/>
  <c r="I14" i="1"/>
  <c r="H28" i="1" l="1"/>
  <c r="G15" i="5"/>
  <c r="J14" i="5"/>
  <c r="G16" i="5"/>
  <c r="J452" i="4"/>
  <c r="G349" i="1"/>
  <c r="G349" i="4" s="1"/>
  <c r="G465" i="1"/>
  <c r="G465" i="4" s="1"/>
  <c r="G498" i="1"/>
  <c r="G498" i="4" s="1"/>
  <c r="G272" i="1"/>
  <c r="J277" i="4"/>
  <c r="G121" i="1"/>
  <c r="G121" i="4" s="1"/>
  <c r="G180" i="1"/>
  <c r="G180" i="4" s="1"/>
  <c r="G197" i="1"/>
  <c r="G197" i="4" s="1"/>
  <c r="J215" i="4"/>
  <c r="G217" i="1"/>
  <c r="J220" i="4"/>
  <c r="G233" i="1"/>
  <c r="G233" i="4" s="1"/>
  <c r="G241" i="1"/>
  <c r="G241" i="4" s="1"/>
  <c r="G309" i="1"/>
  <c r="G314" i="1"/>
  <c r="G314" i="4" s="1"/>
  <c r="G327" i="1"/>
  <c r="G327" i="4" s="1"/>
  <c r="G136" i="1"/>
  <c r="G136" i="4" s="1"/>
  <c r="G144" i="1"/>
  <c r="G144" i="4" s="1"/>
  <c r="G158" i="1"/>
  <c r="G158" i="4" s="1"/>
  <c r="G177" i="1"/>
  <c r="G177" i="4" s="1"/>
  <c r="J191" i="4"/>
  <c r="J289" i="4"/>
  <c r="J291" i="4"/>
  <c r="J293" i="4"/>
  <c r="G306" i="1"/>
  <c r="G306" i="4" s="1"/>
  <c r="G346" i="1"/>
  <c r="G346" i="4" s="1"/>
  <c r="G360" i="1"/>
  <c r="G360" i="4" s="1"/>
  <c r="G371" i="1"/>
  <c r="G371" i="4" s="1"/>
  <c r="G379" i="1"/>
  <c r="G379" i="4" s="1"/>
  <c r="G398" i="1"/>
  <c r="G398" i="4" s="1"/>
  <c r="G418" i="1"/>
  <c r="G418" i="4" s="1"/>
  <c r="G429" i="1"/>
  <c r="G429" i="4" s="1"/>
  <c r="G436" i="1"/>
  <c r="G436" i="4" s="1"/>
  <c r="G476" i="1"/>
  <c r="G476" i="4" s="1"/>
  <c r="G484" i="1"/>
  <c r="G484" i="4" s="1"/>
  <c r="I17" i="1"/>
  <c r="I36" i="1"/>
  <c r="G36" i="4"/>
  <c r="I37" i="1"/>
  <c r="G37" i="4"/>
  <c r="J37" i="4" s="1"/>
  <c r="I38" i="1"/>
  <c r="G38" i="4"/>
  <c r="J38" i="4" s="1"/>
  <c r="I39" i="1"/>
  <c r="G39" i="4"/>
  <c r="J39" i="4" s="1"/>
  <c r="I40" i="1"/>
  <c r="G40" i="4"/>
  <c r="J40" i="4" s="1"/>
  <c r="I41" i="1"/>
  <c r="G41" i="4"/>
  <c r="J41" i="4" s="1"/>
  <c r="I45" i="1"/>
  <c r="G45" i="4"/>
  <c r="G52" i="1"/>
  <c r="G52" i="4" s="1"/>
  <c r="J52" i="4" s="1"/>
  <c r="G53" i="4"/>
  <c r="J53" i="4" s="1"/>
  <c r="G54" i="4"/>
  <c r="H54" i="1"/>
  <c r="H54" i="4" s="1"/>
  <c r="H55" i="4"/>
  <c r="I66" i="1"/>
  <c r="G66" i="4"/>
  <c r="I67" i="1"/>
  <c r="G67" i="4"/>
  <c r="J67" i="4" s="1"/>
  <c r="G72" i="1"/>
  <c r="G72" i="4" s="1"/>
  <c r="J72" i="4" s="1"/>
  <c r="G73" i="4"/>
  <c r="J73" i="4" s="1"/>
  <c r="G74" i="4"/>
  <c r="H74" i="1"/>
  <c r="H74" i="4" s="1"/>
  <c r="H75" i="4"/>
  <c r="I80" i="1"/>
  <c r="G80" i="4"/>
  <c r="I84" i="1"/>
  <c r="G84" i="4"/>
  <c r="G89" i="1"/>
  <c r="G89" i="4" s="1"/>
  <c r="J89" i="4" s="1"/>
  <c r="G90" i="4"/>
  <c r="J90" i="4" s="1"/>
  <c r="G91" i="4"/>
  <c r="H91" i="1"/>
  <c r="H91" i="4" s="1"/>
  <c r="H92" i="4"/>
  <c r="G93" i="1"/>
  <c r="G94" i="4"/>
  <c r="J94" i="4" s="1"/>
  <c r="G95" i="4"/>
  <c r="H95" i="1"/>
  <c r="H95" i="4" s="1"/>
  <c r="H96" i="4"/>
  <c r="G97" i="1"/>
  <c r="G98" i="4"/>
  <c r="J98" i="4" s="1"/>
  <c r="G99" i="4"/>
  <c r="H99" i="1"/>
  <c r="H99" i="4" s="1"/>
  <c r="H100" i="4"/>
  <c r="G102" i="1"/>
  <c r="G103" i="4"/>
  <c r="J103" i="4" s="1"/>
  <c r="G104" i="4"/>
  <c r="H104" i="1"/>
  <c r="H104" i="4" s="1"/>
  <c r="H105" i="4"/>
  <c r="I108" i="1"/>
  <c r="G108" i="4"/>
  <c r="G112" i="1"/>
  <c r="G112" i="4" s="1"/>
  <c r="J112" i="4" s="1"/>
  <c r="G113" i="4"/>
  <c r="J113" i="4" s="1"/>
  <c r="G114" i="4"/>
  <c r="H114" i="1"/>
  <c r="H114" i="4" s="1"/>
  <c r="H115" i="4"/>
  <c r="I118" i="1"/>
  <c r="G118" i="4"/>
  <c r="H121" i="1"/>
  <c r="H122" i="4"/>
  <c r="G123" i="1"/>
  <c r="G123" i="4" s="1"/>
  <c r="J123" i="4" s="1"/>
  <c r="G124" i="4"/>
  <c r="J124" i="4" s="1"/>
  <c r="G126" i="1"/>
  <c r="G127" i="4"/>
  <c r="J127" i="4" s="1"/>
  <c r="G128" i="4"/>
  <c r="H128" i="1"/>
  <c r="H128" i="4" s="1"/>
  <c r="H129" i="4"/>
  <c r="G130" i="1"/>
  <c r="G131" i="4"/>
  <c r="J131" i="4" s="1"/>
  <c r="I132" i="1"/>
  <c r="G132" i="4"/>
  <c r="J132" i="4" s="1"/>
  <c r="I133" i="1"/>
  <c r="G133" i="4"/>
  <c r="J133" i="4" s="1"/>
  <c r="I134" i="1"/>
  <c r="G134" i="4"/>
  <c r="J134" i="4" s="1"/>
  <c r="I135" i="1"/>
  <c r="G135" i="4"/>
  <c r="J135" i="4" s="1"/>
  <c r="H136" i="1"/>
  <c r="H136" i="4" s="1"/>
  <c r="H137" i="4"/>
  <c r="J137" i="4" s="1"/>
  <c r="G138" i="1"/>
  <c r="G138" i="4" s="1"/>
  <c r="J138" i="4" s="1"/>
  <c r="G139" i="4"/>
  <c r="J139" i="4" s="1"/>
  <c r="G140" i="4"/>
  <c r="H140" i="1"/>
  <c r="H140" i="4" s="1"/>
  <c r="H141" i="4"/>
  <c r="G142" i="1"/>
  <c r="G142" i="4" s="1"/>
  <c r="J142" i="4" s="1"/>
  <c r="G143" i="4"/>
  <c r="J143" i="4" s="1"/>
  <c r="I152" i="1"/>
  <c r="G152" i="4"/>
  <c r="H158" i="1"/>
  <c r="H159" i="4"/>
  <c r="J159" i="4" s="1"/>
  <c r="G167" i="1"/>
  <c r="G168" i="4"/>
  <c r="J168" i="4" s="1"/>
  <c r="I169" i="1"/>
  <c r="G169" i="4"/>
  <c r="J169" i="4" s="1"/>
  <c r="I170" i="1"/>
  <c r="G170" i="4"/>
  <c r="J170" i="4" s="1"/>
  <c r="I171" i="1"/>
  <c r="G171" i="4"/>
  <c r="J171" i="4" s="1"/>
  <c r="I172" i="1"/>
  <c r="G172" i="4"/>
  <c r="J172" i="4" s="1"/>
  <c r="I173" i="1"/>
  <c r="G173" i="4"/>
  <c r="J173" i="4" s="1"/>
  <c r="I174" i="1"/>
  <c r="G174" i="4"/>
  <c r="J174" i="4" s="1"/>
  <c r="I175" i="1"/>
  <c r="G175" i="4"/>
  <c r="J175" i="4" s="1"/>
  <c r="I176" i="1"/>
  <c r="G176" i="4"/>
  <c r="J176" i="4" s="1"/>
  <c r="H177" i="1"/>
  <c r="H177" i="4" s="1"/>
  <c r="H178" i="4"/>
  <c r="J178" i="4" s="1"/>
  <c r="I185" i="1"/>
  <c r="G185" i="4"/>
  <c r="I190" i="1"/>
  <c r="G190" i="4"/>
  <c r="J190" i="4" s="1"/>
  <c r="H197" i="1"/>
  <c r="H198" i="4"/>
  <c r="J198" i="4" s="1"/>
  <c r="G204" i="1"/>
  <c r="G205" i="4"/>
  <c r="J205" i="4" s="1"/>
  <c r="I206" i="1"/>
  <c r="G206" i="4"/>
  <c r="J206" i="4" s="1"/>
  <c r="I207" i="1"/>
  <c r="G207" i="4"/>
  <c r="J207" i="4" s="1"/>
  <c r="H208" i="1"/>
  <c r="H208" i="4" s="1"/>
  <c r="H209" i="4"/>
  <c r="I216" i="1"/>
  <c r="G216" i="4"/>
  <c r="J216" i="4" s="1"/>
  <c r="G217" i="4"/>
  <c r="H217" i="1"/>
  <c r="H217" i="4" s="1"/>
  <c r="H218" i="4"/>
  <c r="J218" i="4" s="1"/>
  <c r="I221" i="1"/>
  <c r="G221" i="4"/>
  <c r="J221" i="4" s="1"/>
  <c r="I222" i="1"/>
  <c r="G222" i="4"/>
  <c r="J222" i="4" s="1"/>
  <c r="G223" i="4"/>
  <c r="H223" i="1"/>
  <c r="H223" i="4" s="1"/>
  <c r="H224" i="4"/>
  <c r="I227" i="1"/>
  <c r="G227" i="4"/>
  <c r="H233" i="1"/>
  <c r="H234" i="4"/>
  <c r="J234" i="4" s="1"/>
  <c r="G235" i="1"/>
  <c r="G235" i="4" s="1"/>
  <c r="J235" i="4" s="1"/>
  <c r="G236" i="4"/>
  <c r="J236" i="4" s="1"/>
  <c r="G237" i="4"/>
  <c r="H237" i="1"/>
  <c r="H237" i="4" s="1"/>
  <c r="H238" i="4"/>
  <c r="G239" i="1"/>
  <c r="G240" i="4"/>
  <c r="J240" i="4" s="1"/>
  <c r="H241" i="1"/>
  <c r="H241" i="4" s="1"/>
  <c r="H242" i="4"/>
  <c r="J242" i="4" s="1"/>
  <c r="G243" i="1"/>
  <c r="G243" i="4" s="1"/>
  <c r="J243" i="4" s="1"/>
  <c r="G244" i="4"/>
  <c r="J244" i="4" s="1"/>
  <c r="G246" i="1"/>
  <c r="I246" i="1" s="1"/>
  <c r="G247" i="4"/>
  <c r="J247" i="4" s="1"/>
  <c r="G248" i="4"/>
  <c r="H248" i="1"/>
  <c r="H248" i="4" s="1"/>
  <c r="H249" i="4"/>
  <c r="I252" i="1"/>
  <c r="G252" i="4"/>
  <c r="I260" i="1"/>
  <c r="G260" i="4"/>
  <c r="G268" i="1"/>
  <c r="G269" i="4"/>
  <c r="J269" i="4" s="1"/>
  <c r="I270" i="1"/>
  <c r="G270" i="4"/>
  <c r="J270" i="4" s="1"/>
  <c r="I271" i="1"/>
  <c r="G271" i="4"/>
  <c r="J271" i="4" s="1"/>
  <c r="G272" i="4"/>
  <c r="H272" i="1"/>
  <c r="H272" i="4" s="1"/>
  <c r="H273" i="4"/>
  <c r="J273" i="4" s="1"/>
  <c r="I278" i="1"/>
  <c r="G278" i="4"/>
  <c r="J278" i="4" s="1"/>
  <c r="I279" i="1"/>
  <c r="G279" i="4"/>
  <c r="J279" i="4" s="1"/>
  <c r="I280" i="1"/>
  <c r="G280" i="4"/>
  <c r="J280" i="4" s="1"/>
  <c r="I281" i="1"/>
  <c r="G281" i="4"/>
  <c r="J281" i="4" s="1"/>
  <c r="I282" i="1"/>
  <c r="G282" i="4"/>
  <c r="J282" i="4" s="1"/>
  <c r="I283" i="1"/>
  <c r="G283" i="4"/>
  <c r="J283" i="4" s="1"/>
  <c r="G284" i="4"/>
  <c r="H284" i="1"/>
  <c r="H284" i="4" s="1"/>
  <c r="H285" i="4"/>
  <c r="I288" i="1"/>
  <c r="G288" i="4"/>
  <c r="J288" i="4" s="1"/>
  <c r="I290" i="1"/>
  <c r="G290" i="4"/>
  <c r="J290" i="4" s="1"/>
  <c r="I292" i="1"/>
  <c r="G292" i="4"/>
  <c r="J292" i="4" s="1"/>
  <c r="I294" i="1"/>
  <c r="G294" i="4"/>
  <c r="J294" i="4" s="1"/>
  <c r="G304" i="1"/>
  <c r="G304" i="4" s="1"/>
  <c r="J304" i="4" s="1"/>
  <c r="G305" i="4"/>
  <c r="J305" i="4" s="1"/>
  <c r="G309" i="4"/>
  <c r="H309" i="1"/>
  <c r="H309" i="4" s="1"/>
  <c r="H310" i="4"/>
  <c r="J310" i="4" s="1"/>
  <c r="G312" i="1"/>
  <c r="G312" i="4" s="1"/>
  <c r="G313" i="4"/>
  <c r="J313" i="4" s="1"/>
  <c r="I319" i="1"/>
  <c r="G319" i="4"/>
  <c r="H327" i="1"/>
  <c r="H328" i="4"/>
  <c r="J328" i="4" s="1"/>
  <c r="N18" i="1"/>
  <c r="H330" i="4"/>
  <c r="O18" i="4" s="1"/>
  <c r="H340" i="4"/>
  <c r="I343" i="1"/>
  <c r="G343" i="4"/>
  <c r="H346" i="1"/>
  <c r="H347" i="4"/>
  <c r="J347" i="4" s="1"/>
  <c r="H349" i="1"/>
  <c r="H350" i="4"/>
  <c r="J350" i="4" s="1"/>
  <c r="G351" i="1"/>
  <c r="G351" i="4" s="1"/>
  <c r="J351" i="4" s="1"/>
  <c r="G352" i="4"/>
  <c r="J352" i="4" s="1"/>
  <c r="G353" i="4"/>
  <c r="H353" i="1"/>
  <c r="H353" i="4" s="1"/>
  <c r="H354" i="4"/>
  <c r="G355" i="1"/>
  <c r="G356" i="4"/>
  <c r="J356" i="4" s="1"/>
  <c r="H360" i="1"/>
  <c r="H361" i="4"/>
  <c r="J361" i="4" s="1"/>
  <c r="G362" i="1"/>
  <c r="G362" i="4" s="1"/>
  <c r="J362" i="4" s="1"/>
  <c r="G363" i="4"/>
  <c r="J363" i="4" s="1"/>
  <c r="G364" i="4"/>
  <c r="H364" i="1"/>
  <c r="H364" i="4" s="1"/>
  <c r="H365" i="4"/>
  <c r="I368" i="1"/>
  <c r="G368" i="4"/>
  <c r="H371" i="1"/>
  <c r="H372" i="4"/>
  <c r="J372" i="4" s="1"/>
  <c r="G373" i="1"/>
  <c r="G373" i="4" s="1"/>
  <c r="J373" i="4" s="1"/>
  <c r="G374" i="4"/>
  <c r="J374" i="4" s="1"/>
  <c r="G375" i="4"/>
  <c r="H375" i="1"/>
  <c r="H375" i="4" s="1"/>
  <c r="H376" i="4"/>
  <c r="G377" i="1"/>
  <c r="G378" i="4"/>
  <c r="J378" i="4" s="1"/>
  <c r="H379" i="1"/>
  <c r="H379" i="4" s="1"/>
  <c r="H380" i="4"/>
  <c r="J380" i="4" s="1"/>
  <c r="G381" i="1"/>
  <c r="G381" i="4" s="1"/>
  <c r="J381" i="4" s="1"/>
  <c r="G382" i="4"/>
  <c r="J382" i="4" s="1"/>
  <c r="I387" i="1"/>
  <c r="G387" i="4"/>
  <c r="I395" i="1"/>
  <c r="G395" i="4"/>
  <c r="H398" i="1"/>
  <c r="H399" i="4"/>
  <c r="J399" i="4" s="1"/>
  <c r="G401" i="1"/>
  <c r="G401" i="4" s="1"/>
  <c r="G402" i="4"/>
  <c r="J402" i="4" s="1"/>
  <c r="G403" i="4"/>
  <c r="H403" i="1"/>
  <c r="H403" i="4" s="1"/>
  <c r="H404" i="4"/>
  <c r="I407" i="1"/>
  <c r="G407" i="4"/>
  <c r="I415" i="1"/>
  <c r="G415" i="4"/>
  <c r="H418" i="1"/>
  <c r="H419" i="4"/>
  <c r="J419" i="4" s="1"/>
  <c r="G420" i="1"/>
  <c r="G420" i="4" s="1"/>
  <c r="J420" i="4" s="1"/>
  <c r="G421" i="4"/>
  <c r="J421" i="4" s="1"/>
  <c r="G422" i="4"/>
  <c r="H422" i="1"/>
  <c r="H422" i="4" s="1"/>
  <c r="H423" i="4"/>
  <c r="I426" i="1"/>
  <c r="G426" i="4"/>
  <c r="H429" i="1"/>
  <c r="H430" i="4"/>
  <c r="J430" i="4" s="1"/>
  <c r="G432" i="1"/>
  <c r="G433" i="4"/>
  <c r="J433" i="4" s="1"/>
  <c r="I434" i="1"/>
  <c r="G434" i="4"/>
  <c r="J434" i="4" s="1"/>
  <c r="I435" i="1"/>
  <c r="G435" i="4"/>
  <c r="J435" i="4" s="1"/>
  <c r="H436" i="1"/>
  <c r="H436" i="4" s="1"/>
  <c r="H437" i="4"/>
  <c r="J437" i="4" s="1"/>
  <c r="G438" i="1"/>
  <c r="G438" i="4" s="1"/>
  <c r="J438" i="4" s="1"/>
  <c r="G439" i="4"/>
  <c r="J439" i="4" s="1"/>
  <c r="G444" i="1"/>
  <c r="G444" i="4" s="1"/>
  <c r="J444" i="4" s="1"/>
  <c r="G445" i="4"/>
  <c r="J445" i="4" s="1"/>
  <c r="I451" i="1"/>
  <c r="G451" i="4"/>
  <c r="J451" i="4" s="1"/>
  <c r="I456" i="1"/>
  <c r="G456" i="4"/>
  <c r="H465" i="1"/>
  <c r="H466" i="4"/>
  <c r="J466" i="4" s="1"/>
  <c r="G467" i="1"/>
  <c r="G467" i="4" s="1"/>
  <c r="J467" i="4" s="1"/>
  <c r="G468" i="4"/>
  <c r="J468" i="4" s="1"/>
  <c r="G469" i="4"/>
  <c r="H469" i="1"/>
  <c r="H469" i="4" s="1"/>
  <c r="H470" i="4"/>
  <c r="G471" i="1"/>
  <c r="G472" i="4"/>
  <c r="J472" i="4" s="1"/>
  <c r="H476" i="1"/>
  <c r="H477" i="4"/>
  <c r="J477" i="4" s="1"/>
  <c r="G478" i="1"/>
  <c r="G478" i="4" s="1"/>
  <c r="J478" i="4" s="1"/>
  <c r="G479" i="4"/>
  <c r="J479" i="4" s="1"/>
  <c r="G480" i="4"/>
  <c r="H480" i="1"/>
  <c r="H480" i="4" s="1"/>
  <c r="H481" i="4"/>
  <c r="G482" i="1"/>
  <c r="G483" i="4"/>
  <c r="J483" i="4" s="1"/>
  <c r="H484" i="1"/>
  <c r="H484" i="4" s="1"/>
  <c r="H485" i="4"/>
  <c r="J485" i="4" s="1"/>
  <c r="G486" i="1"/>
  <c r="G486" i="4" s="1"/>
  <c r="J486" i="4" s="1"/>
  <c r="G487" i="4"/>
  <c r="J487" i="4" s="1"/>
  <c r="G488" i="4"/>
  <c r="H488" i="1"/>
  <c r="H488" i="4" s="1"/>
  <c r="H489" i="4"/>
  <c r="G490" i="1"/>
  <c r="G490" i="4" s="1"/>
  <c r="J490" i="4" s="1"/>
  <c r="G491" i="4"/>
  <c r="J491" i="4" s="1"/>
  <c r="H498" i="1"/>
  <c r="H499" i="4"/>
  <c r="J499" i="4" s="1"/>
  <c r="G500" i="1"/>
  <c r="G500" i="4" s="1"/>
  <c r="J500" i="4" s="1"/>
  <c r="G501" i="4"/>
  <c r="J501" i="4" s="1"/>
  <c r="I29" i="1"/>
  <c r="G29" i="4"/>
  <c r="J29" i="4" s="1"/>
  <c r="I30" i="1"/>
  <c r="G30" i="4"/>
  <c r="J30" i="4" s="1"/>
  <c r="I31" i="1"/>
  <c r="G31" i="4"/>
  <c r="I32" i="1"/>
  <c r="G32" i="4"/>
  <c r="J32" i="4" s="1"/>
  <c r="I33" i="1"/>
  <c r="G33" i="4"/>
  <c r="J33" i="4" s="1"/>
  <c r="I34" i="1"/>
  <c r="G34" i="4"/>
  <c r="J34" i="4" s="1"/>
  <c r="G35" i="1"/>
  <c r="H35" i="1"/>
  <c r="H35" i="4" s="1"/>
  <c r="H36" i="4"/>
  <c r="G42" i="1"/>
  <c r="G42" i="4" s="1"/>
  <c r="J42" i="4" s="1"/>
  <c r="G43" i="4"/>
  <c r="J43" i="4" s="1"/>
  <c r="G44" i="1"/>
  <c r="H44" i="1"/>
  <c r="H44" i="4" s="1"/>
  <c r="H45" i="4"/>
  <c r="G46" i="1"/>
  <c r="G46" i="4" s="1"/>
  <c r="J46" i="4" s="1"/>
  <c r="G47" i="4"/>
  <c r="J47" i="4" s="1"/>
  <c r="I48" i="1"/>
  <c r="G48" i="4"/>
  <c r="J48" i="4" s="1"/>
  <c r="I49" i="1"/>
  <c r="G49" i="4"/>
  <c r="J49" i="4" s="1"/>
  <c r="I50" i="1"/>
  <c r="G50" i="4"/>
  <c r="J50" i="4" s="1"/>
  <c r="I55" i="1"/>
  <c r="G55" i="4"/>
  <c r="J55" i="4" s="1"/>
  <c r="I56" i="1"/>
  <c r="G56" i="4"/>
  <c r="J56" i="4" s="1"/>
  <c r="I57" i="1"/>
  <c r="G57" i="4"/>
  <c r="J57" i="4" s="1"/>
  <c r="I58" i="1"/>
  <c r="G58" i="4"/>
  <c r="J58" i="4" s="1"/>
  <c r="I59" i="1"/>
  <c r="G59" i="4"/>
  <c r="J59" i="4" s="1"/>
  <c r="I60" i="1"/>
  <c r="G60" i="4"/>
  <c r="J60" i="4" s="1"/>
  <c r="I61" i="1"/>
  <c r="G61" i="4"/>
  <c r="J61" i="4" s="1"/>
  <c r="I62" i="1"/>
  <c r="G62" i="4"/>
  <c r="J62" i="4" s="1"/>
  <c r="I63" i="1"/>
  <c r="G63" i="4"/>
  <c r="J63" i="4" s="1"/>
  <c r="G65" i="1"/>
  <c r="H65" i="1"/>
  <c r="H65" i="4" s="1"/>
  <c r="H66" i="4"/>
  <c r="G68" i="1"/>
  <c r="G68" i="4" s="1"/>
  <c r="J68" i="4" s="1"/>
  <c r="G69" i="4"/>
  <c r="J69" i="4" s="1"/>
  <c r="I70" i="1"/>
  <c r="G70" i="4"/>
  <c r="J70" i="4" s="1"/>
  <c r="I75" i="1"/>
  <c r="G75" i="4"/>
  <c r="I76" i="1"/>
  <c r="G76" i="4"/>
  <c r="J76" i="4" s="1"/>
  <c r="I77" i="1"/>
  <c r="G77" i="4"/>
  <c r="J77" i="4" s="1"/>
  <c r="G79" i="1"/>
  <c r="H79" i="1"/>
  <c r="H79" i="4" s="1"/>
  <c r="H80" i="4"/>
  <c r="G81" i="1"/>
  <c r="G81" i="4" s="1"/>
  <c r="J81" i="4" s="1"/>
  <c r="G82" i="4"/>
  <c r="J82" i="4" s="1"/>
  <c r="G83" i="1"/>
  <c r="H83" i="1"/>
  <c r="H83" i="4" s="1"/>
  <c r="H84" i="4"/>
  <c r="G85" i="1"/>
  <c r="G85" i="4" s="1"/>
  <c r="J85" i="4" s="1"/>
  <c r="G86" i="4"/>
  <c r="J86" i="4" s="1"/>
  <c r="I92" i="1"/>
  <c r="G92" i="4"/>
  <c r="I96" i="1"/>
  <c r="G96" i="4"/>
  <c r="I100" i="1"/>
  <c r="G100" i="4"/>
  <c r="I101" i="1"/>
  <c r="G101" i="4"/>
  <c r="J101" i="4" s="1"/>
  <c r="I105" i="1"/>
  <c r="G105" i="4"/>
  <c r="G107" i="1"/>
  <c r="H107" i="1"/>
  <c r="H107" i="4" s="1"/>
  <c r="H108" i="4"/>
  <c r="G109" i="1"/>
  <c r="G109" i="4" s="1"/>
  <c r="J109" i="4" s="1"/>
  <c r="G110" i="4"/>
  <c r="J110" i="4" s="1"/>
  <c r="I115" i="1"/>
  <c r="G115" i="4"/>
  <c r="J115" i="4" s="1"/>
  <c r="G117" i="1"/>
  <c r="G117" i="4" s="1"/>
  <c r="H117" i="1"/>
  <c r="H117" i="4" s="1"/>
  <c r="H118" i="4"/>
  <c r="G119" i="1"/>
  <c r="G119" i="4" s="1"/>
  <c r="J119" i="4" s="1"/>
  <c r="G120" i="4"/>
  <c r="J120" i="4" s="1"/>
  <c r="J122" i="4"/>
  <c r="I129" i="1"/>
  <c r="G129" i="4"/>
  <c r="I141" i="1"/>
  <c r="G141" i="4"/>
  <c r="H144" i="1"/>
  <c r="H144" i="4" s="1"/>
  <c r="H145" i="4"/>
  <c r="J145" i="4" s="1"/>
  <c r="G146" i="1"/>
  <c r="G146" i="4" s="1"/>
  <c r="J146" i="4" s="1"/>
  <c r="G147" i="4"/>
  <c r="J147" i="4" s="1"/>
  <c r="G149" i="1"/>
  <c r="I149" i="1" s="1"/>
  <c r="G150" i="4"/>
  <c r="J150" i="4" s="1"/>
  <c r="G151" i="1"/>
  <c r="H151" i="1"/>
  <c r="H151" i="4" s="1"/>
  <c r="H152" i="4"/>
  <c r="G153" i="1"/>
  <c r="G154" i="4"/>
  <c r="J154" i="4" s="1"/>
  <c r="G155" i="1"/>
  <c r="H155" i="1"/>
  <c r="H155" i="4" s="1"/>
  <c r="H156" i="4"/>
  <c r="J156" i="4" s="1"/>
  <c r="I160" i="1"/>
  <c r="G160" i="4"/>
  <c r="J160" i="4" s="1"/>
  <c r="J161" i="4"/>
  <c r="I162" i="1"/>
  <c r="G162" i="4"/>
  <c r="J162" i="4" s="1"/>
  <c r="J163" i="4"/>
  <c r="I164" i="1"/>
  <c r="G164" i="4"/>
  <c r="J164" i="4" s="1"/>
  <c r="J165" i="4"/>
  <c r="I166" i="1"/>
  <c r="G166" i="4"/>
  <c r="J166" i="4" s="1"/>
  <c r="H180" i="1"/>
  <c r="H181" i="4"/>
  <c r="J181" i="4" s="1"/>
  <c r="G182" i="1"/>
  <c r="G182" i="4" s="1"/>
  <c r="J182" i="4" s="1"/>
  <c r="G183" i="4"/>
  <c r="J183" i="4" s="1"/>
  <c r="G184" i="1"/>
  <c r="H184" i="1"/>
  <c r="H184" i="4" s="1"/>
  <c r="H185" i="4"/>
  <c r="G186" i="1"/>
  <c r="G187" i="4"/>
  <c r="J187" i="4" s="1"/>
  <c r="G188" i="1"/>
  <c r="H188" i="1"/>
  <c r="H188" i="4" s="1"/>
  <c r="H189" i="4"/>
  <c r="J189" i="4" s="1"/>
  <c r="J193" i="4"/>
  <c r="I194" i="1"/>
  <c r="G194" i="4"/>
  <c r="J194" i="4" s="1"/>
  <c r="I195" i="1"/>
  <c r="G195" i="4"/>
  <c r="J195" i="4" s="1"/>
  <c r="I196" i="1"/>
  <c r="G196" i="4"/>
  <c r="J196" i="4" s="1"/>
  <c r="I199" i="1"/>
  <c r="G199" i="4"/>
  <c r="J199" i="4" s="1"/>
  <c r="J200" i="4"/>
  <c r="I201" i="1"/>
  <c r="G201" i="4"/>
  <c r="J201" i="4" s="1"/>
  <c r="J202" i="4"/>
  <c r="I203" i="1"/>
  <c r="G203" i="4"/>
  <c r="J203" i="4" s="1"/>
  <c r="G209" i="1"/>
  <c r="G209" i="4" s="1"/>
  <c r="G210" i="4"/>
  <c r="J210" i="4" s="1"/>
  <c r="I211" i="1"/>
  <c r="G211" i="4"/>
  <c r="J211" i="4" s="1"/>
  <c r="I224" i="1"/>
  <c r="G224" i="4"/>
  <c r="G226" i="1"/>
  <c r="H226" i="1"/>
  <c r="H226" i="4" s="1"/>
  <c r="H227" i="4"/>
  <c r="G228" i="1"/>
  <c r="G229" i="4"/>
  <c r="J229" i="4" s="1"/>
  <c r="G230" i="1"/>
  <c r="H230" i="1"/>
  <c r="H230" i="4" s="1"/>
  <c r="H231" i="4"/>
  <c r="J231" i="4" s="1"/>
  <c r="I238" i="1"/>
  <c r="G238" i="4"/>
  <c r="H246" i="4"/>
  <c r="I249" i="1"/>
  <c r="G249" i="4"/>
  <c r="G251" i="1"/>
  <c r="H251" i="1"/>
  <c r="H251" i="4" s="1"/>
  <c r="H252" i="4"/>
  <c r="G253" i="1"/>
  <c r="G254" i="4"/>
  <c r="J254" i="4" s="1"/>
  <c r="G255" i="1"/>
  <c r="H255" i="1"/>
  <c r="H255" i="4" s="1"/>
  <c r="H256" i="4"/>
  <c r="J256" i="4" s="1"/>
  <c r="G257" i="1"/>
  <c r="G257" i="4" s="1"/>
  <c r="J257" i="4" s="1"/>
  <c r="G258" i="4"/>
  <c r="J258" i="4" s="1"/>
  <c r="G259" i="1"/>
  <c r="H259" i="1"/>
  <c r="H259" i="4" s="1"/>
  <c r="H260" i="4"/>
  <c r="I263" i="1"/>
  <c r="G263" i="4"/>
  <c r="J263" i="4" s="1"/>
  <c r="J264" i="4"/>
  <c r="I265" i="1"/>
  <c r="G265" i="4"/>
  <c r="J265" i="4" s="1"/>
  <c r="J266" i="4"/>
  <c r="I267" i="1"/>
  <c r="G267" i="4"/>
  <c r="J267" i="4" s="1"/>
  <c r="I274" i="1"/>
  <c r="G274" i="4"/>
  <c r="J274" i="4" s="1"/>
  <c r="J275" i="4"/>
  <c r="I285" i="1"/>
  <c r="G285" i="4"/>
  <c r="G287" i="1"/>
  <c r="G295" i="1"/>
  <c r="G296" i="4"/>
  <c r="J296" i="4" s="1"/>
  <c r="I297" i="1"/>
  <c r="G297" i="4"/>
  <c r="J297" i="4" s="1"/>
  <c r="I298" i="1"/>
  <c r="G298" i="4"/>
  <c r="J298" i="4" s="1"/>
  <c r="I299" i="1"/>
  <c r="G299" i="4"/>
  <c r="J299" i="4" s="1"/>
  <c r="I300" i="1"/>
  <c r="G300" i="4"/>
  <c r="J300" i="4" s="1"/>
  <c r="I301" i="1"/>
  <c r="G301" i="4"/>
  <c r="J301" i="4" s="1"/>
  <c r="I302" i="1"/>
  <c r="G302" i="4"/>
  <c r="J302" i="4" s="1"/>
  <c r="H306" i="1"/>
  <c r="H306" i="4" s="1"/>
  <c r="H307" i="4"/>
  <c r="J307" i="4" s="1"/>
  <c r="I311" i="1"/>
  <c r="G311" i="4"/>
  <c r="J311" i="4" s="1"/>
  <c r="H312" i="4"/>
  <c r="H314" i="1"/>
  <c r="H314" i="4" s="1"/>
  <c r="H315" i="4"/>
  <c r="J315" i="4" s="1"/>
  <c r="G316" i="1"/>
  <c r="G316" i="4" s="1"/>
  <c r="J316" i="4" s="1"/>
  <c r="G317" i="4"/>
  <c r="J317" i="4" s="1"/>
  <c r="G318" i="1"/>
  <c r="H318" i="1"/>
  <c r="H318" i="4" s="1"/>
  <c r="H319" i="4"/>
  <c r="G320" i="1"/>
  <c r="G321" i="4"/>
  <c r="J321" i="4" s="1"/>
  <c r="G322" i="1"/>
  <c r="H322" i="1"/>
  <c r="H322" i="4" s="1"/>
  <c r="H323" i="4"/>
  <c r="J323" i="4" s="1"/>
  <c r="J325" i="4"/>
  <c r="I326" i="1"/>
  <c r="G326" i="4"/>
  <c r="J326" i="4" s="1"/>
  <c r="I329" i="1"/>
  <c r="G329" i="4"/>
  <c r="J329" i="4" s="1"/>
  <c r="N18" i="4"/>
  <c r="I331" i="1"/>
  <c r="G331" i="4"/>
  <c r="J331" i="4" s="1"/>
  <c r="J332" i="4"/>
  <c r="I333" i="1"/>
  <c r="G333" i="4"/>
  <c r="J333" i="4" s="1"/>
  <c r="J334" i="4"/>
  <c r="I335" i="1"/>
  <c r="G335" i="4"/>
  <c r="J335" i="4" s="1"/>
  <c r="G338" i="1"/>
  <c r="H338" i="1"/>
  <c r="H338" i="4" s="1"/>
  <c r="H339" i="4"/>
  <c r="J339" i="4" s="1"/>
  <c r="G340" i="1"/>
  <c r="G340" i="4" s="1"/>
  <c r="G341" i="4"/>
  <c r="J341" i="4" s="1"/>
  <c r="G342" i="1"/>
  <c r="H342" i="1"/>
  <c r="H342" i="4" s="1"/>
  <c r="H343" i="4"/>
  <c r="G344" i="1"/>
  <c r="G344" i="4" s="1"/>
  <c r="J344" i="4" s="1"/>
  <c r="G345" i="4"/>
  <c r="J345" i="4" s="1"/>
  <c r="I354" i="1"/>
  <c r="G354" i="4"/>
  <c r="G358" i="1"/>
  <c r="G358" i="4" s="1"/>
  <c r="J358" i="4" s="1"/>
  <c r="G359" i="4"/>
  <c r="J359" i="4" s="1"/>
  <c r="I365" i="1"/>
  <c r="G365" i="4"/>
  <c r="G367" i="1"/>
  <c r="G367" i="4" s="1"/>
  <c r="H367" i="1"/>
  <c r="H367" i="4" s="1"/>
  <c r="H368" i="4"/>
  <c r="G369" i="1"/>
  <c r="G369" i="4" s="1"/>
  <c r="J369" i="4" s="1"/>
  <c r="G370" i="4"/>
  <c r="J370" i="4" s="1"/>
  <c r="I376" i="1"/>
  <c r="G376" i="4"/>
  <c r="G384" i="1"/>
  <c r="G384" i="4" s="1"/>
  <c r="J384" i="4" s="1"/>
  <c r="G385" i="4"/>
  <c r="J385" i="4" s="1"/>
  <c r="G386" i="1"/>
  <c r="H386" i="1"/>
  <c r="H386" i="4" s="1"/>
  <c r="H387" i="4"/>
  <c r="G388" i="1"/>
  <c r="G389" i="4"/>
  <c r="J389" i="4" s="1"/>
  <c r="G390" i="1"/>
  <c r="H390" i="1"/>
  <c r="H390" i="4" s="1"/>
  <c r="H391" i="4"/>
  <c r="J391" i="4" s="1"/>
  <c r="G392" i="1"/>
  <c r="G392" i="4" s="1"/>
  <c r="J392" i="4" s="1"/>
  <c r="G393" i="4"/>
  <c r="J393" i="4" s="1"/>
  <c r="G394" i="1"/>
  <c r="H394" i="1"/>
  <c r="H394" i="4" s="1"/>
  <c r="H395" i="4"/>
  <c r="G396" i="1"/>
  <c r="G396" i="4" s="1"/>
  <c r="J396" i="4" s="1"/>
  <c r="G397" i="4"/>
  <c r="J397" i="4" s="1"/>
  <c r="H401" i="4"/>
  <c r="I404" i="1"/>
  <c r="G404" i="4"/>
  <c r="G406" i="1"/>
  <c r="G406" i="4" s="1"/>
  <c r="H406" i="1"/>
  <c r="H406" i="4" s="1"/>
  <c r="H407" i="4"/>
  <c r="G408" i="1"/>
  <c r="G409" i="4"/>
  <c r="J409" i="4" s="1"/>
  <c r="G410" i="1"/>
  <c r="H410" i="1"/>
  <c r="H410" i="4" s="1"/>
  <c r="H411" i="4"/>
  <c r="J411" i="4" s="1"/>
  <c r="G412" i="1"/>
  <c r="G412" i="4" s="1"/>
  <c r="J412" i="4" s="1"/>
  <c r="G413" i="4"/>
  <c r="J413" i="4" s="1"/>
  <c r="G414" i="1"/>
  <c r="H414" i="1"/>
  <c r="H414" i="4" s="1"/>
  <c r="H415" i="4"/>
  <c r="G416" i="1"/>
  <c r="G416" i="4" s="1"/>
  <c r="J416" i="4" s="1"/>
  <c r="G417" i="4"/>
  <c r="J417" i="4" s="1"/>
  <c r="I423" i="1"/>
  <c r="G423" i="4"/>
  <c r="G425" i="1"/>
  <c r="G425" i="4" s="1"/>
  <c r="H425" i="1"/>
  <c r="H425" i="4" s="1"/>
  <c r="H426" i="4"/>
  <c r="G427" i="1"/>
  <c r="G427" i="4" s="1"/>
  <c r="J427" i="4" s="1"/>
  <c r="G428" i="4"/>
  <c r="J428" i="4" s="1"/>
  <c r="I431" i="1"/>
  <c r="G431" i="4"/>
  <c r="J431" i="4" s="1"/>
  <c r="I441" i="1"/>
  <c r="G441" i="4"/>
  <c r="J441" i="4" s="1"/>
  <c r="J442" i="4"/>
  <c r="I443" i="1"/>
  <c r="G443" i="4"/>
  <c r="J443" i="4" s="1"/>
  <c r="G447" i="1"/>
  <c r="G447" i="4" s="1"/>
  <c r="J447" i="4" s="1"/>
  <c r="G448" i="4"/>
  <c r="J448" i="4" s="1"/>
  <c r="I449" i="1"/>
  <c r="G449" i="4"/>
  <c r="J449" i="4" s="1"/>
  <c r="G450" i="1"/>
  <c r="G450" i="4" s="1"/>
  <c r="G453" i="1"/>
  <c r="G453" i="4" s="1"/>
  <c r="J453" i="4" s="1"/>
  <c r="G454" i="4"/>
  <c r="J454" i="4" s="1"/>
  <c r="G455" i="1"/>
  <c r="H455" i="1"/>
  <c r="H455" i="4" s="1"/>
  <c r="H456" i="4"/>
  <c r="J458" i="4"/>
  <c r="I459" i="1"/>
  <c r="G459" i="4"/>
  <c r="J459" i="4" s="1"/>
  <c r="I460" i="1"/>
  <c r="G460" i="4"/>
  <c r="J460" i="4" s="1"/>
  <c r="G461" i="1"/>
  <c r="H461" i="1"/>
  <c r="H461" i="4" s="1"/>
  <c r="H462" i="4"/>
  <c r="J462" i="4" s="1"/>
  <c r="I470" i="1"/>
  <c r="G470" i="4"/>
  <c r="G474" i="1"/>
  <c r="G474" i="4" s="1"/>
  <c r="J474" i="4" s="1"/>
  <c r="G475" i="4"/>
  <c r="J475" i="4" s="1"/>
  <c r="I481" i="1"/>
  <c r="G481" i="4"/>
  <c r="I489" i="1"/>
  <c r="G489" i="4"/>
  <c r="G493" i="1"/>
  <c r="G493" i="4" s="1"/>
  <c r="J493" i="4" s="1"/>
  <c r="G494" i="4"/>
  <c r="J494" i="4" s="1"/>
  <c r="G495" i="1"/>
  <c r="H495" i="1"/>
  <c r="H495" i="4" s="1"/>
  <c r="H496" i="4"/>
  <c r="J496" i="4" s="1"/>
  <c r="I28" i="1"/>
  <c r="I81" i="1"/>
  <c r="G111" i="1"/>
  <c r="G111" i="4" s="1"/>
  <c r="I43" i="1"/>
  <c r="I47" i="1"/>
  <c r="I53" i="1"/>
  <c r="I69" i="1"/>
  <c r="I73" i="1"/>
  <c r="I82" i="1"/>
  <c r="I86" i="1"/>
  <c r="I90" i="1"/>
  <c r="I94" i="1"/>
  <c r="I98" i="1"/>
  <c r="I103" i="1"/>
  <c r="I110" i="1"/>
  <c r="I113" i="1"/>
  <c r="I120" i="1"/>
  <c r="I131" i="1"/>
  <c r="I143" i="1"/>
  <c r="I154" i="1"/>
  <c r="I168" i="1"/>
  <c r="I187" i="1"/>
  <c r="I205" i="1"/>
  <c r="I210" i="1"/>
  <c r="I229" i="1"/>
  <c r="I240" i="1"/>
  <c r="I254" i="1"/>
  <c r="I269" i="1"/>
  <c r="I296" i="1"/>
  <c r="I305" i="1"/>
  <c r="I313" i="1"/>
  <c r="I321" i="1"/>
  <c r="I345" i="1"/>
  <c r="I356" i="1"/>
  <c r="I370" i="1"/>
  <c r="I389" i="1"/>
  <c r="I417" i="1"/>
  <c r="I433" i="1"/>
  <c r="I475" i="1"/>
  <c r="I491" i="1"/>
  <c r="I122" i="1"/>
  <c r="I123" i="1"/>
  <c r="I124" i="1"/>
  <c r="I126" i="1"/>
  <c r="I127" i="1"/>
  <c r="I137" i="1"/>
  <c r="I139" i="1"/>
  <c r="I145" i="1"/>
  <c r="I147" i="1"/>
  <c r="I150" i="1"/>
  <c r="I156" i="1"/>
  <c r="I159" i="1"/>
  <c r="I161" i="1"/>
  <c r="I163" i="1"/>
  <c r="I165" i="1"/>
  <c r="I178" i="1"/>
  <c r="I181" i="1"/>
  <c r="I183" i="1"/>
  <c r="I189" i="1"/>
  <c r="I191" i="1"/>
  <c r="G192" i="1"/>
  <c r="I193" i="1"/>
  <c r="I198" i="1"/>
  <c r="I200" i="1"/>
  <c r="I202" i="1"/>
  <c r="G208" i="1"/>
  <c r="G214" i="1"/>
  <c r="G214" i="4" s="1"/>
  <c r="J214" i="4" s="1"/>
  <c r="I215" i="1"/>
  <c r="I218" i="1"/>
  <c r="G219" i="1"/>
  <c r="I220" i="1"/>
  <c r="I231" i="1"/>
  <c r="I234" i="1"/>
  <c r="I236" i="1"/>
  <c r="I242" i="1"/>
  <c r="I244" i="1"/>
  <c r="I247" i="1"/>
  <c r="I256" i="1"/>
  <c r="I258" i="1"/>
  <c r="H262" i="1"/>
  <c r="I262" i="1" s="1"/>
  <c r="I264" i="1"/>
  <c r="I266" i="1"/>
  <c r="I273" i="1"/>
  <c r="I275" i="1"/>
  <c r="G276" i="1"/>
  <c r="G276" i="4" s="1"/>
  <c r="J276" i="4" s="1"/>
  <c r="I277" i="1"/>
  <c r="H287" i="1"/>
  <c r="I289" i="1"/>
  <c r="I291" i="1"/>
  <c r="I293" i="1"/>
  <c r="I307" i="1"/>
  <c r="I310" i="1"/>
  <c r="I315" i="1"/>
  <c r="I317" i="1"/>
  <c r="I323" i="1"/>
  <c r="G324" i="1"/>
  <c r="I325" i="1"/>
  <c r="I328" i="1"/>
  <c r="I330" i="1"/>
  <c r="I332" i="1"/>
  <c r="I334" i="1"/>
  <c r="I359" i="1"/>
  <c r="I378" i="1"/>
  <c r="I397" i="1"/>
  <c r="I409" i="1"/>
  <c r="I428" i="1"/>
  <c r="I447" i="1"/>
  <c r="I448" i="1"/>
  <c r="I339" i="1"/>
  <c r="I341" i="1"/>
  <c r="I347" i="1"/>
  <c r="I350" i="1"/>
  <c r="I352" i="1"/>
  <c r="I361" i="1"/>
  <c r="I363" i="1"/>
  <c r="I372" i="1"/>
  <c r="I374" i="1"/>
  <c r="I380" i="1"/>
  <c r="I381" i="1"/>
  <c r="I382" i="1"/>
  <c r="I385" i="1"/>
  <c r="I391" i="1"/>
  <c r="I392" i="1"/>
  <c r="I393" i="1"/>
  <c r="I399" i="1"/>
  <c r="I402" i="1"/>
  <c r="I411" i="1"/>
  <c r="I413" i="1"/>
  <c r="I419" i="1"/>
  <c r="I421" i="1"/>
  <c r="I430" i="1"/>
  <c r="I445" i="1"/>
  <c r="G457" i="1"/>
  <c r="G457" i="4" s="1"/>
  <c r="J457" i="4" s="1"/>
  <c r="I458" i="1"/>
  <c r="I472" i="1"/>
  <c r="I483" i="1"/>
  <c r="I494" i="1"/>
  <c r="I437" i="1"/>
  <c r="I439" i="1"/>
  <c r="H440" i="1"/>
  <c r="I442" i="1"/>
  <c r="H450" i="1"/>
  <c r="I452" i="1"/>
  <c r="I454" i="1"/>
  <c r="I462" i="1"/>
  <c r="I466" i="1"/>
  <c r="I467" i="1"/>
  <c r="I468" i="1"/>
  <c r="I477" i="1"/>
  <c r="I479" i="1"/>
  <c r="I485" i="1"/>
  <c r="I487" i="1"/>
  <c r="I496" i="1"/>
  <c r="I499" i="1"/>
  <c r="I500" i="1"/>
  <c r="I501" i="1"/>
  <c r="I474" i="1" l="1"/>
  <c r="G492" i="1"/>
  <c r="G492" i="4" s="1"/>
  <c r="I412" i="1"/>
  <c r="I257" i="1"/>
  <c r="H148" i="1"/>
  <c r="H148" i="4" s="1"/>
  <c r="J470" i="4"/>
  <c r="J404" i="4"/>
  <c r="I416" i="1"/>
  <c r="G405" i="1"/>
  <c r="G405" i="4" s="1"/>
  <c r="I226" i="1"/>
  <c r="I486" i="1"/>
  <c r="I438" i="1"/>
  <c r="I401" i="1"/>
  <c r="I351" i="1"/>
  <c r="I316" i="1"/>
  <c r="I235" i="1"/>
  <c r="G232" i="1"/>
  <c r="G232" i="4" s="1"/>
  <c r="I425" i="1"/>
  <c r="H71" i="1"/>
  <c r="H71" i="4" s="1"/>
  <c r="G51" i="1"/>
  <c r="G51" i="4" s="1"/>
  <c r="I344" i="1"/>
  <c r="J238" i="4"/>
  <c r="G348" i="1"/>
  <c r="G348" i="4" s="1"/>
  <c r="J17" i="5"/>
  <c r="I453" i="1"/>
  <c r="I358" i="1"/>
  <c r="I490" i="1"/>
  <c r="H106" i="1"/>
  <c r="H106" i="4" s="1"/>
  <c r="H27" i="1"/>
  <c r="H366" i="1"/>
  <c r="H366" i="4" s="1"/>
  <c r="H400" i="1"/>
  <c r="H400" i="4" s="1"/>
  <c r="J365" i="4"/>
  <c r="J354" i="4"/>
  <c r="J144" i="4"/>
  <c r="H357" i="1"/>
  <c r="H357" i="4" s="1"/>
  <c r="J436" i="4"/>
  <c r="J136" i="4"/>
  <c r="G88" i="1"/>
  <c r="G88" i="4" s="1"/>
  <c r="J241" i="4"/>
  <c r="H446" i="1"/>
  <c r="H446" i="4" s="1"/>
  <c r="I362" i="1"/>
  <c r="H303" i="1"/>
  <c r="I65" i="1"/>
  <c r="H111" i="1"/>
  <c r="H111" i="4" s="1"/>
  <c r="J111" i="4" s="1"/>
  <c r="H51" i="1"/>
  <c r="G71" i="1"/>
  <c r="G71" i="4" s="1"/>
  <c r="J71" i="4" s="1"/>
  <c r="I369" i="1"/>
  <c r="H250" i="1"/>
  <c r="H250" i="4" s="1"/>
  <c r="H116" i="1"/>
  <c r="H116" i="4" s="1"/>
  <c r="I85" i="1"/>
  <c r="H64" i="1"/>
  <c r="H64" i="4" s="1"/>
  <c r="J481" i="4"/>
  <c r="J340" i="4"/>
  <c r="J314" i="4"/>
  <c r="I287" i="1"/>
  <c r="J249" i="4"/>
  <c r="J224" i="4"/>
  <c r="J209" i="4"/>
  <c r="J105" i="4"/>
  <c r="J96" i="4"/>
  <c r="J75" i="4"/>
  <c r="G27" i="1"/>
  <c r="I27" i="1" s="1"/>
  <c r="H492" i="1"/>
  <c r="H492" i="4" s="1"/>
  <c r="I420" i="1"/>
  <c r="I384" i="1"/>
  <c r="H405" i="1"/>
  <c r="H405" i="4" s="1"/>
  <c r="J405" i="4" s="1"/>
  <c r="G366" i="1"/>
  <c r="G357" i="1"/>
  <c r="G357" i="4" s="1"/>
  <c r="I338" i="1"/>
  <c r="G303" i="1"/>
  <c r="G303" i="4" s="1"/>
  <c r="I243" i="1"/>
  <c r="G157" i="1"/>
  <c r="G157" i="4" s="1"/>
  <c r="I138" i="1"/>
  <c r="I107" i="1"/>
  <c r="I72" i="1"/>
  <c r="G497" i="1"/>
  <c r="G497" i="4" s="1"/>
  <c r="I444" i="1"/>
  <c r="H383" i="1"/>
  <c r="H383" i="4" s="1"/>
  <c r="H348" i="1"/>
  <c r="H348" i="4" s="1"/>
  <c r="I312" i="1"/>
  <c r="H213" i="1"/>
  <c r="H213" i="4" s="1"/>
  <c r="H125" i="1"/>
  <c r="I109" i="1"/>
  <c r="H78" i="1"/>
  <c r="H78" i="4" s="1"/>
  <c r="I46" i="1"/>
  <c r="J423" i="4"/>
  <c r="G383" i="1"/>
  <c r="J306" i="4"/>
  <c r="J285" i="4"/>
  <c r="I180" i="1"/>
  <c r="J141" i="4"/>
  <c r="J129" i="4"/>
  <c r="I79" i="1"/>
  <c r="H27" i="4"/>
  <c r="H473" i="1"/>
  <c r="H473" i="4" s="1"/>
  <c r="G464" i="1"/>
  <c r="G464" i="4" s="1"/>
  <c r="J375" i="4"/>
  <c r="J353" i="4"/>
  <c r="J309" i="4"/>
  <c r="J272" i="4"/>
  <c r="J114" i="4"/>
  <c r="J99" i="4"/>
  <c r="J91" i="4"/>
  <c r="J54" i="4"/>
  <c r="I478" i="1"/>
  <c r="I493" i="1"/>
  <c r="G400" i="1"/>
  <c r="G400" i="4" s="1"/>
  <c r="J400" i="4" s="1"/>
  <c r="I373" i="1"/>
  <c r="I340" i="1"/>
  <c r="I367" i="1"/>
  <c r="I251" i="1"/>
  <c r="I182" i="1"/>
  <c r="I146" i="1"/>
  <c r="G473" i="1"/>
  <c r="G473" i="4" s="1"/>
  <c r="G424" i="1"/>
  <c r="G424" i="4" s="1"/>
  <c r="I406" i="1"/>
  <c r="I117" i="1"/>
  <c r="H88" i="1"/>
  <c r="H88" i="4" s="1"/>
  <c r="J88" i="4" s="1"/>
  <c r="I42" i="1"/>
  <c r="I112" i="1"/>
  <c r="I89" i="1"/>
  <c r="I52" i="1"/>
  <c r="I427" i="1"/>
  <c r="I396" i="1"/>
  <c r="I304" i="1"/>
  <c r="H225" i="1"/>
  <c r="H225" i="4" s="1"/>
  <c r="I209" i="1"/>
  <c r="I142" i="1"/>
  <c r="I119" i="1"/>
  <c r="G116" i="1"/>
  <c r="G116" i="4" s="1"/>
  <c r="J116" i="4" s="1"/>
  <c r="I68" i="1"/>
  <c r="J489" i="4"/>
  <c r="J406" i="4"/>
  <c r="J376" i="4"/>
  <c r="J330" i="4"/>
  <c r="H245" i="1"/>
  <c r="H245" i="4" s="1"/>
  <c r="J100" i="4"/>
  <c r="J92" i="4"/>
  <c r="J422" i="4"/>
  <c r="J379" i="4"/>
  <c r="J364" i="4"/>
  <c r="J248" i="4"/>
  <c r="J237" i="4"/>
  <c r="J217" i="4"/>
  <c r="J140" i="4"/>
  <c r="J128" i="4"/>
  <c r="J104" i="4"/>
  <c r="J95" i="4"/>
  <c r="J74" i="4"/>
  <c r="H424" i="1"/>
  <c r="H424" i="4" s="1"/>
  <c r="J424" i="4" s="1"/>
  <c r="H440" i="4"/>
  <c r="J440" i="4" s="1"/>
  <c r="I450" i="1"/>
  <c r="H450" i="4"/>
  <c r="J450" i="4" s="1"/>
  <c r="G366" i="4"/>
  <c r="J366" i="4" s="1"/>
  <c r="I324" i="1"/>
  <c r="G324" i="4"/>
  <c r="J324" i="4" s="1"/>
  <c r="H286" i="1"/>
  <c r="H287" i="4"/>
  <c r="H261" i="1"/>
  <c r="H261" i="4" s="1"/>
  <c r="H262" i="4"/>
  <c r="J262" i="4" s="1"/>
  <c r="I219" i="1"/>
  <c r="G219" i="4"/>
  <c r="J219" i="4" s="1"/>
  <c r="I208" i="1"/>
  <c r="G208" i="4"/>
  <c r="J208" i="4" s="1"/>
  <c r="H51" i="4"/>
  <c r="H125" i="4"/>
  <c r="I414" i="1"/>
  <c r="G414" i="4"/>
  <c r="J414" i="4" s="1"/>
  <c r="I390" i="1"/>
  <c r="G390" i="4"/>
  <c r="J390" i="4" s="1"/>
  <c r="I388" i="1"/>
  <c r="G388" i="4"/>
  <c r="J388" i="4" s="1"/>
  <c r="I342" i="1"/>
  <c r="G342" i="4"/>
  <c r="J342" i="4" s="1"/>
  <c r="I318" i="1"/>
  <c r="G318" i="4"/>
  <c r="J318" i="4" s="1"/>
  <c r="G286" i="1"/>
  <c r="G286" i="4" s="1"/>
  <c r="G287" i="4"/>
  <c r="I255" i="1"/>
  <c r="G255" i="4"/>
  <c r="J255" i="4" s="1"/>
  <c r="I253" i="1"/>
  <c r="G253" i="4"/>
  <c r="J253" i="4" s="1"/>
  <c r="G225" i="1"/>
  <c r="G226" i="4"/>
  <c r="J226" i="4" s="1"/>
  <c r="I184" i="1"/>
  <c r="G184" i="4"/>
  <c r="J184" i="4" s="1"/>
  <c r="H180" i="4"/>
  <c r="J180" i="4" s="1"/>
  <c r="H179" i="1"/>
  <c r="H179" i="4" s="1"/>
  <c r="I155" i="1"/>
  <c r="G155" i="4"/>
  <c r="J155" i="4" s="1"/>
  <c r="I153" i="1"/>
  <c r="G153" i="4"/>
  <c r="J153" i="4" s="1"/>
  <c r="I144" i="1"/>
  <c r="J117" i="4"/>
  <c r="I83" i="1"/>
  <c r="G83" i="4"/>
  <c r="J83" i="4" s="1"/>
  <c r="G64" i="1"/>
  <c r="G64" i="4" s="1"/>
  <c r="G65" i="4"/>
  <c r="J65" i="4" s="1"/>
  <c r="I35" i="1"/>
  <c r="G35" i="4"/>
  <c r="J35" i="4" s="1"/>
  <c r="I488" i="1"/>
  <c r="I484" i="1"/>
  <c r="I482" i="1"/>
  <c r="G482" i="4"/>
  <c r="J482" i="4" s="1"/>
  <c r="I480" i="1"/>
  <c r="H476" i="4"/>
  <c r="J476" i="4" s="1"/>
  <c r="I476" i="1"/>
  <c r="I471" i="1"/>
  <c r="G471" i="4"/>
  <c r="J471" i="4" s="1"/>
  <c r="I469" i="1"/>
  <c r="H465" i="4"/>
  <c r="J465" i="4" s="1"/>
  <c r="I465" i="1"/>
  <c r="H464" i="1"/>
  <c r="H464" i="4" s="1"/>
  <c r="J456" i="4"/>
  <c r="J426" i="4"/>
  <c r="J415" i="4"/>
  <c r="I403" i="1"/>
  <c r="J401" i="4"/>
  <c r="H398" i="4"/>
  <c r="J398" i="4" s="1"/>
  <c r="I398" i="1"/>
  <c r="J387" i="4"/>
  <c r="J368" i="4"/>
  <c r="J343" i="4"/>
  <c r="H327" i="4"/>
  <c r="J327" i="4" s="1"/>
  <c r="I327" i="1"/>
  <c r="J319" i="4"/>
  <c r="I284" i="1"/>
  <c r="J252" i="4"/>
  <c r="I223" i="1"/>
  <c r="I204" i="1"/>
  <c r="G204" i="4"/>
  <c r="J204" i="4" s="1"/>
  <c r="H197" i="4"/>
  <c r="J197" i="4" s="1"/>
  <c r="I197" i="1"/>
  <c r="I177" i="1"/>
  <c r="I167" i="1"/>
  <c r="G167" i="4"/>
  <c r="J167" i="4" s="1"/>
  <c r="H158" i="4"/>
  <c r="J158" i="4" s="1"/>
  <c r="I158" i="1"/>
  <c r="H157" i="1"/>
  <c r="H157" i="4" s="1"/>
  <c r="J152" i="4"/>
  <c r="J118" i="4"/>
  <c r="J108" i="4"/>
  <c r="J84" i="4"/>
  <c r="J80" i="4"/>
  <c r="J66" i="4"/>
  <c r="J45" i="4"/>
  <c r="J36" i="4"/>
  <c r="I400" i="1"/>
  <c r="G383" i="4"/>
  <c r="H303" i="4"/>
  <c r="J303" i="4" s="1"/>
  <c r="I192" i="1"/>
  <c r="G192" i="4"/>
  <c r="J192" i="4" s="1"/>
  <c r="I495" i="1"/>
  <c r="G495" i="4"/>
  <c r="J495" i="4" s="1"/>
  <c r="I461" i="1"/>
  <c r="G461" i="4"/>
  <c r="J461" i="4" s="1"/>
  <c r="I455" i="1"/>
  <c r="G455" i="4"/>
  <c r="J455" i="4" s="1"/>
  <c r="J425" i="4"/>
  <c r="I410" i="1"/>
  <c r="G410" i="4"/>
  <c r="J410" i="4" s="1"/>
  <c r="I408" i="1"/>
  <c r="G408" i="4"/>
  <c r="J408" i="4" s="1"/>
  <c r="I394" i="1"/>
  <c r="G394" i="4"/>
  <c r="J394" i="4" s="1"/>
  <c r="I386" i="1"/>
  <c r="G386" i="4"/>
  <c r="J386" i="4" s="1"/>
  <c r="J367" i="4"/>
  <c r="G337" i="1"/>
  <c r="G338" i="4"/>
  <c r="J338" i="4" s="1"/>
  <c r="I322" i="1"/>
  <c r="G322" i="4"/>
  <c r="J322" i="4" s="1"/>
  <c r="I320" i="1"/>
  <c r="G320" i="4"/>
  <c r="J320" i="4" s="1"/>
  <c r="I314" i="1"/>
  <c r="H308" i="1"/>
  <c r="H308" i="4" s="1"/>
  <c r="I306" i="1"/>
  <c r="I295" i="1"/>
  <c r="G295" i="4"/>
  <c r="J295" i="4" s="1"/>
  <c r="I259" i="1"/>
  <c r="G259" i="4"/>
  <c r="J259" i="4" s="1"/>
  <c r="G250" i="1"/>
  <c r="G251" i="4"/>
  <c r="J251" i="4" s="1"/>
  <c r="I230" i="1"/>
  <c r="G230" i="4"/>
  <c r="J230" i="4" s="1"/>
  <c r="I228" i="1"/>
  <c r="G228" i="4"/>
  <c r="J228" i="4" s="1"/>
  <c r="I188" i="1"/>
  <c r="G188" i="4"/>
  <c r="J188" i="4" s="1"/>
  <c r="I186" i="1"/>
  <c r="G186" i="4"/>
  <c r="J186" i="4" s="1"/>
  <c r="I151" i="1"/>
  <c r="G151" i="4"/>
  <c r="J151" i="4" s="1"/>
  <c r="G149" i="4"/>
  <c r="J149" i="4" s="1"/>
  <c r="G148" i="1"/>
  <c r="G148" i="4" s="1"/>
  <c r="G106" i="1"/>
  <c r="G107" i="4"/>
  <c r="J107" i="4" s="1"/>
  <c r="G78" i="1"/>
  <c r="G79" i="4"/>
  <c r="J79" i="4" s="1"/>
  <c r="I44" i="1"/>
  <c r="G44" i="4"/>
  <c r="J44" i="4" s="1"/>
  <c r="G28" i="4"/>
  <c r="J31" i="4"/>
  <c r="H498" i="4"/>
  <c r="J498" i="4" s="1"/>
  <c r="I498" i="1"/>
  <c r="H497" i="1"/>
  <c r="H463" i="1" s="1"/>
  <c r="H463" i="4" s="1"/>
  <c r="J488" i="4"/>
  <c r="J484" i="4"/>
  <c r="J480" i="4"/>
  <c r="J469" i="4"/>
  <c r="I436" i="1"/>
  <c r="I432" i="1"/>
  <c r="G432" i="4"/>
  <c r="J432" i="4" s="1"/>
  <c r="H429" i="4"/>
  <c r="J429" i="4" s="1"/>
  <c r="I429" i="1"/>
  <c r="I422" i="1"/>
  <c r="H418" i="4"/>
  <c r="J418" i="4" s="1"/>
  <c r="I418" i="1"/>
  <c r="J407" i="4"/>
  <c r="J403" i="4"/>
  <c r="J395" i="4"/>
  <c r="I379" i="1"/>
  <c r="I377" i="1"/>
  <c r="G377" i="4"/>
  <c r="J377" i="4" s="1"/>
  <c r="I375" i="1"/>
  <c r="H371" i="4"/>
  <c r="J371" i="4" s="1"/>
  <c r="I371" i="1"/>
  <c r="I364" i="1"/>
  <c r="H360" i="4"/>
  <c r="J360" i="4" s="1"/>
  <c r="I360" i="1"/>
  <c r="I355" i="1"/>
  <c r="G355" i="4"/>
  <c r="J355" i="4" s="1"/>
  <c r="I353" i="1"/>
  <c r="H349" i="4"/>
  <c r="J349" i="4" s="1"/>
  <c r="I349" i="1"/>
  <c r="H346" i="4"/>
  <c r="J346" i="4" s="1"/>
  <c r="I346" i="1"/>
  <c r="H337" i="1"/>
  <c r="H337" i="4" s="1"/>
  <c r="J312" i="4"/>
  <c r="I309" i="1"/>
  <c r="J284" i="4"/>
  <c r="I272" i="1"/>
  <c r="I268" i="1"/>
  <c r="G268" i="4"/>
  <c r="J268" i="4" s="1"/>
  <c r="J260" i="4"/>
  <c r="I248" i="1"/>
  <c r="G246" i="4"/>
  <c r="J246" i="4" s="1"/>
  <c r="G245" i="1"/>
  <c r="I241" i="1"/>
  <c r="I239" i="1"/>
  <c r="G239" i="4"/>
  <c r="J239" i="4" s="1"/>
  <c r="I237" i="1"/>
  <c r="H233" i="4"/>
  <c r="J233" i="4" s="1"/>
  <c r="I233" i="1"/>
  <c r="H232" i="1"/>
  <c r="H232" i="4" s="1"/>
  <c r="J227" i="4"/>
  <c r="J223" i="4"/>
  <c r="I217" i="1"/>
  <c r="J185" i="4"/>
  <c r="J177" i="4"/>
  <c r="I140" i="1"/>
  <c r="I136" i="1"/>
  <c r="I130" i="1"/>
  <c r="G130" i="4"/>
  <c r="J130" i="4" s="1"/>
  <c r="I128" i="1"/>
  <c r="G126" i="4"/>
  <c r="J126" i="4" s="1"/>
  <c r="G125" i="1"/>
  <c r="G125" i="4" s="1"/>
  <c r="H121" i="4"/>
  <c r="J121" i="4" s="1"/>
  <c r="I121" i="1"/>
  <c r="I114" i="1"/>
  <c r="I104" i="1"/>
  <c r="I102" i="1"/>
  <c r="G102" i="4"/>
  <c r="J102" i="4" s="1"/>
  <c r="I99" i="1"/>
  <c r="I97" i="1"/>
  <c r="G97" i="4"/>
  <c r="J97" i="4" s="1"/>
  <c r="I95" i="1"/>
  <c r="I93" i="1"/>
  <c r="G93" i="4"/>
  <c r="J93" i="4" s="1"/>
  <c r="I91" i="1"/>
  <c r="I74" i="1"/>
  <c r="I54" i="1"/>
  <c r="I440" i="1"/>
  <c r="G308" i="1"/>
  <c r="I276" i="1"/>
  <c r="G261" i="1"/>
  <c r="I214" i="1"/>
  <c r="G213" i="1"/>
  <c r="G213" i="4" s="1"/>
  <c r="G179" i="1"/>
  <c r="G463" i="1"/>
  <c r="I457" i="1"/>
  <c r="G446" i="1"/>
  <c r="I473" i="1"/>
  <c r="I51" i="1" l="1"/>
  <c r="I492" i="1"/>
  <c r="H336" i="1"/>
  <c r="J51" i="4"/>
  <c r="J492" i="4"/>
  <c r="I88" i="1"/>
  <c r="I116" i="1"/>
  <c r="I71" i="1"/>
  <c r="I405" i="1"/>
  <c r="I303" i="1"/>
  <c r="I357" i="1"/>
  <c r="I111" i="1"/>
  <c r="J383" i="4"/>
  <c r="J464" i="4"/>
  <c r="J473" i="4"/>
  <c r="I383" i="1"/>
  <c r="J348" i="4"/>
  <c r="I366" i="1"/>
  <c r="J357" i="4"/>
  <c r="H26" i="1"/>
  <c r="N15" i="1" s="1"/>
  <c r="G26" i="1"/>
  <c r="M15" i="1" s="1"/>
  <c r="I424" i="1"/>
  <c r="I464" i="1"/>
  <c r="I348" i="1"/>
  <c r="J125" i="4"/>
  <c r="J213" i="4"/>
  <c r="J64" i="4"/>
  <c r="G87" i="1"/>
  <c r="G87" i="4" s="1"/>
  <c r="N16" i="4" s="1"/>
  <c r="H87" i="1"/>
  <c r="N16" i="1" s="1"/>
  <c r="J148" i="4"/>
  <c r="J287" i="4"/>
  <c r="H26" i="4"/>
  <c r="O15" i="4" s="1"/>
  <c r="N19" i="1"/>
  <c r="H336" i="4"/>
  <c r="O19" i="4" s="1"/>
  <c r="H87" i="4"/>
  <c r="O16" i="4" s="1"/>
  <c r="I446" i="1"/>
  <c r="G446" i="4"/>
  <c r="J446" i="4" s="1"/>
  <c r="I463" i="1"/>
  <c r="G463" i="4"/>
  <c r="J463" i="4" s="1"/>
  <c r="I261" i="1"/>
  <c r="G261" i="4"/>
  <c r="J261" i="4" s="1"/>
  <c r="I308" i="1"/>
  <c r="G308" i="4"/>
  <c r="J308" i="4" s="1"/>
  <c r="G106" i="4"/>
  <c r="J106" i="4" s="1"/>
  <c r="I106" i="1"/>
  <c r="G250" i="4"/>
  <c r="J250" i="4" s="1"/>
  <c r="I250" i="1"/>
  <c r="H212" i="1"/>
  <c r="H212" i="4" s="1"/>
  <c r="G225" i="4"/>
  <c r="J225" i="4" s="1"/>
  <c r="I225" i="1"/>
  <c r="I157" i="1"/>
  <c r="I232" i="1"/>
  <c r="I286" i="1"/>
  <c r="H286" i="4"/>
  <c r="J286" i="4" s="1"/>
  <c r="I179" i="1"/>
  <c r="G179" i="4"/>
  <c r="J179" i="4" s="1"/>
  <c r="G245" i="4"/>
  <c r="J245" i="4" s="1"/>
  <c r="I245" i="1"/>
  <c r="H497" i="4"/>
  <c r="J497" i="4" s="1"/>
  <c r="I497" i="1"/>
  <c r="G27" i="4"/>
  <c r="J28" i="4"/>
  <c r="G78" i="4"/>
  <c r="J78" i="4" s="1"/>
  <c r="I78" i="1"/>
  <c r="G337" i="4"/>
  <c r="J337" i="4" s="1"/>
  <c r="I337" i="1"/>
  <c r="I64" i="1"/>
  <c r="I125" i="1"/>
  <c r="I148" i="1"/>
  <c r="J157" i="4"/>
  <c r="J232" i="4"/>
  <c r="M16" i="1"/>
  <c r="I213" i="1"/>
  <c r="G212" i="1"/>
  <c r="G336" i="1"/>
  <c r="G336" i="4" s="1"/>
  <c r="I87" i="1" l="1"/>
  <c r="I26" i="1"/>
  <c r="H25" i="1"/>
  <c r="J336" i="4"/>
  <c r="N19" i="4"/>
  <c r="I212" i="1"/>
  <c r="G212" i="4"/>
  <c r="J212" i="4" s="1"/>
  <c r="J27" i="4"/>
  <c r="G26" i="4"/>
  <c r="H25" i="4"/>
  <c r="J87" i="4"/>
  <c r="G25" i="1"/>
  <c r="I336" i="1"/>
  <c r="M19" i="1"/>
  <c r="I25" i="1" l="1"/>
  <c r="J26" i="1" s="1"/>
  <c r="N15" i="4"/>
  <c r="G25" i="4"/>
  <c r="J26" i="4"/>
  <c r="J36" i="1"/>
  <c r="J38" i="1"/>
  <c r="J40" i="1"/>
  <c r="J45" i="1"/>
  <c r="J67" i="1"/>
  <c r="J84" i="1"/>
  <c r="J118" i="1"/>
  <c r="J133" i="1"/>
  <c r="J135" i="1"/>
  <c r="J169" i="1"/>
  <c r="J171" i="1"/>
  <c r="J173" i="1"/>
  <c r="J175" i="1"/>
  <c r="J190" i="1"/>
  <c r="J207" i="1"/>
  <c r="J224" i="1"/>
  <c r="J260" i="1"/>
  <c r="J271" i="1"/>
  <c r="J285" i="1"/>
  <c r="J298" i="1"/>
  <c r="J300" i="1"/>
  <c r="J302" i="1"/>
  <c r="J368" i="1"/>
  <c r="J404" i="1"/>
  <c r="J426" i="1"/>
  <c r="J460" i="1"/>
  <c r="J28" i="1"/>
  <c r="J30" i="1"/>
  <c r="J32" i="1"/>
  <c r="J34" i="1"/>
  <c r="J48" i="1"/>
  <c r="J50" i="1"/>
  <c r="J55" i="1"/>
  <c r="J57" i="1"/>
  <c r="J59" i="1"/>
  <c r="J61" i="1"/>
  <c r="J63" i="1"/>
  <c r="J76" i="1"/>
  <c r="J96" i="1"/>
  <c r="J101" i="1"/>
  <c r="J129" i="1"/>
  <c r="J160" i="1"/>
  <c r="J164" i="1"/>
  <c r="J185" i="1"/>
  <c r="J195" i="1"/>
  <c r="J199" i="1"/>
  <c r="J203" i="1"/>
  <c r="J221" i="1"/>
  <c r="J227" i="1"/>
  <c r="J252" i="1"/>
  <c r="J265" i="1"/>
  <c r="J278" i="1"/>
  <c r="J280" i="1"/>
  <c r="J282" i="1"/>
  <c r="J288" i="1"/>
  <c r="J292" i="1"/>
  <c r="J319" i="1"/>
  <c r="J329" i="1"/>
  <c r="J333" i="1"/>
  <c r="J354" i="1"/>
  <c r="J376" i="1"/>
  <c r="J407" i="1"/>
  <c r="J431" i="1"/>
  <c r="J443" i="1"/>
  <c r="J435" i="1"/>
  <c r="J459" i="1"/>
  <c r="J481" i="1"/>
  <c r="J39" i="1"/>
  <c r="J41" i="1"/>
  <c r="J66" i="1"/>
  <c r="J80" i="1"/>
  <c r="J108" i="1"/>
  <c r="J132" i="1"/>
  <c r="J134" i="1"/>
  <c r="J141" i="1"/>
  <c r="J170" i="1"/>
  <c r="J172" i="1"/>
  <c r="J174" i="1"/>
  <c r="J176" i="1"/>
  <c r="J206" i="1"/>
  <c r="J216" i="1"/>
  <c r="J249" i="1"/>
  <c r="J270" i="1"/>
  <c r="J274" i="1"/>
  <c r="J297" i="1"/>
  <c r="J299" i="1"/>
  <c r="J301" i="1"/>
  <c r="J311" i="1"/>
  <c r="J343" i="1"/>
  <c r="J395" i="1"/>
  <c r="J415" i="1"/>
  <c r="J441" i="1"/>
  <c r="J489" i="1"/>
  <c r="J29" i="1"/>
  <c r="J31" i="1"/>
  <c r="J33" i="1"/>
  <c r="J49" i="1"/>
  <c r="J56" i="1"/>
  <c r="J58" i="1"/>
  <c r="J60" i="1"/>
  <c r="J62" i="1"/>
  <c r="J70" i="1"/>
  <c r="J75" i="1"/>
  <c r="J77" i="1"/>
  <c r="J92" i="1"/>
  <c r="J100" i="1"/>
  <c r="J105" i="1"/>
  <c r="J115" i="1"/>
  <c r="J152" i="1"/>
  <c r="J162" i="1"/>
  <c r="J166" i="1"/>
  <c r="J194" i="1"/>
  <c r="J196" i="1"/>
  <c r="J201" i="1"/>
  <c r="J211" i="1"/>
  <c r="J222" i="1"/>
  <c r="J238" i="1"/>
  <c r="J263" i="1"/>
  <c r="J267" i="1"/>
  <c r="J279" i="1"/>
  <c r="J281" i="1"/>
  <c r="J283" i="1"/>
  <c r="J290" i="1"/>
  <c r="J294" i="1"/>
  <c r="J326" i="1"/>
  <c r="J331" i="1"/>
  <c r="J335" i="1"/>
  <c r="J365" i="1"/>
  <c r="J387" i="1"/>
  <c r="J423" i="1"/>
  <c r="J451" i="1"/>
  <c r="J37" i="1"/>
  <c r="J456" i="1"/>
  <c r="J470" i="1"/>
  <c r="J449" i="1"/>
  <c r="J421" i="1"/>
  <c r="J402" i="1"/>
  <c r="J391" i="1"/>
  <c r="J372" i="1"/>
  <c r="J339" i="1"/>
  <c r="J397" i="1"/>
  <c r="J328" i="1"/>
  <c r="J315" i="1"/>
  <c r="J293" i="1"/>
  <c r="J273" i="1"/>
  <c r="J236" i="1"/>
  <c r="J231" i="1"/>
  <c r="J218" i="1"/>
  <c r="J198" i="1"/>
  <c r="J161" i="1"/>
  <c r="J147" i="1"/>
  <c r="J127" i="1"/>
  <c r="J122" i="1"/>
  <c r="J501" i="1"/>
  <c r="J496" i="1"/>
  <c r="J485" i="1"/>
  <c r="J452" i="1"/>
  <c r="J472" i="1"/>
  <c r="J356" i="1"/>
  <c r="J305" i="1"/>
  <c r="J205" i="1"/>
  <c r="J143" i="1"/>
  <c r="J113" i="1"/>
  <c r="J90" i="1"/>
  <c r="J73" i="1"/>
  <c r="J479" i="1"/>
  <c r="J468" i="1"/>
  <c r="J462" i="1"/>
  <c r="J439" i="1"/>
  <c r="J458" i="1"/>
  <c r="J430" i="1"/>
  <c r="J411" i="1"/>
  <c r="J399" i="1"/>
  <c r="J382" i="1"/>
  <c r="J363" i="1"/>
  <c r="J352" i="1"/>
  <c r="J347" i="1"/>
  <c r="J409" i="1"/>
  <c r="J334" i="1"/>
  <c r="J325" i="1"/>
  <c r="J310" i="1"/>
  <c r="J277" i="1"/>
  <c r="J266" i="1"/>
  <c r="J256" i="1"/>
  <c r="J244" i="1"/>
  <c r="J215" i="1"/>
  <c r="J193" i="1"/>
  <c r="J183" i="1"/>
  <c r="J178" i="1"/>
  <c r="J159" i="1"/>
  <c r="J139" i="1"/>
  <c r="J491" i="1"/>
  <c r="J417" i="1"/>
  <c r="J370" i="1"/>
  <c r="J313" i="1"/>
  <c r="J269" i="1"/>
  <c r="J240" i="1"/>
  <c r="J187" i="1"/>
  <c r="J131" i="1"/>
  <c r="J103" i="1"/>
  <c r="J86" i="1"/>
  <c r="J53" i="1"/>
  <c r="J419" i="1"/>
  <c r="J393" i="1"/>
  <c r="J374" i="1"/>
  <c r="J341" i="1"/>
  <c r="J448" i="1"/>
  <c r="J378" i="1"/>
  <c r="J332" i="1"/>
  <c r="J317" i="1"/>
  <c r="J289" i="1"/>
  <c r="J264" i="1"/>
  <c r="J234" i="1"/>
  <c r="J220" i="1"/>
  <c r="J202" i="1"/>
  <c r="J189" i="1"/>
  <c r="J165" i="1"/>
  <c r="J150" i="1"/>
  <c r="J145" i="1"/>
  <c r="J124" i="1"/>
  <c r="J475" i="1"/>
  <c r="J499" i="1"/>
  <c r="J487" i="1"/>
  <c r="J454" i="1"/>
  <c r="J494" i="1"/>
  <c r="J433" i="1"/>
  <c r="J389" i="1"/>
  <c r="J321" i="1"/>
  <c r="J229" i="1"/>
  <c r="J168" i="1"/>
  <c r="J120" i="1"/>
  <c r="J98" i="1"/>
  <c r="J82" i="1"/>
  <c r="J47" i="1"/>
  <c r="J477" i="1"/>
  <c r="J466" i="1"/>
  <c r="J442" i="1"/>
  <c r="J437" i="1"/>
  <c r="J483" i="1"/>
  <c r="J445" i="1"/>
  <c r="J413" i="1"/>
  <c r="J400" i="1"/>
  <c r="J385" i="1"/>
  <c r="J380" i="1"/>
  <c r="J361" i="1"/>
  <c r="J350" i="1"/>
  <c r="J428" i="1"/>
  <c r="J359" i="1"/>
  <c r="J330" i="1"/>
  <c r="J323" i="1"/>
  <c r="J307" i="1"/>
  <c r="J291" i="1"/>
  <c r="J275" i="1"/>
  <c r="J258" i="1"/>
  <c r="J247" i="1"/>
  <c r="J242" i="1"/>
  <c r="J200" i="1"/>
  <c r="J191" i="1"/>
  <c r="J181" i="1"/>
  <c r="J163" i="1"/>
  <c r="J156" i="1"/>
  <c r="J137" i="1"/>
  <c r="J345" i="1"/>
  <c r="J296" i="1"/>
  <c r="J254" i="1"/>
  <c r="J210" i="1"/>
  <c r="J154" i="1"/>
  <c r="J110" i="1"/>
  <c r="J94" i="1"/>
  <c r="J69" i="1"/>
  <c r="J43" i="1"/>
  <c r="J463" i="1"/>
  <c r="J27" i="1"/>
  <c r="J87" i="1"/>
  <c r="J336" i="1"/>
  <c r="J212" i="1"/>
  <c r="J25" i="4" l="1"/>
  <c r="K26" i="4" s="1"/>
  <c r="K215" i="4"/>
  <c r="K293" i="4"/>
  <c r="K496" i="4"/>
  <c r="K181" i="4"/>
  <c r="K391" i="4"/>
  <c r="K256" i="4"/>
  <c r="K485" i="4"/>
  <c r="K454" i="4"/>
  <c r="K423" i="4"/>
  <c r="K393" i="4"/>
  <c r="K361" i="4"/>
  <c r="K347" i="4"/>
  <c r="K331" i="4"/>
  <c r="K325" i="4"/>
  <c r="K302" i="4"/>
  <c r="K298" i="4"/>
  <c r="K273" i="4"/>
  <c r="K249" i="4"/>
  <c r="K210" i="4"/>
  <c r="K198" i="4"/>
  <c r="K193" i="4"/>
  <c r="K163" i="4"/>
  <c r="K147" i="4"/>
  <c r="K120" i="4"/>
  <c r="K100" i="4"/>
  <c r="K77" i="4"/>
  <c r="K69" i="4"/>
  <c r="K435" i="4"/>
  <c r="K374" i="4"/>
  <c r="K352" i="4"/>
  <c r="K290" i="4"/>
  <c r="K269" i="4"/>
  <c r="K240" i="4"/>
  <c r="K143" i="4"/>
  <c r="K133" i="4"/>
  <c r="K124" i="4"/>
  <c r="K103" i="4"/>
  <c r="K73" i="4"/>
  <c r="K38" i="4"/>
  <c r="K477" i="4"/>
  <c r="K449" i="4"/>
  <c r="K431" i="4"/>
  <c r="K413" i="4"/>
  <c r="K389" i="4"/>
  <c r="K333" i="4"/>
  <c r="K275" i="4"/>
  <c r="K254" i="4"/>
  <c r="K218" i="4"/>
  <c r="K166" i="4"/>
  <c r="K154" i="4"/>
  <c r="K110" i="4"/>
  <c r="K61" i="4"/>
  <c r="K57" i="4"/>
  <c r="K49" i="4"/>
  <c r="K33" i="4"/>
  <c r="K472" i="4"/>
  <c r="K445" i="4"/>
  <c r="K283" i="4"/>
  <c r="K279" i="4"/>
  <c r="K206" i="4"/>
  <c r="K174" i="4"/>
  <c r="K170" i="4"/>
  <c r="K411" i="4"/>
  <c r="K156" i="4"/>
  <c r="K323" i="4"/>
  <c r="K231" i="4"/>
  <c r="K460" i="4"/>
  <c r="K437" i="4"/>
  <c r="K409" i="4"/>
  <c r="K365" i="4"/>
  <c r="K350" i="4"/>
  <c r="K334" i="4"/>
  <c r="K326" i="4"/>
  <c r="K310" i="4"/>
  <c r="K299" i="4"/>
  <c r="K274" i="4"/>
  <c r="K258" i="4"/>
  <c r="K211" i="4"/>
  <c r="K199" i="4"/>
  <c r="K194" i="4"/>
  <c r="K164" i="4"/>
  <c r="K160" i="4"/>
  <c r="K150" i="4"/>
  <c r="K122" i="4"/>
  <c r="K101" i="4"/>
  <c r="K96" i="4"/>
  <c r="K86" i="4"/>
  <c r="K76" i="4"/>
  <c r="K70" i="4"/>
  <c r="K43" i="4"/>
  <c r="K439" i="4"/>
  <c r="K433" i="4"/>
  <c r="K421" i="4"/>
  <c r="K378" i="4"/>
  <c r="K356" i="4"/>
  <c r="K313" i="4"/>
  <c r="K294" i="4"/>
  <c r="K270" i="4"/>
  <c r="K244" i="4"/>
  <c r="K236" i="4"/>
  <c r="K216" i="4"/>
  <c r="K139" i="4"/>
  <c r="K134" i="4"/>
  <c r="K132" i="4"/>
  <c r="K127" i="4"/>
  <c r="K98" i="4"/>
  <c r="K90" i="4"/>
  <c r="K67" i="4"/>
  <c r="K53" i="4"/>
  <c r="K41" i="4"/>
  <c r="K39" i="4"/>
  <c r="K37" i="4"/>
  <c r="K481" i="4"/>
  <c r="K475" i="4"/>
  <c r="K466" i="4"/>
  <c r="K448" i="4"/>
  <c r="K442" i="4"/>
  <c r="K430" i="4"/>
  <c r="K404" i="4"/>
  <c r="K397" i="4"/>
  <c r="K376" i="4"/>
  <c r="K370" i="4"/>
  <c r="K341" i="4"/>
  <c r="K332" i="4"/>
  <c r="K317" i="4"/>
  <c r="K285" i="4"/>
  <c r="K267" i="4"/>
  <c r="K263" i="4"/>
  <c r="K238" i="4"/>
  <c r="K224" i="4"/>
  <c r="K201" i="4"/>
  <c r="K183" i="4"/>
  <c r="K165" i="4"/>
  <c r="K161" i="4"/>
  <c r="K141" i="4"/>
  <c r="K115" i="4"/>
  <c r="K82" i="4"/>
  <c r="K62" i="4"/>
  <c r="K60" i="4"/>
  <c r="K58" i="4"/>
  <c r="K56" i="4"/>
  <c r="K50" i="4"/>
  <c r="K48" i="4"/>
  <c r="K34" i="4"/>
  <c r="K32" i="4"/>
  <c r="K29" i="4"/>
  <c r="K491" i="4"/>
  <c r="K487" i="4"/>
  <c r="K483" i="4"/>
  <c r="K479" i="4"/>
  <c r="K451" i="4"/>
  <c r="K292" i="4"/>
  <c r="K282" i="4"/>
  <c r="K280" i="4"/>
  <c r="K278" i="4"/>
  <c r="K221" i="4"/>
  <c r="K207" i="4"/>
  <c r="K205" i="4"/>
  <c r="K175" i="4"/>
  <c r="K173" i="4"/>
  <c r="K171" i="4"/>
  <c r="K169" i="4"/>
  <c r="K260" i="4"/>
  <c r="K407" i="4"/>
  <c r="K108" i="4"/>
  <c r="K152" i="4"/>
  <c r="K343" i="4"/>
  <c r="K387" i="4"/>
  <c r="K185" i="4"/>
  <c r="K400" i="4"/>
  <c r="K45" i="4"/>
  <c r="K84" i="4"/>
  <c r="K415" i="4"/>
  <c r="K456" i="4"/>
  <c r="K395" i="4"/>
  <c r="K31" i="4"/>
  <c r="K80" i="4"/>
  <c r="K118" i="4"/>
  <c r="K252" i="4"/>
  <c r="K368" i="4"/>
  <c r="K227" i="4"/>
  <c r="K36" i="4"/>
  <c r="K66" i="4"/>
  <c r="K319" i="4"/>
  <c r="K426" i="4"/>
  <c r="K28" i="4"/>
  <c r="K463" i="4"/>
  <c r="K87" i="4"/>
  <c r="J25" i="1"/>
  <c r="K277" i="4" l="1"/>
  <c r="K191" i="4"/>
  <c r="K212" i="4"/>
  <c r="K27" i="4"/>
  <c r="K336" i="4"/>
  <c r="K402" i="4"/>
  <c r="K220" i="4"/>
  <c r="K291" i="4"/>
  <c r="K289" i="4"/>
  <c r="K452" i="4"/>
  <c r="K339" i="4"/>
  <c r="K145" i="4"/>
  <c r="K315" i="4"/>
  <c r="K494" i="4"/>
  <c r="K459" i="4"/>
  <c r="K441" i="4"/>
  <c r="K417" i="4"/>
  <c r="K380" i="4"/>
  <c r="K354" i="4"/>
  <c r="K335" i="4"/>
  <c r="K328" i="4"/>
  <c r="K311" i="4"/>
  <c r="K300" i="4"/>
  <c r="K296" i="4"/>
  <c r="K264" i="4"/>
  <c r="K229" i="4"/>
  <c r="K202" i="4"/>
  <c r="K195" i="4"/>
  <c r="K178" i="4"/>
  <c r="K159" i="4"/>
  <c r="K129" i="4"/>
  <c r="K105" i="4"/>
  <c r="K92" i="4"/>
  <c r="K75" i="4"/>
  <c r="K501" i="4"/>
  <c r="K382" i="4"/>
  <c r="K363" i="4"/>
  <c r="K305" i="4"/>
  <c r="K271" i="4"/>
  <c r="K247" i="4"/>
  <c r="K190" i="4"/>
  <c r="K135" i="4"/>
  <c r="K131" i="4"/>
  <c r="K113" i="4"/>
  <c r="K94" i="4"/>
  <c r="K40" i="4"/>
  <c r="K499" i="4"/>
  <c r="K470" i="4"/>
  <c r="K443" i="4"/>
  <c r="K428" i="4"/>
  <c r="K399" i="4"/>
  <c r="K372" i="4"/>
  <c r="K330" i="4"/>
  <c r="K266" i="4"/>
  <c r="K234" i="4"/>
  <c r="K200" i="4"/>
  <c r="K162" i="4"/>
  <c r="K137" i="4"/>
  <c r="K63" i="4"/>
  <c r="K59" i="4"/>
  <c r="K55" i="4"/>
  <c r="K47" i="4"/>
  <c r="K30" i="4"/>
  <c r="K468" i="4"/>
  <c r="K288" i="4"/>
  <c r="K281" i="4"/>
  <c r="K222" i="4"/>
  <c r="K176" i="4"/>
  <c r="K172" i="4"/>
  <c r="K168" i="4"/>
  <c r="K189" i="4"/>
  <c r="K462" i="4"/>
  <c r="K307" i="4"/>
  <c r="K489" i="4"/>
  <c r="K458" i="4"/>
  <c r="K419" i="4"/>
  <c r="K385" i="4"/>
  <c r="K359" i="4"/>
  <c r="K345" i="4"/>
  <c r="K329" i="4"/>
  <c r="K321" i="4"/>
  <c r="K301" i="4"/>
  <c r="K297" i="4"/>
  <c r="K265" i="4"/>
  <c r="K242" i="4"/>
  <c r="K203" i="4"/>
  <c r="K196" i="4"/>
  <c r="K187" i="4"/>
  <c r="K25" i="4"/>
</calcChain>
</file>

<file path=xl/sharedStrings.xml><?xml version="1.0" encoding="utf-8"?>
<sst xmlns="http://schemas.openxmlformats.org/spreadsheetml/2006/main" count="3893" uniqueCount="391">
  <si>
    <t>Form. No.6 SRS</t>
  </si>
  <si>
    <t>Servicio Nacional de Salud</t>
  </si>
  <si>
    <t>Dirección de Fizcalización</t>
  </si>
  <si>
    <t>Consolidado de Ingresos y Gastos por Fuente de Financiamiento</t>
  </si>
  <si>
    <t>HOSPITAL MATERNO INFANTIL SAN LORENZO DE LOS MINA</t>
  </si>
  <si>
    <t>MARZO 2025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</si>
  <si>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</si>
  <si>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</si>
  <si>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</si>
  <si>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</si>
  <si>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</si>
  <si>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</si>
  <si>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</si>
  <si>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</si>
  <si>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</si>
  <si>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</si>
  <si>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</si>
  <si>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</si>
  <si>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</si>
  <si>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</si>
  <si>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</si>
  <si>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</si>
  <si>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TOTAL</t>
  </si>
  <si>
    <t>%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</si>
  <si>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</si>
  <si>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</si>
  <si>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</si>
  <si>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</si>
  <si>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</si>
  <si>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</si>
  <si>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</si>
  <si>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</si>
  <si>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</si>
  <si>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</si>
  <si>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>Remuneraciones al personal fijo</t>
  </si>
  <si>
    <t>01</t>
  </si>
  <si>
    <t xml:space="preserve"> Sueldos a empleados fijos</t>
  </si>
  <si>
    <t>02</t>
  </si>
  <si>
    <t>Sueldos a médicos</t>
  </si>
  <si>
    <t>03</t>
  </si>
  <si>
    <t>Ascensos a militares</t>
  </si>
  <si>
    <t>04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</si>
  <si>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</si>
  <si>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</si>
  <si>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</si>
  <si>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</si>
  <si>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</si>
  <si>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</si>
  <si>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</si>
  <si>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</si>
  <si>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</si>
  <si>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</si>
  <si>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Empleados temporales</t>
  </si>
  <si>
    <t>09</t>
  </si>
  <si>
    <t>Personal de carácter eventual</t>
  </si>
  <si>
    <t>11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</si>
  <si>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</si>
  <si>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</si>
  <si>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</si>
  <si>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</si>
  <si>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</si>
  <si>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Prestación laboral por desvinculación</t>
  </si>
  <si>
    <t>Proporción de vacaciones no disfrutadas</t>
  </si>
  <si>
    <t>Sobresueldos</t>
  </si>
  <si>
    <t>Primas por antigüedad</t>
  </si>
  <si>
    <t>Compensación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</si>
  <si>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</si>
  <si>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</si>
  <si>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</si>
  <si>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</si>
  <si>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</si>
  <si>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</si>
  <si>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</si>
  <si>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Compensaciones especiales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</si>
  <si>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</si>
  <si>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</si>
  <si>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</si>
  <si>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</si>
  <si>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</si>
  <si>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</si>
  <si>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</si>
  <si>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</si>
  <si>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</si>
  <si>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</si>
  <si>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</si>
  <si>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</si>
  <si>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</si>
  <si>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</si>
  <si>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</si>
  <si>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</si>
  <si>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seguro de salud</t>
  </si>
  <si>
    <t>Contribuciones al seguro de pensiones</t>
  </si>
  <si>
    <t>Contribuciones al seguro de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</si>
  <si>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</si>
  <si>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</si>
  <si>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</si>
  <si>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</si>
  <si>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</si>
  <si>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Teléfono local</t>
  </si>
  <si>
    <t>Telefax y correos</t>
  </si>
  <si>
    <t>Servicio de Internet y televisión por cable</t>
  </si>
  <si>
    <t>Electricidad</t>
  </si>
  <si>
    <t>Energía eléctrica</t>
  </si>
  <si>
    <t>Electricidad no cortable</t>
  </si>
  <si>
    <t>Agua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</si>
  <si>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</si>
  <si>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</si>
  <si>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</si>
  <si>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</si>
  <si>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</si>
  <si>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</si>
  <si>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</si>
  <si>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Transporte y Almacenaje</t>
  </si>
  <si>
    <t>Pasajes</t>
  </si>
  <si>
    <t>Fletes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</si>
  <si>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</si>
  <si>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</si>
  <si>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</si>
  <si>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</si>
  <si>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</si>
  <si>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</si>
  <si>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</si>
  <si>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educacional</t>
  </si>
  <si>
    <t>Alquiler de equipo de tecnologia y almacenamiento de datos</t>
  </si>
  <si>
    <t>Alquiler de equipo de comunicación</t>
  </si>
  <si>
    <t>Alquiler de equipo de oficina y muebles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</si>
  <si>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</si>
  <si>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</si>
  <si>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</si>
  <si>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</si>
  <si>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</si>
  <si>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Otros alquileres</t>
  </si>
  <si>
    <t>Derechos de uso</t>
  </si>
  <si>
    <t>Licencias informaticas</t>
  </si>
  <si>
    <t>Seguros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</si>
  <si>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</si>
  <si>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</si>
  <si>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</si>
  <si>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</si>
  <si>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</si>
  <si>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</si>
  <si>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Obras menores en edificaciones</t>
  </si>
  <si>
    <t>Servicios especiales de mantenimiento y reparación</t>
  </si>
  <si>
    <t>Limpieza, desmalezamiento de tierras y terrenos</t>
  </si>
  <si>
    <t>Mantenimiento y reparación de obras civiles en instalaciones varias</t>
  </si>
  <si>
    <t>Obras en bienes de dominio público</t>
  </si>
  <si>
    <t>Instalaciones eléctricas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</si>
  <si>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</si>
  <si>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</si>
  <si>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</si>
  <si>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</si>
  <si>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</si>
  <si>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</si>
  <si>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</si>
  <si>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</si>
  <si>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</si>
  <si>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</si>
  <si>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</si>
  <si>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</si>
  <si>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</si>
  <si>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</si>
  <si>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Otros Servicios No Personales</t>
  </si>
  <si>
    <t>Gastos judiciales</t>
  </si>
  <si>
    <t>Comisiones y gastos bancarios</t>
  </si>
  <si>
    <t>Servicios sanitarios médicos y veterinarios</t>
  </si>
  <si>
    <t>Servicios funerarios y gastos conexos</t>
  </si>
  <si>
    <t>Fumigación, lavandería, limpieza e higiene</t>
  </si>
  <si>
    <t>Fumigación</t>
  </si>
  <si>
    <t>Lavandería</t>
  </si>
  <si>
    <t>Limpieza e higiene</t>
  </si>
  <si>
    <t>Organización de eventos y festividades</t>
  </si>
  <si>
    <t>Eventos generales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</si>
  <si>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</si>
  <si>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</si>
  <si>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</si>
  <si>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</si>
  <si>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</si>
  <si>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</si>
  <si>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</si>
  <si>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</si>
  <si>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</si>
  <si>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</si>
  <si>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</si>
  <si>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Impuestos</t>
  </si>
  <si>
    <t>Derechos</t>
  </si>
  <si>
    <t>Tasas</t>
  </si>
  <si>
    <t>Otras Contrataciones de Servicios</t>
  </si>
  <si>
    <t>Servicios de alimentación</t>
  </si>
  <si>
    <t xml:space="preserve">Servicios de alimentación </t>
  </si>
  <si>
    <t>Servicios de catering</t>
  </si>
  <si>
    <t>Materiales y Suministros</t>
  </si>
  <si>
    <t>Alimentos y Productos Agroforestales</t>
  </si>
  <si>
    <t>Alimentos y bebidas para personas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</si>
  <si>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</si>
  <si>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</si>
  <si>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</si>
  <si>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</si>
  <si>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</si>
  <si>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</si>
  <si>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</si>
  <si>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Textiles y Vestuarios</t>
  </si>
  <si>
    <t>Hilados y telas</t>
  </si>
  <si>
    <t>Acabados textiles</t>
  </si>
  <si>
    <t>Prendas de vestir</t>
  </si>
  <si>
    <t>Productos de Papel, Cartón e Impresos</t>
  </si>
  <si>
    <t>Papel de escritorio</t>
  </si>
  <si>
    <t>Papel y cartón</t>
  </si>
  <si>
    <t>Productos de artes gráficas</t>
  </si>
  <si>
    <t>Libros, revistas y periódicos</t>
  </si>
  <si>
    <t>Textos de enseñanza</t>
  </si>
  <si>
    <t>Especies timbrados y valoradas</t>
  </si>
  <si>
    <t>Productos Farmacéuticos</t>
  </si>
  <si>
    <t>Productos medicinales para uso humano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</si>
  <si>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</si>
  <si>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</si>
  <si>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</si>
  <si>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</si>
  <si>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</si>
  <si>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caucho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</si>
  <si>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</si>
  <si>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</si>
  <si>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</si>
  <si>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</si>
  <si>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cal</t>
  </si>
  <si>
    <t>Productos de asbestos</t>
  </si>
  <si>
    <t>Productos de yeso</t>
  </si>
  <si>
    <t>Productos de arcilla y derivados</t>
  </si>
  <si>
    <t>Productos de vidrio, loza y porcelana</t>
  </si>
  <si>
    <t>Productos de vidrio</t>
  </si>
  <si>
    <t>Productos de loza</t>
  </si>
  <si>
    <t>Productos de porcelana</t>
  </si>
  <si>
    <t>Productos metálicos y sus derivados</t>
  </si>
  <si>
    <t>Herramientas menores</t>
  </si>
  <si>
    <t>Productos de hojalata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</si>
  <si>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</si>
  <si>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</si>
  <si>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</si>
  <si>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</si>
  <si>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</si>
  <si>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</si>
  <si>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</si>
  <si>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</si>
  <si>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</si>
  <si>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</si>
  <si>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</si>
  <si>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</si>
  <si>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Combustibles y lubricantes</t>
  </si>
  <si>
    <t>Gasolina</t>
  </si>
  <si>
    <t>Gasoil</t>
  </si>
  <si>
    <t>Kerosén</t>
  </si>
  <si>
    <t>Gas GLP</t>
  </si>
  <si>
    <t>Aceites y Grasas</t>
  </si>
  <si>
    <t>Lubricantes</t>
  </si>
  <si>
    <t>Gas Natural</t>
  </si>
  <si>
    <t>Productos químicos y conexos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</si>
  <si>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</si>
  <si>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</si>
  <si>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</si>
  <si>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</si>
  <si>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</si>
  <si>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</si>
  <si>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</si>
  <si>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</si>
  <si>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</si>
  <si>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</si>
  <si>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</si>
  <si>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Material para limpieza</t>
  </si>
  <si>
    <t>Útiles y materiales de limpieza e higiene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</si>
  <si>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</si>
  <si>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</si>
  <si>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</si>
  <si>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</si>
  <si>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</si>
  <si>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Útiles de cocina y comedor</t>
  </si>
  <si>
    <t>Productos eléctricos y afines</t>
  </si>
  <si>
    <t>Productos y útiles veterinarios</t>
  </si>
  <si>
    <t>Repuestos y accesorios menores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</si>
  <si>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</si>
  <si>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</si>
  <si>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</si>
  <si>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</si>
  <si>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</si>
  <si>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</si>
  <si>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Ayudas y donaciones ocasionales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</si>
  <si>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</si>
  <si>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</si>
  <si>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</si>
  <si>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</si>
  <si>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</si>
  <si>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Muebles, equipos de oficina y estantería</t>
  </si>
  <si>
    <t>Muebles de alojamiento, excepto de oficina y estantería</t>
  </si>
  <si>
    <t>Equipo de tecnologia de la informacion y comunicación</t>
  </si>
  <si>
    <t>Electrodomésticos</t>
  </si>
  <si>
    <t>Otros mobiliarios y equipos no identificados precedentemente</t>
  </si>
  <si>
    <t>Mobiliario y Eq. de Audio, Audiovisual, Recreativo y Educacional</t>
  </si>
  <si>
    <t>Equipos y aparatos audiovisuales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</si>
  <si>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</si>
  <si>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</si>
  <si>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</si>
  <si>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</si>
  <si>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médico y de laboratorio</t>
  </si>
  <si>
    <t>Instrumental médico y de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</si>
  <si>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</si>
  <si>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</si>
  <si>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</si>
  <si>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</si>
  <si>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</si>
  <si>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</si>
  <si>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</si>
  <si>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</si>
  <si>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</si>
  <si>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</si>
  <si>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</si>
  <si>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</si>
  <si>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</si>
  <si>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industrial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</si>
  <si>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</si>
  <si>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</si>
  <si>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</si>
  <si>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</si>
  <si>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Máquinas-herramientas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</si>
  <si>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</si>
  <si>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</si>
  <si>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</si>
  <si>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</si>
  <si>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</si>
  <si>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</si>
  <si>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</si>
  <si>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</si>
  <si>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</si>
  <si>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</si>
  <si>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</si>
  <si>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</si>
  <si>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</si>
  <si>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</si>
  <si>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</si>
  <si>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</si>
  <si>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</si>
  <si>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</si>
  <si>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</si>
  <si>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</si>
  <si>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</si>
  <si>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</si>
  <si>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</si>
  <si>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</si>
  <si>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</si>
  <si>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</si>
  <si>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</si>
  <si>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</si>
  <si>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</si>
  <si>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</si>
  <si>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</si>
  <si>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</si>
  <si>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</si>
  <si>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</si>
  <si>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</si>
  <si>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</si>
  <si>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</si>
  <si>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</si>
  <si>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</si>
  <si>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</si>
  <si>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</si>
  <si>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</si>
  <si>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</si>
  <si>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</si>
  <si>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</si>
  <si>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</si>
  <si>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</si>
  <si>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</si>
  <si>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</si>
  <si>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</si>
  <si>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</si>
  <si>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Infraestructura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</si>
  <si>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</si>
  <si>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</si>
  <si>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</si>
  <si>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</si>
  <si>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</si>
  <si>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</si>
  <si>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</si>
  <si>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</si>
  <si>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</si>
  <si>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</si>
  <si>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</si>
  <si>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</si>
  <si>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</si>
  <si>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</si>
  <si>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</si>
  <si>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t>FEBRERO 2025</t>
  </si>
  <si>
    <t>ENERO 2025</t>
  </si>
  <si>
    <t>TRIMESTRE ENERO-MARZO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</si>
</sst>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;[Red]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6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200">
    <xf numFmtId="0" fontId="0" fillId="0" borderId="0" xfId="0"/>
    <xf numFmtId="0" fontId="3" fillId="2" borderId="1" xfId="3" applyFont="1" applyFill="1" applyBorder="1"/>
    <xf numFmtId="0" fontId="3" fillId="2" borderId="2" xfId="3" applyFont="1" applyFill="1" applyBorder="1"/>
    <xf numFmtId="0" fontId="4" fillId="2" borderId="2" xfId="3" applyFont="1" applyFill="1" applyBorder="1"/>
    <xf numFmtId="0" fontId="4" fillId="2" borderId="3" xfId="3" applyFont="1" applyFill="1" applyBorder="1"/>
    <xf numFmtId="0" fontId="2" fillId="0" borderId="0" xfId="3"/>
    <xf numFmtId="0" fontId="4" fillId="2" borderId="0" xfId="3" applyFont="1" applyFill="1"/>
    <xf numFmtId="0" fontId="4" fillId="2" borderId="5" xfId="3" applyFont="1" applyFill="1" applyBorder="1"/>
    <xf numFmtId="0" fontId="2" fillId="2" borderId="0" xfId="3" applyFill="1"/>
    <xf numFmtId="0" fontId="9" fillId="4" borderId="4" xfId="3" applyFont="1" applyFill="1" applyBorder="1" applyAlignment="1">
      <alignment horizontal="left"/>
    </xf>
    <xf numFmtId="0" fontId="9" fillId="4" borderId="0" xfId="3" applyFont="1" applyFill="1" applyAlignment="1">
      <alignment horizontal="left"/>
    </xf>
    <xf numFmtId="0" fontId="9" fillId="4" borderId="5" xfId="3" applyFont="1" applyFill="1" applyBorder="1" applyAlignment="1">
      <alignment horizontal="left"/>
    </xf>
    <xf numFmtId="0" fontId="10" fillId="3" borderId="4" xfId="3" applyFont="1" applyFill="1" applyBorder="1"/>
    <xf numFmtId="0" fontId="10" fillId="3" borderId="0" xfId="3" applyFont="1" applyFill="1"/>
    <xf numFmtId="0" fontId="11" fillId="3" borderId="0" xfId="3" applyFont="1" applyFill="1" applyAlignment="1">
      <alignment horizontal="left" indent="3"/>
    </xf>
    <xf numFmtId="0" fontId="11" fillId="2" borderId="0" xfId="3" applyFont="1" applyFill="1" applyAlignment="1">
      <alignment horizontal="center"/>
    </xf>
    <xf numFmtId="0" fontId="12" fillId="3" borderId="0" xfId="3" applyFont="1" applyFill="1"/>
    <xf numFmtId="0" fontId="11" fillId="2" borderId="5" xfId="3" applyFont="1" applyFill="1" applyBorder="1" applyAlignment="1">
      <alignment horizontal="center"/>
    </xf>
    <xf numFmtId="4" fontId="11" fillId="3" borderId="0" xfId="3" applyNumberFormat="1" applyFont="1" applyFill="1" applyAlignment="1">
      <alignment horizontal="left" indent="11"/>
    </xf>
    <xf numFmtId="4" fontId="12" fillId="3" borderId="6" xfId="3" applyNumberFormat="1" applyFont="1" applyFill="1" applyBorder="1"/>
    <xf numFmtId="4" fontId="13" fillId="3" borderId="0" xfId="3" applyNumberFormat="1" applyFont="1" applyFill="1" applyAlignment="1">
      <alignment horizontal="left" indent="2"/>
    </xf>
    <xf numFmtId="0" fontId="14" fillId="0" borderId="0" xfId="3" applyFont="1"/>
    <xf numFmtId="4" fontId="15" fillId="3" borderId="0" xfId="3" applyNumberFormat="1" applyFont="1" applyFill="1" applyAlignment="1">
      <alignment horizontal="left" indent="2"/>
    </xf>
    <xf numFmtId="4" fontId="12" fillId="3" borderId="0" xfId="3" applyNumberFormat="1" applyFont="1" applyFill="1"/>
    <xf numFmtId="4" fontId="12" fillId="3" borderId="7" xfId="3" applyNumberFormat="1" applyFont="1" applyFill="1" applyBorder="1"/>
    <xf numFmtId="4" fontId="11" fillId="3" borderId="0" xfId="3" applyNumberFormat="1" applyFont="1" applyFill="1" applyAlignment="1">
      <alignment horizontal="left" indent="2"/>
    </xf>
    <xf numFmtId="4" fontId="11" fillId="3" borderId="0" xfId="3" applyNumberFormat="1" applyFont="1" applyFill="1" applyAlignment="1">
      <alignment horizontal="left" indent="3"/>
    </xf>
    <xf numFmtId="164" fontId="2" fillId="0" borderId="0" xfId="3" applyNumberFormat="1"/>
    <xf numFmtId="4" fontId="12" fillId="3" borderId="2" xfId="3" applyNumberFormat="1" applyFont="1" applyFill="1" applyBorder="1"/>
    <xf numFmtId="43" fontId="11" fillId="0" borderId="0" xfId="4" applyFont="1" applyBorder="1" applyAlignment="1">
      <alignment horizontal="left"/>
    </xf>
    <xf numFmtId="4" fontId="9" fillId="3" borderId="0" xfId="3" applyNumberFormat="1" applyFont="1" applyFill="1" applyAlignment="1">
      <alignment horizontal="left" indent="11"/>
    </xf>
    <xf numFmtId="4" fontId="11" fillId="3" borderId="0" xfId="3" applyNumberFormat="1" applyFont="1" applyFill="1" applyAlignment="1">
      <alignment horizontal="center"/>
    </xf>
    <xf numFmtId="4" fontId="12" fillId="3" borderId="0" xfId="3" applyNumberFormat="1" applyFont="1" applyFill="1" applyAlignment="1">
      <alignment horizontal="center"/>
    </xf>
    <xf numFmtId="0" fontId="10" fillId="4" borderId="4" xfId="3" applyFont="1" applyFill="1" applyBorder="1"/>
    <xf numFmtId="0" fontId="9" fillId="4" borderId="0" xfId="3" applyFont="1" applyFill="1"/>
    <xf numFmtId="4" fontId="9" fillId="4" borderId="0" xfId="3" applyNumberFormat="1" applyFont="1" applyFill="1" applyAlignment="1">
      <alignment horizontal="left"/>
    </xf>
    <xf numFmtId="0" fontId="10" fillId="4" borderId="0" xfId="3" applyFont="1" applyFill="1"/>
    <xf numFmtId="4" fontId="9" fillId="4" borderId="0" xfId="3" applyNumberFormat="1" applyFont="1" applyFill="1"/>
    <xf numFmtId="4" fontId="10" fillId="4" borderId="0" xfId="3" applyNumberFormat="1" applyFont="1" applyFill="1"/>
    <xf numFmtId="4" fontId="13" fillId="4" borderId="0" xfId="3" applyNumberFormat="1" applyFont="1" applyFill="1"/>
    <xf numFmtId="0" fontId="11" fillId="2" borderId="4" xfId="3" applyFont="1" applyFill="1" applyBorder="1" applyAlignment="1">
      <alignment horizontal="center"/>
    </xf>
    <xf numFmtId="0" fontId="17" fillId="5" borderId="8" xfId="5" applyFont="1" applyFill="1" applyBorder="1" applyAlignment="1">
      <alignment horizontal="center"/>
    </xf>
    <xf numFmtId="0" fontId="18" fillId="5" borderId="8" xfId="5" applyFont="1" applyFill="1" applyBorder="1" applyAlignment="1">
      <alignment horizontal="center"/>
    </xf>
    <xf numFmtId="0" fontId="2" fillId="0" borderId="0" xfId="3" applyAlignment="1">
      <alignment horizontal="center"/>
    </xf>
    <xf numFmtId="0" fontId="23" fillId="7" borderId="13" xfId="5" applyFont="1" applyFill="1" applyBorder="1" applyAlignment="1">
      <alignment vertical="top"/>
    </xf>
    <xf numFmtId="0" fontId="24" fillId="7" borderId="13" xfId="5" applyFont="1" applyFill="1" applyBorder="1" applyAlignment="1">
      <alignment horizontal="center" vertical="top"/>
    </xf>
    <xf numFmtId="0" fontId="24" fillId="7" borderId="13" xfId="5" applyFont="1" applyFill="1" applyBorder="1" applyAlignment="1">
      <alignment vertical="top"/>
    </xf>
    <xf numFmtId="164" fontId="24" fillId="7" borderId="13" xfId="4" applyNumberFormat="1" applyFont="1" applyFill="1" applyBorder="1" applyAlignment="1">
      <alignment vertical="top"/>
    </xf>
    <xf numFmtId="9" fontId="24" fillId="7" borderId="10" xfId="6" applyFont="1" applyFill="1" applyBorder="1" applyAlignment="1">
      <alignment vertical="top"/>
    </xf>
    <xf numFmtId="0" fontId="13" fillId="8" borderId="14" xfId="5" applyFont="1" applyFill="1" applyBorder="1" applyAlignment="1">
      <alignment vertical="top"/>
    </xf>
    <xf numFmtId="0" fontId="11" fillId="8" borderId="14" xfId="5" applyFont="1" applyFill="1" applyBorder="1" applyAlignment="1">
      <alignment horizontal="center" vertical="top"/>
    </xf>
    <xf numFmtId="0" fontId="11" fillId="8" borderId="14" xfId="5" applyFont="1" applyFill="1" applyBorder="1" applyAlignment="1">
      <alignment vertical="top"/>
    </xf>
    <xf numFmtId="164" fontId="11" fillId="8" borderId="14" xfId="4" applyNumberFormat="1" applyFont="1" applyFill="1" applyBorder="1" applyAlignment="1">
      <alignment vertical="top"/>
    </xf>
    <xf numFmtId="9" fontId="11" fillId="8" borderId="8" xfId="6" applyFont="1" applyFill="1" applyBorder="1" applyAlignment="1">
      <alignment vertical="top"/>
    </xf>
    <xf numFmtId="0" fontId="11" fillId="8" borderId="8" xfId="5" applyFont="1" applyFill="1" applyBorder="1" applyAlignment="1">
      <alignment vertical="top"/>
    </xf>
    <xf numFmtId="0" fontId="11" fillId="8" borderId="8" xfId="5" applyFont="1" applyFill="1" applyBorder="1" applyAlignment="1">
      <alignment horizontal="center" vertical="top"/>
    </xf>
    <xf numFmtId="164" fontId="11" fillId="8" borderId="8" xfId="4" applyNumberFormat="1" applyFont="1" applyFill="1" applyBorder="1" applyAlignment="1">
      <alignment vertical="top"/>
    </xf>
    <xf numFmtId="0" fontId="3" fillId="9" borderId="8" xfId="5" applyFont="1" applyFill="1" applyBorder="1" applyAlignment="1">
      <alignment vertical="top"/>
    </xf>
    <xf numFmtId="0" fontId="3" fillId="9" borderId="8" xfId="5" applyFont="1" applyFill="1" applyBorder="1" applyAlignment="1">
      <alignment horizontal="center" vertical="top"/>
    </xf>
    <xf numFmtId="164" fontId="3" fillId="9" borderId="8" xfId="4" applyNumberFormat="1" applyFont="1" applyFill="1" applyBorder="1" applyAlignment="1">
      <alignment vertical="top"/>
    </xf>
    <xf numFmtId="9" fontId="3" fillId="9" borderId="8" xfId="2" applyFont="1" applyFill="1" applyBorder="1" applyAlignment="1">
      <alignment vertical="top"/>
    </xf>
    <xf numFmtId="0" fontId="3" fillId="3" borderId="8" xfId="5" applyFont="1" applyFill="1" applyBorder="1" applyAlignment="1">
      <alignment vertical="top"/>
    </xf>
    <xf numFmtId="0" fontId="3" fillId="3" borderId="8" xfId="5" applyFont="1" applyFill="1" applyBorder="1" applyAlignment="1">
      <alignment horizontal="center" vertical="top"/>
    </xf>
    <xf numFmtId="0" fontId="3" fillId="3" borderId="8" xfId="5" quotePrefix="1" applyFont="1" applyFill="1" applyBorder="1" applyAlignment="1">
      <alignment horizontal="center" vertical="top"/>
    </xf>
    <xf numFmtId="164" fontId="3" fillId="3" borderId="8" xfId="4" applyNumberFormat="1" applyFont="1" applyFill="1" applyBorder="1" applyAlignment="1">
      <alignment vertical="top"/>
    </xf>
    <xf numFmtId="9" fontId="3" fillId="2" borderId="8" xfId="6" applyFont="1" applyFill="1" applyBorder="1" applyAlignment="1">
      <alignment vertical="top"/>
    </xf>
    <xf numFmtId="0" fontId="3" fillId="3" borderId="8" xfId="3" applyFont="1" applyFill="1" applyBorder="1" applyAlignment="1">
      <alignment vertical="top"/>
    </xf>
    <xf numFmtId="0" fontId="3" fillId="9" borderId="8" xfId="3" applyFont="1" applyFill="1" applyBorder="1" applyAlignment="1">
      <alignment vertical="top"/>
    </xf>
    <xf numFmtId="9" fontId="3" fillId="9" borderId="8" xfId="6" applyFont="1" applyFill="1" applyBorder="1" applyAlignment="1">
      <alignment vertical="top"/>
    </xf>
    <xf numFmtId="0" fontId="11" fillId="8" borderId="8" xfId="3" applyFont="1" applyFill="1" applyBorder="1" applyAlignment="1">
      <alignment vertical="top"/>
    </xf>
    <xf numFmtId="0" fontId="3" fillId="3" borderId="8" xfId="3" applyFont="1" applyFill="1" applyBorder="1" applyAlignment="1">
      <alignment vertical="top" wrapText="1"/>
    </xf>
    <xf numFmtId="0" fontId="11" fillId="8" borderId="8" xfId="5" applyFont="1" applyFill="1" applyBorder="1"/>
    <xf numFmtId="0" fontId="11" fillId="8" borderId="8" xfId="3" applyFont="1" applyFill="1" applyBorder="1"/>
    <xf numFmtId="0" fontId="3" fillId="9" borderId="8" xfId="5" applyFont="1" applyFill="1" applyBorder="1"/>
    <xf numFmtId="0" fontId="3" fillId="9" borderId="8" xfId="3" applyFont="1" applyFill="1" applyBorder="1"/>
    <xf numFmtId="0" fontId="3" fillId="3" borderId="8" xfId="5" applyFont="1" applyFill="1" applyBorder="1"/>
    <xf numFmtId="0" fontId="3" fillId="3" borderId="8" xfId="3" applyFont="1" applyFill="1" applyBorder="1"/>
    <xf numFmtId="0" fontId="11" fillId="8" borderId="8" xfId="5" applyFont="1" applyFill="1" applyBorder="1" applyAlignment="1">
      <alignment horizontal="center"/>
    </xf>
    <xf numFmtId="0" fontId="11" fillId="9" borderId="8" xfId="5" applyFont="1" applyFill="1" applyBorder="1" applyAlignment="1">
      <alignment horizontal="center" vertical="top"/>
    </xf>
    <xf numFmtId="0" fontId="3" fillId="8" borderId="8" xfId="5" applyFont="1" applyFill="1" applyBorder="1" applyAlignment="1">
      <alignment horizontal="center" vertical="top"/>
    </xf>
    <xf numFmtId="0" fontId="11" fillId="8" borderId="8" xfId="3" applyFont="1" applyFill="1" applyBorder="1" applyAlignment="1">
      <alignment wrapText="1"/>
    </xf>
    <xf numFmtId="0" fontId="3" fillId="3" borderId="8" xfId="3" applyFont="1" applyFill="1" applyBorder="1" applyAlignment="1">
      <alignment wrapText="1"/>
    </xf>
    <xf numFmtId="0" fontId="3" fillId="3" borderId="8" xfId="5" applyFont="1" applyFill="1" applyBorder="1" applyAlignment="1">
      <alignment vertical="top" wrapText="1"/>
    </xf>
    <xf numFmtId="0" fontId="3" fillId="9" borderId="8" xfId="5" applyFont="1" applyFill="1" applyBorder="1" applyAlignment="1">
      <alignment vertical="top" wrapText="1"/>
    </xf>
    <xf numFmtId="0" fontId="11" fillId="8" borderId="8" xfId="5" applyFont="1" applyFill="1" applyBorder="1" applyAlignment="1">
      <alignment vertical="top" wrapText="1"/>
    </xf>
    <xf numFmtId="0" fontId="3" fillId="3" borderId="8" xfId="5" applyFont="1" applyFill="1" applyBorder="1" applyAlignment="1">
      <alignment horizontal="justify" vertical="top" wrapText="1"/>
    </xf>
    <xf numFmtId="0" fontId="11" fillId="8" borderId="8" xfId="3" applyFont="1" applyFill="1" applyBorder="1" applyAlignment="1">
      <alignment vertical="top" wrapText="1"/>
    </xf>
    <xf numFmtId="0" fontId="3" fillId="9" borderId="8" xfId="3" applyFont="1" applyFill="1" applyBorder="1" applyAlignment="1">
      <alignment vertical="top" wrapText="1"/>
    </xf>
    <xf numFmtId="0" fontId="11" fillId="8" borderId="8" xfId="5" applyFont="1" applyFill="1" applyBorder="1" applyAlignment="1">
      <alignment horizontal="right" vertical="top"/>
    </xf>
    <xf numFmtId="0" fontId="11" fillId="8" borderId="8" xfId="5" applyFont="1" applyFill="1" applyBorder="1" applyAlignment="1">
      <alignment horizontal="left" vertical="top"/>
    </xf>
    <xf numFmtId="0" fontId="3" fillId="0" borderId="8" xfId="5" applyFont="1" applyBorder="1"/>
    <xf numFmtId="0" fontId="3" fillId="0" borderId="8" xfId="5" applyFont="1" applyBorder="1" applyAlignment="1">
      <alignment horizontal="center" vertical="top"/>
    </xf>
    <xf numFmtId="0" fontId="3" fillId="0" borderId="8" xfId="3" applyFont="1" applyBorder="1" applyAlignment="1">
      <alignment vertical="top" wrapText="1"/>
    </xf>
    <xf numFmtId="164" fontId="3" fillId="0" borderId="8" xfId="4" applyNumberFormat="1" applyFont="1" applyFill="1" applyBorder="1" applyAlignment="1">
      <alignment vertical="top"/>
    </xf>
    <xf numFmtId="0" fontId="25" fillId="0" borderId="0" xfId="3" applyFont="1"/>
    <xf numFmtId="9" fontId="25" fillId="0" borderId="0" xfId="3" applyNumberFormat="1" applyFont="1"/>
    <xf numFmtId="164" fontId="11" fillId="2" borderId="5" xfId="3" applyNumberFormat="1" applyFont="1" applyFill="1" applyBorder="1" applyAlignment="1">
      <alignment horizontal="center"/>
    </xf>
    <xf numFmtId="0" fontId="11" fillId="0" borderId="0" xfId="3" applyFont="1"/>
    <xf numFmtId="43" fontId="2" fillId="0" borderId="0" xfId="1" applyFont="1"/>
    <xf numFmtId="43" fontId="2" fillId="0" borderId="0" xfId="1" applyFont="1" applyAlignment="1">
      <alignment horizontal="center"/>
    </xf>
    <xf numFmtId="9" fontId="3" fillId="3" borderId="8" xfId="2" applyFont="1" applyFill="1" applyBorder="1" applyAlignment="1">
      <alignment vertical="top"/>
    </xf>
    <xf numFmtId="164" fontId="11" fillId="3" borderId="8" xfId="4" applyNumberFormat="1" applyFont="1" applyFill="1" applyBorder="1" applyAlignment="1">
      <alignment vertical="top"/>
    </xf>
    <xf numFmtId="0" fontId="5" fillId="2" borderId="4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6" fillId="2" borderId="4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5" xfId="3" applyFont="1" applyFill="1" applyBorder="1" applyAlignment="1">
      <alignment horizontal="center"/>
    </xf>
    <xf numFmtId="0" fontId="7" fillId="2" borderId="4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5" xfId="3" applyFont="1" applyFill="1" applyBorder="1" applyAlignment="1">
      <alignment horizontal="center"/>
    </xf>
    <xf numFmtId="0" fontId="8" fillId="2" borderId="4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9" fillId="3" borderId="4" xfId="3" applyFont="1" applyFill="1" applyBorder="1" applyAlignment="1">
      <alignment horizontal="center"/>
    </xf>
    <xf numFmtId="0" fontId="9" fillId="3" borderId="0" xfId="3" applyFont="1" applyFill="1" applyAlignment="1">
      <alignment horizontal="center"/>
    </xf>
    <xf numFmtId="0" fontId="9" fillId="3" borderId="5" xfId="3" applyFont="1" applyFill="1" applyBorder="1" applyAlignment="1">
      <alignment horizontal="center"/>
    </xf>
    <xf numFmtId="49" fontId="9" fillId="3" borderId="4" xfId="3" applyNumberFormat="1" applyFont="1" applyFill="1" applyBorder="1" applyAlignment="1">
      <alignment horizontal="center"/>
    </xf>
    <xf numFmtId="49" fontId="9" fillId="3" borderId="0" xfId="3" applyNumberFormat="1" applyFont="1" applyFill="1" applyAlignment="1">
      <alignment horizontal="center"/>
    </xf>
    <xf numFmtId="49" fontId="9" fillId="3" borderId="5" xfId="3" applyNumberFormat="1" applyFont="1" applyFill="1" applyBorder="1" applyAlignment="1">
      <alignment horizontal="center"/>
    </xf>
    <xf numFmtId="0" fontId="18" fillId="5" borderId="9" xfId="5" applyFont="1" applyFill="1" applyBorder="1" applyAlignment="1">
      <alignment horizontal="center"/>
    </xf>
    <xf numFmtId="0" fontId="18" fillId="5" borderId="7" xfId="5" applyFont="1" applyFill="1" applyBorder="1" applyAlignment="1">
      <alignment horizontal="center"/>
    </xf>
    <xf numFmtId="0" fontId="19" fillId="6" borderId="8" xfId="3" applyFont="1" applyFill="1" applyBorder="1" applyAlignment="1">
      <alignment horizontal="center" vertical="center"/>
    </xf>
    <xf numFmtId="0" fontId="20" fillId="6" borderId="10" xfId="3" applyFont="1" applyFill="1" applyBorder="1" applyAlignment="1">
      <alignment horizontal="center" vertical="center"/>
    </xf>
    <xf numFmtId="0" fontId="21" fillId="6" borderId="9" xfId="3" applyFont="1" applyFill="1" applyBorder="1" applyAlignment="1">
      <alignment horizontal="center" vertical="center" wrapText="1"/>
    </xf>
    <xf numFmtId="0" fontId="21" fillId="6" borderId="7" xfId="3" applyFont="1" applyFill="1" applyBorder="1" applyAlignment="1">
      <alignment horizontal="center" vertical="center" wrapText="1"/>
    </xf>
    <xf numFmtId="0" fontId="17" fillId="6" borderId="10" xfId="5" applyFont="1" applyFill="1" applyBorder="1" applyAlignment="1">
      <alignment horizontal="center" vertical="center" wrapText="1"/>
    </xf>
    <xf numFmtId="9" fontId="22" fillId="6" borderId="10" xfId="6" applyFont="1" applyFill="1" applyBorder="1" applyAlignment="1">
      <alignment horizontal="center" vertical="center"/>
    </xf>
    <xf numFmtId="0" fontId="17" fillId="6" borderId="10" xfId="5" applyFont="1" applyFill="1" applyBorder="1" applyAlignment="1">
      <alignment horizontal="center" vertical="center" textRotation="90"/>
    </xf>
    <xf numFmtId="0" fontId="20" fillId="6" borderId="11" xfId="3" applyFont="1" applyFill="1" applyBorder="1" applyAlignment="1">
      <alignment horizontal="center" vertical="center"/>
    </xf>
    <xf numFmtId="0" fontId="9" fillId="6" borderId="12" xfId="3" applyFont="1" applyFill="1" applyBorder="1" applyAlignment="1">
      <alignment horizontal="center" vertical="center" wrapText="1"/>
    </xf>
    <xf numFmtId="0" fontId="17" fillId="6" borderId="11" xfId="5" applyFont="1" applyFill="1" applyBorder="1" applyAlignment="1">
      <alignment horizontal="center" vertical="center" wrapText="1"/>
    </xf>
    <xf numFmtId="9" fontId="22" fillId="6" borderId="11" xfId="6" applyFont="1" applyFill="1" applyBorder="1" applyAlignment="1">
      <alignment horizontal="center" vertical="center"/>
    </xf>
    <xf numFmtId="0" fontId="17" fillId="6" borderId="12" xfId="5" applyFont="1" applyFill="1" applyBorder="1" applyAlignment="1">
      <alignment horizontal="center" vertical="center" textRotation="90"/>
    </xf>
    <xf numFmtId="0" fontId="20" fillId="6" borderId="12" xfId="3" applyFont="1" applyFill="1" applyBorder="1" applyAlignment="1">
      <alignment horizontal="center" vertical="center"/>
    </xf>
    <xf numFmtId="0" fontId="9" fillId="6" borderId="8" xfId="3" applyFont="1" applyFill="1" applyBorder="1" applyAlignment="1">
      <alignment horizontal="center" vertical="center" wrapText="1"/>
    </xf>
    <xf numFmtId="0" fontId="17" fillId="6" borderId="12" xfId="5" applyFont="1" applyFill="1" applyBorder="1" applyAlignment="1">
      <alignment horizontal="center" vertical="center" wrapText="1"/>
    </xf>
    <xf numFmtId="9" fontId="22" fillId="6" borderId="12" xfId="6" applyFont="1" applyFill="1" applyBorder="1" applyAlignment="1">
      <alignment horizontal="center" vertical="center"/>
    </xf>
    <xf numFmtId="43" fontId="2" fillId="0" borderId="0" xfId="1" applyFont="1" applyAlignment="1">
      <alignment horizontal="center"/>
    </xf>
    <xf numFmtId="0" fontId="17" fillId="5" borderId="8" xfId="5" applyFont="1" applyFill="1" applyBorder="1" applyAlignment="1">
      <alignment horizontal="center"/>
    </xf>
    <xf numFmtId="43" fontId="24" fillId="7" borderId="13" xfId="1" applyFont="1" applyFill="1" applyBorder="1" applyAlignment="1">
      <alignment vertical="top"/>
    </xf>
    <xf numFmtId="43" fontId="11" fillId="8" borderId="14" xfId="1" applyFont="1" applyFill="1" applyBorder="1" applyAlignment="1">
      <alignment vertical="top"/>
    </xf>
    <xf numFmtId="43" fontId="11" fillId="8" borderId="8" xfId="1" applyFont="1" applyFill="1" applyBorder="1" applyAlignment="1">
      <alignment vertical="top"/>
    </xf>
    <xf numFmtId="43" fontId="3" fillId="9" borderId="8" xfId="1" applyFont="1" applyFill="1" applyBorder="1" applyAlignment="1">
      <alignment vertical="top"/>
    </xf>
    <xf numFmtId="43" fontId="3" fillId="3" borderId="8" xfId="1" applyFont="1" applyFill="1" applyBorder="1" applyAlignment="1">
      <alignment vertical="top"/>
    </xf>
    <xf numFmtId="43" fontId="3" fillId="3" borderId="8" xfId="1" applyFont="1" applyFill="1" applyBorder="1" applyAlignment="1">
      <alignment vertical="top" wrapText="1"/>
    </xf>
    <xf numFmtId="43" fontId="11" fillId="8" borderId="8" xfId="1" applyFont="1" applyFill="1" applyBorder="1"/>
    <xf numFmtId="43" fontId="3" fillId="9" borderId="8" xfId="1" applyFont="1" applyFill="1" applyBorder="1"/>
    <xf numFmtId="43" fontId="3" fillId="3" borderId="8" xfId="1" applyFont="1" applyFill="1" applyBorder="1"/>
    <xf numFmtId="43" fontId="11" fillId="8" borderId="8" xfId="1" applyFont="1" applyFill="1" applyBorder="1" applyAlignment="1">
      <alignment wrapText="1"/>
    </xf>
    <xf numFmtId="43" fontId="3" fillId="3" borderId="8" xfId="1" applyFont="1" applyFill="1" applyBorder="1" applyAlignment="1">
      <alignment wrapText="1"/>
    </xf>
    <xf numFmtId="43" fontId="3" fillId="9" borderId="8" xfId="1" applyFont="1" applyFill="1" applyBorder="1" applyAlignment="1">
      <alignment vertical="top" wrapText="1"/>
    </xf>
    <xf numFmtId="43" fontId="11" fillId="8" borderId="8" xfId="1" applyFont="1" applyFill="1" applyBorder="1" applyAlignment="1">
      <alignment vertical="top" wrapText="1"/>
    </xf>
    <xf numFmtId="43" fontId="3" fillId="3" borderId="8" xfId="1" applyFont="1" applyFill="1" applyBorder="1" applyAlignment="1">
      <alignment horizontal="justify" vertical="top" wrapText="1"/>
    </xf>
    <xf numFmtId="43" fontId="11" fillId="8" borderId="8" xfId="1" applyFont="1" applyFill="1" applyBorder="1" applyAlignment="1">
      <alignment horizontal="left" vertical="top"/>
    </xf>
    <xf numFmtId="43" fontId="3" fillId="0" borderId="8" xfId="1" applyFont="1" applyBorder="1" applyAlignment="1">
      <alignment vertical="top" wrapText="1"/>
    </xf>
    <xf numFmtId="0" fontId="9" fillId="6" borderId="10" xfId="3" applyFont="1" applyFill="1" applyBorder="1" applyAlignment="1">
      <alignment horizontal="center" vertical="center" wrapText="1"/>
    </xf>
    <xf numFmtId="0" fontId="9" fillId="6" borderId="12" xfId="3" applyFont="1" applyFill="1" applyBorder="1" applyAlignment="1">
      <alignment horizontal="center" vertical="center" wrapText="1"/>
    </xf>
    <xf numFmtId="0" fontId="19" fillId="6" borderId="9" xfId="3" applyFont="1" applyFill="1" applyBorder="1" applyAlignment="1">
      <alignment horizontal="center" vertical="center"/>
    </xf>
    <xf numFmtId="0" fontId="19" fillId="6" borderId="7" xfId="3" applyFont="1" applyFill="1" applyBorder="1" applyAlignment="1">
      <alignment horizontal="center" vertical="center"/>
    </xf>
    <xf numFmtId="0" fontId="19" fillId="6" borderId="15" xfId="3" applyFont="1" applyFill="1" applyBorder="1" applyAlignment="1">
      <alignment horizontal="center" vertical="center"/>
    </xf>
    <xf numFmtId="0" fontId="21" fillId="6" borderId="9" xfId="3" applyFont="1" applyFill="1" applyBorder="1" applyAlignment="1">
      <alignment horizontal="center" vertical="center" wrapText="1"/>
    </xf>
    <xf numFmtId="0" fontId="21" fillId="6" borderId="15" xfId="3" applyFont="1" applyFill="1" applyBorder="1" applyAlignment="1">
      <alignment horizontal="center" vertical="center" wrapText="1"/>
    </xf>
    <xf numFmtId="0" fontId="17" fillId="6" borderId="10" xfId="5" applyFont="1" applyFill="1" applyBorder="1" applyAlignment="1">
      <alignment horizontal="center" vertical="center" textRotation="90"/>
    </xf>
    <xf numFmtId="0" fontId="17" fillId="6" borderId="12" xfId="5" applyFont="1" applyFill="1" applyBorder="1" applyAlignment="1">
      <alignment horizontal="center" vertical="center" textRotation="90"/>
    </xf>
    <xf numFmtId="43" fontId="2" fillId="0" borderId="0" xfId="1" applyFont="1" applyAlignment="1">
      <alignment horizontal="center"/>
    </xf>
    <xf numFmtId="9" fontId="22" fillId="6" borderId="10" xfId="6" applyFont="1" applyFill="1" applyBorder="1" applyAlignment="1">
      <alignment horizontal="center" vertical="center"/>
    </xf>
    <xf numFmtId="9" fontId="22" fillId="6" borderId="11" xfId="6" applyFont="1" applyFill="1" applyBorder="1" applyAlignment="1">
      <alignment horizontal="center" vertical="center"/>
    </xf>
    <xf numFmtId="9" fontId="22" fillId="6" borderId="12" xfId="6" applyFont="1" applyFill="1" applyBorder="1" applyAlignment="1">
      <alignment horizontal="center" vertical="center"/>
    </xf>
    <xf numFmtId="0" fontId="9" fillId="6" borderId="8" xfId="3" applyFont="1" applyFill="1" applyBorder="1" applyAlignment="1">
      <alignment horizontal="center" vertical="center" wrapText="1"/>
    </xf>
    <xf numFmtId="0" fontId="21" fillId="6" borderId="11" xfId="3" applyFont="1" applyFill="1" applyBorder="1" applyAlignment="1">
      <alignment horizontal="center" vertical="center" wrapText="1"/>
    </xf>
    <xf numFmtId="0" fontId="21" fillId="6" borderId="12" xfId="3" applyFont="1" applyFill="1" applyBorder="1" applyAlignment="1">
      <alignment horizontal="center" vertical="center" wrapText="1"/>
    </xf>
    <xf numFmtId="0" fontId="17" fillId="6" borderId="10" xfId="5" applyFont="1" applyFill="1" applyBorder="1" applyAlignment="1">
      <alignment horizontal="center" vertical="center" wrapText="1"/>
    </xf>
    <xf numFmtId="0" fontId="17" fillId="6" borderId="11" xfId="5" applyFont="1" applyFill="1" applyBorder="1" applyAlignment="1">
      <alignment horizontal="center" vertical="center" wrapText="1"/>
    </xf>
    <xf numFmtId="0" fontId="17" fillId="6" borderId="12" xfId="5" applyFont="1" applyFill="1" applyBorder="1" applyAlignment="1">
      <alignment horizontal="center" vertical="center" wrapText="1"/>
    </xf>
    <xf numFmtId="0" fontId="17" fillId="5" borderId="8" xfId="5" applyFont="1" applyFill="1" applyBorder="1" applyAlignment="1">
      <alignment horizontal="center"/>
    </xf>
    <xf numFmtId="0" fontId="18" fillId="5" borderId="9" xfId="5" applyFont="1" applyFill="1" applyBorder="1" applyAlignment="1">
      <alignment horizontal="center"/>
    </xf>
    <xf numFmtId="0" fontId="18" fillId="5" borderId="7" xfId="5" applyFont="1" applyFill="1" applyBorder="1" applyAlignment="1">
      <alignment horizontal="center"/>
    </xf>
    <xf numFmtId="0" fontId="19" fillId="6" borderId="8" xfId="3" applyFont="1" applyFill="1" applyBorder="1" applyAlignment="1">
      <alignment horizontal="center" vertical="center"/>
    </xf>
    <xf numFmtId="0" fontId="20" fillId="6" borderId="10" xfId="3" applyFont="1" applyFill="1" applyBorder="1" applyAlignment="1">
      <alignment horizontal="center" vertical="center"/>
    </xf>
    <xf numFmtId="0" fontId="20" fillId="6" borderId="11" xfId="3" applyFont="1" applyFill="1" applyBorder="1" applyAlignment="1">
      <alignment horizontal="center" vertical="center"/>
    </xf>
    <xf numFmtId="0" fontId="20" fillId="6" borderId="12" xfId="3" applyFont="1" applyFill="1" applyBorder="1" applyAlignment="1">
      <alignment horizontal="center" vertical="center"/>
    </xf>
    <xf numFmtId="0" fontId="21" fillId="6" borderId="7" xfId="3" applyFont="1" applyFill="1" applyBorder="1" applyAlignment="1">
      <alignment horizontal="center" vertical="center" wrapText="1"/>
    </xf>
    <xf numFmtId="49" fontId="9" fillId="3" borderId="4" xfId="3" applyNumberFormat="1" applyFont="1" applyFill="1" applyBorder="1" applyAlignment="1">
      <alignment horizontal="center"/>
    </xf>
    <xf numFmtId="49" fontId="9" fillId="3" borderId="0" xfId="3" applyNumberFormat="1" applyFont="1" applyFill="1" applyAlignment="1">
      <alignment horizontal="center"/>
    </xf>
    <xf numFmtId="49" fontId="9" fillId="3" borderId="5" xfId="3" applyNumberFormat="1" applyFont="1" applyFill="1" applyBorder="1" applyAlignment="1">
      <alignment horizontal="center"/>
    </xf>
    <xf numFmtId="0" fontId="5" fillId="2" borderId="4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6" fillId="2" borderId="4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5" xfId="3" applyFont="1" applyFill="1" applyBorder="1" applyAlignment="1">
      <alignment horizontal="center"/>
    </xf>
    <xf numFmtId="0" fontId="7" fillId="10" borderId="4" xfId="3" applyFont="1" applyFill="1" applyBorder="1" applyAlignment="1">
      <alignment horizontal="center"/>
    </xf>
    <xf numFmtId="0" fontId="7" fillId="10" borderId="0" xfId="3" applyFont="1" applyFill="1" applyAlignment="1">
      <alignment horizontal="center"/>
    </xf>
    <xf numFmtId="0" fontId="7" fillId="10" borderId="5" xfId="3" applyFont="1" applyFill="1" applyBorder="1" applyAlignment="1">
      <alignment horizontal="center"/>
    </xf>
    <xf numFmtId="0" fontId="8" fillId="2" borderId="4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9" fillId="3" borderId="4" xfId="3" applyFont="1" applyFill="1" applyBorder="1" applyAlignment="1">
      <alignment horizontal="center"/>
    </xf>
    <xf numFmtId="0" fontId="9" fillId="3" borderId="0" xfId="3" applyFont="1" applyFill="1" applyAlignment="1">
      <alignment horizontal="center"/>
    </xf>
    <xf numFmtId="0" fontId="9" fillId="3" borderId="5" xfId="3" applyFont="1" applyFill="1" applyBorder="1" applyAlignment="1">
      <alignment horizontal="center"/>
    </xf>
    <xf numFmtId="0" fontId="21" fillId="6" borderId="10" xfId="3" applyFont="1" applyFill="1" applyBorder="1" applyAlignment="1">
      <alignment horizontal="center" vertical="center" wrapText="1"/>
    </xf>
  </cellXfs>
  <cellStyles count="7">
    <cellStyle name="Millares" xfId="1" builtinId="3"/>
    <cellStyle name="Millares 2 2" xfId="4"/>
    <cellStyle name="Normal" xfId="0" builtinId="0"/>
    <cellStyle name="Normal 2" xfId="3"/>
    <cellStyle name="Normal 2 2" xfId="5"/>
    <cellStyle name="Porcentaje" xfId="2" builtinId="5"/>
    <cellStyle name="Porcentaje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ACTUALIZADA%2003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FEBRERO%202025/MATRIZ%20ACTUALIZADA%2002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ENERO%202025/MATRIZ%20PARA%20USO%20DE%20CONTABILIDAD%20%20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  <sheetName val="Hoja1"/>
    </sheetNames>
    <sheetDataSet>
      <sheetData sheetId="0"/>
      <sheetData sheetId="1"/>
      <sheetData sheetId="2">
        <row r="212">
          <cell r="G212">
            <v>26749551.52</v>
          </cell>
          <cell r="H212">
            <v>1797538.3199999998</v>
          </cell>
        </row>
        <row r="463">
          <cell r="G463">
            <v>0</v>
          </cell>
          <cell r="H463">
            <v>0</v>
          </cell>
        </row>
      </sheetData>
      <sheetData sheetId="3">
        <row r="127">
          <cell r="A127">
            <v>53611206.039999999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1107531.03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2752136.5</v>
          </cell>
          <cell r="T127">
            <v>0</v>
          </cell>
          <cell r="U127">
            <v>0</v>
          </cell>
          <cell r="V127">
            <v>0</v>
          </cell>
          <cell r="W127">
            <v>45000</v>
          </cell>
          <cell r="X127">
            <v>0</v>
          </cell>
          <cell r="Y127">
            <v>0</v>
          </cell>
          <cell r="Z127">
            <v>332600</v>
          </cell>
          <cell r="AA127">
            <v>0</v>
          </cell>
          <cell r="AB127">
            <v>69663.099999999991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3879560.77</v>
          </cell>
          <cell r="AL127">
            <v>3885030.79</v>
          </cell>
          <cell r="AM127">
            <v>654891.59000000008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2020024.3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5951371.9400000013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3122436.84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170173.16999999998</v>
          </cell>
          <cell r="DW127">
            <v>1304372</v>
          </cell>
          <cell r="DX127">
            <v>0</v>
          </cell>
          <cell r="DY127">
            <v>0</v>
          </cell>
          <cell r="DZ127">
            <v>0</v>
          </cell>
          <cell r="EA127">
            <v>6919929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334708.95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555829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2243769.91</v>
          </cell>
          <cell r="FK127">
            <v>0</v>
          </cell>
          <cell r="FL127">
            <v>0</v>
          </cell>
          <cell r="FM127">
            <v>203654.83</v>
          </cell>
          <cell r="FN127">
            <v>159269.28</v>
          </cell>
          <cell r="FO127">
            <v>0</v>
          </cell>
          <cell r="FP127">
            <v>0</v>
          </cell>
          <cell r="FQ127">
            <v>369511.66000000003</v>
          </cell>
          <cell r="FR127">
            <v>0</v>
          </cell>
          <cell r="FS127">
            <v>132475.4</v>
          </cell>
          <cell r="FT127">
            <v>10795595.390000001</v>
          </cell>
          <cell r="FU127">
            <v>0</v>
          </cell>
          <cell r="FV127">
            <v>0</v>
          </cell>
          <cell r="FW127">
            <v>388540.1</v>
          </cell>
          <cell r="FX127">
            <v>0</v>
          </cell>
          <cell r="FY127">
            <v>19599.990000000002</v>
          </cell>
          <cell r="FZ127">
            <v>4000.01</v>
          </cell>
          <cell r="GA127">
            <v>0</v>
          </cell>
          <cell r="GB127">
            <v>25685.99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494125</v>
          </cell>
          <cell r="GI127">
            <v>0</v>
          </cell>
          <cell r="GJ127">
            <v>184080</v>
          </cell>
          <cell r="GK127">
            <v>0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10667064.389999999</v>
          </cell>
          <cell r="GR127">
            <v>48380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  <cell r="HE127">
            <v>0</v>
          </cell>
          <cell r="HF127">
            <v>0</v>
          </cell>
          <cell r="HG127">
            <v>0</v>
          </cell>
          <cell r="HH127">
            <v>3199.97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  <cell r="IL127">
            <v>0</v>
          </cell>
          <cell r="IM127">
            <v>0</v>
          </cell>
          <cell r="IN127">
            <v>0</v>
          </cell>
          <cell r="IO127">
            <v>0</v>
          </cell>
          <cell r="IP127">
            <v>0</v>
          </cell>
          <cell r="IQ127">
            <v>0</v>
          </cell>
          <cell r="IR127">
            <v>0</v>
          </cell>
          <cell r="IS127">
            <v>0</v>
          </cell>
          <cell r="IT127">
            <v>0</v>
          </cell>
          <cell r="IU127">
            <v>0</v>
          </cell>
          <cell r="IV127">
            <v>0</v>
          </cell>
          <cell r="IW127">
            <v>0</v>
          </cell>
          <cell r="IX127">
            <v>0</v>
          </cell>
          <cell r="IY127">
            <v>0</v>
          </cell>
          <cell r="IZ127">
            <v>0</v>
          </cell>
          <cell r="JA127">
            <v>0</v>
          </cell>
          <cell r="JB127">
            <v>0</v>
          </cell>
          <cell r="JC127">
            <v>0</v>
          </cell>
          <cell r="JD127">
            <v>0</v>
          </cell>
          <cell r="JE127">
            <v>0</v>
          </cell>
          <cell r="JF127">
            <v>0</v>
          </cell>
          <cell r="JG127">
            <v>0</v>
          </cell>
          <cell r="JH127">
            <v>0</v>
          </cell>
        </row>
      </sheetData>
      <sheetData sheetId="4"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5231553.59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211191.19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1520000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32000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904710.71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636067.19999999995</v>
          </cell>
          <cell r="CK96">
            <v>0</v>
          </cell>
          <cell r="CL96">
            <v>478797.25</v>
          </cell>
          <cell r="CM96">
            <v>0</v>
          </cell>
          <cell r="CN96">
            <v>0</v>
          </cell>
          <cell r="CO96">
            <v>0</v>
          </cell>
          <cell r="CP96">
            <v>8323.8700000000008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188564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48852</v>
          </cell>
          <cell r="DE96">
            <v>330950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658799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57997</v>
          </cell>
          <cell r="DX96">
            <v>0</v>
          </cell>
          <cell r="DY96">
            <v>0</v>
          </cell>
          <cell r="DZ96">
            <v>0</v>
          </cell>
          <cell r="EA96">
            <v>250000</v>
          </cell>
          <cell r="EB96">
            <v>0</v>
          </cell>
          <cell r="EC96">
            <v>0</v>
          </cell>
          <cell r="ED96">
            <v>0</v>
          </cell>
          <cell r="EE96">
            <v>282823.65000000002</v>
          </cell>
          <cell r="EF96">
            <v>0</v>
          </cell>
          <cell r="EG96">
            <v>34840.020000000004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15149.94</v>
          </cell>
          <cell r="EN96">
            <v>0</v>
          </cell>
          <cell r="EO96">
            <v>0</v>
          </cell>
          <cell r="EP96">
            <v>87250.03</v>
          </cell>
          <cell r="EQ96">
            <v>0</v>
          </cell>
          <cell r="ER96">
            <v>7825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172000</v>
          </cell>
          <cell r="FB96">
            <v>0</v>
          </cell>
          <cell r="FC96">
            <v>0</v>
          </cell>
          <cell r="FD96">
            <v>101439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43889.99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34220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51304.69</v>
          </cell>
          <cell r="GB96">
            <v>0</v>
          </cell>
          <cell r="GC96">
            <v>0</v>
          </cell>
          <cell r="GD96">
            <v>127420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X96">
            <v>0</v>
          </cell>
          <cell r="GY96">
            <v>0</v>
          </cell>
          <cell r="GZ96">
            <v>107609.37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192930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  <cell r="IL96">
            <v>0</v>
          </cell>
          <cell r="IM96">
            <v>0</v>
          </cell>
          <cell r="IN96">
            <v>0</v>
          </cell>
          <cell r="IO96">
            <v>0</v>
          </cell>
          <cell r="IP96">
            <v>0</v>
          </cell>
          <cell r="IQ96">
            <v>0</v>
          </cell>
          <cell r="IR96">
            <v>0</v>
          </cell>
          <cell r="IS96">
            <v>0</v>
          </cell>
          <cell r="IT96">
            <v>0</v>
          </cell>
          <cell r="IU96">
            <v>0</v>
          </cell>
          <cell r="IV96">
            <v>0</v>
          </cell>
          <cell r="IW96">
            <v>0</v>
          </cell>
          <cell r="IX96">
            <v>0</v>
          </cell>
          <cell r="IY96">
            <v>0</v>
          </cell>
          <cell r="IZ96">
            <v>0</v>
          </cell>
          <cell r="JA96">
            <v>0</v>
          </cell>
          <cell r="JB96">
            <v>0</v>
          </cell>
          <cell r="JC96">
            <v>0</v>
          </cell>
          <cell r="JD96">
            <v>0</v>
          </cell>
          <cell r="JE96">
            <v>0</v>
          </cell>
          <cell r="JF96">
            <v>0</v>
          </cell>
          <cell r="JG96">
            <v>0</v>
          </cell>
          <cell r="JH96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37">
          <cell r="E37">
            <v>7825280.6499999976</v>
          </cell>
        </row>
        <row r="39">
          <cell r="E39">
            <v>223625</v>
          </cell>
        </row>
      </sheetData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</sheetNames>
    <sheetDataSet>
      <sheetData sheetId="0"/>
      <sheetData sheetId="1"/>
      <sheetData sheetId="2">
        <row r="15">
          <cell r="G15">
            <v>100316795.08</v>
          </cell>
        </row>
        <row r="212">
          <cell r="G212">
            <v>14433131.48</v>
          </cell>
          <cell r="H212">
            <v>2432378.29</v>
          </cell>
        </row>
        <row r="463">
          <cell r="G463">
            <v>0</v>
          </cell>
          <cell r="H463">
            <v>0</v>
          </cell>
        </row>
      </sheetData>
      <sheetData sheetId="3">
        <row r="116">
          <cell r="A116">
            <v>53156477.630000003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1096531.03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815000</v>
          </cell>
          <cell r="P116">
            <v>0</v>
          </cell>
          <cell r="Q116">
            <v>0</v>
          </cell>
          <cell r="R116">
            <v>518120.15</v>
          </cell>
          <cell r="S116">
            <v>2752136.5</v>
          </cell>
          <cell r="T116">
            <v>0</v>
          </cell>
          <cell r="U116">
            <v>0</v>
          </cell>
          <cell r="V116">
            <v>0</v>
          </cell>
          <cell r="W116">
            <v>45000</v>
          </cell>
          <cell r="X116">
            <v>0</v>
          </cell>
          <cell r="Y116">
            <v>0</v>
          </cell>
          <cell r="Z116">
            <v>331200</v>
          </cell>
          <cell r="AA116">
            <v>0</v>
          </cell>
          <cell r="AB116">
            <v>69663.099999999991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3846540.61</v>
          </cell>
          <cell r="AL116">
            <v>3851964.0700000003</v>
          </cell>
          <cell r="AM116">
            <v>649302.85000000009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324206.83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523061.81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489700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591460.4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61630.73</v>
          </cell>
          <cell r="DT116">
            <v>0</v>
          </cell>
          <cell r="DU116">
            <v>0</v>
          </cell>
          <cell r="DV116">
            <v>352366.67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2014526.8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1261.1300000000001</v>
          </cell>
          <cell r="EQ116">
            <v>0</v>
          </cell>
          <cell r="ER116">
            <v>10369.85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3252187.63</v>
          </cell>
          <cell r="FK116">
            <v>0</v>
          </cell>
          <cell r="FL116">
            <v>0</v>
          </cell>
          <cell r="FM116">
            <v>0</v>
          </cell>
          <cell r="FN116">
            <v>650727.9</v>
          </cell>
          <cell r="FO116">
            <v>0</v>
          </cell>
          <cell r="FP116">
            <v>0</v>
          </cell>
          <cell r="FQ116">
            <v>1107347.4699999997</v>
          </cell>
          <cell r="FR116">
            <v>0</v>
          </cell>
          <cell r="FS116">
            <v>0</v>
          </cell>
          <cell r="FT116">
            <v>5362778.4900000012</v>
          </cell>
          <cell r="FU116">
            <v>0</v>
          </cell>
          <cell r="FV116">
            <v>0</v>
          </cell>
          <cell r="FW116">
            <v>569305.18999999994</v>
          </cell>
          <cell r="FX116">
            <v>0</v>
          </cell>
          <cell r="FY116">
            <v>30401.279999999999</v>
          </cell>
          <cell r="FZ116">
            <v>428767.94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159283.04999999999</v>
          </cell>
          <cell r="GI116">
            <v>0</v>
          </cell>
          <cell r="GJ116">
            <v>0</v>
          </cell>
          <cell r="GK116">
            <v>210276</v>
          </cell>
          <cell r="GL116">
            <v>62861.81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2793910</v>
          </cell>
          <cell r="GR116">
            <v>2432782.4</v>
          </cell>
          <cell r="GS116">
            <v>0</v>
          </cell>
          <cell r="GT116">
            <v>801904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>
            <v>0</v>
          </cell>
          <cell r="IK116">
            <v>0</v>
          </cell>
          <cell r="IL116">
            <v>0</v>
          </cell>
          <cell r="IM116">
            <v>0</v>
          </cell>
          <cell r="IN116">
            <v>0</v>
          </cell>
          <cell r="IO116">
            <v>0</v>
          </cell>
          <cell r="IP116">
            <v>0</v>
          </cell>
          <cell r="IQ116">
            <v>0</v>
          </cell>
          <cell r="IR116">
            <v>0</v>
          </cell>
          <cell r="IS116">
            <v>0</v>
          </cell>
          <cell r="IT116">
            <v>0</v>
          </cell>
          <cell r="IU116">
            <v>0</v>
          </cell>
          <cell r="IV116">
            <v>0</v>
          </cell>
          <cell r="IW116">
            <v>0</v>
          </cell>
          <cell r="IX116">
            <v>0</v>
          </cell>
          <cell r="IY116">
            <v>0</v>
          </cell>
          <cell r="IZ116">
            <v>0</v>
          </cell>
          <cell r="JA116">
            <v>0</v>
          </cell>
          <cell r="JB116">
            <v>0</v>
          </cell>
          <cell r="JC116">
            <v>0</v>
          </cell>
          <cell r="JD116">
            <v>0</v>
          </cell>
          <cell r="JE116">
            <v>0</v>
          </cell>
          <cell r="JF116">
            <v>0</v>
          </cell>
          <cell r="JG116">
            <v>0</v>
          </cell>
          <cell r="JH116">
            <v>0</v>
          </cell>
        </row>
      </sheetData>
      <sheetData sheetId="4"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259054.40000000002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24000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252960.9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257071.41999999998</v>
          </cell>
          <cell r="BX96">
            <v>215685.19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11179.44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48852</v>
          </cell>
          <cell r="DE96">
            <v>144580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300691.8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107616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249831.2</v>
          </cell>
          <cell r="EH96">
            <v>989.98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123045.27</v>
          </cell>
          <cell r="EP96">
            <v>0</v>
          </cell>
          <cell r="EQ96">
            <v>0</v>
          </cell>
          <cell r="ER96">
            <v>59697.08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172000</v>
          </cell>
          <cell r="FB96">
            <v>0</v>
          </cell>
          <cell r="FC96">
            <v>0</v>
          </cell>
          <cell r="FD96">
            <v>23844.13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18975</v>
          </cell>
          <cell r="FK96">
            <v>0</v>
          </cell>
          <cell r="FL96">
            <v>0</v>
          </cell>
          <cell r="FM96">
            <v>0</v>
          </cell>
          <cell r="FN96">
            <v>899773.6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419800</v>
          </cell>
          <cell r="FU96">
            <v>0</v>
          </cell>
          <cell r="FV96">
            <v>0</v>
          </cell>
          <cell r="FW96">
            <v>4050.01</v>
          </cell>
          <cell r="FX96">
            <v>0</v>
          </cell>
          <cell r="FY96">
            <v>0</v>
          </cell>
          <cell r="FZ96">
            <v>0</v>
          </cell>
          <cell r="GA96">
            <v>52064.22</v>
          </cell>
          <cell r="GB96">
            <v>0</v>
          </cell>
          <cell r="GC96">
            <v>0</v>
          </cell>
          <cell r="GD96">
            <v>23400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413000</v>
          </cell>
          <cell r="GR96">
            <v>1662030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1770000</v>
          </cell>
          <cell r="HE96">
            <v>0</v>
          </cell>
          <cell r="HF96">
            <v>0</v>
          </cell>
          <cell r="HG96">
            <v>0</v>
          </cell>
          <cell r="HH96">
            <v>42480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  <cell r="IL96">
            <v>0</v>
          </cell>
          <cell r="IM96">
            <v>0</v>
          </cell>
          <cell r="IN96">
            <v>0</v>
          </cell>
          <cell r="IO96">
            <v>0</v>
          </cell>
          <cell r="IP96">
            <v>0</v>
          </cell>
          <cell r="IQ96">
            <v>0</v>
          </cell>
          <cell r="IR96">
            <v>0</v>
          </cell>
          <cell r="IS96">
            <v>0</v>
          </cell>
          <cell r="IT96">
            <v>0</v>
          </cell>
          <cell r="IU96">
            <v>0</v>
          </cell>
          <cell r="IV96">
            <v>0</v>
          </cell>
          <cell r="IW96">
            <v>0</v>
          </cell>
          <cell r="IX96">
            <v>0</v>
          </cell>
          <cell r="IY96">
            <v>0</v>
          </cell>
          <cell r="IZ96">
            <v>0</v>
          </cell>
          <cell r="JA96">
            <v>0</v>
          </cell>
          <cell r="JB96">
            <v>0</v>
          </cell>
          <cell r="JC96">
            <v>0</v>
          </cell>
          <cell r="JD96">
            <v>0</v>
          </cell>
          <cell r="JE96">
            <v>0</v>
          </cell>
          <cell r="JF96">
            <v>0</v>
          </cell>
          <cell r="JG96">
            <v>0</v>
          </cell>
          <cell r="JH96">
            <v>0</v>
          </cell>
        </row>
      </sheetData>
      <sheetData sheetId="5"/>
      <sheetData sheetId="6"/>
      <sheetData sheetId="7"/>
      <sheetData sheetId="8"/>
      <sheetData sheetId="9"/>
      <sheetData sheetId="10">
        <row r="25">
          <cell r="E25">
            <v>9338924.620000001</v>
          </cell>
        </row>
        <row r="31">
          <cell r="E31">
            <v>210100</v>
          </cell>
        </row>
      </sheetData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CHEQUES EMITIDOS"/>
      <sheetName val="RELACION ORDENES DE COMPRAS"/>
      <sheetName val="Hoja1"/>
      <sheetName val="CONS. FUENTES FINAN"/>
      <sheetName val="CUENTA T FONDO 100"/>
      <sheetName val="CUENTA T VS"/>
      <sheetName val="CUENTA T NOMINA SNS"/>
      <sheetName val="GASTOS X ATENCION"/>
      <sheetName val="PLANTILLA PRESUPUESTO"/>
      <sheetName val="TRANSFERENCIA CORRIENTE"/>
      <sheetName val="VS"/>
      <sheetName val="OBLIGACIONES PENDIENTES"/>
      <sheetName val="DEUDA"/>
      <sheetName val="INGRESOS POR A.R.S"/>
      <sheetName val="INGRESOS SEGUN ORIGEN"/>
      <sheetName val="GLOSA"/>
      <sheetName val="CXC"/>
    </sheetNames>
    <sheetDataSet>
      <sheetData sheetId="0"/>
      <sheetData sheetId="1"/>
      <sheetData sheetId="2"/>
      <sheetData sheetId="3">
        <row r="212">
          <cell r="G212">
            <v>4970601.1899999995</v>
          </cell>
          <cell r="H212">
            <v>3062630.67</v>
          </cell>
        </row>
        <row r="463">
          <cell r="G463">
            <v>0</v>
          </cell>
          <cell r="H463">
            <v>0</v>
          </cell>
        </row>
      </sheetData>
      <sheetData sheetId="4">
        <row r="288">
          <cell r="A288">
            <v>52666807.68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973531.03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2752136.5</v>
          </cell>
          <cell r="T288">
            <v>0</v>
          </cell>
          <cell r="U288">
            <v>0</v>
          </cell>
          <cell r="V288">
            <v>0</v>
          </cell>
          <cell r="W288">
            <v>45000</v>
          </cell>
          <cell r="X288">
            <v>0</v>
          </cell>
          <cell r="Y288">
            <v>0</v>
          </cell>
          <cell r="Z288">
            <v>330200</v>
          </cell>
          <cell r="AA288">
            <v>0</v>
          </cell>
          <cell r="AB288">
            <v>69663.099999999991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3803102.29</v>
          </cell>
          <cell r="AL288">
            <v>3808464.5</v>
          </cell>
          <cell r="AM288">
            <v>642274.82000000007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1862880.8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1844663.41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1263056.98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  <cell r="IW288">
            <v>0</v>
          </cell>
          <cell r="IX288">
            <v>0</v>
          </cell>
          <cell r="IY288">
            <v>0</v>
          </cell>
          <cell r="IZ288">
            <v>0</v>
          </cell>
          <cell r="JA288">
            <v>0</v>
          </cell>
          <cell r="JB288">
            <v>0</v>
          </cell>
          <cell r="JC288">
            <v>0</v>
          </cell>
          <cell r="JD288">
            <v>0</v>
          </cell>
          <cell r="JE288">
            <v>0</v>
          </cell>
          <cell r="JF288">
            <v>0</v>
          </cell>
          <cell r="JG288">
            <v>0</v>
          </cell>
          <cell r="JH288">
            <v>0</v>
          </cell>
        </row>
      </sheetData>
      <sheetData sheetId="5"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301316.33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50000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266664.26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21673.46</v>
          </cell>
          <cell r="BX81">
            <v>131244.89000000001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1888000</v>
          </cell>
          <cell r="CI81">
            <v>0</v>
          </cell>
          <cell r="CJ81">
            <v>23600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13357.35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10148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27840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541265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85550</v>
          </cell>
          <cell r="DX81">
            <v>0</v>
          </cell>
          <cell r="DY81">
            <v>0</v>
          </cell>
          <cell r="DZ81">
            <v>0</v>
          </cell>
          <cell r="EA81">
            <v>308000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172000</v>
          </cell>
          <cell r="FB81">
            <v>0</v>
          </cell>
          <cell r="FC81">
            <v>0</v>
          </cell>
          <cell r="FD81">
            <v>49512.84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6900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1799341.1300000001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100061.7</v>
          </cell>
          <cell r="GB81">
            <v>0</v>
          </cell>
          <cell r="GC81">
            <v>6800</v>
          </cell>
          <cell r="GD81">
            <v>130166.7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887994.84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  <cell r="IL81">
            <v>0</v>
          </cell>
          <cell r="IM81">
            <v>0</v>
          </cell>
          <cell r="IN81">
            <v>0</v>
          </cell>
          <cell r="IO81">
            <v>0</v>
          </cell>
          <cell r="IP81">
            <v>0</v>
          </cell>
          <cell r="IQ81">
            <v>0</v>
          </cell>
          <cell r="IR81">
            <v>0</v>
          </cell>
          <cell r="IS81">
            <v>0</v>
          </cell>
          <cell r="IT81">
            <v>0</v>
          </cell>
          <cell r="IU81">
            <v>0</v>
          </cell>
          <cell r="IV81">
            <v>0</v>
          </cell>
          <cell r="IW81">
            <v>0</v>
          </cell>
          <cell r="IX81">
            <v>0</v>
          </cell>
          <cell r="IY81">
            <v>0</v>
          </cell>
          <cell r="IZ81">
            <v>0</v>
          </cell>
          <cell r="JA81">
            <v>0</v>
          </cell>
          <cell r="JB81">
            <v>0</v>
          </cell>
          <cell r="JC81">
            <v>0</v>
          </cell>
          <cell r="JD81">
            <v>0</v>
          </cell>
          <cell r="JE81">
            <v>0</v>
          </cell>
          <cell r="JF81">
            <v>0</v>
          </cell>
          <cell r="JG81">
            <v>0</v>
          </cell>
          <cell r="JH81">
            <v>0</v>
          </cell>
        </row>
      </sheetData>
      <sheetData sheetId="6"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E7">
            <v>84553321.829999998</v>
          </cell>
        </row>
        <row r="8">
          <cell r="E8">
            <v>15763473.25</v>
          </cell>
        </row>
        <row r="24">
          <cell r="E24">
            <v>5902831.209999999</v>
          </cell>
        </row>
        <row r="29">
          <cell r="E29">
            <v>129650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1"/>
  <sheetViews>
    <sheetView topLeftCell="A169" workbookViewId="0">
      <selection activeCell="K183" sqref="K183"/>
    </sheetView>
  </sheetViews>
  <sheetFormatPr baseColWidth="10" defaultColWidth="2.85546875" defaultRowHeight="12.75" x14ac:dyDescent="0.2"/>
  <cols>
    <col min="1" max="5" width="5.5703125" style="5" customWidth="1"/>
    <col min="6" max="6" width="52" style="5" customWidth="1"/>
    <col min="7" max="7" width="18.28515625" style="5" customWidth="1"/>
    <col min="8" max="8" width="20" style="5" bestFit="1" customWidth="1"/>
    <col min="9" max="9" width="13.7109375" style="5" bestFit="1" customWidth="1"/>
    <col min="10" max="10" width="5.5703125" style="5" bestFit="1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02"/>
      <c r="B2" s="103"/>
      <c r="C2" s="103"/>
      <c r="D2" s="103"/>
      <c r="E2" s="103"/>
      <c r="F2" s="103"/>
      <c r="G2" s="103"/>
      <c r="H2" s="103"/>
      <c r="I2" s="6"/>
      <c r="J2" s="7"/>
    </row>
    <row r="3" spans="1:14" ht="26.25" x14ac:dyDescent="0.4">
      <c r="A3" s="104" t="s">
        <v>1</v>
      </c>
      <c r="B3" s="105"/>
      <c r="C3" s="105"/>
      <c r="D3" s="105"/>
      <c r="E3" s="105"/>
      <c r="F3" s="105"/>
      <c r="G3" s="105"/>
      <c r="H3" s="105"/>
      <c r="I3" s="105"/>
      <c r="J3" s="106"/>
    </row>
    <row r="4" spans="1:14" s="8" customFormat="1" ht="18.75" x14ac:dyDescent="0.3">
      <c r="A4" s="107" t="s">
        <v>2</v>
      </c>
      <c r="B4" s="108"/>
      <c r="C4" s="108"/>
      <c r="D4" s="108"/>
      <c r="E4" s="108"/>
      <c r="F4" s="108"/>
      <c r="G4" s="108"/>
      <c r="H4" s="108"/>
      <c r="I4" s="108"/>
      <c r="J4" s="109"/>
    </row>
    <row r="5" spans="1:14" ht="15" x14ac:dyDescent="0.25">
      <c r="A5" s="110" t="s">
        <v>3</v>
      </c>
      <c r="B5" s="111"/>
      <c r="C5" s="111"/>
      <c r="D5" s="111"/>
      <c r="E5" s="111"/>
      <c r="F5" s="111"/>
      <c r="G5" s="111"/>
      <c r="H5" s="111"/>
      <c r="I5" s="111"/>
      <c r="J5" s="112"/>
    </row>
    <row r="6" spans="1:14" ht="15.75" x14ac:dyDescent="0.25">
      <c r="A6" s="113" t="s">
        <v>4</v>
      </c>
      <c r="B6" s="114"/>
      <c r="C6" s="114"/>
      <c r="D6" s="114"/>
      <c r="E6" s="114"/>
      <c r="F6" s="114"/>
      <c r="G6" s="114"/>
      <c r="H6" s="114"/>
      <c r="I6" s="114"/>
      <c r="J6" s="115"/>
    </row>
    <row r="7" spans="1:14" ht="15.75" x14ac:dyDescent="0.25">
      <c r="A7" s="116" t="s">
        <v>5</v>
      </c>
      <c r="B7" s="117"/>
      <c r="C7" s="117"/>
      <c r="D7" s="117"/>
      <c r="E7" s="117"/>
      <c r="F7" s="117"/>
      <c r="G7" s="117"/>
      <c r="H7" s="117"/>
      <c r="I7" s="117"/>
      <c r="J7" s="118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2511952.5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>
        <f>+'[1]INGR SEGUN ORIGEN'!E39</f>
        <v>223625</v>
      </c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+'[1]INGR SEGUN ORIGEN'!E12</f>
        <v>100316795.08</v>
      </c>
      <c r="H15" s="25" t="s">
        <v>17</v>
      </c>
      <c r="I15" s="19">
        <v>0</v>
      </c>
      <c r="J15" s="17"/>
      <c r="L15" s="5">
        <v>2.1</v>
      </c>
      <c r="M15" s="27">
        <f>G26</f>
        <v>66337619.82</v>
      </c>
      <c r="N15" s="27">
        <f>H26</f>
        <v>5231553.59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+'[1]INGR SEGUN ORIGEN'!E37</f>
        <v>7825280.6499999976</v>
      </c>
      <c r="H16" s="25"/>
      <c r="I16" s="23"/>
      <c r="J16" s="17"/>
      <c r="L16" s="5">
        <v>2.2000000000000002</v>
      </c>
      <c r="M16" s="27">
        <f>G87</f>
        <v>7971396.2400000012</v>
      </c>
      <c r="N16" s="27">
        <f>H87</f>
        <v>4359456.22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110877653.22999999</v>
      </c>
      <c r="J17" s="17"/>
      <c r="L17" s="5">
        <v>2.2999999999999998</v>
      </c>
      <c r="M17" s="27">
        <f>'[1]CONS. FUENTES FINAN'!G212</f>
        <v>26749551.52</v>
      </c>
      <c r="N17" s="27">
        <f>'[1]CONS. FUENTES FINAN'!H212</f>
        <v>1797538.3199999998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127420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11396849.359999999</v>
      </c>
      <c r="N19" s="27">
        <f>H336</f>
        <v>300539.37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'[1]CONS. FUENTES FINAN'!G463</f>
        <v>0</v>
      </c>
      <c r="N20" s="27">
        <f>'[1]CONS. FUENTES FINAN'!H463</f>
        <v>0</v>
      </c>
    </row>
    <row r="21" spans="1:16" x14ac:dyDescent="0.2">
      <c r="A21" s="41">
        <v>1</v>
      </c>
      <c r="B21" s="41"/>
      <c r="C21" s="41"/>
      <c r="D21" s="41"/>
      <c r="E21" s="41"/>
      <c r="F21" s="41">
        <v>2</v>
      </c>
      <c r="G21" s="119">
        <v>3</v>
      </c>
      <c r="H21" s="120"/>
      <c r="I21" s="42">
        <v>4</v>
      </c>
      <c r="J21" s="42">
        <v>5</v>
      </c>
    </row>
    <row r="22" spans="1:16" ht="12.75" customHeight="1" x14ac:dyDescent="0.2">
      <c r="A22" s="121" t="s">
        <v>19</v>
      </c>
      <c r="B22" s="121"/>
      <c r="C22" s="121"/>
      <c r="D22" s="121"/>
      <c r="E22" s="121"/>
      <c r="F22" s="122" t="s">
        <v>20</v>
      </c>
      <c r="G22" s="123" t="s">
        <v>21</v>
      </c>
      <c r="H22" s="124"/>
      <c r="I22" s="125" t="s">
        <v>22</v>
      </c>
      <c r="J22" s="126" t="s">
        <v>23</v>
      </c>
    </row>
    <row r="23" spans="1:16" ht="12.75" customHeight="1" x14ac:dyDescent="0.2">
      <c r="A23" s="127" t="s">
        <v>24</v>
      </c>
      <c r="B23" s="127" t="s">
        <v>25</v>
      </c>
      <c r="C23" s="127" t="s">
        <v>26</v>
      </c>
      <c r="D23" s="127" t="s">
        <v>27</v>
      </c>
      <c r="E23" s="127" t="s">
        <v>28</v>
      </c>
      <c r="F23" s="128"/>
      <c r="G23" s="129" t="s">
        <v>29</v>
      </c>
      <c r="H23" s="129" t="s">
        <v>30</v>
      </c>
      <c r="I23" s="130"/>
      <c r="J23" s="131"/>
      <c r="L23" s="43"/>
      <c r="M23" s="43"/>
      <c r="N23" s="43"/>
      <c r="O23" s="43"/>
      <c r="P23" s="43"/>
    </row>
    <row r="24" spans="1:16" ht="12.75" customHeight="1" x14ac:dyDescent="0.2">
      <c r="A24" s="132"/>
      <c r="B24" s="132"/>
      <c r="C24" s="132"/>
      <c r="D24" s="132"/>
      <c r="E24" s="132"/>
      <c r="F24" s="133"/>
      <c r="G24" s="134"/>
      <c r="H24" s="134"/>
      <c r="I24" s="135"/>
      <c r="J24" s="136"/>
      <c r="L24" s="43"/>
      <c r="M24" s="43"/>
      <c r="N24" s="43"/>
      <c r="O24" s="43"/>
      <c r="P24" s="4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112455416.94</v>
      </c>
      <c r="H25" s="47">
        <f>+H26+H87+H212+H330+H336+H463</f>
        <v>11816507.499999998</v>
      </c>
      <c r="I25" s="47">
        <f>SUM(G25:H25)</f>
        <v>124271924.44</v>
      </c>
      <c r="J25" s="48">
        <f>+J26+J87+J212+J330+J336+J463</f>
        <v>0.99999999999999989</v>
      </c>
      <c r="L25" s="27"/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66337619.82</v>
      </c>
      <c r="H26" s="52">
        <f>+H27+H51+H64+H71+H78</f>
        <v>5231553.59</v>
      </c>
      <c r="I26" s="52">
        <f t="shared" ref="I26:I88" si="0">SUM(G26:H26)</f>
        <v>71569173.409999996</v>
      </c>
      <c r="J26" s="53">
        <f>I26/$I$25</f>
        <v>0.57590782256336959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54718737.07</v>
      </c>
      <c r="H27" s="56">
        <f>+H28+H35+H42+H44+H46</f>
        <v>0</v>
      </c>
      <c r="I27" s="56">
        <f t="shared" si="0"/>
        <v>54718737.07</v>
      </c>
      <c r="J27" s="53">
        <f>I27/$I$25</f>
        <v>0.44031455468784403</v>
      </c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53611206.039999999</v>
      </c>
      <c r="H28" s="59">
        <f>SUM(H29:H34)</f>
        <v>0</v>
      </c>
      <c r="I28" s="59">
        <f t="shared" si="0"/>
        <v>53611206.039999999</v>
      </c>
      <c r="J28" s="60">
        <f>I28/$I$25</f>
        <v>0.4314023966522233</v>
      </c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'[1]CUENTA T FONDO 100'!A127</f>
        <v>53611206.039999999</v>
      </c>
      <c r="H29" s="64">
        <f>'[1]CUENTA T VS'!A96</f>
        <v>0</v>
      </c>
      <c r="I29" s="64">
        <f t="shared" si="0"/>
        <v>53611206.039999999</v>
      </c>
      <c r="J29" s="65">
        <f t="shared" ref="J29:J34" si="1">I29/$I$25</f>
        <v>0.4314023966522233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'[1]CUENTA T FONDO 100'!B127</f>
        <v>0</v>
      </c>
      <c r="H30" s="64">
        <f>'[1]CUENTA T VS'!B96</f>
        <v>0</v>
      </c>
      <c r="I30" s="64">
        <f t="shared" si="0"/>
        <v>0</v>
      </c>
      <c r="J30" s="65">
        <f>I30/$I$25</f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'[1]CUENTA T FONDO 100'!C127</f>
        <v>0</v>
      </c>
      <c r="H31" s="64">
        <f>'[1]CUENTA T VS'!C96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'[1]CUENTA T FONDO 100'!D127</f>
        <v>0</v>
      </c>
      <c r="H32" s="64">
        <f>'[1]CUENTA T VS'!D96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'[1]CUENTA T FONDO 100'!E127</f>
        <v>0</v>
      </c>
      <c r="H33" s="64">
        <f>'[1]CUENTA T VS'!E96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'[1]CUENTA T FONDO 100'!F127</f>
        <v>0</v>
      </c>
      <c r="H34" s="64">
        <f>'[1]CUENTA T VS'!F96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1107531.03</v>
      </c>
      <c r="H35" s="59">
        <f>SUM(H36:H41)</f>
        <v>0</v>
      </c>
      <c r="I35" s="59">
        <f t="shared" si="0"/>
        <v>1107531.03</v>
      </c>
      <c r="J35" s="68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'[1]CUENTA T FONDO 100'!G127</f>
        <v>0</v>
      </c>
      <c r="H36" s="64">
        <f>'[1]CUENTA T VS'!G96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'[1]CUENTA T FONDO 100'!H127</f>
        <v>0</v>
      </c>
      <c r="H37" s="64">
        <f>'[1]CUENTA T VS'!H96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'[1]CUENTA T FONDO 100'!I127</f>
        <v>0</v>
      </c>
      <c r="H38" s="64">
        <f>'[1]CUENTA T VS'!I96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'[1]CUENTA T FONDO 100'!J127</f>
        <v>1107531.03</v>
      </c>
      <c r="H39" s="64">
        <f>'[1]CUENTA T VS'!J96</f>
        <v>0</v>
      </c>
      <c r="I39" s="64">
        <f t="shared" si="0"/>
        <v>1107531.03</v>
      </c>
      <c r="J39" s="65">
        <f t="shared" si="2"/>
        <v>8.9121580356207458E-3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'[1]CUENTA T FONDO 100'!K127</f>
        <v>0</v>
      </c>
      <c r="H40" s="64">
        <f>'[1]CUENTA T VS'!K96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'[1]CUENTA T FONDO 100'!L127</f>
        <v>0</v>
      </c>
      <c r="H41" s="64">
        <f>'[1]CUENTA T VS'!L96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8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'[1]CUENTA T FONDO 100'!M127</f>
        <v>0</v>
      </c>
      <c r="H43" s="64">
        <f>'[1]CUENTA T VS'!M96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8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'[1]CUENTA T FONDO 100'!N127</f>
        <v>0</v>
      </c>
      <c r="H45" s="64">
        <f>'[1]CUENTA T VS'!N96</f>
        <v>0</v>
      </c>
      <c r="I45" s="64">
        <f t="shared" si="0"/>
        <v>0</v>
      </c>
      <c r="J45" s="65">
        <f>I45/$I$25</f>
        <v>0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0</v>
      </c>
      <c r="H46" s="59">
        <f>SUM(H47:H50)</f>
        <v>0</v>
      </c>
      <c r="I46" s="59">
        <f t="shared" si="0"/>
        <v>0</v>
      </c>
      <c r="J46" s="68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'[1]CUENTA T FONDO 100'!O127</f>
        <v>0</v>
      </c>
      <c r="H47" s="64">
        <f>'[1]CUENTA T VS'!O96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'[1]CUENTA T FONDO 100'!P127</f>
        <v>0</v>
      </c>
      <c r="H48" s="64">
        <f>'[1]CUENTA T VS'!P96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'[1]CUENTA T FONDO 100'!Q127</f>
        <v>0</v>
      </c>
      <c r="H49" s="64">
        <f>'[1]CUENTA T VS'!Q96</f>
        <v>0</v>
      </c>
      <c r="I49" s="64">
        <f t="shared" si="0"/>
        <v>0</v>
      </c>
      <c r="J49" s="65">
        <f>I49/$I$25</f>
        <v>0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'[1]CUENTA T FONDO 100'!R127</f>
        <v>0</v>
      </c>
      <c r="H50" s="64">
        <f>'[1]CUENTA T VS'!R96</f>
        <v>0</v>
      </c>
      <c r="I50" s="64">
        <f t="shared" si="0"/>
        <v>0</v>
      </c>
      <c r="J50" s="65">
        <f>I50/$I$25</f>
        <v>0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9" t="s">
        <v>63</v>
      </c>
      <c r="G51" s="56">
        <f>+G52+G54</f>
        <v>3199399.6</v>
      </c>
      <c r="H51" s="56">
        <f>+H52+H54</f>
        <v>5231553.59</v>
      </c>
      <c r="I51" s="56">
        <f t="shared" si="0"/>
        <v>8430953.1899999995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2752136.5</v>
      </c>
      <c r="H52" s="59">
        <f>SUM(H53)</f>
        <v>0</v>
      </c>
      <c r="I52" s="59">
        <f t="shared" si="0"/>
        <v>2752136.5</v>
      </c>
      <c r="J52" s="68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'[1]CUENTA T FONDO 100'!S127</f>
        <v>2752136.5</v>
      </c>
      <c r="H53" s="64">
        <f>'[1]CUENTA T VS'!S96</f>
        <v>0</v>
      </c>
      <c r="I53" s="64">
        <f t="shared" si="0"/>
        <v>2752136.5</v>
      </c>
      <c r="J53" s="65">
        <f>I53/$I$25</f>
        <v>2.2146084181135901E-2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447263.1</v>
      </c>
      <c r="H54" s="59">
        <f>SUM(H55:H63)</f>
        <v>5231553.59</v>
      </c>
      <c r="I54" s="59">
        <f t="shared" si="0"/>
        <v>5678816.6899999995</v>
      </c>
      <c r="J54" s="68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'[1]CUENTA T FONDO 100'!T127</f>
        <v>0</v>
      </c>
      <c r="H55" s="64">
        <f>'[1]CUENTA T VS'!T96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70" t="s">
        <v>67</v>
      </c>
      <c r="G56" s="64">
        <f>'[1]CUENTA T FONDO 100'!U127</f>
        <v>0</v>
      </c>
      <c r="H56" s="64">
        <f>'[1]CUENTA T VS'!U96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'[1]CUENTA T FONDO 100'!V127</f>
        <v>0</v>
      </c>
      <c r="H57" s="64">
        <f>'[1]CUENTA T VS'!V96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'[1]CUENTA T FONDO 100'!W127</f>
        <v>45000</v>
      </c>
      <c r="H58" s="64">
        <f>'[1]CUENTA T VS'!W96</f>
        <v>0</v>
      </c>
      <c r="I58" s="64">
        <f t="shared" si="0"/>
        <v>45000</v>
      </c>
      <c r="J58" s="65">
        <f t="shared" si="3"/>
        <v>3.6210914253385164E-4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'[1]CUENTA T FONDO 100'!X127</f>
        <v>0</v>
      </c>
      <c r="H59" s="64">
        <f>'[1]CUENTA T VS'!X96</f>
        <v>5231553.59</v>
      </c>
      <c r="I59" s="64">
        <f t="shared" si="0"/>
        <v>5231553.59</v>
      </c>
      <c r="J59" s="65">
        <f t="shared" si="3"/>
        <v>4.2097630768773181E-2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'[1]CUENTA T FONDO 100'!Y127</f>
        <v>0</v>
      </c>
      <c r="H60" s="64">
        <f>'[1]CUENTA T VS'!Y96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'[1]CUENTA T FONDO 100'!Z127</f>
        <v>332600</v>
      </c>
      <c r="H61" s="64">
        <f>'[1]CUENTA T VS'!Z96</f>
        <v>0</v>
      </c>
      <c r="I61" s="64">
        <f t="shared" si="0"/>
        <v>332600</v>
      </c>
      <c r="J61" s="65">
        <f t="shared" si="3"/>
        <v>2.6763889068168677E-3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'[1]CUENTA T FONDO 100'!AA127</f>
        <v>0</v>
      </c>
      <c r="H62" s="64">
        <f>'[1]CUENTA T VS'!AA96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70" t="s">
        <v>75</v>
      </c>
      <c r="G63" s="64">
        <f>'[1]CUENTA T FONDO 100'!AB127</f>
        <v>69663.099999999991</v>
      </c>
      <c r="H63" s="64">
        <f>'[1]CUENTA T VS'!AB96</f>
        <v>0</v>
      </c>
      <c r="I63" s="64">
        <f t="shared" si="0"/>
        <v>69663.099999999991</v>
      </c>
      <c r="J63" s="65">
        <f t="shared" si="3"/>
        <v>5.6056989793888798E-4</v>
      </c>
    </row>
    <row r="64" spans="1:10" x14ac:dyDescent="0.2">
      <c r="A64" s="71">
        <v>2</v>
      </c>
      <c r="B64" s="55">
        <v>1</v>
      </c>
      <c r="C64" s="55">
        <v>3</v>
      </c>
      <c r="D64" s="55"/>
      <c r="E64" s="55"/>
      <c r="F64" s="72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3">
        <v>2</v>
      </c>
      <c r="B65" s="58">
        <v>1</v>
      </c>
      <c r="C65" s="58">
        <v>3</v>
      </c>
      <c r="D65" s="58">
        <v>1</v>
      </c>
      <c r="E65" s="58"/>
      <c r="F65" s="74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8"/>
    </row>
    <row r="66" spans="1:10" x14ac:dyDescent="0.2">
      <c r="A66" s="75">
        <v>2</v>
      </c>
      <c r="B66" s="62">
        <v>1</v>
      </c>
      <c r="C66" s="62">
        <v>3</v>
      </c>
      <c r="D66" s="62">
        <v>1</v>
      </c>
      <c r="E66" s="63" t="s">
        <v>35</v>
      </c>
      <c r="F66" s="76" t="s">
        <v>78</v>
      </c>
      <c r="G66" s="64">
        <f>'[1]CUENTA T FONDO 100'!AC127</f>
        <v>0</v>
      </c>
      <c r="H66" s="64">
        <f>'[1]CUENTA T VS'!AC96</f>
        <v>0</v>
      </c>
      <c r="I66" s="64">
        <f t="shared" si="0"/>
        <v>0</v>
      </c>
      <c r="J66" s="65">
        <f>I66/$I$25</f>
        <v>0</v>
      </c>
    </row>
    <row r="67" spans="1:10" x14ac:dyDescent="0.2">
      <c r="A67" s="75">
        <v>2</v>
      </c>
      <c r="B67" s="62">
        <v>1</v>
      </c>
      <c r="C67" s="62">
        <v>3</v>
      </c>
      <c r="D67" s="62">
        <v>1</v>
      </c>
      <c r="E67" s="63" t="s">
        <v>37</v>
      </c>
      <c r="F67" s="76" t="s">
        <v>79</v>
      </c>
      <c r="G67" s="64">
        <f>'[1]CUENTA T FONDO 100'!AD127</f>
        <v>0</v>
      </c>
      <c r="H67" s="64">
        <f>'[1]CUENTA T VS'!AD96</f>
        <v>0</v>
      </c>
      <c r="I67" s="64">
        <f t="shared" si="0"/>
        <v>0</v>
      </c>
      <c r="J67" s="65">
        <f>I67/$I$25</f>
        <v>0</v>
      </c>
    </row>
    <row r="68" spans="1:10" x14ac:dyDescent="0.2">
      <c r="A68" s="73">
        <v>2</v>
      </c>
      <c r="B68" s="58">
        <v>1</v>
      </c>
      <c r="C68" s="58">
        <v>3</v>
      </c>
      <c r="D68" s="58">
        <v>2</v>
      </c>
      <c r="E68" s="58"/>
      <c r="F68" s="74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8"/>
    </row>
    <row r="69" spans="1:10" x14ac:dyDescent="0.2">
      <c r="A69" s="75">
        <v>2</v>
      </c>
      <c r="B69" s="62">
        <v>1</v>
      </c>
      <c r="C69" s="62">
        <v>3</v>
      </c>
      <c r="D69" s="62">
        <v>2</v>
      </c>
      <c r="E69" s="63" t="s">
        <v>35</v>
      </c>
      <c r="F69" s="76" t="s">
        <v>81</v>
      </c>
      <c r="G69" s="64">
        <f>'[1]CUENTA T FONDO 100'!AE127</f>
        <v>0</v>
      </c>
      <c r="H69" s="64">
        <f>'[1]CUENTA T VS'!AE96</f>
        <v>0</v>
      </c>
      <c r="I69" s="64">
        <f t="shared" si="0"/>
        <v>0</v>
      </c>
      <c r="J69" s="65">
        <f>I69/$I$25</f>
        <v>0</v>
      </c>
    </row>
    <row r="70" spans="1:10" x14ac:dyDescent="0.2">
      <c r="A70" s="75">
        <v>2</v>
      </c>
      <c r="B70" s="62">
        <v>1</v>
      </c>
      <c r="C70" s="62">
        <v>3</v>
      </c>
      <c r="D70" s="62">
        <v>2</v>
      </c>
      <c r="E70" s="63" t="s">
        <v>37</v>
      </c>
      <c r="F70" s="76" t="s">
        <v>82</v>
      </c>
      <c r="G70" s="64">
        <f>'[1]CUENTA T FONDO 100'!AF127</f>
        <v>0</v>
      </c>
      <c r="H70" s="64">
        <f>'[1]CUENTA T VS'!AF96</f>
        <v>0</v>
      </c>
      <c r="I70" s="64">
        <f t="shared" si="0"/>
        <v>0</v>
      </c>
      <c r="J70" s="65">
        <f>I70/$I$25</f>
        <v>0</v>
      </c>
    </row>
    <row r="71" spans="1:10" x14ac:dyDescent="0.2">
      <c r="A71" s="71">
        <v>2</v>
      </c>
      <c r="B71" s="55">
        <v>1</v>
      </c>
      <c r="C71" s="55">
        <v>4</v>
      </c>
      <c r="D71" s="55"/>
      <c r="E71" s="55"/>
      <c r="F71" s="72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8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'[1]CUENTA T FONDO 100'!AG127</f>
        <v>0</v>
      </c>
      <c r="H73" s="64">
        <f>'[1]CUENTA T VS'!AG96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8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'[1]CUENTA T FONDO 100'!AH127</f>
        <v>0</v>
      </c>
      <c r="H75" s="64">
        <f>'[1]CUENTA T VS'!AH96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'[1]CUENTA T FONDO 100'!AI127</f>
        <v>0</v>
      </c>
      <c r="H76" s="64">
        <f>'[1]CUENTA T VS'!AI96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'[1]CUENTA T FONDO 100'!AJ127</f>
        <v>0</v>
      </c>
      <c r="H77" s="64">
        <f>'[1]CUENTA T VS'!AJ96</f>
        <v>0</v>
      </c>
      <c r="I77" s="64">
        <f t="shared" si="0"/>
        <v>0</v>
      </c>
      <c r="J77" s="65">
        <f>I77/$I$25</f>
        <v>0</v>
      </c>
    </row>
    <row r="78" spans="1:10" x14ac:dyDescent="0.2">
      <c r="A78" s="71">
        <v>2</v>
      </c>
      <c r="B78" s="55">
        <v>1</v>
      </c>
      <c r="C78" s="55">
        <v>5</v>
      </c>
      <c r="D78" s="55"/>
      <c r="E78" s="55"/>
      <c r="F78" s="72" t="s">
        <v>89</v>
      </c>
      <c r="G78" s="56">
        <f>+G79+G81+G83+G85</f>
        <v>8419483.1500000004</v>
      </c>
      <c r="H78" s="56">
        <f>+H79+H81+H83+H85</f>
        <v>0</v>
      </c>
      <c r="I78" s="56">
        <f t="shared" si="0"/>
        <v>8419483.1500000004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3879560.77</v>
      </c>
      <c r="H79" s="59">
        <f>SUM(H80)</f>
        <v>0</v>
      </c>
      <c r="I79" s="59">
        <f t="shared" si="0"/>
        <v>3879560.77</v>
      </c>
      <c r="J79" s="68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'[1]CUENTA T FONDO 100'!AK127</f>
        <v>3879560.77</v>
      </c>
      <c r="H80" s="64">
        <f>'[1]CUENTA T VS'!AK96</f>
        <v>0</v>
      </c>
      <c r="I80" s="64">
        <f t="shared" si="0"/>
        <v>3879560.77</v>
      </c>
      <c r="J80" s="65">
        <f>I80/$I$25</f>
        <v>3.121832052961487E-2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3885030.79</v>
      </c>
      <c r="H81" s="59">
        <f>SUM(H82)</f>
        <v>0</v>
      </c>
      <c r="I81" s="59">
        <f t="shared" si="0"/>
        <v>3885030.79</v>
      </c>
      <c r="J81" s="68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'[1]CUENTA T FONDO 100'!AL127</f>
        <v>3885030.79</v>
      </c>
      <c r="H82" s="64">
        <f>'[1]CUENTA T VS'!AL96</f>
        <v>0</v>
      </c>
      <c r="I82" s="64">
        <f t="shared" si="0"/>
        <v>3885030.79</v>
      </c>
      <c r="J82" s="65">
        <f>I82/$I$25</f>
        <v>3.126233706854472E-2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654891.59000000008</v>
      </c>
      <c r="H83" s="59">
        <f>SUM(H84)</f>
        <v>0</v>
      </c>
      <c r="I83" s="59">
        <f t="shared" si="0"/>
        <v>654891.59000000008</v>
      </c>
      <c r="J83" s="68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'[1]CUENTA T FONDO 100'!AM127</f>
        <v>654891.59000000008</v>
      </c>
      <c r="H84" s="64">
        <f>'[1]CUENTA T VS'!AM96</f>
        <v>0</v>
      </c>
      <c r="I84" s="64">
        <f t="shared" si="0"/>
        <v>654891.59000000008</v>
      </c>
      <c r="J84" s="65">
        <f>I84/$I$25</f>
        <v>5.2698273801673502E-3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8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'[1]CUENTA T FONDO 100'!AN127</f>
        <v>0</v>
      </c>
      <c r="H86" s="64">
        <f>'[1]CUENTA T VS'!AN96</f>
        <v>0</v>
      </c>
      <c r="I86" s="64">
        <f t="shared" si="0"/>
        <v>0</v>
      </c>
      <c r="J86" s="65">
        <f>I86/$I$25</f>
        <v>0</v>
      </c>
    </row>
    <row r="87" spans="1:10" x14ac:dyDescent="0.2">
      <c r="A87" s="71">
        <v>2</v>
      </c>
      <c r="B87" s="77">
        <v>2</v>
      </c>
      <c r="C87" s="55"/>
      <c r="D87" s="55"/>
      <c r="E87" s="55"/>
      <c r="F87" s="72" t="s">
        <v>94</v>
      </c>
      <c r="G87" s="56">
        <f>G88+G106+G111+G116+G125+G148+G157+G179+G208</f>
        <v>7971396.2400000012</v>
      </c>
      <c r="H87" s="56">
        <f>H88+H106+H111+H116+H125+H148+H157+H179+H208</f>
        <v>4359456.22</v>
      </c>
      <c r="I87" s="56">
        <f t="shared" si="0"/>
        <v>12330852.460000001</v>
      </c>
      <c r="J87" s="53">
        <f>I87/$I$25</f>
        <v>9.9224764688934125E-2</v>
      </c>
    </row>
    <row r="88" spans="1:10" x14ac:dyDescent="0.2">
      <c r="A88" s="71">
        <v>2</v>
      </c>
      <c r="B88" s="55">
        <v>2</v>
      </c>
      <c r="C88" s="55">
        <v>1</v>
      </c>
      <c r="D88" s="55"/>
      <c r="E88" s="55"/>
      <c r="F88" s="72" t="s">
        <v>95</v>
      </c>
      <c r="G88" s="56">
        <f>+G89+G91+G93+G95+G97+G99+G102+G104</f>
        <v>2020024.3</v>
      </c>
      <c r="H88" s="56">
        <f>+H89+H91+H93+H95+H97+H99+H102+H104</f>
        <v>1731191.19</v>
      </c>
      <c r="I88" s="56">
        <f t="shared" si="0"/>
        <v>3751215.49</v>
      </c>
      <c r="J88" s="53"/>
    </row>
    <row r="89" spans="1:10" x14ac:dyDescent="0.2">
      <c r="A89" s="73">
        <v>2</v>
      </c>
      <c r="B89" s="58">
        <v>2</v>
      </c>
      <c r="C89" s="58">
        <v>1</v>
      </c>
      <c r="D89" s="58">
        <v>1</v>
      </c>
      <c r="E89" s="58"/>
      <c r="F89" s="74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8"/>
    </row>
    <row r="90" spans="1:10" x14ac:dyDescent="0.2">
      <c r="A90" s="75">
        <v>2</v>
      </c>
      <c r="B90" s="62">
        <v>2</v>
      </c>
      <c r="C90" s="62">
        <v>1</v>
      </c>
      <c r="D90" s="62">
        <v>1</v>
      </c>
      <c r="E90" s="63" t="s">
        <v>35</v>
      </c>
      <c r="F90" s="76" t="s">
        <v>96</v>
      </c>
      <c r="G90" s="64">
        <f>'[1]CUENTA T FONDO 100'!AO127</f>
        <v>0</v>
      </c>
      <c r="H90" s="64">
        <f>'[1]CUENTA T VS'!AO96</f>
        <v>0</v>
      </c>
      <c r="I90" s="64">
        <f t="shared" si="4"/>
        <v>0</v>
      </c>
      <c r="J90" s="65">
        <f>I90/$I$25</f>
        <v>0</v>
      </c>
    </row>
    <row r="91" spans="1:10" x14ac:dyDescent="0.2">
      <c r="A91" s="73">
        <v>2</v>
      </c>
      <c r="B91" s="58">
        <v>2</v>
      </c>
      <c r="C91" s="58">
        <v>1</v>
      </c>
      <c r="D91" s="58">
        <v>2</v>
      </c>
      <c r="E91" s="58"/>
      <c r="F91" s="74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8"/>
    </row>
    <row r="92" spans="1:10" x14ac:dyDescent="0.2">
      <c r="A92" s="75">
        <v>2</v>
      </c>
      <c r="B92" s="62">
        <v>2</v>
      </c>
      <c r="C92" s="62">
        <v>1</v>
      </c>
      <c r="D92" s="62">
        <v>2</v>
      </c>
      <c r="E92" s="63" t="s">
        <v>35</v>
      </c>
      <c r="F92" s="76" t="s">
        <v>97</v>
      </c>
      <c r="G92" s="64">
        <f>'[1]CUENTA T FONDO 100'!AP127</f>
        <v>0</v>
      </c>
      <c r="H92" s="64">
        <f>'[1]CUENTA T VS'!AP96</f>
        <v>0</v>
      </c>
      <c r="I92" s="64">
        <f t="shared" si="4"/>
        <v>0</v>
      </c>
      <c r="J92" s="65">
        <f>I92/$I$25</f>
        <v>0</v>
      </c>
    </row>
    <row r="93" spans="1:10" x14ac:dyDescent="0.2">
      <c r="A93" s="73">
        <v>2</v>
      </c>
      <c r="B93" s="58">
        <v>2</v>
      </c>
      <c r="C93" s="58">
        <v>1</v>
      </c>
      <c r="D93" s="58">
        <v>3</v>
      </c>
      <c r="E93" s="58"/>
      <c r="F93" s="74" t="s">
        <v>98</v>
      </c>
      <c r="G93" s="59">
        <f>SUM(G94)</f>
        <v>0</v>
      </c>
      <c r="H93" s="59">
        <f>SUM(H94)</f>
        <v>211191.19</v>
      </c>
      <c r="I93" s="59">
        <f t="shared" si="4"/>
        <v>211191.19</v>
      </c>
      <c r="J93" s="68"/>
    </row>
    <row r="94" spans="1:10" x14ac:dyDescent="0.2">
      <c r="A94" s="75">
        <v>2</v>
      </c>
      <c r="B94" s="62">
        <v>2</v>
      </c>
      <c r="C94" s="62">
        <v>1</v>
      </c>
      <c r="D94" s="62">
        <v>3</v>
      </c>
      <c r="E94" s="63" t="s">
        <v>35</v>
      </c>
      <c r="F94" s="76" t="s">
        <v>98</v>
      </c>
      <c r="G94" s="64">
        <f>'[1]CUENTA T FONDO 100'!AQ127</f>
        <v>0</v>
      </c>
      <c r="H94" s="64">
        <f>'[1]CUENTA T VS'!AQ96</f>
        <v>211191.19</v>
      </c>
      <c r="I94" s="64">
        <f t="shared" si="4"/>
        <v>211191.19</v>
      </c>
      <c r="J94" s="65">
        <f>I94/$I$25</f>
        <v>1.6994280160356388E-3</v>
      </c>
    </row>
    <row r="95" spans="1:10" x14ac:dyDescent="0.2">
      <c r="A95" s="73">
        <v>2</v>
      </c>
      <c r="B95" s="58">
        <v>2</v>
      </c>
      <c r="C95" s="58">
        <v>1</v>
      </c>
      <c r="D95" s="58">
        <v>4</v>
      </c>
      <c r="E95" s="58"/>
      <c r="F95" s="74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8"/>
    </row>
    <row r="96" spans="1:10" x14ac:dyDescent="0.2">
      <c r="A96" s="75">
        <v>2</v>
      </c>
      <c r="B96" s="62">
        <v>2</v>
      </c>
      <c r="C96" s="62">
        <v>1</v>
      </c>
      <c r="D96" s="62">
        <v>4</v>
      </c>
      <c r="E96" s="63" t="s">
        <v>35</v>
      </c>
      <c r="F96" s="76" t="s">
        <v>99</v>
      </c>
      <c r="G96" s="64">
        <f>'[1]CUENTA T FONDO 100'!AR127</f>
        <v>0</v>
      </c>
      <c r="H96" s="64">
        <f>'[1]CUENTA T VS'!AR96</f>
        <v>0</v>
      </c>
      <c r="I96" s="64">
        <f t="shared" si="4"/>
        <v>0</v>
      </c>
      <c r="J96" s="65">
        <f>I96/$I$25</f>
        <v>0</v>
      </c>
    </row>
    <row r="97" spans="1:10" x14ac:dyDescent="0.2">
      <c r="A97" s="73">
        <v>2</v>
      </c>
      <c r="B97" s="58">
        <v>2</v>
      </c>
      <c r="C97" s="58">
        <v>1</v>
      </c>
      <c r="D97" s="58">
        <v>5</v>
      </c>
      <c r="E97" s="58"/>
      <c r="F97" s="74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8"/>
    </row>
    <row r="98" spans="1:10" x14ac:dyDescent="0.2">
      <c r="A98" s="75">
        <v>2</v>
      </c>
      <c r="B98" s="62">
        <v>2</v>
      </c>
      <c r="C98" s="62">
        <v>1</v>
      </c>
      <c r="D98" s="62">
        <v>5</v>
      </c>
      <c r="E98" s="63" t="s">
        <v>35</v>
      </c>
      <c r="F98" s="76" t="s">
        <v>100</v>
      </c>
      <c r="G98" s="64">
        <f>'[1]CUENTA T FONDO 100'!AS127</f>
        <v>0</v>
      </c>
      <c r="H98" s="64">
        <f>'[1]CUENTA T VS'!AS96</f>
        <v>0</v>
      </c>
      <c r="I98" s="64">
        <f t="shared" si="4"/>
        <v>0</v>
      </c>
      <c r="J98" s="65">
        <f>I98/$I$25</f>
        <v>0</v>
      </c>
    </row>
    <row r="99" spans="1:10" x14ac:dyDescent="0.2">
      <c r="A99" s="73">
        <v>2</v>
      </c>
      <c r="B99" s="58">
        <v>2</v>
      </c>
      <c r="C99" s="58">
        <v>1</v>
      </c>
      <c r="D99" s="58">
        <v>6</v>
      </c>
      <c r="E99" s="58"/>
      <c r="F99" s="74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8"/>
    </row>
    <row r="100" spans="1:10" x14ac:dyDescent="0.2">
      <c r="A100" s="75">
        <v>2</v>
      </c>
      <c r="B100" s="62">
        <v>2</v>
      </c>
      <c r="C100" s="62">
        <v>1</v>
      </c>
      <c r="D100" s="62">
        <v>6</v>
      </c>
      <c r="E100" s="63" t="s">
        <v>35</v>
      </c>
      <c r="F100" s="76" t="s">
        <v>102</v>
      </c>
      <c r="G100" s="64">
        <f>'[1]CUENTA T FONDO 100'!AT127</f>
        <v>0</v>
      </c>
      <c r="H100" s="64">
        <f>'[1]CUENTA T VS'!AT96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5">
        <v>2</v>
      </c>
      <c r="B101" s="62">
        <v>2</v>
      </c>
      <c r="C101" s="62">
        <v>1</v>
      </c>
      <c r="D101" s="62">
        <v>6</v>
      </c>
      <c r="E101" s="63" t="s">
        <v>37</v>
      </c>
      <c r="F101" s="76" t="s">
        <v>103</v>
      </c>
      <c r="G101" s="64">
        <f>'[1]CUENTA T FONDO 100'!AU127</f>
        <v>0</v>
      </c>
      <c r="H101" s="64">
        <f>'[1]CUENTA T VS'!AU96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3">
        <v>2</v>
      </c>
      <c r="B102" s="58">
        <v>2</v>
      </c>
      <c r="C102" s="58">
        <v>1</v>
      </c>
      <c r="D102" s="58">
        <v>7</v>
      </c>
      <c r="E102" s="58"/>
      <c r="F102" s="74" t="s">
        <v>104</v>
      </c>
      <c r="G102" s="59">
        <f>SUM(G103)</f>
        <v>2020024.3</v>
      </c>
      <c r="H102" s="59">
        <f>SUM(H103)</f>
        <v>0</v>
      </c>
      <c r="I102" s="59">
        <f t="shared" si="4"/>
        <v>2020024.3</v>
      </c>
      <c r="J102" s="68"/>
    </row>
    <row r="103" spans="1:10" x14ac:dyDescent="0.2">
      <c r="A103" s="75">
        <v>2</v>
      </c>
      <c r="B103" s="62">
        <v>2</v>
      </c>
      <c r="C103" s="62">
        <v>1</v>
      </c>
      <c r="D103" s="62">
        <v>7</v>
      </c>
      <c r="E103" s="63" t="s">
        <v>35</v>
      </c>
      <c r="F103" s="76" t="s">
        <v>104</v>
      </c>
      <c r="G103" s="64">
        <f>'[1]CUENTA T FONDO 100'!AV127</f>
        <v>2020024.3</v>
      </c>
      <c r="H103" s="64">
        <f>'[1]CUENTA T VS'!AV96</f>
        <v>0</v>
      </c>
      <c r="I103" s="64">
        <f t="shared" si="4"/>
        <v>2020024.3</v>
      </c>
      <c r="J103" s="65">
        <f>I103/$I$25</f>
        <v>1.6254872603789865E-2</v>
      </c>
    </row>
    <row r="104" spans="1:10" x14ac:dyDescent="0.2">
      <c r="A104" s="73">
        <v>2</v>
      </c>
      <c r="B104" s="58">
        <v>2</v>
      </c>
      <c r="C104" s="58">
        <v>1</v>
      </c>
      <c r="D104" s="58">
        <v>8</v>
      </c>
      <c r="E104" s="58"/>
      <c r="F104" s="74" t="s">
        <v>105</v>
      </c>
      <c r="G104" s="59">
        <f>SUM(G105)</f>
        <v>0</v>
      </c>
      <c r="H104" s="59">
        <f>SUM(H105)</f>
        <v>1520000</v>
      </c>
      <c r="I104" s="59">
        <f t="shared" si="4"/>
        <v>1520000</v>
      </c>
      <c r="J104" s="68"/>
    </row>
    <row r="105" spans="1:10" x14ac:dyDescent="0.2">
      <c r="A105" s="75">
        <v>2</v>
      </c>
      <c r="B105" s="62">
        <v>2</v>
      </c>
      <c r="C105" s="62">
        <v>1</v>
      </c>
      <c r="D105" s="62">
        <v>8</v>
      </c>
      <c r="E105" s="63" t="s">
        <v>35</v>
      </c>
      <c r="F105" s="76" t="s">
        <v>105</v>
      </c>
      <c r="G105" s="64">
        <f>'[1]CUENTA T FONDO 100'!AW127</f>
        <v>0</v>
      </c>
      <c r="H105" s="64">
        <f>'[1]CUENTA T VS'!AW96</f>
        <v>1520000</v>
      </c>
      <c r="I105" s="64">
        <f t="shared" si="4"/>
        <v>1520000</v>
      </c>
      <c r="J105" s="65">
        <f>I105/$I$25</f>
        <v>1.2231242147810099E-2</v>
      </c>
    </row>
    <row r="106" spans="1:10" x14ac:dyDescent="0.2">
      <c r="A106" s="71">
        <v>2</v>
      </c>
      <c r="B106" s="55">
        <v>2</v>
      </c>
      <c r="C106" s="55">
        <v>2</v>
      </c>
      <c r="D106" s="55"/>
      <c r="E106" s="55"/>
      <c r="F106" s="72" t="s">
        <v>106</v>
      </c>
      <c r="G106" s="56">
        <f>+G107+G109</f>
        <v>0</v>
      </c>
      <c r="H106" s="56">
        <f>+H107+H109</f>
        <v>0</v>
      </c>
      <c r="I106" s="56">
        <f t="shared" si="4"/>
        <v>0</v>
      </c>
      <c r="J106" s="53"/>
    </row>
    <row r="107" spans="1:10" x14ac:dyDescent="0.2">
      <c r="A107" s="73">
        <v>2</v>
      </c>
      <c r="B107" s="58">
        <v>2</v>
      </c>
      <c r="C107" s="58">
        <v>2</v>
      </c>
      <c r="D107" s="58">
        <v>1</v>
      </c>
      <c r="E107" s="58"/>
      <c r="F107" s="74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8"/>
    </row>
    <row r="108" spans="1:10" x14ac:dyDescent="0.2">
      <c r="A108" s="75">
        <v>2</v>
      </c>
      <c r="B108" s="62">
        <v>2</v>
      </c>
      <c r="C108" s="62">
        <v>2</v>
      </c>
      <c r="D108" s="62">
        <v>1</v>
      </c>
      <c r="E108" s="63" t="s">
        <v>35</v>
      </c>
      <c r="F108" s="76" t="s">
        <v>107</v>
      </c>
      <c r="G108" s="64">
        <f>'[1]CUENTA T FONDO 100'!AX127</f>
        <v>0</v>
      </c>
      <c r="H108" s="64">
        <f>'[1]CUENTA T VS'!AX96</f>
        <v>0</v>
      </c>
      <c r="I108" s="64">
        <f t="shared" si="4"/>
        <v>0</v>
      </c>
      <c r="J108" s="65">
        <f>I108/$I$25</f>
        <v>0</v>
      </c>
    </row>
    <row r="109" spans="1:10" x14ac:dyDescent="0.2">
      <c r="A109" s="73">
        <v>2</v>
      </c>
      <c r="B109" s="58">
        <v>2</v>
      </c>
      <c r="C109" s="58">
        <v>2</v>
      </c>
      <c r="D109" s="58">
        <v>2</v>
      </c>
      <c r="E109" s="58"/>
      <c r="F109" s="74" t="s">
        <v>108</v>
      </c>
      <c r="G109" s="59">
        <f>SUM(G110)</f>
        <v>0</v>
      </c>
      <c r="H109" s="59">
        <f>SUM(H110)</f>
        <v>0</v>
      </c>
      <c r="I109" s="59">
        <f t="shared" si="4"/>
        <v>0</v>
      </c>
      <c r="J109" s="68"/>
    </row>
    <row r="110" spans="1:10" x14ac:dyDescent="0.2">
      <c r="A110" s="75">
        <v>2</v>
      </c>
      <c r="B110" s="62">
        <v>2</v>
      </c>
      <c r="C110" s="62">
        <v>2</v>
      </c>
      <c r="D110" s="62">
        <v>2</v>
      </c>
      <c r="E110" s="63" t="s">
        <v>35</v>
      </c>
      <c r="F110" s="76" t="s">
        <v>108</v>
      </c>
      <c r="G110" s="64">
        <f>'[1]CUENTA T FONDO 100'!AY127</f>
        <v>0</v>
      </c>
      <c r="H110" s="64">
        <f>'[1]CUENTA T VS'!AY96</f>
        <v>0</v>
      </c>
      <c r="I110" s="64">
        <f t="shared" si="4"/>
        <v>0</v>
      </c>
      <c r="J110" s="65">
        <f>I110/$I$25</f>
        <v>0</v>
      </c>
    </row>
    <row r="111" spans="1:10" x14ac:dyDescent="0.2">
      <c r="A111" s="71">
        <v>2</v>
      </c>
      <c r="B111" s="55">
        <v>2</v>
      </c>
      <c r="C111" s="55">
        <v>3</v>
      </c>
      <c r="D111" s="55"/>
      <c r="E111" s="55"/>
      <c r="F111" s="72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3">
        <v>2</v>
      </c>
      <c r="B112" s="58">
        <v>2</v>
      </c>
      <c r="C112" s="58">
        <v>3</v>
      </c>
      <c r="D112" s="58">
        <v>1</v>
      </c>
      <c r="E112" s="58"/>
      <c r="F112" s="74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8"/>
    </row>
    <row r="113" spans="1:10" x14ac:dyDescent="0.2">
      <c r="A113" s="75">
        <v>2</v>
      </c>
      <c r="B113" s="62">
        <v>2</v>
      </c>
      <c r="C113" s="62">
        <v>3</v>
      </c>
      <c r="D113" s="62">
        <v>1</v>
      </c>
      <c r="E113" s="63" t="s">
        <v>35</v>
      </c>
      <c r="F113" s="76" t="s">
        <v>110</v>
      </c>
      <c r="G113" s="64">
        <f>'[1]CUENTA T FONDO 100'!AZ127</f>
        <v>0</v>
      </c>
      <c r="H113" s="64">
        <f>'[1]CUENTA T VS'!AZ96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3">
        <v>2</v>
      </c>
      <c r="B114" s="58">
        <v>2</v>
      </c>
      <c r="C114" s="58">
        <v>3</v>
      </c>
      <c r="D114" s="58">
        <v>2</v>
      </c>
      <c r="E114" s="58"/>
      <c r="F114" s="74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8"/>
    </row>
    <row r="115" spans="1:10" x14ac:dyDescent="0.2">
      <c r="A115" s="75">
        <v>2</v>
      </c>
      <c r="B115" s="62">
        <v>2</v>
      </c>
      <c r="C115" s="62">
        <v>3</v>
      </c>
      <c r="D115" s="62">
        <v>2</v>
      </c>
      <c r="E115" s="63" t="s">
        <v>35</v>
      </c>
      <c r="F115" s="76" t="s">
        <v>111</v>
      </c>
      <c r="G115" s="64">
        <f>'[1]CUENTA T FONDO 100'!BA127</f>
        <v>0</v>
      </c>
      <c r="H115" s="64">
        <f>'[1]CUENTA T VS'!BA96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1">
        <v>2</v>
      </c>
      <c r="B116" s="55">
        <v>2</v>
      </c>
      <c r="C116" s="55">
        <v>4</v>
      </c>
      <c r="D116" s="55"/>
      <c r="E116" s="55"/>
      <c r="F116" s="72" t="s">
        <v>112</v>
      </c>
      <c r="G116" s="56">
        <f>+G117+G119+G121+G123</f>
        <v>0</v>
      </c>
      <c r="H116" s="56">
        <f>+H117+H119+H121+H123</f>
        <v>32000</v>
      </c>
      <c r="I116" s="56">
        <f t="shared" si="4"/>
        <v>32000</v>
      </c>
      <c r="J116" s="53"/>
    </row>
    <row r="117" spans="1:10" x14ac:dyDescent="0.2">
      <c r="A117" s="73">
        <v>2</v>
      </c>
      <c r="B117" s="58">
        <v>2</v>
      </c>
      <c r="C117" s="58">
        <v>4</v>
      </c>
      <c r="D117" s="58">
        <v>1</v>
      </c>
      <c r="E117" s="58"/>
      <c r="F117" s="74" t="s">
        <v>113</v>
      </c>
      <c r="G117" s="59">
        <f>SUM(G118)</f>
        <v>0</v>
      </c>
      <c r="H117" s="59">
        <f>SUM(H118)</f>
        <v>0</v>
      </c>
      <c r="I117" s="59">
        <f t="shared" si="4"/>
        <v>0</v>
      </c>
      <c r="J117" s="68"/>
    </row>
    <row r="118" spans="1:10" x14ac:dyDescent="0.2">
      <c r="A118" s="75">
        <v>2</v>
      </c>
      <c r="B118" s="62">
        <v>2</v>
      </c>
      <c r="C118" s="62">
        <v>4</v>
      </c>
      <c r="D118" s="62">
        <v>1</v>
      </c>
      <c r="E118" s="63" t="s">
        <v>35</v>
      </c>
      <c r="F118" s="76" t="s">
        <v>113</v>
      </c>
      <c r="G118" s="64">
        <f>'[1]CUENTA T FONDO 100'!BB127</f>
        <v>0</v>
      </c>
      <c r="H118" s="64">
        <f>'[1]CUENTA T VS'!BB96</f>
        <v>0</v>
      </c>
      <c r="I118" s="64">
        <f t="shared" si="4"/>
        <v>0</v>
      </c>
      <c r="J118" s="65">
        <f>I118/$I$25</f>
        <v>0</v>
      </c>
    </row>
    <row r="119" spans="1:10" x14ac:dyDescent="0.2">
      <c r="A119" s="73">
        <v>2</v>
      </c>
      <c r="B119" s="58">
        <v>2</v>
      </c>
      <c r="C119" s="58">
        <v>4</v>
      </c>
      <c r="D119" s="58">
        <v>2</v>
      </c>
      <c r="E119" s="58"/>
      <c r="F119" s="74" t="s">
        <v>114</v>
      </c>
      <c r="G119" s="59">
        <f>SUM(G120)</f>
        <v>0</v>
      </c>
      <c r="H119" s="59">
        <f>SUM(H120)</f>
        <v>32000</v>
      </c>
      <c r="I119" s="59">
        <f t="shared" si="4"/>
        <v>32000</v>
      </c>
      <c r="J119" s="68"/>
    </row>
    <row r="120" spans="1:10" x14ac:dyDescent="0.2">
      <c r="A120" s="75">
        <v>2</v>
      </c>
      <c r="B120" s="62">
        <v>2</v>
      </c>
      <c r="C120" s="62">
        <v>4</v>
      </c>
      <c r="D120" s="62">
        <v>2</v>
      </c>
      <c r="E120" s="63" t="s">
        <v>35</v>
      </c>
      <c r="F120" s="76" t="s">
        <v>114</v>
      </c>
      <c r="G120" s="64">
        <f>'[1]CUENTA T FONDO 100'!BC127</f>
        <v>0</v>
      </c>
      <c r="H120" s="64">
        <f>'[1]CUENTA T VS'!BC96</f>
        <v>32000</v>
      </c>
      <c r="I120" s="64">
        <f t="shared" si="4"/>
        <v>32000</v>
      </c>
      <c r="J120" s="65">
        <f>I120/$I$25</f>
        <v>2.5749983469073895E-4</v>
      </c>
    </row>
    <row r="121" spans="1:10" x14ac:dyDescent="0.2">
      <c r="A121" s="73">
        <v>2</v>
      </c>
      <c r="B121" s="58">
        <v>2</v>
      </c>
      <c r="C121" s="58">
        <v>4</v>
      </c>
      <c r="D121" s="58">
        <v>3</v>
      </c>
      <c r="E121" s="58"/>
      <c r="F121" s="74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8"/>
    </row>
    <row r="122" spans="1:10" x14ac:dyDescent="0.2">
      <c r="A122" s="75">
        <v>2</v>
      </c>
      <c r="B122" s="62">
        <v>2</v>
      </c>
      <c r="C122" s="62">
        <v>4</v>
      </c>
      <c r="D122" s="62">
        <v>3</v>
      </c>
      <c r="E122" s="63" t="s">
        <v>35</v>
      </c>
      <c r="F122" s="76" t="s">
        <v>115</v>
      </c>
      <c r="G122" s="64">
        <f>'[1]CUENTA T FONDO 100'!BD127</f>
        <v>0</v>
      </c>
      <c r="H122" s="64">
        <f>'[1]CUENTA T VS'!BD96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3">
        <v>2</v>
      </c>
      <c r="B123" s="58">
        <v>2</v>
      </c>
      <c r="C123" s="58">
        <v>4</v>
      </c>
      <c r="D123" s="58">
        <v>4</v>
      </c>
      <c r="E123" s="58"/>
      <c r="F123" s="74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8"/>
    </row>
    <row r="124" spans="1:10" x14ac:dyDescent="0.2">
      <c r="A124" s="75">
        <v>2</v>
      </c>
      <c r="B124" s="62">
        <v>2</v>
      </c>
      <c r="C124" s="62">
        <v>4</v>
      </c>
      <c r="D124" s="62">
        <v>4</v>
      </c>
      <c r="E124" s="63" t="s">
        <v>35</v>
      </c>
      <c r="F124" s="76" t="s">
        <v>116</v>
      </c>
      <c r="G124" s="64">
        <f>'[1]CUENTA T FONDO 100'!BE127</f>
        <v>0</v>
      </c>
      <c r="H124" s="64">
        <f>'[1]CUENTA T VS'!BE96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2" t="s">
        <v>117</v>
      </c>
      <c r="G125" s="56">
        <f>+G126+G128+G130+G136+G138+G140+G142+G144+G146</f>
        <v>0</v>
      </c>
      <c r="H125" s="56">
        <f t="shared" ref="H125" si="5">+H126+H128+H130+H136+H138+H140+H142+H144+H146</f>
        <v>0</v>
      </c>
      <c r="I125" s="56">
        <f t="shared" si="4"/>
        <v>0</v>
      </c>
      <c r="J125" s="53"/>
    </row>
    <row r="126" spans="1:10" x14ac:dyDescent="0.2">
      <c r="A126" s="73">
        <v>2</v>
      </c>
      <c r="B126" s="58">
        <v>2</v>
      </c>
      <c r="C126" s="58">
        <v>5</v>
      </c>
      <c r="D126" s="58">
        <v>1</v>
      </c>
      <c r="E126" s="78"/>
      <c r="F126" s="74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8"/>
    </row>
    <row r="127" spans="1:10" x14ac:dyDescent="0.2">
      <c r="A127" s="75">
        <v>2</v>
      </c>
      <c r="B127" s="62">
        <v>2</v>
      </c>
      <c r="C127" s="62">
        <v>5</v>
      </c>
      <c r="D127" s="62">
        <v>1</v>
      </c>
      <c r="E127" s="63" t="s">
        <v>35</v>
      </c>
      <c r="F127" s="76" t="s">
        <v>118</v>
      </c>
      <c r="G127" s="64">
        <f>'[1]CUENTA T FONDO 100'!BF127</f>
        <v>0</v>
      </c>
      <c r="H127" s="64">
        <f>'[1]CUENTA T VS'!BF96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3">
        <v>2</v>
      </c>
      <c r="B128" s="58">
        <v>2</v>
      </c>
      <c r="C128" s="58">
        <v>5</v>
      </c>
      <c r="D128" s="58">
        <v>2</v>
      </c>
      <c r="E128" s="78"/>
      <c r="F128" s="74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8"/>
    </row>
    <row r="129" spans="1:10" x14ac:dyDescent="0.2">
      <c r="A129" s="75">
        <v>2</v>
      </c>
      <c r="B129" s="62">
        <v>2</v>
      </c>
      <c r="C129" s="62">
        <v>5</v>
      </c>
      <c r="D129" s="62">
        <v>2</v>
      </c>
      <c r="E129" s="63" t="s">
        <v>35</v>
      </c>
      <c r="F129" s="76" t="s">
        <v>120</v>
      </c>
      <c r="G129" s="64">
        <f>'[1]CUENTA T FONDO 100'!BG127</f>
        <v>0</v>
      </c>
      <c r="H129" s="64">
        <f>'[1]CUENTA T VS'!BG96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3">
        <v>2</v>
      </c>
      <c r="B130" s="58">
        <v>2</v>
      </c>
      <c r="C130" s="58">
        <v>5</v>
      </c>
      <c r="D130" s="58">
        <v>3</v>
      </c>
      <c r="E130" s="78"/>
      <c r="F130" s="74" t="s">
        <v>121</v>
      </c>
      <c r="G130" s="59">
        <f>SUM(G131:G135)</f>
        <v>0</v>
      </c>
      <c r="H130" s="59">
        <f>SUM(H131:H135)</f>
        <v>0</v>
      </c>
      <c r="I130" s="59">
        <f t="shared" si="4"/>
        <v>0</v>
      </c>
      <c r="J130" s="68"/>
    </row>
    <row r="131" spans="1:10" x14ac:dyDescent="0.2">
      <c r="A131" s="75">
        <v>2</v>
      </c>
      <c r="B131" s="62">
        <v>2</v>
      </c>
      <c r="C131" s="62">
        <v>5</v>
      </c>
      <c r="D131" s="62">
        <v>3</v>
      </c>
      <c r="E131" s="63" t="s">
        <v>35</v>
      </c>
      <c r="F131" s="76" t="s">
        <v>122</v>
      </c>
      <c r="G131" s="64">
        <f>'[1]CUENTA T FONDO 100'!BH127</f>
        <v>0</v>
      </c>
      <c r="H131" s="64">
        <f>'[1]CUENTA T VS'!BH96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5">
        <v>2</v>
      </c>
      <c r="B132" s="62">
        <v>2</v>
      </c>
      <c r="C132" s="62">
        <v>5</v>
      </c>
      <c r="D132" s="62">
        <v>3</v>
      </c>
      <c r="E132" s="63" t="s">
        <v>37</v>
      </c>
      <c r="F132" s="76" t="s">
        <v>123</v>
      </c>
      <c r="G132" s="64">
        <f>'[1]CUENTA T FONDO 100'!BI127</f>
        <v>0</v>
      </c>
      <c r="H132" s="64">
        <f>'[1]CUENTA T VS'!BI96</f>
        <v>0</v>
      </c>
      <c r="I132" s="64">
        <f t="shared" si="4"/>
        <v>0</v>
      </c>
      <c r="J132" s="65">
        <f>I132/$I$25</f>
        <v>0</v>
      </c>
    </row>
    <row r="133" spans="1:10" x14ac:dyDescent="0.2">
      <c r="A133" s="75">
        <v>2</v>
      </c>
      <c r="B133" s="62">
        <v>2</v>
      </c>
      <c r="C133" s="62">
        <v>5</v>
      </c>
      <c r="D133" s="62">
        <v>3</v>
      </c>
      <c r="E133" s="63" t="s">
        <v>39</v>
      </c>
      <c r="F133" s="76" t="s">
        <v>124</v>
      </c>
      <c r="G133" s="64">
        <f>'[1]CUENTA T FONDO 100'!BJ127</f>
        <v>0</v>
      </c>
      <c r="H133" s="64">
        <f>'[1]CUENTA T VS'!BJ96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5">
        <v>2</v>
      </c>
      <c r="B134" s="62">
        <v>2</v>
      </c>
      <c r="C134" s="62">
        <v>5</v>
      </c>
      <c r="D134" s="62">
        <v>3</v>
      </c>
      <c r="E134" s="63" t="s">
        <v>41</v>
      </c>
      <c r="F134" s="76" t="s">
        <v>125</v>
      </c>
      <c r="G134" s="64">
        <f>'[1]CUENTA T FONDO 100'!BK127</f>
        <v>0</v>
      </c>
      <c r="H134" s="64">
        <f>'[1]CUENTA T VS'!BK96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5">
        <v>2</v>
      </c>
      <c r="B135" s="62">
        <v>2</v>
      </c>
      <c r="C135" s="62">
        <v>5</v>
      </c>
      <c r="D135" s="62">
        <v>3</v>
      </c>
      <c r="E135" s="63" t="s">
        <v>43</v>
      </c>
      <c r="F135" s="76" t="s">
        <v>126</v>
      </c>
      <c r="G135" s="64">
        <f>'[1]CUENTA T FONDO 100'!BL127</f>
        <v>0</v>
      </c>
      <c r="H135" s="64">
        <f>'[1]CUENTA T VS'!BL96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3">
        <v>2</v>
      </c>
      <c r="B136" s="58">
        <v>2</v>
      </c>
      <c r="C136" s="58">
        <v>5</v>
      </c>
      <c r="D136" s="58">
        <v>4</v>
      </c>
      <c r="E136" s="78"/>
      <c r="F136" s="74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8"/>
    </row>
    <row r="137" spans="1:10" x14ac:dyDescent="0.2">
      <c r="A137" s="75">
        <v>2</v>
      </c>
      <c r="B137" s="62">
        <v>2</v>
      </c>
      <c r="C137" s="62">
        <v>5</v>
      </c>
      <c r="D137" s="62">
        <v>4</v>
      </c>
      <c r="E137" s="63" t="s">
        <v>35</v>
      </c>
      <c r="F137" s="76" t="s">
        <v>127</v>
      </c>
      <c r="G137" s="64">
        <f>'[1]CUENTA T FONDO 100'!BM127</f>
        <v>0</v>
      </c>
      <c r="H137" s="64">
        <f>'[1]CUENTA T VS'!BM96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3">
        <v>2</v>
      </c>
      <c r="B138" s="58">
        <v>2</v>
      </c>
      <c r="C138" s="58">
        <v>5</v>
      </c>
      <c r="D138" s="58">
        <v>5</v>
      </c>
      <c r="E138" s="78"/>
      <c r="F138" s="74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8"/>
    </row>
    <row r="139" spans="1:10" x14ac:dyDescent="0.2">
      <c r="A139" s="75">
        <v>2</v>
      </c>
      <c r="B139" s="62">
        <v>2</v>
      </c>
      <c r="C139" s="62">
        <v>5</v>
      </c>
      <c r="D139" s="62">
        <v>5</v>
      </c>
      <c r="E139" s="63" t="s">
        <v>35</v>
      </c>
      <c r="F139" s="76" t="s">
        <v>128</v>
      </c>
      <c r="G139" s="64">
        <f>'[1]CUENTA T FONDO 100'!BN127</f>
        <v>0</v>
      </c>
      <c r="H139" s="64">
        <f>'[1]CUENTA T VS'!BN96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3">
        <v>2</v>
      </c>
      <c r="B140" s="58">
        <v>2</v>
      </c>
      <c r="C140" s="58">
        <v>5</v>
      </c>
      <c r="D140" s="58">
        <v>6</v>
      </c>
      <c r="E140" s="78"/>
      <c r="F140" s="74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8"/>
    </row>
    <row r="141" spans="1:10" x14ac:dyDescent="0.2">
      <c r="A141" s="75">
        <v>2</v>
      </c>
      <c r="B141" s="62">
        <v>2</v>
      </c>
      <c r="C141" s="62">
        <v>5</v>
      </c>
      <c r="D141" s="62">
        <v>6</v>
      </c>
      <c r="E141" s="63" t="s">
        <v>35</v>
      </c>
      <c r="F141" s="76" t="s">
        <v>129</v>
      </c>
      <c r="G141" s="64">
        <f>'[1]CUENTA T FONDO 100'!BO127</f>
        <v>0</v>
      </c>
      <c r="H141" s="64">
        <f>'[1]CUENTA T VS'!BO96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3">
        <v>2</v>
      </c>
      <c r="B142" s="58">
        <v>2</v>
      </c>
      <c r="C142" s="58">
        <v>5</v>
      </c>
      <c r="D142" s="58">
        <v>7</v>
      </c>
      <c r="E142" s="78"/>
      <c r="F142" s="74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8"/>
    </row>
    <row r="143" spans="1:10" x14ac:dyDescent="0.2">
      <c r="A143" s="75">
        <v>2</v>
      </c>
      <c r="B143" s="62">
        <v>2</v>
      </c>
      <c r="C143" s="62">
        <v>5</v>
      </c>
      <c r="D143" s="62">
        <v>7</v>
      </c>
      <c r="E143" s="63" t="s">
        <v>35</v>
      </c>
      <c r="F143" s="76" t="s">
        <v>130</v>
      </c>
      <c r="G143" s="64">
        <f>'[1]CUENTA T FONDO 100'!BP127</f>
        <v>0</v>
      </c>
      <c r="H143" s="64">
        <f>'[1]CUENTA T VS'!BP96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3">
        <v>2</v>
      </c>
      <c r="B144" s="58">
        <v>2</v>
      </c>
      <c r="C144" s="58">
        <v>5</v>
      </c>
      <c r="D144" s="58">
        <v>8</v>
      </c>
      <c r="E144" s="78"/>
      <c r="F144" s="74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8"/>
    </row>
    <row r="145" spans="1:10" x14ac:dyDescent="0.2">
      <c r="A145" s="75">
        <v>2</v>
      </c>
      <c r="B145" s="62">
        <v>2</v>
      </c>
      <c r="C145" s="62">
        <v>5</v>
      </c>
      <c r="D145" s="62">
        <v>8</v>
      </c>
      <c r="E145" s="63" t="s">
        <v>35</v>
      </c>
      <c r="F145" s="76" t="s">
        <v>131</v>
      </c>
      <c r="G145" s="64">
        <f>'[1]CUENTA T FONDO 100'!BQ127</f>
        <v>0</v>
      </c>
      <c r="H145" s="64">
        <f>'[1]CUENTA T VS'!BQ96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3">
        <v>2</v>
      </c>
      <c r="B146" s="58">
        <v>2</v>
      </c>
      <c r="C146" s="58">
        <v>5</v>
      </c>
      <c r="D146" s="58">
        <v>9</v>
      </c>
      <c r="E146" s="78"/>
      <c r="F146" s="74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8"/>
    </row>
    <row r="147" spans="1:10" x14ac:dyDescent="0.2">
      <c r="A147" s="75">
        <v>2</v>
      </c>
      <c r="B147" s="62">
        <v>2</v>
      </c>
      <c r="C147" s="62">
        <v>5</v>
      </c>
      <c r="D147" s="62">
        <v>9</v>
      </c>
      <c r="E147" s="63" t="s">
        <v>35</v>
      </c>
      <c r="F147" s="76" t="s">
        <v>133</v>
      </c>
      <c r="G147" s="64">
        <f>'[1]CUENTA T FONDO 100'!BR127</f>
        <v>0</v>
      </c>
      <c r="H147" s="64">
        <f>'[1]CUENTA T VS'!BR96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2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3">
        <v>2</v>
      </c>
      <c r="B149" s="58">
        <v>2</v>
      </c>
      <c r="C149" s="58">
        <v>6</v>
      </c>
      <c r="D149" s="58">
        <v>1</v>
      </c>
      <c r="E149" s="78"/>
      <c r="F149" s="74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8"/>
    </row>
    <row r="150" spans="1:10" x14ac:dyDescent="0.2">
      <c r="A150" s="75">
        <v>2</v>
      </c>
      <c r="B150" s="62">
        <v>2</v>
      </c>
      <c r="C150" s="62">
        <v>6</v>
      </c>
      <c r="D150" s="62">
        <v>1</v>
      </c>
      <c r="E150" s="63" t="s">
        <v>35</v>
      </c>
      <c r="F150" s="76" t="s">
        <v>135</v>
      </c>
      <c r="G150" s="64">
        <f>'[1]CUENTA T FONDO 100'!BS127</f>
        <v>0</v>
      </c>
      <c r="H150" s="64">
        <f>'[1]CUENTA T VS'!BS96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3">
        <v>2</v>
      </c>
      <c r="B151" s="58">
        <v>2</v>
      </c>
      <c r="C151" s="58">
        <v>6</v>
      </c>
      <c r="D151" s="58">
        <v>2</v>
      </c>
      <c r="E151" s="58"/>
      <c r="F151" s="74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8"/>
    </row>
    <row r="152" spans="1:10" x14ac:dyDescent="0.2">
      <c r="A152" s="75">
        <v>2</v>
      </c>
      <c r="B152" s="62">
        <v>2</v>
      </c>
      <c r="C152" s="62">
        <v>6</v>
      </c>
      <c r="D152" s="62">
        <v>2</v>
      </c>
      <c r="E152" s="63" t="s">
        <v>35</v>
      </c>
      <c r="F152" s="76" t="s">
        <v>136</v>
      </c>
      <c r="G152" s="64">
        <f>'[1]CUENTA T FONDO 100'!BT127</f>
        <v>0</v>
      </c>
      <c r="H152" s="64">
        <f>'[1]CUENTA T VS'!BT96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3">
        <v>2</v>
      </c>
      <c r="B153" s="58">
        <v>2</v>
      </c>
      <c r="C153" s="58">
        <v>6</v>
      </c>
      <c r="D153" s="58">
        <v>3</v>
      </c>
      <c r="E153" s="58"/>
      <c r="F153" s="74" t="s">
        <v>137</v>
      </c>
      <c r="G153" s="59">
        <f>SUM(G154)</f>
        <v>0</v>
      </c>
      <c r="H153" s="59">
        <f>SUM(H154)</f>
        <v>0</v>
      </c>
      <c r="I153" s="59">
        <f t="shared" ref="I153:I216" si="6">SUM(G153:H153)</f>
        <v>0</v>
      </c>
      <c r="J153" s="68"/>
    </row>
    <row r="154" spans="1:10" x14ac:dyDescent="0.2">
      <c r="A154" s="75">
        <v>2</v>
      </c>
      <c r="B154" s="62">
        <v>2</v>
      </c>
      <c r="C154" s="62">
        <v>6</v>
      </c>
      <c r="D154" s="62">
        <v>3</v>
      </c>
      <c r="E154" s="63" t="s">
        <v>35</v>
      </c>
      <c r="F154" s="76" t="s">
        <v>137</v>
      </c>
      <c r="G154" s="64">
        <f>'[1]CUENTA T FONDO 100'!BU127</f>
        <v>0</v>
      </c>
      <c r="H154" s="64">
        <f>'[1]CUENTA T VS'!BU96</f>
        <v>0</v>
      </c>
      <c r="I154" s="64">
        <f t="shared" si="6"/>
        <v>0</v>
      </c>
      <c r="J154" s="65">
        <f>I154/$I$25</f>
        <v>0</v>
      </c>
    </row>
    <row r="155" spans="1:10" x14ac:dyDescent="0.2">
      <c r="A155" s="73">
        <v>2</v>
      </c>
      <c r="B155" s="58">
        <v>2</v>
      </c>
      <c r="C155" s="58">
        <v>6</v>
      </c>
      <c r="D155" s="58">
        <v>4</v>
      </c>
      <c r="E155" s="58"/>
      <c r="F155" s="74" t="s">
        <v>138</v>
      </c>
      <c r="G155" s="59">
        <f>SUM(G156)</f>
        <v>0</v>
      </c>
      <c r="H155" s="59">
        <f>SUM(H156)</f>
        <v>0</v>
      </c>
      <c r="I155" s="59">
        <f t="shared" si="6"/>
        <v>0</v>
      </c>
      <c r="J155" s="68"/>
    </row>
    <row r="156" spans="1:10" x14ac:dyDescent="0.2">
      <c r="A156" s="75">
        <v>2</v>
      </c>
      <c r="B156" s="62">
        <v>2</v>
      </c>
      <c r="C156" s="62">
        <v>6</v>
      </c>
      <c r="D156" s="62">
        <v>4</v>
      </c>
      <c r="E156" s="63" t="s">
        <v>35</v>
      </c>
      <c r="F156" s="76" t="s">
        <v>138</v>
      </c>
      <c r="G156" s="64">
        <f>'[1]CUENTA T FONDO 100'!BV127</f>
        <v>0</v>
      </c>
      <c r="H156" s="64">
        <f>'[1]CUENTA T VS'!BV96</f>
        <v>0</v>
      </c>
      <c r="I156" s="64">
        <f t="shared" si="6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9"/>
      <c r="F157" s="80" t="s">
        <v>139</v>
      </c>
      <c r="G157" s="56">
        <f>+G158+G167+G177</f>
        <v>5951371.9400000013</v>
      </c>
      <c r="H157" s="56">
        <f>+H158+H167+H177</f>
        <v>2019575.16</v>
      </c>
      <c r="I157" s="56">
        <f t="shared" si="6"/>
        <v>7970947.1000000015</v>
      </c>
      <c r="J157" s="53"/>
    </row>
    <row r="158" spans="1:10" x14ac:dyDescent="0.2">
      <c r="A158" s="73">
        <v>2</v>
      </c>
      <c r="B158" s="58">
        <v>2</v>
      </c>
      <c r="C158" s="58">
        <v>7</v>
      </c>
      <c r="D158" s="58">
        <v>1</v>
      </c>
      <c r="E158" s="58"/>
      <c r="F158" s="74" t="s">
        <v>140</v>
      </c>
      <c r="G158" s="59">
        <f>SUM(G159:G166)</f>
        <v>5951371.9400000013</v>
      </c>
      <c r="H158" s="59">
        <f>SUM(H159:H166)</f>
        <v>904710.71</v>
      </c>
      <c r="I158" s="59">
        <f t="shared" si="6"/>
        <v>6856082.6500000013</v>
      </c>
      <c r="J158" s="68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1" t="s">
        <v>141</v>
      </c>
      <c r="G159" s="64">
        <f>'[1]CUENTA T FONDO 100'!BW127</f>
        <v>5951371.9400000013</v>
      </c>
      <c r="H159" s="64">
        <f>'[1]CUENTA T VS'!BW96</f>
        <v>904710.71</v>
      </c>
      <c r="I159" s="64">
        <f t="shared" si="6"/>
        <v>6856082.6500000013</v>
      </c>
      <c r="J159" s="65">
        <f t="shared" ref="J159:J166" si="7">I159/$I$25</f>
        <v>5.5170004656282613E-2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1" t="s">
        <v>142</v>
      </c>
      <c r="G160" s="64">
        <f>'[1]CUENTA T FONDO 100'!BX127</f>
        <v>0</v>
      </c>
      <c r="H160" s="64">
        <f>'[1]CUENTA T VS'!BX96</f>
        <v>0</v>
      </c>
      <c r="I160" s="64">
        <f t="shared" si="6"/>
        <v>0</v>
      </c>
      <c r="J160" s="65">
        <f t="shared" si="7"/>
        <v>0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1" t="s">
        <v>143</v>
      </c>
      <c r="G161" s="64">
        <f>'[1]CUENTA T FONDO 100'!BY127</f>
        <v>0</v>
      </c>
      <c r="H161" s="64">
        <f>'[1]CUENTA T VS'!BY96</f>
        <v>0</v>
      </c>
      <c r="I161" s="64">
        <f t="shared" si="6"/>
        <v>0</v>
      </c>
      <c r="J161" s="65">
        <f t="shared" si="7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1" t="s">
        <v>144</v>
      </c>
      <c r="G162" s="64">
        <f>'[1]CUENTA T FONDO 100'!BZ127</f>
        <v>0</v>
      </c>
      <c r="H162" s="64">
        <f>'[1]CUENTA T VS'!BZ96</f>
        <v>0</v>
      </c>
      <c r="I162" s="64">
        <f t="shared" si="6"/>
        <v>0</v>
      </c>
      <c r="J162" s="65">
        <f t="shared" si="7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1" t="s">
        <v>145</v>
      </c>
      <c r="G163" s="64">
        <f>'[1]CUENTA T FONDO 100'!CA127</f>
        <v>0</v>
      </c>
      <c r="H163" s="64">
        <f>'[1]CUENTA T VS'!CA96</f>
        <v>0</v>
      </c>
      <c r="I163" s="64">
        <f t="shared" si="6"/>
        <v>0</v>
      </c>
      <c r="J163" s="65">
        <f t="shared" si="7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1" t="s">
        <v>146</v>
      </c>
      <c r="G164" s="64">
        <f>'[1]CUENTA T FONDO 100'!CB127</f>
        <v>0</v>
      </c>
      <c r="H164" s="64">
        <f>'[1]CUENTA T VS'!CB96</f>
        <v>0</v>
      </c>
      <c r="I164" s="64">
        <f t="shared" si="6"/>
        <v>0</v>
      </c>
      <c r="J164" s="65">
        <f t="shared" si="7"/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1" t="s">
        <v>147</v>
      </c>
      <c r="G165" s="64">
        <f>'[1]CUENTA T FONDO 100'!CC127</f>
        <v>0</v>
      </c>
      <c r="H165" s="64">
        <f>'[1]CUENTA T VS'!CC96</f>
        <v>0</v>
      </c>
      <c r="I165" s="64">
        <f t="shared" si="6"/>
        <v>0</v>
      </c>
      <c r="J165" s="65">
        <f t="shared" si="7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1" t="s">
        <v>149</v>
      </c>
      <c r="G166" s="64">
        <f>'[1]CUENTA T FONDO 100'!CD127</f>
        <v>0</v>
      </c>
      <c r="H166" s="64">
        <f>'[1]CUENTA T VS'!CD96</f>
        <v>0</v>
      </c>
      <c r="I166" s="64">
        <f t="shared" si="6"/>
        <v>0</v>
      </c>
      <c r="J166" s="65">
        <f t="shared" si="7"/>
        <v>0</v>
      </c>
    </row>
    <row r="167" spans="1:10" x14ac:dyDescent="0.2">
      <c r="A167" s="73">
        <v>2</v>
      </c>
      <c r="B167" s="58">
        <v>2</v>
      </c>
      <c r="C167" s="58">
        <v>7</v>
      </c>
      <c r="D167" s="58">
        <v>2</v>
      </c>
      <c r="E167" s="58"/>
      <c r="F167" s="74" t="s">
        <v>150</v>
      </c>
      <c r="G167" s="59">
        <f>SUM(G168:G176)</f>
        <v>0</v>
      </c>
      <c r="H167" s="59">
        <f>SUM(H168:H176)</f>
        <v>1114864.45</v>
      </c>
      <c r="I167" s="59">
        <f t="shared" si="6"/>
        <v>1114864.45</v>
      </c>
      <c r="J167" s="68"/>
    </row>
    <row r="168" spans="1:10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1" t="s">
        <v>151</v>
      </c>
      <c r="G168" s="64">
        <f>'[1]CUENTA T FONDO 100'!CE127</f>
        <v>0</v>
      </c>
      <c r="H168" s="64">
        <f>'[1]CUENTA T VS'!CE96</f>
        <v>0</v>
      </c>
      <c r="I168" s="64">
        <f t="shared" si="6"/>
        <v>0</v>
      </c>
      <c r="J168" s="65">
        <f t="shared" ref="J168:J176" si="8">I168/$I$25</f>
        <v>0</v>
      </c>
    </row>
    <row r="169" spans="1:10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1" t="s">
        <v>152</v>
      </c>
      <c r="G169" s="64">
        <f>'[1]CUENTA T FONDO 100'!CF127</f>
        <v>0</v>
      </c>
      <c r="H169" s="64">
        <f>'[1]CUENTA T VS'!CF96</f>
        <v>0</v>
      </c>
      <c r="I169" s="64">
        <f t="shared" si="6"/>
        <v>0</v>
      </c>
      <c r="J169" s="65">
        <f t="shared" si="8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1" t="s">
        <v>153</v>
      </c>
      <c r="G170" s="64">
        <f>'[1]CUENTA T FONDO 100'!CG127</f>
        <v>0</v>
      </c>
      <c r="H170" s="64">
        <f>'[1]CUENTA T VS'!CG96</f>
        <v>0</v>
      </c>
      <c r="I170" s="64">
        <f t="shared" si="6"/>
        <v>0</v>
      </c>
      <c r="J170" s="65">
        <f t="shared" si="8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1" t="s">
        <v>154</v>
      </c>
      <c r="G171" s="64">
        <f>'[1]CUENTA T FONDO 100'!CH127</f>
        <v>0</v>
      </c>
      <c r="H171" s="64">
        <f>'[1]CUENTA T VS'!CH96</f>
        <v>0</v>
      </c>
      <c r="I171" s="64">
        <f t="shared" si="6"/>
        <v>0</v>
      </c>
      <c r="J171" s="65">
        <f t="shared" si="8"/>
        <v>0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1" t="s">
        <v>155</v>
      </c>
      <c r="G172" s="64">
        <f>'[1]CUENTA T FONDO 100'!CI127</f>
        <v>0</v>
      </c>
      <c r="H172" s="64">
        <f>'[1]CUENTA T VS'!CI96</f>
        <v>0</v>
      </c>
      <c r="I172" s="64">
        <f t="shared" si="6"/>
        <v>0</v>
      </c>
      <c r="J172" s="65">
        <f t="shared" si="8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2" t="s">
        <v>156</v>
      </c>
      <c r="G173" s="64">
        <f>'[1]CUENTA T FONDO 100'!CJ127</f>
        <v>0</v>
      </c>
      <c r="H173" s="64">
        <f>'[1]CUENTA T VS'!CJ96</f>
        <v>636067.19999999995</v>
      </c>
      <c r="I173" s="64">
        <f t="shared" si="6"/>
        <v>636067.19999999995</v>
      </c>
      <c r="J173" s="65">
        <f t="shared" si="8"/>
        <v>5.1183499641312864E-3</v>
      </c>
    </row>
    <row r="174" spans="1:10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2" t="s">
        <v>157</v>
      </c>
      <c r="G174" s="64">
        <f>'[1]CUENTA T FONDO 100'!CK127</f>
        <v>0</v>
      </c>
      <c r="H174" s="64">
        <f>'[1]CUENTA T VS'!CK96</f>
        <v>0</v>
      </c>
      <c r="I174" s="64">
        <f t="shared" si="6"/>
        <v>0</v>
      </c>
      <c r="J174" s="65">
        <f t="shared" si="8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2" t="s">
        <v>158</v>
      </c>
      <c r="G175" s="64">
        <f>'[1]CUENTA T FONDO 100'!CL127</f>
        <v>0</v>
      </c>
      <c r="H175" s="64">
        <f>'[1]CUENTA T VS'!CL96</f>
        <v>478797.25</v>
      </c>
      <c r="I175" s="64">
        <f t="shared" si="6"/>
        <v>478797.25</v>
      </c>
      <c r="J175" s="65">
        <f t="shared" si="8"/>
        <v>3.8528191476681376E-3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2" t="s">
        <v>159</v>
      </c>
      <c r="G176" s="64">
        <f>'[1]CUENTA T FONDO 100'!CM127</f>
        <v>0</v>
      </c>
      <c r="H176" s="64">
        <f>'[1]CUENTA T VS'!CM96</f>
        <v>0</v>
      </c>
      <c r="I176" s="64">
        <f t="shared" si="6"/>
        <v>0</v>
      </c>
      <c r="J176" s="65">
        <f t="shared" si="8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8"/>
      <c r="F177" s="57" t="s">
        <v>160</v>
      </c>
      <c r="G177" s="59">
        <f>SUM(G178)</f>
        <v>0</v>
      </c>
      <c r="H177" s="59">
        <f>SUM(H178)</f>
        <v>0</v>
      </c>
      <c r="I177" s="59">
        <f t="shared" si="6"/>
        <v>0</v>
      </c>
      <c r="J177" s="68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'[1]CUENTA T FONDO 100'!CN127</f>
        <v>0</v>
      </c>
      <c r="H178" s="64">
        <f>'[1]CUENTA T VS'!CN96</f>
        <v>0</v>
      </c>
      <c r="I178" s="64">
        <f t="shared" si="6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0</v>
      </c>
      <c r="H179" s="56">
        <f>+H180+H182+H184+H186+H188+H192+H197+H204</f>
        <v>576689.87</v>
      </c>
      <c r="I179" s="56">
        <f t="shared" si="6"/>
        <v>576689.87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6"/>
        <v>0</v>
      </c>
      <c r="J180" s="68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'[1]CUENTA T FONDO 100'!CO127</f>
        <v>0</v>
      </c>
      <c r="H181" s="64">
        <f>'[1]CUENTA T VS'!CO96</f>
        <v>0</v>
      </c>
      <c r="I181" s="64">
        <f t="shared" si="6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8323.8700000000008</v>
      </c>
      <c r="I182" s="59">
        <f t="shared" si="6"/>
        <v>8323.8700000000008</v>
      </c>
      <c r="J182" s="68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'[1]CUENTA T FONDO 100'!CP127</f>
        <v>0</v>
      </c>
      <c r="H183" s="64">
        <f>'[1]CUENTA T VS'!CP96</f>
        <v>8323.8700000000008</v>
      </c>
      <c r="I183" s="64">
        <f t="shared" si="6"/>
        <v>8323.8700000000008</v>
      </c>
      <c r="J183" s="65">
        <f>I183/$I$25</f>
        <v>6.6981098405850039E-5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0</v>
      </c>
      <c r="I184" s="59">
        <f t="shared" si="6"/>
        <v>0</v>
      </c>
      <c r="J184" s="68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'[1]CUENTA T FONDO 100'!CQ127</f>
        <v>0</v>
      </c>
      <c r="H185" s="64">
        <f>'[1]CUENTA T VS'!CQ96</f>
        <v>0</v>
      </c>
      <c r="I185" s="64">
        <f t="shared" si="6"/>
        <v>0</v>
      </c>
      <c r="J185" s="65">
        <f>I185/$I$25</f>
        <v>0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6"/>
        <v>0</v>
      </c>
      <c r="J186" s="68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'[1]CUENTA T FONDO 100'!CR127</f>
        <v>0</v>
      </c>
      <c r="H187" s="64">
        <f>'[1]CUENTA T VS'!CR96</f>
        <v>0</v>
      </c>
      <c r="I187" s="64">
        <f t="shared" si="6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188564</v>
      </c>
      <c r="I188" s="59">
        <f t="shared" si="6"/>
        <v>188564</v>
      </c>
      <c r="J188" s="68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'[1]CUENTA T FONDO 100'!CS127</f>
        <v>0</v>
      </c>
      <c r="H189" s="64">
        <f>'[1]CUENTA T VS'!CS96</f>
        <v>0</v>
      </c>
      <c r="I189" s="64">
        <f t="shared" si="6"/>
        <v>0</v>
      </c>
      <c r="J189" s="65">
        <f>I189/$I$25</f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'[1]CUENTA T FONDO 100'!CT127</f>
        <v>0</v>
      </c>
      <c r="H190" s="64">
        <f>'[1]CUENTA T VS'!CT96</f>
        <v>0</v>
      </c>
      <c r="I190" s="64">
        <f t="shared" si="6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'[1]CUENTA T FONDO 100'!CU127</f>
        <v>0</v>
      </c>
      <c r="H191" s="64">
        <f>'[1]CUENTA T VS'!CU96</f>
        <v>188564</v>
      </c>
      <c r="I191" s="64">
        <f t="shared" si="6"/>
        <v>188564</v>
      </c>
      <c r="J191" s="65">
        <f>I191/$I$25</f>
        <v>1.5173499633945155E-3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6"/>
        <v>0</v>
      </c>
      <c r="J192" s="68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'[1]CUENTA T FONDO 100'!CV127</f>
        <v>0</v>
      </c>
      <c r="H193" s="64">
        <f>'[1]CUENTA T VS'!CV96</f>
        <v>0</v>
      </c>
      <c r="I193" s="64">
        <f t="shared" si="6"/>
        <v>0</v>
      </c>
      <c r="J193" s="65">
        <f>I193/$I$25</f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'[1]CUENTA T FONDO 100'!CW127</f>
        <v>0</v>
      </c>
      <c r="H194" s="64">
        <f>'[1]CUENTA T VS'!CW96</f>
        <v>0</v>
      </c>
      <c r="I194" s="64">
        <f t="shared" si="6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'[1]CUENTA T FONDO 100'!CX127</f>
        <v>0</v>
      </c>
      <c r="H195" s="64">
        <f>'[1]CUENTA T VS'!CX96</f>
        <v>0</v>
      </c>
      <c r="I195" s="64">
        <f t="shared" si="6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'[1]CUENTA T FONDO 100'!CY127</f>
        <v>0</v>
      </c>
      <c r="H196" s="64">
        <f>'[1]CUENTA T VS'!CY96</f>
        <v>0</v>
      </c>
      <c r="I196" s="64">
        <f t="shared" si="6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0</v>
      </c>
      <c r="H197" s="59">
        <f>SUM(H198:H203)</f>
        <v>379802</v>
      </c>
      <c r="I197" s="59">
        <f t="shared" si="6"/>
        <v>379802</v>
      </c>
      <c r="J197" s="68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2" t="s">
        <v>176</v>
      </c>
      <c r="G198" s="64">
        <f>'[1]CUENTA T FONDO 100'!CZ127</f>
        <v>0</v>
      </c>
      <c r="H198" s="64">
        <f>'[1]CUENTA T VS'!CZ96</f>
        <v>0</v>
      </c>
      <c r="I198" s="64">
        <f t="shared" si="6"/>
        <v>0</v>
      </c>
      <c r="J198" s="65">
        <f t="shared" ref="J198:J203" si="9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2" t="s">
        <v>177</v>
      </c>
      <c r="G199" s="64">
        <f>'[1]CUENTA T FONDO 100'!DA127</f>
        <v>0</v>
      </c>
      <c r="H199" s="64">
        <f>'[1]CUENTA T VS'!DA96</f>
        <v>0</v>
      </c>
      <c r="I199" s="64">
        <f t="shared" si="6"/>
        <v>0</v>
      </c>
      <c r="J199" s="65">
        <f t="shared" si="9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2" t="s">
        <v>178</v>
      </c>
      <c r="G200" s="64">
        <f>'[1]CUENTA T FONDO 100'!DB127</f>
        <v>0</v>
      </c>
      <c r="H200" s="64">
        <f>'[1]CUENTA T VS'!DB96</f>
        <v>0</v>
      </c>
      <c r="I200" s="64">
        <f t="shared" si="6"/>
        <v>0</v>
      </c>
      <c r="J200" s="65">
        <f t="shared" si="9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2" t="s">
        <v>179</v>
      </c>
      <c r="G201" s="64">
        <f>'[1]CUENTA T FONDO 100'!DC127</f>
        <v>0</v>
      </c>
      <c r="H201" s="64">
        <f>'[1]CUENTA T VS'!DC96</f>
        <v>0</v>
      </c>
      <c r="I201" s="64">
        <f t="shared" si="6"/>
        <v>0</v>
      </c>
      <c r="J201" s="65">
        <f t="shared" si="9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2" t="s">
        <v>180</v>
      </c>
      <c r="G202" s="64">
        <f>'[1]CUENTA T FONDO 100'!DD127</f>
        <v>0</v>
      </c>
      <c r="H202" s="64">
        <f>'[1]CUENTA T VS'!DD96</f>
        <v>48852</v>
      </c>
      <c r="I202" s="64">
        <f t="shared" si="6"/>
        <v>48852</v>
      </c>
      <c r="J202" s="65">
        <f t="shared" si="9"/>
        <v>3.9310568513474932E-4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2" t="s">
        <v>181</v>
      </c>
      <c r="G203" s="64">
        <f>'[1]CUENTA T FONDO 100'!DE127</f>
        <v>0</v>
      </c>
      <c r="H203" s="64">
        <f>'[1]CUENTA T VS'!DE96</f>
        <v>330950</v>
      </c>
      <c r="I203" s="64">
        <f t="shared" si="6"/>
        <v>330950</v>
      </c>
      <c r="J203" s="65">
        <f t="shared" si="9"/>
        <v>2.6631115715906265E-3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3" t="s">
        <v>182</v>
      </c>
      <c r="G204" s="59">
        <f>SUM(G205:G207)</f>
        <v>0</v>
      </c>
      <c r="H204" s="59">
        <f>SUM(H205:H207)</f>
        <v>0</v>
      </c>
      <c r="I204" s="59">
        <f t="shared" si="6"/>
        <v>0</v>
      </c>
      <c r="J204" s="68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2" t="s">
        <v>183</v>
      </c>
      <c r="G205" s="64">
        <f>'[1]CUENTA T FONDO 100'!DF127</f>
        <v>0</v>
      </c>
      <c r="H205" s="64">
        <f>'[1]CUENTA T VS'!DF96</f>
        <v>0</v>
      </c>
      <c r="I205" s="64">
        <f t="shared" si="6"/>
        <v>0</v>
      </c>
      <c r="J205" s="65">
        <f>I205/$I$25</f>
        <v>0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2" t="s">
        <v>184</v>
      </c>
      <c r="G206" s="64">
        <f>'[1]CUENTA T FONDO 100'!DG127</f>
        <v>0</v>
      </c>
      <c r="H206" s="64">
        <f>'[1]CUENTA T VS'!DG96</f>
        <v>0</v>
      </c>
      <c r="I206" s="64">
        <f t="shared" si="6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2" t="s">
        <v>185</v>
      </c>
      <c r="G207" s="64">
        <f>'[1]CUENTA T FONDO 100'!DH127</f>
        <v>0</v>
      </c>
      <c r="H207" s="64">
        <f>'[1]CUENTA T VS'!DH96</f>
        <v>0</v>
      </c>
      <c r="I207" s="64">
        <f t="shared" si="6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 t="shared" ref="G208:H208" si="10">+G209</f>
        <v>0</v>
      </c>
      <c r="H208" s="56">
        <f t="shared" si="10"/>
        <v>0</v>
      </c>
      <c r="I208" s="56">
        <f t="shared" si="6"/>
        <v>0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 t="shared" ref="H209" si="11">H210+H211</f>
        <v>0</v>
      </c>
      <c r="I209" s="59">
        <f t="shared" si="6"/>
        <v>0</v>
      </c>
      <c r="J209" s="68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2" t="s">
        <v>188</v>
      </c>
      <c r="G210" s="64">
        <f>'[1]CUENTA T FONDO 100'!DI127</f>
        <v>0</v>
      </c>
      <c r="H210" s="64">
        <f>'[1]CUENTA T VS'!DI96</f>
        <v>0</v>
      </c>
      <c r="I210" s="64">
        <f t="shared" si="6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2" t="s">
        <v>189</v>
      </c>
      <c r="G211" s="64">
        <f>'[1]CUENTA T FONDO 100'!DJ127</f>
        <v>0</v>
      </c>
      <c r="H211" s="64">
        <f>'[1]CUENTA T VS'!DJ96</f>
        <v>0</v>
      </c>
      <c r="I211" s="64">
        <f t="shared" si="6"/>
        <v>0</v>
      </c>
      <c r="J211" s="65">
        <f>I211/$I$25</f>
        <v>0</v>
      </c>
    </row>
    <row r="212" spans="1:10" x14ac:dyDescent="0.2">
      <c r="A212" s="71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26749551.52</v>
      </c>
      <c r="H212" s="56">
        <f>H213+H225+H232+H245+H250+H261+H286+H303+H308</f>
        <v>1797538.3199999998</v>
      </c>
      <c r="I212" s="56">
        <f t="shared" si="6"/>
        <v>28547089.84</v>
      </c>
      <c r="J212" s="53">
        <f>I212/$I$25</f>
        <v>0.22971471608442728</v>
      </c>
    </row>
    <row r="213" spans="1:10" x14ac:dyDescent="0.2">
      <c r="A213" s="71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3122436.84</v>
      </c>
      <c r="H213" s="56">
        <f>+H214+H217+H219+H223</f>
        <v>658799</v>
      </c>
      <c r="I213" s="56">
        <f t="shared" si="6"/>
        <v>3781235.84</v>
      </c>
      <c r="J213" s="53"/>
    </row>
    <row r="214" spans="1:10" x14ac:dyDescent="0.2">
      <c r="A214" s="73">
        <v>2</v>
      </c>
      <c r="B214" s="58">
        <v>3</v>
      </c>
      <c r="C214" s="58">
        <v>1</v>
      </c>
      <c r="D214" s="58">
        <v>1</v>
      </c>
      <c r="E214" s="78"/>
      <c r="F214" s="57" t="s">
        <v>192</v>
      </c>
      <c r="G214" s="59">
        <f>SUM(G215:G216)</f>
        <v>3122436.84</v>
      </c>
      <c r="H214" s="59">
        <f>SUM(H215:H216)</f>
        <v>658799</v>
      </c>
      <c r="I214" s="59">
        <f t="shared" si="6"/>
        <v>3781235.84</v>
      </c>
      <c r="J214" s="68"/>
    </row>
    <row r="215" spans="1:10" x14ac:dyDescent="0.2">
      <c r="A215" s="75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'[1]CUENTA T FONDO 100'!DK127</f>
        <v>3122436.84</v>
      </c>
      <c r="H215" s="64">
        <f>'[1]CUENTA T VS'!DK96</f>
        <v>658799</v>
      </c>
      <c r="I215" s="64">
        <f t="shared" si="6"/>
        <v>3781235.84</v>
      </c>
      <c r="J215" s="65">
        <f>I215/$I$25</f>
        <v>3.0427112616459293E-2</v>
      </c>
    </row>
    <row r="216" spans="1:10" x14ac:dyDescent="0.2">
      <c r="A216" s="75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'[1]CUENTA T FONDO 100'!DL127</f>
        <v>0</v>
      </c>
      <c r="H216" s="64">
        <f>'[1]CUENTA T VS'!DL96</f>
        <v>0</v>
      </c>
      <c r="I216" s="64">
        <f t="shared" si="6"/>
        <v>0</v>
      </c>
      <c r="J216" s="65">
        <f>I216/$I$25</f>
        <v>0</v>
      </c>
    </row>
    <row r="217" spans="1:10" x14ac:dyDescent="0.2">
      <c r="A217" s="73">
        <v>2</v>
      </c>
      <c r="B217" s="58">
        <v>3</v>
      </c>
      <c r="C217" s="58">
        <v>1</v>
      </c>
      <c r="D217" s="58">
        <v>2</v>
      </c>
      <c r="E217" s="78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12">SUM(G217:H217)</f>
        <v>0</v>
      </c>
      <c r="J217" s="68"/>
    </row>
    <row r="218" spans="1:10" x14ac:dyDescent="0.2">
      <c r="A218" s="75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'[1]CUENTA T FONDO 100'!DM127</f>
        <v>0</v>
      </c>
      <c r="H218" s="64">
        <f>'[1]CUENTA T VS'!DM96</f>
        <v>0</v>
      </c>
      <c r="I218" s="64">
        <f t="shared" si="12"/>
        <v>0</v>
      </c>
      <c r="J218" s="65">
        <f>I218/$I$25</f>
        <v>0</v>
      </c>
    </row>
    <row r="219" spans="1:10" x14ac:dyDescent="0.2">
      <c r="A219" s="73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12"/>
        <v>0</v>
      </c>
      <c r="J219" s="68"/>
    </row>
    <row r="220" spans="1:10" x14ac:dyDescent="0.2">
      <c r="A220" s="75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'[1]CUENTA T FONDO 100'!DN127</f>
        <v>0</v>
      </c>
      <c r="H220" s="64">
        <f>'[1]CUENTA T VS'!DN96</f>
        <v>0</v>
      </c>
      <c r="I220" s="64">
        <f t="shared" si="12"/>
        <v>0</v>
      </c>
      <c r="J220" s="65">
        <f>I220/$I$25</f>
        <v>0</v>
      </c>
    </row>
    <row r="221" spans="1:10" x14ac:dyDescent="0.2">
      <c r="A221" s="75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'[1]CUENTA T FONDO 100'!DO127</f>
        <v>0</v>
      </c>
      <c r="H221" s="64">
        <f>'[1]CUENTA T VS'!DO96</f>
        <v>0</v>
      </c>
      <c r="I221" s="64">
        <f t="shared" si="12"/>
        <v>0</v>
      </c>
      <c r="J221" s="65">
        <f>I221/$I$25</f>
        <v>0</v>
      </c>
    </row>
    <row r="222" spans="1:10" x14ac:dyDescent="0.2">
      <c r="A222" s="75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'[1]CUENTA T FONDO 100'!DP127</f>
        <v>0</v>
      </c>
      <c r="H222" s="64">
        <f>'[1]CUENTA T VS'!DP96</f>
        <v>0</v>
      </c>
      <c r="I222" s="64">
        <f t="shared" si="12"/>
        <v>0</v>
      </c>
      <c r="J222" s="65">
        <f>I222/$I$25</f>
        <v>0</v>
      </c>
    </row>
    <row r="223" spans="1:10" x14ac:dyDescent="0.2">
      <c r="A223" s="73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12"/>
        <v>0</v>
      </c>
      <c r="J223" s="68"/>
    </row>
    <row r="224" spans="1:10" x14ac:dyDescent="0.2">
      <c r="A224" s="75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'[1]CUENTA T FONDO 100'!DQ127</f>
        <v>0</v>
      </c>
      <c r="H224" s="64">
        <f>'[1]CUENTA T VS'!DQ96</f>
        <v>0</v>
      </c>
      <c r="I224" s="64">
        <f t="shared" si="12"/>
        <v>0</v>
      </c>
      <c r="J224" s="65">
        <f>I224/$I$25</f>
        <v>0</v>
      </c>
    </row>
    <row r="225" spans="1:10" x14ac:dyDescent="0.2">
      <c r="A225" s="71">
        <v>2</v>
      </c>
      <c r="B225" s="55">
        <v>3</v>
      </c>
      <c r="C225" s="55">
        <v>2</v>
      </c>
      <c r="D225" s="55"/>
      <c r="E225" s="79"/>
      <c r="F225" s="54" t="s">
        <v>200</v>
      </c>
      <c r="G225" s="56">
        <f>+G226+G228+G230</f>
        <v>0</v>
      </c>
      <c r="H225" s="56">
        <f>+H226+H228+H230</f>
        <v>0</v>
      </c>
      <c r="I225" s="56">
        <f t="shared" si="12"/>
        <v>0</v>
      </c>
      <c r="J225" s="53"/>
    </row>
    <row r="226" spans="1:10" x14ac:dyDescent="0.2">
      <c r="A226" s="73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12"/>
        <v>0</v>
      </c>
      <c r="J226" s="68"/>
    </row>
    <row r="227" spans="1:10" x14ac:dyDescent="0.2">
      <c r="A227" s="75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'[1]CUENTA T FONDO 100'!DR127</f>
        <v>0</v>
      </c>
      <c r="H227" s="64">
        <f>'[1]CUENTA T VS'!DR96</f>
        <v>0</v>
      </c>
      <c r="I227" s="64">
        <f t="shared" si="12"/>
        <v>0</v>
      </c>
      <c r="J227" s="65">
        <f>I227/$I$25</f>
        <v>0</v>
      </c>
    </row>
    <row r="228" spans="1:10" x14ac:dyDescent="0.2">
      <c r="A228" s="73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0</v>
      </c>
      <c r="H228" s="59">
        <f>SUM(H229)</f>
        <v>0</v>
      </c>
      <c r="I228" s="59">
        <f t="shared" si="12"/>
        <v>0</v>
      </c>
      <c r="J228" s="68"/>
    </row>
    <row r="229" spans="1:10" x14ac:dyDescent="0.2">
      <c r="A229" s="75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'[1]CUENTA T FONDO 100'!DS127</f>
        <v>0</v>
      </c>
      <c r="H229" s="64">
        <f>'[1]CUENTA T VS'!DS96</f>
        <v>0</v>
      </c>
      <c r="I229" s="64">
        <f t="shared" si="12"/>
        <v>0</v>
      </c>
      <c r="J229" s="65">
        <f>I229/$I$25</f>
        <v>0</v>
      </c>
    </row>
    <row r="230" spans="1:10" x14ac:dyDescent="0.2">
      <c r="A230" s="73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SUM(H231)</f>
        <v>0</v>
      </c>
      <c r="I230" s="59">
        <f t="shared" si="12"/>
        <v>0</v>
      </c>
      <c r="J230" s="68"/>
    </row>
    <row r="231" spans="1:10" x14ac:dyDescent="0.2">
      <c r="A231" s="75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'[1]CUENTA T FONDO 100'!DT127</f>
        <v>0</v>
      </c>
      <c r="H231" s="64">
        <f>'[1]CUENTA T VS'!DT96</f>
        <v>0</v>
      </c>
      <c r="I231" s="64">
        <f t="shared" si="12"/>
        <v>0</v>
      </c>
      <c r="J231" s="65">
        <f>I231/$I$25</f>
        <v>0</v>
      </c>
    </row>
    <row r="232" spans="1:10" x14ac:dyDescent="0.2">
      <c r="A232" s="71">
        <v>2</v>
      </c>
      <c r="B232" s="55">
        <v>3</v>
      </c>
      <c r="C232" s="55">
        <v>3</v>
      </c>
      <c r="D232" s="55"/>
      <c r="E232" s="79"/>
      <c r="F232" s="54" t="s">
        <v>204</v>
      </c>
      <c r="G232" s="56">
        <f>+G233+G235+G237+G239+G241+G243</f>
        <v>1474545.17</v>
      </c>
      <c r="H232" s="56">
        <f>+H233+H235+H237+H239+H241+H243</f>
        <v>57997</v>
      </c>
      <c r="I232" s="56">
        <f t="shared" si="12"/>
        <v>1532542.17</v>
      </c>
      <c r="J232" s="53"/>
    </row>
    <row r="233" spans="1:10" x14ac:dyDescent="0.2">
      <c r="A233" s="73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0</v>
      </c>
      <c r="H233" s="59">
        <f>SUM(H234)</f>
        <v>0</v>
      </c>
      <c r="I233" s="59">
        <f t="shared" si="12"/>
        <v>0</v>
      </c>
      <c r="J233" s="68"/>
    </row>
    <row r="234" spans="1:10" x14ac:dyDescent="0.2">
      <c r="A234" s="75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'[1]CUENTA T FONDO 100'!DU127</f>
        <v>0</v>
      </c>
      <c r="H234" s="64">
        <f>'[1]CUENTA T VS'!DU96</f>
        <v>0</v>
      </c>
      <c r="I234" s="64">
        <f t="shared" si="12"/>
        <v>0</v>
      </c>
      <c r="J234" s="65">
        <f>I234/$I$25</f>
        <v>0</v>
      </c>
    </row>
    <row r="235" spans="1:10" x14ac:dyDescent="0.2">
      <c r="A235" s="73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170173.16999999998</v>
      </c>
      <c r="H235" s="59">
        <f>SUM(H236)</f>
        <v>0</v>
      </c>
      <c r="I235" s="59">
        <f t="shared" si="12"/>
        <v>170173.16999999998</v>
      </c>
      <c r="J235" s="68"/>
    </row>
    <row r="236" spans="1:10" x14ac:dyDescent="0.2">
      <c r="A236" s="75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'[1]CUENTA T FONDO 100'!DV127</f>
        <v>170173.16999999998</v>
      </c>
      <c r="H236" s="64">
        <f>'[1]CUENTA T VS'!DV96</f>
        <v>0</v>
      </c>
      <c r="I236" s="64">
        <f t="shared" si="12"/>
        <v>170173.16999999998</v>
      </c>
      <c r="J236" s="65">
        <f>I236/$I$25</f>
        <v>1.3693613482437192E-3</v>
      </c>
    </row>
    <row r="237" spans="1:10" x14ac:dyDescent="0.2">
      <c r="A237" s="73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1304372</v>
      </c>
      <c r="H237" s="59">
        <f>SUM(H238)</f>
        <v>57997</v>
      </c>
      <c r="I237" s="59">
        <f t="shared" si="12"/>
        <v>1362369</v>
      </c>
      <c r="J237" s="68"/>
    </row>
    <row r="238" spans="1:10" x14ac:dyDescent="0.2">
      <c r="A238" s="75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'[1]CUENTA T FONDO 100'!DW127</f>
        <v>1304372</v>
      </c>
      <c r="H238" s="64">
        <f>'[1]CUENTA T VS'!DW96</f>
        <v>57997</v>
      </c>
      <c r="I238" s="64">
        <f t="shared" si="12"/>
        <v>1362369</v>
      </c>
      <c r="J238" s="65">
        <f>I238/$I$25</f>
        <v>1.0962806008993353E-2</v>
      </c>
    </row>
    <row r="239" spans="1:10" x14ac:dyDescent="0.2">
      <c r="A239" s="73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12"/>
        <v>0</v>
      </c>
      <c r="J239" s="68"/>
    </row>
    <row r="240" spans="1:10" x14ac:dyDescent="0.2">
      <c r="A240" s="75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'[1]CUENTA T FONDO 100'!DX127</f>
        <v>0</v>
      </c>
      <c r="H240" s="64">
        <f>'[1]CUENTA T VS'!DX96</f>
        <v>0</v>
      </c>
      <c r="I240" s="64">
        <f t="shared" si="12"/>
        <v>0</v>
      </c>
      <c r="J240" s="65">
        <f>I240/$I$25</f>
        <v>0</v>
      </c>
    </row>
    <row r="241" spans="1:10" x14ac:dyDescent="0.2">
      <c r="A241" s="73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12"/>
        <v>0</v>
      </c>
      <c r="J241" s="68"/>
    </row>
    <row r="242" spans="1:10" x14ac:dyDescent="0.2">
      <c r="A242" s="75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'[1]CUENTA T FONDO 100'!DY127</f>
        <v>0</v>
      </c>
      <c r="H242" s="64">
        <f>'[1]CUENTA T VS'!DY96</f>
        <v>0</v>
      </c>
      <c r="I242" s="64">
        <f t="shared" si="12"/>
        <v>0</v>
      </c>
      <c r="J242" s="65">
        <f>I242/$I$25</f>
        <v>0</v>
      </c>
    </row>
    <row r="243" spans="1:10" x14ac:dyDescent="0.2">
      <c r="A243" s="73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12"/>
        <v>0</v>
      </c>
      <c r="J243" s="68"/>
    </row>
    <row r="244" spans="1:10" x14ac:dyDescent="0.2">
      <c r="A244" s="75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'[1]CUENTA T FONDO 100'!DZ127</f>
        <v>0</v>
      </c>
      <c r="H244" s="64">
        <f>'[1]CUENTA T VS'!DZ96</f>
        <v>0</v>
      </c>
      <c r="I244" s="64">
        <f t="shared" si="12"/>
        <v>0</v>
      </c>
      <c r="J244" s="65">
        <f>I244/$I$25</f>
        <v>0</v>
      </c>
    </row>
    <row r="245" spans="1:10" x14ac:dyDescent="0.2">
      <c r="A245" s="71">
        <v>2</v>
      </c>
      <c r="B245" s="55">
        <v>3</v>
      </c>
      <c r="C245" s="55">
        <v>4</v>
      </c>
      <c r="D245" s="55"/>
      <c r="E245" s="79"/>
      <c r="F245" s="54" t="s">
        <v>211</v>
      </c>
      <c r="G245" s="56">
        <f>+G246+G248</f>
        <v>6919929</v>
      </c>
      <c r="H245" s="56">
        <f>+H246+H248</f>
        <v>250000</v>
      </c>
      <c r="I245" s="56">
        <f t="shared" si="12"/>
        <v>7169929</v>
      </c>
      <c r="J245" s="53"/>
    </row>
    <row r="246" spans="1:10" x14ac:dyDescent="0.2">
      <c r="A246" s="73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6919929</v>
      </c>
      <c r="H246" s="59">
        <f>SUM(H247)</f>
        <v>250000</v>
      </c>
      <c r="I246" s="59">
        <f t="shared" si="12"/>
        <v>7169929</v>
      </c>
      <c r="J246" s="68"/>
    </row>
    <row r="247" spans="1:10" x14ac:dyDescent="0.2">
      <c r="A247" s="75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'[1]CUENTA T FONDO 100'!EA127</f>
        <v>6919929</v>
      </c>
      <c r="H247" s="64">
        <f>'[1]CUENTA T VS'!EA96</f>
        <v>250000</v>
      </c>
      <c r="I247" s="64">
        <f t="shared" si="12"/>
        <v>7169929</v>
      </c>
      <c r="J247" s="65">
        <f>I247/$I$25</f>
        <v>5.7695485382635477E-2</v>
      </c>
    </row>
    <row r="248" spans="1:10" x14ac:dyDescent="0.2">
      <c r="A248" s="73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12"/>
        <v>0</v>
      </c>
      <c r="J248" s="68"/>
    </row>
    <row r="249" spans="1:10" x14ac:dyDescent="0.2">
      <c r="A249" s="75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'[1]CUENTA T FONDO 100'!EB127</f>
        <v>0</v>
      </c>
      <c r="H249" s="64">
        <f>'[1]CUENTA T VS'!EB96</f>
        <v>0</v>
      </c>
      <c r="I249" s="64">
        <f t="shared" si="12"/>
        <v>0</v>
      </c>
      <c r="J249" s="65">
        <f>I249/$I$25</f>
        <v>0</v>
      </c>
    </row>
    <row r="250" spans="1:10" x14ac:dyDescent="0.2">
      <c r="A250" s="71">
        <v>2</v>
      </c>
      <c r="B250" s="55">
        <v>3</v>
      </c>
      <c r="C250" s="55">
        <v>5</v>
      </c>
      <c r="D250" s="55"/>
      <c r="E250" s="79"/>
      <c r="F250" s="54" t="s">
        <v>214</v>
      </c>
      <c r="G250" s="56">
        <f>+G251+G253+G255+G257+G259</f>
        <v>334708.95</v>
      </c>
      <c r="H250" s="56">
        <f>+H251+H253+H255+H257+H259</f>
        <v>317663.67000000004</v>
      </c>
      <c r="I250" s="56">
        <f t="shared" si="12"/>
        <v>652372.62000000011</v>
      </c>
      <c r="J250" s="53"/>
    </row>
    <row r="251" spans="1:10" x14ac:dyDescent="0.2">
      <c r="A251" s="73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12"/>
        <v>0</v>
      </c>
      <c r="J251" s="68"/>
    </row>
    <row r="252" spans="1:10" x14ac:dyDescent="0.2">
      <c r="A252" s="75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'[1]CUENTA T FONDO 100'!EC127</f>
        <v>0</v>
      </c>
      <c r="H252" s="64">
        <f>'[1]CUENTA T VS'!EC96</f>
        <v>0</v>
      </c>
      <c r="I252" s="64">
        <f t="shared" si="12"/>
        <v>0</v>
      </c>
      <c r="J252" s="65">
        <f>I252/$I$25</f>
        <v>0</v>
      </c>
    </row>
    <row r="253" spans="1:10" x14ac:dyDescent="0.2">
      <c r="A253" s="73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12"/>
        <v>0</v>
      </c>
      <c r="J253" s="68"/>
    </row>
    <row r="254" spans="1:10" x14ac:dyDescent="0.2">
      <c r="A254" s="75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'[1]CUENTA T FONDO 100'!ED127</f>
        <v>0</v>
      </c>
      <c r="H254" s="64">
        <f>'[1]CUENTA T VS'!ED96</f>
        <v>0</v>
      </c>
      <c r="I254" s="64">
        <f t="shared" si="12"/>
        <v>0</v>
      </c>
      <c r="J254" s="65">
        <f>I254/$I$25</f>
        <v>0</v>
      </c>
    </row>
    <row r="255" spans="1:10" x14ac:dyDescent="0.2">
      <c r="A255" s="73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282823.65000000002</v>
      </c>
      <c r="I255" s="59">
        <f t="shared" si="12"/>
        <v>282823.65000000002</v>
      </c>
      <c r="J255" s="68"/>
    </row>
    <row r="256" spans="1:10" x14ac:dyDescent="0.2">
      <c r="A256" s="75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'[1]CUENTA T FONDO 100'!EE127</f>
        <v>0</v>
      </c>
      <c r="H256" s="64">
        <f>'[1]CUENTA T VS'!EE96</f>
        <v>282823.65000000002</v>
      </c>
      <c r="I256" s="64">
        <f t="shared" si="12"/>
        <v>282823.65000000002</v>
      </c>
      <c r="J256" s="65">
        <f>I256/$I$25</f>
        <v>2.2758450975509819E-3</v>
      </c>
    </row>
    <row r="257" spans="1:10" x14ac:dyDescent="0.2">
      <c r="A257" s="73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0</v>
      </c>
      <c r="H257" s="59">
        <f>SUM(H258)</f>
        <v>0</v>
      </c>
      <c r="I257" s="59">
        <f t="shared" si="12"/>
        <v>0</v>
      </c>
      <c r="J257" s="68"/>
    </row>
    <row r="258" spans="1:10" x14ac:dyDescent="0.2">
      <c r="A258" s="75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'[1]CUENTA T FONDO 100'!EF127</f>
        <v>0</v>
      </c>
      <c r="H258" s="64">
        <f>'[1]CUENTA T VS'!EF96</f>
        <v>0</v>
      </c>
      <c r="I258" s="64">
        <f t="shared" si="12"/>
        <v>0</v>
      </c>
      <c r="J258" s="65">
        <f>I258/$I$25</f>
        <v>0</v>
      </c>
    </row>
    <row r="259" spans="1:10" x14ac:dyDescent="0.2">
      <c r="A259" s="73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334708.95</v>
      </c>
      <c r="H259" s="59">
        <f>SUM(H260)</f>
        <v>34840.020000000004</v>
      </c>
      <c r="I259" s="59">
        <f t="shared" si="12"/>
        <v>369548.97000000003</v>
      </c>
      <c r="J259" s="68"/>
    </row>
    <row r="260" spans="1:10" x14ac:dyDescent="0.2">
      <c r="A260" s="75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'[1]CUENTA T FONDO 100'!EG127</f>
        <v>334708.95</v>
      </c>
      <c r="H260" s="64">
        <f>'[1]CUENTA T VS'!EG96</f>
        <v>34840.020000000004</v>
      </c>
      <c r="I260" s="64">
        <f t="shared" si="12"/>
        <v>369548.97000000003</v>
      </c>
      <c r="J260" s="65">
        <f>I260/$I$25</f>
        <v>2.9737124589104017E-3</v>
      </c>
    </row>
    <row r="261" spans="1:10" x14ac:dyDescent="0.2">
      <c r="A261" s="71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0</v>
      </c>
      <c r="H261" s="56">
        <f>+H262+H268+H272+H276+H284</f>
        <v>110224.97</v>
      </c>
      <c r="I261" s="56">
        <f t="shared" si="12"/>
        <v>110224.97</v>
      </c>
      <c r="J261" s="53"/>
    </row>
    <row r="262" spans="1:10" x14ac:dyDescent="0.2">
      <c r="A262" s="73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 t="shared" si="12"/>
        <v>0</v>
      </c>
      <c r="J262" s="68"/>
    </row>
    <row r="263" spans="1:10" x14ac:dyDescent="0.2">
      <c r="A263" s="75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'[1]CUENTA T FONDO 100'!EH127</f>
        <v>0</v>
      </c>
      <c r="H263" s="64">
        <f>'[1]CUENTA T VS'!EH96</f>
        <v>0</v>
      </c>
      <c r="I263" s="64">
        <f t="shared" si="12"/>
        <v>0</v>
      </c>
      <c r="J263" s="65">
        <f>I263/$I$25</f>
        <v>0</v>
      </c>
    </row>
    <row r="264" spans="1:10" x14ac:dyDescent="0.2">
      <c r="A264" s="75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'[1]CUENTA T FONDO 100'!EI127</f>
        <v>0</v>
      </c>
      <c r="H264" s="64">
        <f>'[1]CUENTA T VS'!EI96</f>
        <v>0</v>
      </c>
      <c r="I264" s="64">
        <f t="shared" si="12"/>
        <v>0</v>
      </c>
      <c r="J264" s="65">
        <f>I264/$I$25</f>
        <v>0</v>
      </c>
    </row>
    <row r="265" spans="1:10" x14ac:dyDescent="0.2">
      <c r="A265" s="75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'[1]CUENTA T FONDO 100'!EJ127</f>
        <v>0</v>
      </c>
      <c r="H265" s="64">
        <f>'[1]CUENTA T VS'!EJ96</f>
        <v>0</v>
      </c>
      <c r="I265" s="64">
        <f t="shared" si="12"/>
        <v>0</v>
      </c>
      <c r="J265" s="65">
        <f>I265/$I$25</f>
        <v>0</v>
      </c>
    </row>
    <row r="266" spans="1:10" x14ac:dyDescent="0.2">
      <c r="A266" s="75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'[1]CUENTA T FONDO 100'!EK127</f>
        <v>0</v>
      </c>
      <c r="H266" s="64">
        <f>'[1]CUENTA T VS'!EK96</f>
        <v>0</v>
      </c>
      <c r="I266" s="64">
        <f t="shared" si="12"/>
        <v>0</v>
      </c>
      <c r="J266" s="65">
        <f>I266/$I$25</f>
        <v>0</v>
      </c>
    </row>
    <row r="267" spans="1:10" x14ac:dyDescent="0.2">
      <c r="A267" s="75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'[1]CUENTA T FONDO 100'!EL127</f>
        <v>0</v>
      </c>
      <c r="H267" s="64">
        <f>'[1]CUENTA T VS'!EL96</f>
        <v>0</v>
      </c>
      <c r="I267" s="64">
        <f t="shared" si="12"/>
        <v>0</v>
      </c>
      <c r="J267" s="65">
        <f>I267/$I$25</f>
        <v>0</v>
      </c>
    </row>
    <row r="268" spans="1:10" x14ac:dyDescent="0.2">
      <c r="A268" s="73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0</v>
      </c>
      <c r="H268" s="59">
        <f>SUM(H269:H271)</f>
        <v>15149.94</v>
      </c>
      <c r="I268" s="59">
        <f t="shared" si="12"/>
        <v>15149.94</v>
      </c>
      <c r="J268" s="68"/>
    </row>
    <row r="269" spans="1:10" x14ac:dyDescent="0.2">
      <c r="A269" s="75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'[1]CUENTA T FONDO 100'!EM127</f>
        <v>0</v>
      </c>
      <c r="H269" s="64">
        <f>'[1]CUENTA T VS'!EM96</f>
        <v>15149.94</v>
      </c>
      <c r="I269" s="64">
        <f t="shared" si="12"/>
        <v>15149.94</v>
      </c>
      <c r="J269" s="65">
        <f>I269/$I$25</f>
        <v>1.2190959517420667E-4</v>
      </c>
    </row>
    <row r="270" spans="1:10" x14ac:dyDescent="0.2">
      <c r="A270" s="75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'[1]CUENTA T FONDO 100'!EN127</f>
        <v>0</v>
      </c>
      <c r="H270" s="64">
        <f>'[1]CUENTA T VS'!EN96</f>
        <v>0</v>
      </c>
      <c r="I270" s="64">
        <f t="shared" si="12"/>
        <v>0</v>
      </c>
      <c r="J270" s="65">
        <f>I270/$I$25</f>
        <v>0</v>
      </c>
    </row>
    <row r="271" spans="1:10" x14ac:dyDescent="0.2">
      <c r="A271" s="75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'[1]CUENTA T FONDO 100'!EO127</f>
        <v>0</v>
      </c>
      <c r="H271" s="64">
        <f>'[1]CUENTA T VS'!EO96</f>
        <v>0</v>
      </c>
      <c r="I271" s="64">
        <f t="shared" si="12"/>
        <v>0</v>
      </c>
      <c r="J271" s="65">
        <f>I271/$I$25</f>
        <v>0</v>
      </c>
    </row>
    <row r="272" spans="1:10" x14ac:dyDescent="0.2">
      <c r="A272" s="73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0</v>
      </c>
      <c r="H272" s="59">
        <f>SUM(H273:H275)</f>
        <v>95075.03</v>
      </c>
      <c r="I272" s="59">
        <f t="shared" si="12"/>
        <v>95075.03</v>
      </c>
      <c r="J272" s="68"/>
    </row>
    <row r="273" spans="1:10" x14ac:dyDescent="0.2">
      <c r="A273" s="75">
        <v>2</v>
      </c>
      <c r="B273" s="62">
        <v>3</v>
      </c>
      <c r="C273" s="62">
        <v>6</v>
      </c>
      <c r="D273" s="62">
        <v>3</v>
      </c>
      <c r="E273" s="63" t="s">
        <v>41</v>
      </c>
      <c r="F273" s="82" t="s">
        <v>232</v>
      </c>
      <c r="G273" s="64">
        <f>'[1]CUENTA T FONDO 100'!EP127</f>
        <v>0</v>
      </c>
      <c r="H273" s="64">
        <f>'[1]CUENTA T VS'!EP96</f>
        <v>87250.03</v>
      </c>
      <c r="I273" s="64">
        <f t="shared" si="12"/>
        <v>87250.03</v>
      </c>
      <c r="J273" s="65">
        <f>I273/$I$25</f>
        <v>7.0208963443006288E-4</v>
      </c>
    </row>
    <row r="274" spans="1:10" x14ac:dyDescent="0.2">
      <c r="A274" s="75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'[1]CUENTA T FONDO 100'!EQ127</f>
        <v>0</v>
      </c>
      <c r="H274" s="64">
        <f>'[1]CUENTA T VS'!EQ96</f>
        <v>0</v>
      </c>
      <c r="I274" s="64">
        <f t="shared" si="12"/>
        <v>0</v>
      </c>
      <c r="J274" s="65">
        <f>I274/$I$25</f>
        <v>0</v>
      </c>
    </row>
    <row r="275" spans="1:10" x14ac:dyDescent="0.2">
      <c r="A275" s="75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'[1]CUENTA T FONDO 100'!ER127</f>
        <v>0</v>
      </c>
      <c r="H275" s="64">
        <f>'[1]CUENTA T VS'!ER96</f>
        <v>7825</v>
      </c>
      <c r="I275" s="64">
        <f t="shared" si="12"/>
        <v>7825</v>
      </c>
      <c r="J275" s="65">
        <f>I275/$I$25</f>
        <v>6.2966756451719751E-5</v>
      </c>
    </row>
    <row r="276" spans="1:10" x14ac:dyDescent="0.2">
      <c r="A276" s="73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12"/>
        <v>0</v>
      </c>
      <c r="J276" s="68"/>
    </row>
    <row r="277" spans="1:10" x14ac:dyDescent="0.2">
      <c r="A277" s="75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'[1]CUENTA T FONDO 100'!ES127</f>
        <v>0</v>
      </c>
      <c r="H277" s="64">
        <f>'[1]CUENTA T VS'!ES96</f>
        <v>0</v>
      </c>
      <c r="I277" s="64">
        <f t="shared" si="12"/>
        <v>0</v>
      </c>
      <c r="J277" s="65">
        <f t="shared" ref="J277:J283" si="13">I277/$I$25</f>
        <v>0</v>
      </c>
    </row>
    <row r="278" spans="1:10" x14ac:dyDescent="0.2">
      <c r="A278" s="75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'[1]CUENTA T FONDO 100'!ET127</f>
        <v>0</v>
      </c>
      <c r="H278" s="64">
        <f>'[1]CUENTA T VS'!ET96</f>
        <v>0</v>
      </c>
      <c r="I278" s="64">
        <f t="shared" si="12"/>
        <v>0</v>
      </c>
      <c r="J278" s="65">
        <f t="shared" si="13"/>
        <v>0</v>
      </c>
    </row>
    <row r="279" spans="1:10" x14ac:dyDescent="0.2">
      <c r="A279" s="75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'[1]CUENTA T FONDO 100'!EU127</f>
        <v>0</v>
      </c>
      <c r="H279" s="64">
        <f>'[1]CUENTA T VS'!EU96</f>
        <v>0</v>
      </c>
      <c r="I279" s="64">
        <f t="shared" si="12"/>
        <v>0</v>
      </c>
      <c r="J279" s="65">
        <f t="shared" si="13"/>
        <v>0</v>
      </c>
    </row>
    <row r="280" spans="1:10" x14ac:dyDescent="0.2">
      <c r="A280" s="75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'[1]CUENTA T FONDO 100'!EV127</f>
        <v>0</v>
      </c>
      <c r="H280" s="64">
        <f>'[1]CUENTA T VS'!EV96</f>
        <v>0</v>
      </c>
      <c r="I280" s="64">
        <f t="shared" si="12"/>
        <v>0</v>
      </c>
      <c r="J280" s="65">
        <f t="shared" si="13"/>
        <v>0</v>
      </c>
    </row>
    <row r="281" spans="1:10" x14ac:dyDescent="0.2">
      <c r="A281" s="75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'[1]CUENTA T FONDO 100'!EW127</f>
        <v>0</v>
      </c>
      <c r="H281" s="64">
        <f>'[1]CUENTA T VS'!EW96</f>
        <v>0</v>
      </c>
      <c r="I281" s="64">
        <f t="shared" ref="I281:I344" si="14">SUM(G281:H281)</f>
        <v>0</v>
      </c>
      <c r="J281" s="65">
        <f t="shared" si="13"/>
        <v>0</v>
      </c>
    </row>
    <row r="282" spans="1:10" x14ac:dyDescent="0.2">
      <c r="A282" s="75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'[1]CUENTA T FONDO 100'!EX127</f>
        <v>0</v>
      </c>
      <c r="H282" s="64">
        <f>'[1]CUENTA T VS'!EX96</f>
        <v>0</v>
      </c>
      <c r="I282" s="64">
        <f t="shared" si="14"/>
        <v>0</v>
      </c>
      <c r="J282" s="65">
        <f t="shared" si="13"/>
        <v>0</v>
      </c>
    </row>
    <row r="283" spans="1:10" x14ac:dyDescent="0.2">
      <c r="A283" s="75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'[1]CUENTA T FONDO 100'!EY127</f>
        <v>0</v>
      </c>
      <c r="H283" s="64">
        <f>'[1]CUENTA T VS'!EY96</f>
        <v>0</v>
      </c>
      <c r="I283" s="64">
        <f t="shared" si="14"/>
        <v>0</v>
      </c>
      <c r="J283" s="65">
        <f t="shared" si="13"/>
        <v>0</v>
      </c>
    </row>
    <row r="284" spans="1:10" x14ac:dyDescent="0.2">
      <c r="A284" s="73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4"/>
        <v>0</v>
      </c>
      <c r="J284" s="68"/>
    </row>
    <row r="285" spans="1:10" x14ac:dyDescent="0.2">
      <c r="A285" s="75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'[1]CUENTA T FONDO 100'!EZ127</f>
        <v>0</v>
      </c>
      <c r="H285" s="64">
        <f>'[1]CUENTA T VS'!EZ96</f>
        <v>0</v>
      </c>
      <c r="I285" s="64">
        <f t="shared" si="14"/>
        <v>0</v>
      </c>
      <c r="J285" s="65">
        <f>I285/$I$25</f>
        <v>0</v>
      </c>
    </row>
    <row r="286" spans="1:10" x14ac:dyDescent="0.2">
      <c r="A286" s="54">
        <v>2</v>
      </c>
      <c r="B286" s="55">
        <v>3</v>
      </c>
      <c r="C286" s="55">
        <v>7</v>
      </c>
      <c r="D286" s="55"/>
      <c r="E286" s="55"/>
      <c r="F286" s="84" t="s">
        <v>245</v>
      </c>
      <c r="G286" s="56">
        <f>G287+G295</f>
        <v>3162523.02</v>
      </c>
      <c r="H286" s="56">
        <f>H287+H295</f>
        <v>317328.99</v>
      </c>
      <c r="I286" s="56">
        <f t="shared" si="14"/>
        <v>3479852.01</v>
      </c>
      <c r="J286" s="53"/>
    </row>
    <row r="287" spans="1:10" x14ac:dyDescent="0.2">
      <c r="A287" s="73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555829</v>
      </c>
      <c r="H287" s="59">
        <f>SUM(H288:H294)</f>
        <v>273439</v>
      </c>
      <c r="I287" s="59">
        <f t="shared" si="14"/>
        <v>829268</v>
      </c>
      <c r="J287" s="68"/>
    </row>
    <row r="288" spans="1:10" x14ac:dyDescent="0.2">
      <c r="A288" s="75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'[1]CUENTA T FONDO 100'!FA127</f>
        <v>555829</v>
      </c>
      <c r="H288" s="64">
        <f>'[1]CUENTA T VS'!FA96</f>
        <v>172000</v>
      </c>
      <c r="I288" s="64">
        <f t="shared" si="14"/>
        <v>727829</v>
      </c>
      <c r="J288" s="65">
        <f t="shared" ref="J288:J294" si="15">I288/$I$25</f>
        <v>5.8567452244726826E-3</v>
      </c>
    </row>
    <row r="289" spans="1:10" x14ac:dyDescent="0.2">
      <c r="A289" s="75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'[1]CUENTA T FONDO 100'!FB127</f>
        <v>0</v>
      </c>
      <c r="H289" s="64">
        <f>'[1]CUENTA T VS'!FB96</f>
        <v>0</v>
      </c>
      <c r="I289" s="64">
        <f t="shared" si="14"/>
        <v>0</v>
      </c>
      <c r="J289" s="65">
        <f t="shared" si="15"/>
        <v>0</v>
      </c>
    </row>
    <row r="290" spans="1:10" x14ac:dyDescent="0.2">
      <c r="A290" s="75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'[1]CUENTA T FONDO 100'!FC127</f>
        <v>0</v>
      </c>
      <c r="H290" s="64">
        <f>'[1]CUENTA T VS'!FC96</f>
        <v>0</v>
      </c>
      <c r="I290" s="64">
        <f t="shared" si="14"/>
        <v>0</v>
      </c>
      <c r="J290" s="65">
        <f t="shared" si="15"/>
        <v>0</v>
      </c>
    </row>
    <row r="291" spans="1:10" x14ac:dyDescent="0.2">
      <c r="A291" s="75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'[1]CUENTA T FONDO 100'!FD127</f>
        <v>0</v>
      </c>
      <c r="H291" s="64">
        <f>'[1]CUENTA T VS'!FD96</f>
        <v>101439</v>
      </c>
      <c r="I291" s="64">
        <f t="shared" si="14"/>
        <v>101439</v>
      </c>
      <c r="J291" s="65">
        <f t="shared" si="15"/>
        <v>8.1626642909980837E-4</v>
      </c>
    </row>
    <row r="292" spans="1:10" x14ac:dyDescent="0.2">
      <c r="A292" s="75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'[1]CUENTA T FONDO 100'!FE127</f>
        <v>0</v>
      </c>
      <c r="H292" s="64">
        <f>'[1]CUENTA T VS'!FE96</f>
        <v>0</v>
      </c>
      <c r="I292" s="64">
        <f t="shared" si="14"/>
        <v>0</v>
      </c>
      <c r="J292" s="65">
        <f t="shared" si="15"/>
        <v>0</v>
      </c>
    </row>
    <row r="293" spans="1:10" x14ac:dyDescent="0.2">
      <c r="A293" s="75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'[1]CUENTA T FONDO 100'!FF127</f>
        <v>0</v>
      </c>
      <c r="H293" s="64">
        <f>'[1]CUENTA T VS'!FF96</f>
        <v>0</v>
      </c>
      <c r="I293" s="64">
        <f t="shared" si="14"/>
        <v>0</v>
      </c>
      <c r="J293" s="65">
        <f t="shared" si="15"/>
        <v>0</v>
      </c>
    </row>
    <row r="294" spans="1:10" x14ac:dyDescent="0.2">
      <c r="A294" s="75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'[1]CUENTA T FONDO 100'!FG127</f>
        <v>0</v>
      </c>
      <c r="H294" s="64">
        <f>'[1]CUENTA T VS'!FG96</f>
        <v>0</v>
      </c>
      <c r="I294" s="64">
        <f t="shared" si="14"/>
        <v>0</v>
      </c>
      <c r="J294" s="65">
        <f t="shared" si="15"/>
        <v>0</v>
      </c>
    </row>
    <row r="295" spans="1:10" x14ac:dyDescent="0.2">
      <c r="A295" s="73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2606694.02</v>
      </c>
      <c r="H295" s="59">
        <f>SUM(H296:H302)</f>
        <v>43889.99</v>
      </c>
      <c r="I295" s="59">
        <f t="shared" si="14"/>
        <v>2650584.0100000002</v>
      </c>
      <c r="J295" s="68"/>
    </row>
    <row r="296" spans="1:10" x14ac:dyDescent="0.2">
      <c r="A296" s="75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'[1]CUENTA T FONDO 100'!FH127</f>
        <v>0</v>
      </c>
      <c r="H296" s="64">
        <f>'[1]CUENTA T VS'!FH96</f>
        <v>0</v>
      </c>
      <c r="I296" s="64">
        <f t="shared" si="14"/>
        <v>0</v>
      </c>
      <c r="J296" s="65">
        <f t="shared" ref="J296:J302" si="16">I296/$I$25</f>
        <v>0</v>
      </c>
    </row>
    <row r="297" spans="1:10" x14ac:dyDescent="0.2">
      <c r="A297" s="75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'[1]CUENTA T FONDO 100'!FI127</f>
        <v>0</v>
      </c>
      <c r="H297" s="64">
        <f>'[1]CUENTA T VS'!FI96</f>
        <v>0</v>
      </c>
      <c r="I297" s="64">
        <f t="shared" si="14"/>
        <v>0</v>
      </c>
      <c r="J297" s="65">
        <f t="shared" si="16"/>
        <v>0</v>
      </c>
    </row>
    <row r="298" spans="1:10" x14ac:dyDescent="0.2">
      <c r="A298" s="75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'[1]CUENTA T FONDO 100'!FJ127</f>
        <v>2243769.91</v>
      </c>
      <c r="H298" s="64">
        <f>'[1]CUENTA T VS'!FJ96</f>
        <v>0</v>
      </c>
      <c r="I298" s="64">
        <f t="shared" si="14"/>
        <v>2243769.91</v>
      </c>
      <c r="J298" s="65">
        <f t="shared" si="16"/>
        <v>1.8055324403407944E-2</v>
      </c>
    </row>
    <row r="299" spans="1:10" x14ac:dyDescent="0.2">
      <c r="A299" s="75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'[1]CUENTA T FONDO 100'!FK127</f>
        <v>0</v>
      </c>
      <c r="H299" s="64">
        <f>'[1]CUENTA T VS'!FK96</f>
        <v>0</v>
      </c>
      <c r="I299" s="64">
        <f t="shared" si="14"/>
        <v>0</v>
      </c>
      <c r="J299" s="65">
        <f t="shared" si="16"/>
        <v>0</v>
      </c>
    </row>
    <row r="300" spans="1:10" x14ac:dyDescent="0.2">
      <c r="A300" s="75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'[1]CUENTA T FONDO 100'!FL127</f>
        <v>0</v>
      </c>
      <c r="H300" s="64">
        <f>'[1]CUENTA T VS'!FL96</f>
        <v>0</v>
      </c>
      <c r="I300" s="64">
        <f t="shared" si="14"/>
        <v>0</v>
      </c>
      <c r="J300" s="65">
        <f t="shared" si="16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5" t="s">
        <v>260</v>
      </c>
      <c r="G301" s="64">
        <f>'[1]CUENTA T FONDO 100'!FM127</f>
        <v>203654.83</v>
      </c>
      <c r="H301" s="64">
        <f>'[1]CUENTA T VS'!FM96</f>
        <v>0</v>
      </c>
      <c r="I301" s="64">
        <f t="shared" si="14"/>
        <v>203654.83</v>
      </c>
      <c r="J301" s="65">
        <f t="shared" si="16"/>
        <v>1.6387839080928292E-3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5" t="s">
        <v>261</v>
      </c>
      <c r="G302" s="64">
        <f>'[1]CUENTA T FONDO 100'!FN127</f>
        <v>159269.28</v>
      </c>
      <c r="H302" s="64">
        <f>'[1]CUENTA T VS'!FN96</f>
        <v>43889.99</v>
      </c>
      <c r="I302" s="64">
        <f t="shared" si="14"/>
        <v>203159.27</v>
      </c>
      <c r="J302" s="65">
        <f t="shared" si="16"/>
        <v>1.6347962012778498E-3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4" t="s">
        <v>262</v>
      </c>
      <c r="G303" s="56">
        <f>+G304+G306</f>
        <v>0</v>
      </c>
      <c r="H303" s="56">
        <f>+H304+H306</f>
        <v>0</v>
      </c>
      <c r="I303" s="56">
        <f t="shared" si="14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4"/>
        <v>0</v>
      </c>
      <c r="J304" s="68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'[1]CUENTA T FONDO 100'!FO127</f>
        <v>0</v>
      </c>
      <c r="H305" s="64">
        <f>'[1]CUENTA T VS'!FO96</f>
        <v>0</v>
      </c>
      <c r="I305" s="64">
        <f t="shared" si="14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3" t="s">
        <v>264</v>
      </c>
      <c r="G306" s="59">
        <f>SUM(G307)</f>
        <v>0</v>
      </c>
      <c r="H306" s="59">
        <f>SUM(H307)</f>
        <v>0</v>
      </c>
      <c r="I306" s="59">
        <f t="shared" si="14"/>
        <v>0</v>
      </c>
      <c r="J306" s="68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2" t="s">
        <v>264</v>
      </c>
      <c r="G307" s="64">
        <f>'[1]CUENTA T FONDO 100'!FP127</f>
        <v>0</v>
      </c>
      <c r="H307" s="64">
        <f>'[1]CUENTA T VS'!FP96</f>
        <v>0</v>
      </c>
      <c r="I307" s="64">
        <f t="shared" si="14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11735408.540000001</v>
      </c>
      <c r="H308" s="56">
        <f>+H309+H312+H314+H316+H318+H320+H322+H324+H327</f>
        <v>85524.69</v>
      </c>
      <c r="I308" s="56">
        <f t="shared" si="14"/>
        <v>11820933.23</v>
      </c>
      <c r="J308" s="53"/>
    </row>
    <row r="309" spans="1:10" x14ac:dyDescent="0.2">
      <c r="A309" s="73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369511.66000000003</v>
      </c>
      <c r="H309" s="59">
        <f>SUM(H310:H311)</f>
        <v>0</v>
      </c>
      <c r="I309" s="59">
        <f t="shared" si="14"/>
        <v>369511.66000000003</v>
      </c>
      <c r="J309" s="68"/>
    </row>
    <row r="310" spans="1:10" x14ac:dyDescent="0.2">
      <c r="A310" s="75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'[1]CUENTA T FONDO 100'!FQ127</f>
        <v>369511.66000000003</v>
      </c>
      <c r="H310" s="64">
        <f>'[1]CUENTA T VS'!FQ96</f>
        <v>0</v>
      </c>
      <c r="I310" s="64">
        <f t="shared" si="14"/>
        <v>369511.66000000003</v>
      </c>
      <c r="J310" s="65">
        <f>I310/$I$25</f>
        <v>2.9734122301968919E-3</v>
      </c>
    </row>
    <row r="311" spans="1:10" x14ac:dyDescent="0.2">
      <c r="A311" s="75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'[1]CUENTA T FONDO 100'!FR127</f>
        <v>0</v>
      </c>
      <c r="H311" s="64">
        <f>'[1]CUENTA T VS'!FR96</f>
        <v>0</v>
      </c>
      <c r="I311" s="64">
        <f t="shared" si="14"/>
        <v>0</v>
      </c>
      <c r="J311" s="65">
        <f>I311/$I$25</f>
        <v>0</v>
      </c>
    </row>
    <row r="312" spans="1:10" x14ac:dyDescent="0.2">
      <c r="A312" s="73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132475.4</v>
      </c>
      <c r="H312" s="59">
        <f>SUM(H313)</f>
        <v>0</v>
      </c>
      <c r="I312" s="59">
        <f t="shared" si="14"/>
        <v>132475.4</v>
      </c>
      <c r="J312" s="68"/>
    </row>
    <row r="313" spans="1:10" x14ac:dyDescent="0.2">
      <c r="A313" s="75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'[1]CUENTA T FONDO 100'!FS127</f>
        <v>132475.4</v>
      </c>
      <c r="H313" s="64">
        <f>'[1]CUENTA T VS'!FS96</f>
        <v>0</v>
      </c>
      <c r="I313" s="64">
        <f t="shared" si="14"/>
        <v>132475.4</v>
      </c>
      <c r="J313" s="65">
        <f>I313/$I$25</f>
        <v>1.0660123000184223E-3</v>
      </c>
    </row>
    <row r="314" spans="1:10" x14ac:dyDescent="0.2">
      <c r="A314" s="73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10795595.390000001</v>
      </c>
      <c r="H314" s="59">
        <f>SUM(H315)</f>
        <v>34220</v>
      </c>
      <c r="I314" s="59">
        <f t="shared" si="14"/>
        <v>10829815.390000001</v>
      </c>
      <c r="J314" s="68"/>
    </row>
    <row r="315" spans="1:10" x14ac:dyDescent="0.2">
      <c r="A315" s="75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'[1]CUENTA T FONDO 100'!FT127</f>
        <v>10795595.390000001</v>
      </c>
      <c r="H315" s="64">
        <f>'[1]CUENTA T VS'!FT96</f>
        <v>34220</v>
      </c>
      <c r="I315" s="64">
        <f t="shared" si="14"/>
        <v>10829815.390000001</v>
      </c>
      <c r="J315" s="65">
        <f>I315/$I$25</f>
        <v>8.7146114770506891E-2</v>
      </c>
    </row>
    <row r="316" spans="1:10" x14ac:dyDescent="0.2">
      <c r="A316" s="73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4"/>
        <v>0</v>
      </c>
      <c r="J316" s="68"/>
    </row>
    <row r="317" spans="1:10" x14ac:dyDescent="0.2">
      <c r="A317" s="75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'[1]CUENTA T FONDO 100'!FU127</f>
        <v>0</v>
      </c>
      <c r="H317" s="64">
        <f>'[1]CUENTA T VS'!FU96</f>
        <v>0</v>
      </c>
      <c r="I317" s="64">
        <f t="shared" si="14"/>
        <v>0</v>
      </c>
      <c r="J317" s="65">
        <f>I317/$I$25</f>
        <v>0</v>
      </c>
    </row>
    <row r="318" spans="1:10" x14ac:dyDescent="0.2">
      <c r="A318" s="73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SUM(H319)</f>
        <v>0</v>
      </c>
      <c r="I318" s="59">
        <f t="shared" si="14"/>
        <v>0</v>
      </c>
      <c r="J318" s="68"/>
    </row>
    <row r="319" spans="1:10" x14ac:dyDescent="0.2">
      <c r="A319" s="75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'[1]CUENTA T FONDO 100'!FV127</f>
        <v>0</v>
      </c>
      <c r="H319" s="64">
        <f>'[1]CUENTA T VS'!FV96</f>
        <v>0</v>
      </c>
      <c r="I319" s="64">
        <f t="shared" si="14"/>
        <v>0</v>
      </c>
      <c r="J319" s="65">
        <f>I319/$I$25</f>
        <v>0</v>
      </c>
    </row>
    <row r="320" spans="1:10" x14ac:dyDescent="0.2">
      <c r="A320" s="73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388540.1</v>
      </c>
      <c r="H320" s="59">
        <f>SUM(H321)</f>
        <v>0</v>
      </c>
      <c r="I320" s="59">
        <f t="shared" si="14"/>
        <v>388540.1</v>
      </c>
      <c r="J320" s="68"/>
    </row>
    <row r="321" spans="1:10" x14ac:dyDescent="0.2">
      <c r="A321" s="75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'[1]CUENTA T FONDO 100'!FW127</f>
        <v>388540.1</v>
      </c>
      <c r="H321" s="64">
        <f>'[1]CUENTA T VS'!FW96</f>
        <v>0</v>
      </c>
      <c r="I321" s="64">
        <f t="shared" si="14"/>
        <v>388540.1</v>
      </c>
      <c r="J321" s="65">
        <f>I321/$I$25</f>
        <v>3.1265316100225989E-3</v>
      </c>
    </row>
    <row r="322" spans="1:10" x14ac:dyDescent="0.2">
      <c r="A322" s="73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4"/>
        <v>0</v>
      </c>
      <c r="J322" s="68"/>
    </row>
    <row r="323" spans="1:10" x14ac:dyDescent="0.2">
      <c r="A323" s="75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'[1]CUENTA T FONDO 100'!FX127</f>
        <v>0</v>
      </c>
      <c r="H323" s="64">
        <f>'[1]CUENTA T VS'!FX96</f>
        <v>0</v>
      </c>
      <c r="I323" s="64">
        <f t="shared" si="14"/>
        <v>0</v>
      </c>
      <c r="J323" s="65">
        <f>I323/$I$25</f>
        <v>0</v>
      </c>
    </row>
    <row r="324" spans="1:10" x14ac:dyDescent="0.2">
      <c r="A324" s="73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23600</v>
      </c>
      <c r="H324" s="59">
        <f>SUM(H325:H326)</f>
        <v>0</v>
      </c>
      <c r="I324" s="59">
        <f t="shared" si="14"/>
        <v>23600</v>
      </c>
      <c r="J324" s="68"/>
    </row>
    <row r="325" spans="1:10" x14ac:dyDescent="0.2">
      <c r="A325" s="75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'[1]CUENTA T FONDO 100'!FY127</f>
        <v>19599.990000000002</v>
      </c>
      <c r="H325" s="64">
        <f>'[1]CUENTA T VS'!FY96</f>
        <v>0</v>
      </c>
      <c r="I325" s="64">
        <f t="shared" si="14"/>
        <v>19599.990000000002</v>
      </c>
      <c r="J325" s="65">
        <f>I325/$I$25</f>
        <v>1.5771856827937928E-4</v>
      </c>
    </row>
    <row r="326" spans="1:10" x14ac:dyDescent="0.2">
      <c r="A326" s="75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'[1]CUENTA T FONDO 100'!FZ127</f>
        <v>4000.01</v>
      </c>
      <c r="H326" s="64">
        <f>'[1]CUENTA T VS'!FZ96</f>
        <v>0</v>
      </c>
      <c r="I326" s="64">
        <f t="shared" si="14"/>
        <v>4000.01</v>
      </c>
      <c r="J326" s="65">
        <f>I326/$I$25</f>
        <v>3.2187559805040711E-5</v>
      </c>
    </row>
    <row r="327" spans="1:10" x14ac:dyDescent="0.2">
      <c r="A327" s="73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25685.99</v>
      </c>
      <c r="H327" s="59">
        <f>SUM(H328:H329)</f>
        <v>51304.69</v>
      </c>
      <c r="I327" s="59">
        <f t="shared" si="14"/>
        <v>76990.680000000008</v>
      </c>
      <c r="J327" s="68"/>
    </row>
    <row r="328" spans="1:10" x14ac:dyDescent="0.2">
      <c r="A328" s="75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'[1]CUENTA T FONDO 100'!GA127</f>
        <v>0</v>
      </c>
      <c r="H328" s="64">
        <f>'[1]CUENTA T VS'!GA96</f>
        <v>51304.69</v>
      </c>
      <c r="I328" s="64">
        <f t="shared" si="14"/>
        <v>51304.69</v>
      </c>
      <c r="J328" s="65">
        <f>I328/$I$25</f>
        <v>4.1284216230811277E-4</v>
      </c>
    </row>
    <row r="329" spans="1:10" x14ac:dyDescent="0.2">
      <c r="A329" s="75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'[1]CUENTA T FONDO 100'!GB127</f>
        <v>25685.99</v>
      </c>
      <c r="H329" s="64">
        <f>'[1]CUENTA T VS'!GB96</f>
        <v>0</v>
      </c>
      <c r="I329" s="64">
        <f t="shared" si="14"/>
        <v>25685.99</v>
      </c>
      <c r="J329" s="65">
        <f>I329/$I$25</f>
        <v>2.0669181808962418E-4</v>
      </c>
    </row>
    <row r="330" spans="1:10" x14ac:dyDescent="0.2">
      <c r="A330" s="71">
        <v>2</v>
      </c>
      <c r="B330" s="55">
        <v>4</v>
      </c>
      <c r="C330" s="55">
        <v>1</v>
      </c>
      <c r="D330" s="55">
        <v>2</v>
      </c>
      <c r="E330" s="55"/>
      <c r="F330" s="86" t="s">
        <v>281</v>
      </c>
      <c r="G330" s="56">
        <f>G331+G332+G333+G334+G335</f>
        <v>0</v>
      </c>
      <c r="H330" s="56">
        <f>H331+H332+H333+H334+H335</f>
        <v>127420</v>
      </c>
      <c r="I330" s="56">
        <f t="shared" si="14"/>
        <v>127420</v>
      </c>
      <c r="J330" s="53">
        <f>+I330/I25</f>
        <v>1.025332154259186E-3</v>
      </c>
    </row>
    <row r="331" spans="1:10" x14ac:dyDescent="0.2">
      <c r="A331" s="75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'[1]CUENTA T FONDO 100'!GC127</f>
        <v>0</v>
      </c>
      <c r="H331" s="64">
        <f>'[1]CUENTA T VS'!GC96</f>
        <v>0</v>
      </c>
      <c r="I331" s="64">
        <f t="shared" si="14"/>
        <v>0</v>
      </c>
      <c r="J331" s="65">
        <f t="shared" ref="J331:J336" si="17">I331/$I$25</f>
        <v>0</v>
      </c>
    </row>
    <row r="332" spans="1:10" x14ac:dyDescent="0.2">
      <c r="A332" s="75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'[1]CUENTA T FONDO 100'!GD127</f>
        <v>0</v>
      </c>
      <c r="H332" s="64">
        <f>'[1]CUENTA T VS'!GD96</f>
        <v>127420</v>
      </c>
      <c r="I332" s="64">
        <f t="shared" si="14"/>
        <v>127420</v>
      </c>
      <c r="J332" s="65">
        <f t="shared" si="17"/>
        <v>1.025332154259186E-3</v>
      </c>
    </row>
    <row r="333" spans="1:10" x14ac:dyDescent="0.2">
      <c r="A333" s="75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'[1]CUENTA T FONDO 100'!GE127</f>
        <v>0</v>
      </c>
      <c r="H333" s="64">
        <f>'[1]CUENTA T VS'!GE96</f>
        <v>0</v>
      </c>
      <c r="I333" s="64">
        <f t="shared" si="14"/>
        <v>0</v>
      </c>
      <c r="J333" s="65">
        <f t="shared" si="17"/>
        <v>0</v>
      </c>
    </row>
    <row r="334" spans="1:10" x14ac:dyDescent="0.2">
      <c r="A334" s="75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'[1]CUENTA T FONDO 100'!GF127</f>
        <v>0</v>
      </c>
      <c r="H334" s="64">
        <f>'[1]CUENTA T VS'!GF96</f>
        <v>0</v>
      </c>
      <c r="I334" s="64">
        <f t="shared" si="14"/>
        <v>0</v>
      </c>
      <c r="J334" s="65">
        <f t="shared" si="17"/>
        <v>0</v>
      </c>
    </row>
    <row r="335" spans="1:10" x14ac:dyDescent="0.2">
      <c r="A335" s="75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'[1]CUENTA T FONDO 100'!GG127</f>
        <v>0</v>
      </c>
      <c r="H335" s="64">
        <f>'[1]CUENTA T VS'!GG96</f>
        <v>0</v>
      </c>
      <c r="I335" s="64">
        <f t="shared" si="14"/>
        <v>0</v>
      </c>
      <c r="J335" s="65">
        <f t="shared" si="17"/>
        <v>0</v>
      </c>
    </row>
    <row r="336" spans="1:10" x14ac:dyDescent="0.2">
      <c r="A336" s="71">
        <v>2</v>
      </c>
      <c r="B336" s="55">
        <v>6</v>
      </c>
      <c r="C336" s="55"/>
      <c r="D336" s="55"/>
      <c r="E336" s="55"/>
      <c r="F336" s="86" t="s">
        <v>287</v>
      </c>
      <c r="G336" s="56">
        <f>G337+G348+G357+G366+G383+G400+G405+G424+G446</f>
        <v>11396849.359999999</v>
      </c>
      <c r="H336" s="56">
        <f>H337+H348+H357+H366+H383+H400+H405+H424+H446</f>
        <v>300539.37</v>
      </c>
      <c r="I336" s="56">
        <f t="shared" si="14"/>
        <v>11697388.729999999</v>
      </c>
      <c r="J336" s="53">
        <f t="shared" si="17"/>
        <v>9.4127364509009756E-2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6" t="s">
        <v>288</v>
      </c>
      <c r="G337" s="56">
        <f>+G338+G340+G342+G344+G346</f>
        <v>678205</v>
      </c>
      <c r="H337" s="56">
        <f>+H338+H340+H342+H344+H346</f>
        <v>0</v>
      </c>
      <c r="I337" s="56">
        <f t="shared" si="14"/>
        <v>678205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7" t="s">
        <v>289</v>
      </c>
      <c r="G338" s="59">
        <f>SUM(G339)</f>
        <v>494125</v>
      </c>
      <c r="H338" s="59">
        <f>SUM(H339)</f>
        <v>0</v>
      </c>
      <c r="I338" s="59">
        <f t="shared" si="14"/>
        <v>494125</v>
      </c>
      <c r="J338" s="68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70" t="s">
        <v>289</v>
      </c>
      <c r="G339" s="64">
        <f>'[1]CUENTA T FONDO 100'!GH127</f>
        <v>494125</v>
      </c>
      <c r="H339" s="64">
        <f>'[1]CUENTA T VS'!GH96</f>
        <v>0</v>
      </c>
      <c r="I339" s="64">
        <f t="shared" si="14"/>
        <v>494125</v>
      </c>
      <c r="J339" s="65">
        <f>I339/$I$25</f>
        <v>3.9761595567675435E-3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7" t="s">
        <v>290</v>
      </c>
      <c r="G340" s="59">
        <f>SUM(G341)</f>
        <v>0</v>
      </c>
      <c r="H340" s="59">
        <f>SUM(H341)</f>
        <v>0</v>
      </c>
      <c r="I340" s="59">
        <f t="shared" si="14"/>
        <v>0</v>
      </c>
      <c r="J340" s="68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70" t="s">
        <v>290</v>
      </c>
      <c r="G341" s="64">
        <f>'[1]CUENTA T FONDO 100'!GI127</f>
        <v>0</v>
      </c>
      <c r="H341" s="64">
        <f>'[1]CUENTA T VS'!GI96</f>
        <v>0</v>
      </c>
      <c r="I341" s="64">
        <f t="shared" si="14"/>
        <v>0</v>
      </c>
      <c r="J341" s="65">
        <f>I341/$I$25</f>
        <v>0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7" t="s">
        <v>291</v>
      </c>
      <c r="G342" s="59">
        <f>SUM(G343)</f>
        <v>184080</v>
      </c>
      <c r="H342" s="59">
        <f>SUM(H343)</f>
        <v>0</v>
      </c>
      <c r="I342" s="59">
        <f t="shared" si="14"/>
        <v>184080</v>
      </c>
      <c r="J342" s="68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70" t="s">
        <v>291</v>
      </c>
      <c r="G343" s="64">
        <f>'[1]CUENTA T FONDO 100'!GJ127</f>
        <v>184080</v>
      </c>
      <c r="H343" s="64">
        <f>'[1]CUENTA T VS'!GJ96</f>
        <v>0</v>
      </c>
      <c r="I343" s="64">
        <f t="shared" si="14"/>
        <v>184080</v>
      </c>
      <c r="J343" s="65">
        <f>I343/$I$25</f>
        <v>1.4812677990584757E-3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7" t="s">
        <v>292</v>
      </c>
      <c r="G344" s="59">
        <f>SUM(G345)</f>
        <v>0</v>
      </c>
      <c r="H344" s="59">
        <f>SUM(H345)</f>
        <v>0</v>
      </c>
      <c r="I344" s="59">
        <f t="shared" si="14"/>
        <v>0</v>
      </c>
      <c r="J344" s="68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70" t="s">
        <v>292</v>
      </c>
      <c r="G345" s="64">
        <f>'[1]CUENTA T FONDO 100'!GK127</f>
        <v>0</v>
      </c>
      <c r="H345" s="64">
        <f>'[1]CUENTA T VS'!GK96</f>
        <v>0</v>
      </c>
      <c r="I345" s="64">
        <f t="shared" ref="I345:I408" si="18">SUM(G345:H345)</f>
        <v>0</v>
      </c>
      <c r="J345" s="65">
        <f>I345/$I$25</f>
        <v>0</v>
      </c>
    </row>
    <row r="346" spans="1:10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7" t="s">
        <v>293</v>
      </c>
      <c r="G346" s="59">
        <f>SUM(G347)</f>
        <v>0</v>
      </c>
      <c r="H346" s="59">
        <f>SUM(H347)</f>
        <v>0</v>
      </c>
      <c r="I346" s="59">
        <f t="shared" si="18"/>
        <v>0</v>
      </c>
      <c r="J346" s="68"/>
    </row>
    <row r="347" spans="1:10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70" t="s">
        <v>293</v>
      </c>
      <c r="G347" s="64">
        <f>'[1]CUENTA T FONDO 100'!GL127</f>
        <v>0</v>
      </c>
      <c r="H347" s="64">
        <f>'[1]CUENTA T VS'!GL96</f>
        <v>0</v>
      </c>
      <c r="I347" s="64">
        <f t="shared" si="18"/>
        <v>0</v>
      </c>
      <c r="J347" s="65">
        <f>I347/$I$25</f>
        <v>0</v>
      </c>
    </row>
    <row r="348" spans="1:10" x14ac:dyDescent="0.2">
      <c r="A348" s="88">
        <v>2</v>
      </c>
      <c r="B348" s="88">
        <v>6</v>
      </c>
      <c r="C348" s="88">
        <v>2</v>
      </c>
      <c r="D348" s="88"/>
      <c r="E348" s="88"/>
      <c r="F348" s="89" t="s">
        <v>294</v>
      </c>
      <c r="G348" s="56">
        <f>+G349+G351+G353+G355</f>
        <v>0</v>
      </c>
      <c r="H348" s="56">
        <f>+H349+H351+H353+H355</f>
        <v>0</v>
      </c>
      <c r="I348" s="56">
        <f t="shared" si="18"/>
        <v>0</v>
      </c>
      <c r="J348" s="53"/>
    </row>
    <row r="349" spans="1:10" x14ac:dyDescent="0.2">
      <c r="A349" s="73">
        <v>2</v>
      </c>
      <c r="B349" s="58">
        <v>6</v>
      </c>
      <c r="C349" s="58">
        <v>2</v>
      </c>
      <c r="D349" s="58">
        <v>1</v>
      </c>
      <c r="E349" s="78"/>
      <c r="F349" s="87" t="s">
        <v>295</v>
      </c>
      <c r="G349" s="59">
        <f>SUM(G350)</f>
        <v>0</v>
      </c>
      <c r="H349" s="59">
        <f>SUM(H350)</f>
        <v>0</v>
      </c>
      <c r="I349" s="59">
        <f t="shared" si="18"/>
        <v>0</v>
      </c>
      <c r="J349" s="68"/>
    </row>
    <row r="350" spans="1:10" x14ac:dyDescent="0.2">
      <c r="A350" s="75">
        <v>2</v>
      </c>
      <c r="B350" s="62">
        <v>6</v>
      </c>
      <c r="C350" s="62">
        <v>2</v>
      </c>
      <c r="D350" s="62">
        <v>1</v>
      </c>
      <c r="E350" s="63" t="s">
        <v>35</v>
      </c>
      <c r="F350" s="70" t="s">
        <v>295</v>
      </c>
      <c r="G350" s="64">
        <f>'[1]CUENTA T FONDO 100'!GM127</f>
        <v>0</v>
      </c>
      <c r="H350" s="64">
        <f>'[1]CUENTA T VS'!GM96</f>
        <v>0</v>
      </c>
      <c r="I350" s="64">
        <f t="shared" si="18"/>
        <v>0</v>
      </c>
      <c r="J350" s="65">
        <f>I350/$I$25</f>
        <v>0</v>
      </c>
    </row>
    <row r="351" spans="1:10" x14ac:dyDescent="0.2">
      <c r="A351" s="73">
        <v>2</v>
      </c>
      <c r="B351" s="58">
        <v>6</v>
      </c>
      <c r="C351" s="58">
        <v>2</v>
      </c>
      <c r="D351" s="58">
        <v>2</v>
      </c>
      <c r="E351" s="78"/>
      <c r="F351" s="87" t="s">
        <v>296</v>
      </c>
      <c r="G351" s="59">
        <f>SUM(G352)</f>
        <v>0</v>
      </c>
      <c r="H351" s="59">
        <f>SUM(H352)</f>
        <v>0</v>
      </c>
      <c r="I351" s="59">
        <f t="shared" si="18"/>
        <v>0</v>
      </c>
      <c r="J351" s="68"/>
    </row>
    <row r="352" spans="1:10" x14ac:dyDescent="0.2">
      <c r="A352" s="75">
        <v>2</v>
      </c>
      <c r="B352" s="62">
        <v>6</v>
      </c>
      <c r="C352" s="62">
        <v>2</v>
      </c>
      <c r="D352" s="62">
        <v>2</v>
      </c>
      <c r="E352" s="63" t="s">
        <v>35</v>
      </c>
      <c r="F352" s="70" t="s">
        <v>296</v>
      </c>
      <c r="G352" s="64">
        <f>'[1]CUENTA T FONDO 100'!GN127</f>
        <v>0</v>
      </c>
      <c r="H352" s="64">
        <f>'[1]CUENTA T VS'!GN96</f>
        <v>0</v>
      </c>
      <c r="I352" s="64">
        <f t="shared" si="18"/>
        <v>0</v>
      </c>
      <c r="J352" s="65">
        <f>I352/$I$25</f>
        <v>0</v>
      </c>
    </row>
    <row r="353" spans="1:10" x14ac:dyDescent="0.2">
      <c r="A353" s="73">
        <v>2</v>
      </c>
      <c r="B353" s="58">
        <v>6</v>
      </c>
      <c r="C353" s="58">
        <v>2</v>
      </c>
      <c r="D353" s="58">
        <v>3</v>
      </c>
      <c r="E353" s="78"/>
      <c r="F353" s="87" t="s">
        <v>297</v>
      </c>
      <c r="G353" s="59">
        <f>SUM(G354)</f>
        <v>0</v>
      </c>
      <c r="H353" s="59">
        <f>SUM(H354)</f>
        <v>0</v>
      </c>
      <c r="I353" s="59">
        <f t="shared" si="18"/>
        <v>0</v>
      </c>
      <c r="J353" s="68"/>
    </row>
    <row r="354" spans="1:10" x14ac:dyDescent="0.2">
      <c r="A354" s="75">
        <v>2</v>
      </c>
      <c r="B354" s="62">
        <v>6</v>
      </c>
      <c r="C354" s="62">
        <v>2</v>
      </c>
      <c r="D354" s="62">
        <v>3</v>
      </c>
      <c r="E354" s="63" t="s">
        <v>35</v>
      </c>
      <c r="F354" s="70" t="s">
        <v>297</v>
      </c>
      <c r="G354" s="64">
        <f>'[1]CUENTA T FONDO 100'!GO127</f>
        <v>0</v>
      </c>
      <c r="H354" s="64">
        <f>'[1]CUENTA T VS'!GO96</f>
        <v>0</v>
      </c>
      <c r="I354" s="64">
        <f t="shared" si="18"/>
        <v>0</v>
      </c>
      <c r="J354" s="65">
        <f>I354/$I$25</f>
        <v>0</v>
      </c>
    </row>
    <row r="355" spans="1:10" x14ac:dyDescent="0.2">
      <c r="A355" s="73">
        <v>2</v>
      </c>
      <c r="B355" s="58">
        <v>6</v>
      </c>
      <c r="C355" s="58">
        <v>2</v>
      </c>
      <c r="D355" s="58">
        <v>4</v>
      </c>
      <c r="E355" s="78"/>
      <c r="F355" s="87" t="s">
        <v>298</v>
      </c>
      <c r="G355" s="59">
        <f>SUM(G356)</f>
        <v>0</v>
      </c>
      <c r="H355" s="59">
        <f>SUM(H356)</f>
        <v>0</v>
      </c>
      <c r="I355" s="59">
        <f t="shared" si="18"/>
        <v>0</v>
      </c>
      <c r="J355" s="68"/>
    </row>
    <row r="356" spans="1:10" x14ac:dyDescent="0.2">
      <c r="A356" s="75">
        <v>2</v>
      </c>
      <c r="B356" s="62">
        <v>6</v>
      </c>
      <c r="C356" s="62">
        <v>2</v>
      </c>
      <c r="D356" s="62">
        <v>4</v>
      </c>
      <c r="E356" s="63" t="s">
        <v>35</v>
      </c>
      <c r="F356" s="70" t="s">
        <v>298</v>
      </c>
      <c r="G356" s="64">
        <f>'[1]CUENTA T FONDO 100'!GP127</f>
        <v>0</v>
      </c>
      <c r="H356" s="64">
        <f>'[1]CUENTA T VS'!GP96</f>
        <v>0</v>
      </c>
      <c r="I356" s="64">
        <f t="shared" si="18"/>
        <v>0</v>
      </c>
      <c r="J356" s="65">
        <f>I356/$I$25</f>
        <v>0</v>
      </c>
    </row>
    <row r="357" spans="1:10" x14ac:dyDescent="0.2">
      <c r="A357" s="88">
        <v>2</v>
      </c>
      <c r="B357" s="88">
        <v>6</v>
      </c>
      <c r="C357" s="88">
        <v>3</v>
      </c>
      <c r="D357" s="88"/>
      <c r="E357" s="88"/>
      <c r="F357" s="89" t="s">
        <v>299</v>
      </c>
      <c r="G357" s="56">
        <f>+G358+G360+G362+G364</f>
        <v>10715444.389999999</v>
      </c>
      <c r="H357" s="56">
        <f>+H358+H360+H362+H364</f>
        <v>0</v>
      </c>
      <c r="I357" s="56">
        <f t="shared" si="18"/>
        <v>10715444.389999999</v>
      </c>
      <c r="J357" s="53"/>
    </row>
    <row r="358" spans="1:10" x14ac:dyDescent="0.2">
      <c r="A358" s="73">
        <v>2</v>
      </c>
      <c r="B358" s="58">
        <v>6</v>
      </c>
      <c r="C358" s="58">
        <v>3</v>
      </c>
      <c r="D358" s="58">
        <v>1</v>
      </c>
      <c r="E358" s="78"/>
      <c r="F358" s="87" t="s">
        <v>300</v>
      </c>
      <c r="G358" s="59">
        <f>SUM(G359)</f>
        <v>10667064.389999999</v>
      </c>
      <c r="H358" s="59">
        <f>SUM(H359)</f>
        <v>0</v>
      </c>
      <c r="I358" s="59">
        <f t="shared" si="18"/>
        <v>10667064.389999999</v>
      </c>
      <c r="J358" s="68"/>
    </row>
    <row r="359" spans="1:10" x14ac:dyDescent="0.2">
      <c r="A359" s="75">
        <v>2</v>
      </c>
      <c r="B359" s="62">
        <v>6</v>
      </c>
      <c r="C359" s="62">
        <v>3</v>
      </c>
      <c r="D359" s="62">
        <v>1</v>
      </c>
      <c r="E359" s="63" t="s">
        <v>35</v>
      </c>
      <c r="F359" s="70" t="s">
        <v>300</v>
      </c>
      <c r="G359" s="64">
        <f>'[1]CUENTA T FONDO 100'!GQ127</f>
        <v>10667064.389999999</v>
      </c>
      <c r="H359" s="64">
        <f>'[1]CUENTA T VS'!GQ96</f>
        <v>0</v>
      </c>
      <c r="I359" s="64">
        <f t="shared" si="18"/>
        <v>10667064.389999999</v>
      </c>
      <c r="J359" s="65">
        <f>I359/$I$25</f>
        <v>8.583647865813962E-2</v>
      </c>
    </row>
    <row r="360" spans="1:10" x14ac:dyDescent="0.2">
      <c r="A360" s="73">
        <v>2</v>
      </c>
      <c r="B360" s="58">
        <v>6</v>
      </c>
      <c r="C360" s="58">
        <v>3</v>
      </c>
      <c r="D360" s="58">
        <v>2</v>
      </c>
      <c r="E360" s="78"/>
      <c r="F360" s="87" t="s">
        <v>301</v>
      </c>
      <c r="G360" s="59">
        <f>SUM(G361)</f>
        <v>48380</v>
      </c>
      <c r="H360" s="59">
        <f>SUM(H361)</f>
        <v>0</v>
      </c>
      <c r="I360" s="59">
        <f t="shared" si="18"/>
        <v>48380</v>
      </c>
      <c r="J360" s="68"/>
    </row>
    <row r="361" spans="1:10" x14ac:dyDescent="0.2">
      <c r="A361" s="75">
        <v>2</v>
      </c>
      <c r="B361" s="62">
        <v>6</v>
      </c>
      <c r="C361" s="62">
        <v>3</v>
      </c>
      <c r="D361" s="62">
        <v>2</v>
      </c>
      <c r="E361" s="63" t="s">
        <v>35</v>
      </c>
      <c r="F361" s="70" t="s">
        <v>301</v>
      </c>
      <c r="G361" s="64">
        <f>'[1]CUENTA T FONDO 100'!GR127</f>
        <v>48380</v>
      </c>
      <c r="H361" s="64">
        <f>'[1]CUENTA T VS'!GR96</f>
        <v>0</v>
      </c>
      <c r="I361" s="64">
        <f t="shared" si="18"/>
        <v>48380</v>
      </c>
      <c r="J361" s="65">
        <f>I361/$I$25</f>
        <v>3.8930756257306092E-4</v>
      </c>
    </row>
    <row r="362" spans="1:10" x14ac:dyDescent="0.2">
      <c r="A362" s="73">
        <v>2</v>
      </c>
      <c r="B362" s="58">
        <v>6</v>
      </c>
      <c r="C362" s="58">
        <v>3</v>
      </c>
      <c r="D362" s="58">
        <v>3</v>
      </c>
      <c r="E362" s="78"/>
      <c r="F362" s="87" t="s">
        <v>302</v>
      </c>
      <c r="G362" s="59">
        <f>SUM(G363)</f>
        <v>0</v>
      </c>
      <c r="H362" s="59">
        <f>SUM(H363)</f>
        <v>0</v>
      </c>
      <c r="I362" s="59">
        <f t="shared" si="18"/>
        <v>0</v>
      </c>
      <c r="J362" s="68"/>
    </row>
    <row r="363" spans="1:10" x14ac:dyDescent="0.2">
      <c r="A363" s="75">
        <v>2</v>
      </c>
      <c r="B363" s="62">
        <v>6</v>
      </c>
      <c r="C363" s="62">
        <v>3</v>
      </c>
      <c r="D363" s="62">
        <v>3</v>
      </c>
      <c r="E363" s="63" t="s">
        <v>35</v>
      </c>
      <c r="F363" s="70" t="s">
        <v>302</v>
      </c>
      <c r="G363" s="64">
        <f>'[1]CUENTA T FONDO 100'!GS127</f>
        <v>0</v>
      </c>
      <c r="H363" s="64">
        <f>'[1]CUENTA T VS'!GS96</f>
        <v>0</v>
      </c>
      <c r="I363" s="64">
        <f t="shared" si="18"/>
        <v>0</v>
      </c>
      <c r="J363" s="65">
        <f>I363/$I$25</f>
        <v>0</v>
      </c>
    </row>
    <row r="364" spans="1:10" x14ac:dyDescent="0.2">
      <c r="A364" s="73">
        <v>2</v>
      </c>
      <c r="B364" s="58">
        <v>6</v>
      </c>
      <c r="C364" s="58">
        <v>3</v>
      </c>
      <c r="D364" s="58">
        <v>4</v>
      </c>
      <c r="E364" s="58"/>
      <c r="F364" s="87" t="s">
        <v>303</v>
      </c>
      <c r="G364" s="59">
        <f>+G365</f>
        <v>0</v>
      </c>
      <c r="H364" s="59">
        <f>+H365</f>
        <v>0</v>
      </c>
      <c r="I364" s="59">
        <f t="shared" si="18"/>
        <v>0</v>
      </c>
      <c r="J364" s="68"/>
    </row>
    <row r="365" spans="1:10" x14ac:dyDescent="0.2">
      <c r="A365" s="75">
        <v>2</v>
      </c>
      <c r="B365" s="62">
        <v>6</v>
      </c>
      <c r="C365" s="62">
        <v>3</v>
      </c>
      <c r="D365" s="62">
        <v>4</v>
      </c>
      <c r="E365" s="63" t="s">
        <v>35</v>
      </c>
      <c r="F365" s="70" t="s">
        <v>303</v>
      </c>
      <c r="G365" s="64">
        <f>'[1]CUENTA T FONDO 100'!GT127</f>
        <v>0</v>
      </c>
      <c r="H365" s="64">
        <f>'[1]CUENTA T VS'!GT96</f>
        <v>0</v>
      </c>
      <c r="I365" s="64">
        <f t="shared" si="18"/>
        <v>0</v>
      </c>
      <c r="J365" s="65">
        <f>I365/$I$25</f>
        <v>0</v>
      </c>
    </row>
    <row r="366" spans="1:10" x14ac:dyDescent="0.2">
      <c r="A366" s="54">
        <v>2</v>
      </c>
      <c r="B366" s="55">
        <v>6</v>
      </c>
      <c r="C366" s="55">
        <v>4</v>
      </c>
      <c r="D366" s="55"/>
      <c r="E366" s="79"/>
      <c r="F366" s="86" t="s">
        <v>304</v>
      </c>
      <c r="G366" s="56">
        <f>+G367+G369+G371+G373+G375+G377+G379+G381</f>
        <v>0</v>
      </c>
      <c r="H366" s="56">
        <f>+H367+H369+H371+H373+H375+H377+H379+H381</f>
        <v>107609.37</v>
      </c>
      <c r="I366" s="56">
        <f t="shared" si="18"/>
        <v>107609.37</v>
      </c>
      <c r="J366" s="53"/>
    </row>
    <row r="367" spans="1:10" x14ac:dyDescent="0.2">
      <c r="A367" s="73">
        <v>2</v>
      </c>
      <c r="B367" s="58">
        <v>6</v>
      </c>
      <c r="C367" s="58">
        <v>4</v>
      </c>
      <c r="D367" s="58">
        <v>1</v>
      </c>
      <c r="E367" s="58"/>
      <c r="F367" s="87" t="s">
        <v>305</v>
      </c>
      <c r="G367" s="59">
        <f>SUM(G368)</f>
        <v>0</v>
      </c>
      <c r="H367" s="59">
        <f>SUM(H368)</f>
        <v>0</v>
      </c>
      <c r="I367" s="59">
        <f t="shared" si="18"/>
        <v>0</v>
      </c>
      <c r="J367" s="68"/>
    </row>
    <row r="368" spans="1:10" x14ac:dyDescent="0.2">
      <c r="A368" s="75">
        <v>2</v>
      </c>
      <c r="B368" s="62">
        <v>6</v>
      </c>
      <c r="C368" s="62">
        <v>4</v>
      </c>
      <c r="D368" s="62">
        <v>1</v>
      </c>
      <c r="E368" s="63" t="s">
        <v>35</v>
      </c>
      <c r="F368" s="70" t="s">
        <v>305</v>
      </c>
      <c r="G368" s="64">
        <f>'[1]CUENTA T FONDO 100'!GU127</f>
        <v>0</v>
      </c>
      <c r="H368" s="64">
        <f>'[1]CUENTA T VS'!GU96</f>
        <v>0</v>
      </c>
      <c r="I368" s="64">
        <f t="shared" si="18"/>
        <v>0</v>
      </c>
      <c r="J368" s="65">
        <f>I368/$I$25</f>
        <v>0</v>
      </c>
    </row>
    <row r="369" spans="1:10" x14ac:dyDescent="0.2">
      <c r="A369" s="73">
        <v>2</v>
      </c>
      <c r="B369" s="58">
        <v>6</v>
      </c>
      <c r="C369" s="58">
        <v>4</v>
      </c>
      <c r="D369" s="58">
        <v>2</v>
      </c>
      <c r="E369" s="58"/>
      <c r="F369" s="87" t="s">
        <v>306</v>
      </c>
      <c r="G369" s="59">
        <f>SUM(G370)</f>
        <v>0</v>
      </c>
      <c r="H369" s="59">
        <f>SUM(H370)</f>
        <v>0</v>
      </c>
      <c r="I369" s="59">
        <f t="shared" si="18"/>
        <v>0</v>
      </c>
      <c r="J369" s="68"/>
    </row>
    <row r="370" spans="1:10" x14ac:dyDescent="0.2">
      <c r="A370" s="75">
        <v>2</v>
      </c>
      <c r="B370" s="62">
        <v>6</v>
      </c>
      <c r="C370" s="62">
        <v>4</v>
      </c>
      <c r="D370" s="62">
        <v>2</v>
      </c>
      <c r="E370" s="63" t="s">
        <v>35</v>
      </c>
      <c r="F370" s="70" t="s">
        <v>306</v>
      </c>
      <c r="G370" s="64">
        <f>'[1]CUENTA T FONDO 100'!GV127</f>
        <v>0</v>
      </c>
      <c r="H370" s="64">
        <f>'[1]CUENTA T VS'!GV96</f>
        <v>0</v>
      </c>
      <c r="I370" s="64">
        <f t="shared" si="18"/>
        <v>0</v>
      </c>
      <c r="J370" s="65">
        <f>I370/$I$25</f>
        <v>0</v>
      </c>
    </row>
    <row r="371" spans="1:10" x14ac:dyDescent="0.2">
      <c r="A371" s="73">
        <v>2</v>
      </c>
      <c r="B371" s="58">
        <v>6</v>
      </c>
      <c r="C371" s="58">
        <v>4</v>
      </c>
      <c r="D371" s="58">
        <v>3</v>
      </c>
      <c r="E371" s="58"/>
      <c r="F371" s="87" t="s">
        <v>307</v>
      </c>
      <c r="G371" s="59">
        <f>SUM(G372)</f>
        <v>0</v>
      </c>
      <c r="H371" s="59">
        <f>SUM(H372)</f>
        <v>0</v>
      </c>
      <c r="I371" s="59">
        <f t="shared" si="18"/>
        <v>0</v>
      </c>
      <c r="J371" s="68"/>
    </row>
    <row r="372" spans="1:10" x14ac:dyDescent="0.2">
      <c r="A372" s="75">
        <v>2</v>
      </c>
      <c r="B372" s="62">
        <v>6</v>
      </c>
      <c r="C372" s="62">
        <v>4</v>
      </c>
      <c r="D372" s="62">
        <v>3</v>
      </c>
      <c r="E372" s="63" t="s">
        <v>35</v>
      </c>
      <c r="F372" s="70" t="s">
        <v>307</v>
      </c>
      <c r="G372" s="64">
        <f>'[1]CUENTA T FONDO 100'!GW127</f>
        <v>0</v>
      </c>
      <c r="H372" s="64">
        <f>'[1]CUENTA T VS'!GX96</f>
        <v>0</v>
      </c>
      <c r="I372" s="64">
        <f t="shared" si="18"/>
        <v>0</v>
      </c>
      <c r="J372" s="65">
        <f>I372/$I$25</f>
        <v>0</v>
      </c>
    </row>
    <row r="373" spans="1:10" x14ac:dyDescent="0.2">
      <c r="A373" s="73">
        <v>2</v>
      </c>
      <c r="B373" s="58">
        <v>6</v>
      </c>
      <c r="C373" s="58">
        <v>4</v>
      </c>
      <c r="D373" s="58">
        <v>4</v>
      </c>
      <c r="E373" s="58"/>
      <c r="F373" s="87" t="s">
        <v>308</v>
      </c>
      <c r="G373" s="59">
        <f>SUM(G374)</f>
        <v>0</v>
      </c>
      <c r="H373" s="59">
        <f>SUM(H374)</f>
        <v>0</v>
      </c>
      <c r="I373" s="59">
        <f t="shared" si="18"/>
        <v>0</v>
      </c>
      <c r="J373" s="68"/>
    </row>
    <row r="374" spans="1:10" x14ac:dyDescent="0.2">
      <c r="A374" s="75">
        <v>2</v>
      </c>
      <c r="B374" s="62">
        <v>6</v>
      </c>
      <c r="C374" s="62">
        <v>4</v>
      </c>
      <c r="D374" s="62">
        <v>4</v>
      </c>
      <c r="E374" s="63" t="s">
        <v>35</v>
      </c>
      <c r="F374" s="70" t="s">
        <v>308</v>
      </c>
      <c r="G374" s="64">
        <f>'[1]CUENTA T FONDO 100'!GX127</f>
        <v>0</v>
      </c>
      <c r="H374" s="64">
        <f>'[1]CUENTA T VS'!GX96</f>
        <v>0</v>
      </c>
      <c r="I374" s="64">
        <f t="shared" si="18"/>
        <v>0</v>
      </c>
      <c r="J374" s="65">
        <f>I374/$I$25</f>
        <v>0</v>
      </c>
    </row>
    <row r="375" spans="1:10" x14ac:dyDescent="0.2">
      <c r="A375" s="73">
        <v>2</v>
      </c>
      <c r="B375" s="58">
        <v>6</v>
      </c>
      <c r="C375" s="58">
        <v>4</v>
      </c>
      <c r="D375" s="58">
        <v>5</v>
      </c>
      <c r="E375" s="58"/>
      <c r="F375" s="87" t="s">
        <v>309</v>
      </c>
      <c r="G375" s="59">
        <f>SUM(G376)</f>
        <v>0</v>
      </c>
      <c r="H375" s="59">
        <f>SUM(H376)</f>
        <v>0</v>
      </c>
      <c r="I375" s="59">
        <f t="shared" si="18"/>
        <v>0</v>
      </c>
      <c r="J375" s="68"/>
    </row>
    <row r="376" spans="1:10" x14ac:dyDescent="0.2">
      <c r="A376" s="75">
        <v>2</v>
      </c>
      <c r="B376" s="62">
        <v>6</v>
      </c>
      <c r="C376" s="62">
        <v>4</v>
      </c>
      <c r="D376" s="62">
        <v>5</v>
      </c>
      <c r="E376" s="63" t="s">
        <v>35</v>
      </c>
      <c r="F376" s="70" t="s">
        <v>309</v>
      </c>
      <c r="G376" s="64">
        <f>'[1]CUENTA T FONDO 100'!GY127</f>
        <v>0</v>
      </c>
      <c r="H376" s="64">
        <f>'[1]CUENTA T VS'!GY96</f>
        <v>0</v>
      </c>
      <c r="I376" s="64">
        <f t="shared" si="18"/>
        <v>0</v>
      </c>
      <c r="J376" s="65">
        <f>I376/$I$25</f>
        <v>0</v>
      </c>
    </row>
    <row r="377" spans="1:10" x14ac:dyDescent="0.2">
      <c r="A377" s="73">
        <v>2</v>
      </c>
      <c r="B377" s="58">
        <v>6</v>
      </c>
      <c r="C377" s="58">
        <v>4</v>
      </c>
      <c r="D377" s="58">
        <v>6</v>
      </c>
      <c r="E377" s="58"/>
      <c r="F377" s="87" t="s">
        <v>310</v>
      </c>
      <c r="G377" s="59">
        <f>SUM(G378)</f>
        <v>0</v>
      </c>
      <c r="H377" s="59">
        <f>SUM(H378)</f>
        <v>107609.37</v>
      </c>
      <c r="I377" s="59">
        <f t="shared" si="18"/>
        <v>107609.37</v>
      </c>
      <c r="J377" s="68"/>
    </row>
    <row r="378" spans="1:10" x14ac:dyDescent="0.2">
      <c r="A378" s="75">
        <v>2</v>
      </c>
      <c r="B378" s="62">
        <v>6</v>
      </c>
      <c r="C378" s="62">
        <v>4</v>
      </c>
      <c r="D378" s="62">
        <v>6</v>
      </c>
      <c r="E378" s="63" t="s">
        <v>35</v>
      </c>
      <c r="F378" s="70" t="s">
        <v>310</v>
      </c>
      <c r="G378" s="64">
        <f>'[1]CUENTA T FONDO 100'!GZ127</f>
        <v>0</v>
      </c>
      <c r="H378" s="64">
        <f>'[1]CUENTA T VS'!GZ96</f>
        <v>107609.37</v>
      </c>
      <c r="I378" s="64">
        <f t="shared" si="18"/>
        <v>107609.37</v>
      </c>
      <c r="J378" s="65">
        <f>I378/$I$25</f>
        <v>8.6591859331795501E-4</v>
      </c>
    </row>
    <row r="379" spans="1:10" x14ac:dyDescent="0.2">
      <c r="A379" s="73">
        <v>2</v>
      </c>
      <c r="B379" s="58">
        <v>6</v>
      </c>
      <c r="C379" s="58">
        <v>4</v>
      </c>
      <c r="D379" s="58">
        <v>7</v>
      </c>
      <c r="E379" s="58"/>
      <c r="F379" s="87" t="s">
        <v>311</v>
      </c>
      <c r="G379" s="59">
        <f>SUM(G380)</f>
        <v>0</v>
      </c>
      <c r="H379" s="59">
        <f>SUM(H380)</f>
        <v>0</v>
      </c>
      <c r="I379" s="59">
        <f t="shared" si="18"/>
        <v>0</v>
      </c>
      <c r="J379" s="68"/>
    </row>
    <row r="380" spans="1:10" x14ac:dyDescent="0.2">
      <c r="A380" s="75">
        <v>2</v>
      </c>
      <c r="B380" s="62">
        <v>6</v>
      </c>
      <c r="C380" s="62">
        <v>4</v>
      </c>
      <c r="D380" s="62">
        <v>7</v>
      </c>
      <c r="E380" s="63" t="s">
        <v>35</v>
      </c>
      <c r="F380" s="70" t="s">
        <v>311</v>
      </c>
      <c r="G380" s="64">
        <f>'[1]CUENTA T FONDO 100'!HA127</f>
        <v>0</v>
      </c>
      <c r="H380" s="64">
        <f>'[1]CUENTA T VS'!HA96</f>
        <v>0</v>
      </c>
      <c r="I380" s="64">
        <f t="shared" si="18"/>
        <v>0</v>
      </c>
      <c r="J380" s="65">
        <f>I380/$I$25</f>
        <v>0</v>
      </c>
    </row>
    <row r="381" spans="1:10" x14ac:dyDescent="0.2">
      <c r="A381" s="73">
        <v>2</v>
      </c>
      <c r="B381" s="58">
        <v>6</v>
      </c>
      <c r="C381" s="58">
        <v>4</v>
      </c>
      <c r="D381" s="58">
        <v>8</v>
      </c>
      <c r="E381" s="58"/>
      <c r="F381" s="87" t="s">
        <v>312</v>
      </c>
      <c r="G381" s="59">
        <f>SUM(G382)</f>
        <v>0</v>
      </c>
      <c r="H381" s="59">
        <f>SUM(H382)</f>
        <v>0</v>
      </c>
      <c r="I381" s="59">
        <f t="shared" si="18"/>
        <v>0</v>
      </c>
      <c r="J381" s="68"/>
    </row>
    <row r="382" spans="1:10" x14ac:dyDescent="0.2">
      <c r="A382" s="75">
        <v>2</v>
      </c>
      <c r="B382" s="62">
        <v>6</v>
      </c>
      <c r="C382" s="62">
        <v>4</v>
      </c>
      <c r="D382" s="62">
        <v>8</v>
      </c>
      <c r="E382" s="63" t="s">
        <v>35</v>
      </c>
      <c r="F382" s="70" t="s">
        <v>312</v>
      </c>
      <c r="G382" s="64">
        <f>'[1]CUENTA T FONDO 100'!HB127</f>
        <v>0</v>
      </c>
      <c r="H382" s="64">
        <f>'[1]CUENTA T VS'!HB96</f>
        <v>0</v>
      </c>
      <c r="I382" s="64">
        <f t="shared" si="18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9"/>
      <c r="F383" s="86" t="s">
        <v>313</v>
      </c>
      <c r="G383" s="56">
        <f>+G384+G386+G388+G390+G392+G394+G396+G398</f>
        <v>3199.97</v>
      </c>
      <c r="H383" s="56">
        <f>+H384+H386+H388+H390+H392+H394+H396+H398</f>
        <v>192930</v>
      </c>
      <c r="I383" s="56">
        <f t="shared" si="18"/>
        <v>196129.97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7" t="s">
        <v>314</v>
      </c>
      <c r="G384" s="59">
        <f>SUM(G385)</f>
        <v>0</v>
      </c>
      <c r="H384" s="59">
        <f>SUM(H385)</f>
        <v>0</v>
      </c>
      <c r="I384" s="59">
        <f t="shared" si="18"/>
        <v>0</v>
      </c>
      <c r="J384" s="68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70" t="s">
        <v>314</v>
      </c>
      <c r="G385" s="64">
        <f>'[1]CUENTA T FONDO 100'!HC127</f>
        <v>0</v>
      </c>
      <c r="H385" s="64">
        <f>'[1]CUENTA T VS'!HC96</f>
        <v>0</v>
      </c>
      <c r="I385" s="64">
        <f t="shared" si="18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7" t="s">
        <v>315</v>
      </c>
      <c r="G386" s="59">
        <f>SUM(G387)</f>
        <v>0</v>
      </c>
      <c r="H386" s="59">
        <f>SUM(H387)</f>
        <v>0</v>
      </c>
      <c r="I386" s="59">
        <f t="shared" si="18"/>
        <v>0</v>
      </c>
      <c r="J386" s="68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70" t="s">
        <v>315</v>
      </c>
      <c r="G387" s="64">
        <f>'[1]CUENTA T FONDO 100'!HD127</f>
        <v>0</v>
      </c>
      <c r="H387" s="64">
        <f>'[1]CUENTA T VS'!HD96</f>
        <v>0</v>
      </c>
      <c r="I387" s="64">
        <f t="shared" si="18"/>
        <v>0</v>
      </c>
      <c r="J387" s="65">
        <f>I387/$I$25</f>
        <v>0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7" t="s">
        <v>316</v>
      </c>
      <c r="G388" s="59">
        <f>SUM(G389)</f>
        <v>0</v>
      </c>
      <c r="H388" s="59">
        <f>SUM(H389)</f>
        <v>0</v>
      </c>
      <c r="I388" s="59">
        <f t="shared" si="18"/>
        <v>0</v>
      </c>
      <c r="J388" s="68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70" t="s">
        <v>316</v>
      </c>
      <c r="G389" s="64">
        <f>'[1]CUENTA T FONDO 100'!HE127</f>
        <v>0</v>
      </c>
      <c r="H389" s="64">
        <f>'[1]CUENTA T VS'!HE96</f>
        <v>0</v>
      </c>
      <c r="I389" s="64">
        <f t="shared" si="18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7" t="s">
        <v>317</v>
      </c>
      <c r="G390" s="59">
        <f>SUM(G391)</f>
        <v>0</v>
      </c>
      <c r="H390" s="59">
        <f>SUM(H391)</f>
        <v>192930</v>
      </c>
      <c r="I390" s="59">
        <f t="shared" si="18"/>
        <v>192930</v>
      </c>
      <c r="J390" s="68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70" t="s">
        <v>317</v>
      </c>
      <c r="G391" s="64">
        <f>'[1]CUENTA T FONDO 100'!HF127</f>
        <v>0</v>
      </c>
      <c r="H391" s="64">
        <f>'[1]CUENTA T VS'!HF96</f>
        <v>192930</v>
      </c>
      <c r="I391" s="64">
        <f t="shared" si="18"/>
        <v>192930</v>
      </c>
      <c r="J391" s="65">
        <f>I391/$I$25</f>
        <v>1.5524825970901332E-3</v>
      </c>
    </row>
    <row r="392" spans="1:10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7" t="s">
        <v>318</v>
      </c>
      <c r="G392" s="59">
        <f>SUM(G393)</f>
        <v>0</v>
      </c>
      <c r="H392" s="59">
        <f>SUM(H393)</f>
        <v>0</v>
      </c>
      <c r="I392" s="59">
        <f t="shared" si="18"/>
        <v>0</v>
      </c>
      <c r="J392" s="68"/>
    </row>
    <row r="393" spans="1:10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70" t="s">
        <v>318</v>
      </c>
      <c r="G393" s="64">
        <f>'[1]CUENTA T FONDO 100'!HG127</f>
        <v>0</v>
      </c>
      <c r="H393" s="64">
        <f>'[1]CUENTA T VS'!HG96</f>
        <v>0</v>
      </c>
      <c r="I393" s="64">
        <f t="shared" si="18"/>
        <v>0</v>
      </c>
      <c r="J393" s="65">
        <f>I393/$I$25</f>
        <v>0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7" t="s">
        <v>319</v>
      </c>
      <c r="G394" s="59">
        <f>SUM(G395)</f>
        <v>3199.97</v>
      </c>
      <c r="H394" s="59">
        <f>SUM(H395)</f>
        <v>0</v>
      </c>
      <c r="I394" s="59">
        <f t="shared" si="18"/>
        <v>3199.97</v>
      </c>
      <c r="J394" s="68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70" t="s">
        <v>319</v>
      </c>
      <c r="G395" s="64">
        <f>'[1]CUENTA T FONDO 100'!HH127</f>
        <v>3199.97</v>
      </c>
      <c r="H395" s="64">
        <f>'[1]CUENTA T VS'!HH96</f>
        <v>0</v>
      </c>
      <c r="I395" s="64">
        <f t="shared" si="18"/>
        <v>3199.97</v>
      </c>
      <c r="J395" s="65">
        <f>I395/$I$25</f>
        <v>2.5749742062978872E-5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7" t="s">
        <v>320</v>
      </c>
      <c r="G396" s="59">
        <f>SUM(G397)</f>
        <v>0</v>
      </c>
      <c r="H396" s="59">
        <f>SUM(H397)</f>
        <v>0</v>
      </c>
      <c r="I396" s="59">
        <f t="shared" si="18"/>
        <v>0</v>
      </c>
      <c r="J396" s="68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70" t="s">
        <v>320</v>
      </c>
      <c r="G397" s="64">
        <f>'[1]CUENTA T FONDO 100'!HI127</f>
        <v>0</v>
      </c>
      <c r="H397" s="64">
        <f>'[1]CUENTA T VS'!HI96</f>
        <v>0</v>
      </c>
      <c r="I397" s="64">
        <f t="shared" si="18"/>
        <v>0</v>
      </c>
      <c r="J397" s="65">
        <f>I397/$I$25</f>
        <v>0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7" t="s">
        <v>321</v>
      </c>
      <c r="G398" s="59">
        <f>SUM(G399)</f>
        <v>0</v>
      </c>
      <c r="H398" s="59">
        <f>SUM(H399)</f>
        <v>0</v>
      </c>
      <c r="I398" s="59">
        <f t="shared" si="18"/>
        <v>0</v>
      </c>
      <c r="J398" s="68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70" t="s">
        <v>321</v>
      </c>
      <c r="G399" s="64">
        <f>'[1]CUENTA T FONDO 100'!HJ127</f>
        <v>0</v>
      </c>
      <c r="H399" s="64">
        <f>'[1]CUENTA T VS'!HJ96</f>
        <v>0</v>
      </c>
      <c r="I399" s="64">
        <f t="shared" si="18"/>
        <v>0</v>
      </c>
      <c r="J399" s="65">
        <f>I399/$I$25</f>
        <v>0</v>
      </c>
    </row>
    <row r="400" spans="1:10" x14ac:dyDescent="0.2">
      <c r="A400" s="71">
        <v>2</v>
      </c>
      <c r="B400" s="55">
        <v>6</v>
      </c>
      <c r="C400" s="55">
        <v>6</v>
      </c>
      <c r="D400" s="55"/>
      <c r="E400" s="55"/>
      <c r="F400" s="86" t="s">
        <v>322</v>
      </c>
      <c r="G400" s="56">
        <f>+G401+G403</f>
        <v>0</v>
      </c>
      <c r="H400" s="56">
        <f>+H401+H403</f>
        <v>0</v>
      </c>
      <c r="I400" s="56">
        <f t="shared" si="18"/>
        <v>0</v>
      </c>
      <c r="J400" s="53">
        <f>I400/$I$25</f>
        <v>0</v>
      </c>
    </row>
    <row r="401" spans="1:10" x14ac:dyDescent="0.2">
      <c r="A401" s="73">
        <v>2</v>
      </c>
      <c r="B401" s="58">
        <v>6</v>
      </c>
      <c r="C401" s="58">
        <v>6</v>
      </c>
      <c r="D401" s="58">
        <v>1</v>
      </c>
      <c r="E401" s="78"/>
      <c r="F401" s="87" t="s">
        <v>323</v>
      </c>
      <c r="G401" s="59">
        <f>+G402</f>
        <v>0</v>
      </c>
      <c r="H401" s="59">
        <f>+H402</f>
        <v>0</v>
      </c>
      <c r="I401" s="59">
        <f t="shared" si="18"/>
        <v>0</v>
      </c>
      <c r="J401" s="68"/>
    </row>
    <row r="402" spans="1:10" x14ac:dyDescent="0.2">
      <c r="A402" s="75">
        <v>2</v>
      </c>
      <c r="B402" s="62">
        <v>6</v>
      </c>
      <c r="C402" s="62">
        <v>6</v>
      </c>
      <c r="D402" s="62">
        <v>1</v>
      </c>
      <c r="E402" s="62" t="s">
        <v>324</v>
      </c>
      <c r="F402" s="70" t="s">
        <v>323</v>
      </c>
      <c r="G402" s="64">
        <f>'[1]CUENTA T FONDO 100'!HK127</f>
        <v>0</v>
      </c>
      <c r="H402" s="64">
        <f>'[1]CUENTA T VS'!HK96</f>
        <v>0</v>
      </c>
      <c r="I402" s="64">
        <f t="shared" si="18"/>
        <v>0</v>
      </c>
      <c r="J402" s="65">
        <f>I402/$I$25</f>
        <v>0</v>
      </c>
    </row>
    <row r="403" spans="1:10" x14ac:dyDescent="0.2">
      <c r="A403" s="73">
        <v>2</v>
      </c>
      <c r="B403" s="58">
        <v>6</v>
      </c>
      <c r="C403" s="58">
        <v>6</v>
      </c>
      <c r="D403" s="58">
        <v>2</v>
      </c>
      <c r="E403" s="78"/>
      <c r="F403" s="87" t="s">
        <v>325</v>
      </c>
      <c r="G403" s="59">
        <f>+G404</f>
        <v>0</v>
      </c>
      <c r="H403" s="59">
        <f>+H404</f>
        <v>0</v>
      </c>
      <c r="I403" s="59">
        <f t="shared" si="18"/>
        <v>0</v>
      </c>
      <c r="J403" s="68"/>
    </row>
    <row r="404" spans="1:10" x14ac:dyDescent="0.2">
      <c r="A404" s="75">
        <v>2</v>
      </c>
      <c r="B404" s="62">
        <v>6</v>
      </c>
      <c r="C404" s="62">
        <v>6</v>
      </c>
      <c r="D404" s="62">
        <v>2</v>
      </c>
      <c r="E404" s="62" t="s">
        <v>324</v>
      </c>
      <c r="F404" s="70" t="s">
        <v>325</v>
      </c>
      <c r="G404" s="64">
        <f>'[1]CUENTA T FONDO 100'!HL127</f>
        <v>0</v>
      </c>
      <c r="H404" s="64">
        <f>'[1]CUENTA T VS'!HL96</f>
        <v>0</v>
      </c>
      <c r="I404" s="64">
        <f t="shared" si="18"/>
        <v>0</v>
      </c>
      <c r="J404" s="65">
        <f>I404/$I$25</f>
        <v>0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9"/>
      <c r="F405" s="86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8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7" t="s">
        <v>327</v>
      </c>
      <c r="G406" s="59">
        <f>SUM(G407)</f>
        <v>0</v>
      </c>
      <c r="H406" s="59">
        <f>SUM(H407)</f>
        <v>0</v>
      </c>
      <c r="I406" s="59">
        <f t="shared" si="18"/>
        <v>0</v>
      </c>
      <c r="J406" s="68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70" t="s">
        <v>327</v>
      </c>
      <c r="G407" s="64">
        <f>'[1]CUENTA T FONDO 100'!HM127</f>
        <v>0</v>
      </c>
      <c r="H407" s="64">
        <f>'[1]CUENTA T VS'!HM96</f>
        <v>0</v>
      </c>
      <c r="I407" s="64">
        <f t="shared" si="18"/>
        <v>0</v>
      </c>
      <c r="J407" s="65">
        <f>I407/$I$25</f>
        <v>0</v>
      </c>
    </row>
    <row r="408" spans="1:10" x14ac:dyDescent="0.2">
      <c r="A408" s="73">
        <v>2</v>
      </c>
      <c r="B408" s="58">
        <v>6</v>
      </c>
      <c r="C408" s="58">
        <v>7</v>
      </c>
      <c r="D408" s="58">
        <v>2</v>
      </c>
      <c r="E408" s="58"/>
      <c r="F408" s="87" t="s">
        <v>328</v>
      </c>
      <c r="G408" s="59">
        <f>SUM(G409)</f>
        <v>0</v>
      </c>
      <c r="H408" s="59">
        <f>SUM(H409)</f>
        <v>0</v>
      </c>
      <c r="I408" s="59">
        <f t="shared" si="18"/>
        <v>0</v>
      </c>
      <c r="J408" s="68"/>
    </row>
    <row r="409" spans="1:10" x14ac:dyDescent="0.2">
      <c r="A409" s="75">
        <v>2</v>
      </c>
      <c r="B409" s="62">
        <v>6</v>
      </c>
      <c r="C409" s="62">
        <v>7</v>
      </c>
      <c r="D409" s="62">
        <v>2</v>
      </c>
      <c r="E409" s="63" t="s">
        <v>35</v>
      </c>
      <c r="F409" s="70" t="s">
        <v>328</v>
      </c>
      <c r="G409" s="64">
        <f>'[1]CUENTA T FONDO 100'!HN127</f>
        <v>0</v>
      </c>
      <c r="H409" s="64">
        <f>'[1]CUENTA T VS'!HN96</f>
        <v>0</v>
      </c>
      <c r="I409" s="64">
        <f t="shared" ref="I409:I472" si="19">SUM(G409:H409)</f>
        <v>0</v>
      </c>
      <c r="J409" s="65">
        <f>I409/$I$25</f>
        <v>0</v>
      </c>
    </row>
    <row r="410" spans="1:10" x14ac:dyDescent="0.2">
      <c r="A410" s="73">
        <v>2</v>
      </c>
      <c r="B410" s="58">
        <v>6</v>
      </c>
      <c r="C410" s="58">
        <v>7</v>
      </c>
      <c r="D410" s="58">
        <v>3</v>
      </c>
      <c r="E410" s="58"/>
      <c r="F410" s="87" t="s">
        <v>329</v>
      </c>
      <c r="G410" s="59">
        <f>SUM(G411)</f>
        <v>0</v>
      </c>
      <c r="H410" s="59">
        <f>SUM(H411)</f>
        <v>0</v>
      </c>
      <c r="I410" s="59">
        <f t="shared" si="19"/>
        <v>0</v>
      </c>
      <c r="J410" s="68"/>
    </row>
    <row r="411" spans="1:10" x14ac:dyDescent="0.2">
      <c r="A411" s="75">
        <v>2</v>
      </c>
      <c r="B411" s="62">
        <v>6</v>
      </c>
      <c r="C411" s="62">
        <v>7</v>
      </c>
      <c r="D411" s="62">
        <v>3</v>
      </c>
      <c r="E411" s="63" t="s">
        <v>35</v>
      </c>
      <c r="F411" s="70" t="s">
        <v>329</v>
      </c>
      <c r="G411" s="64">
        <f>'[1]CUENTA T FONDO 100'!HO127</f>
        <v>0</v>
      </c>
      <c r="H411" s="64">
        <f>'[1]CUENTA T VS'!HO96</f>
        <v>0</v>
      </c>
      <c r="I411" s="64">
        <f t="shared" si="19"/>
        <v>0</v>
      </c>
      <c r="J411" s="65">
        <f>I411/$I$25</f>
        <v>0</v>
      </c>
    </row>
    <row r="412" spans="1:10" x14ac:dyDescent="0.2">
      <c r="A412" s="73">
        <v>2</v>
      </c>
      <c r="B412" s="58">
        <v>6</v>
      </c>
      <c r="C412" s="58">
        <v>7</v>
      </c>
      <c r="D412" s="58">
        <v>4</v>
      </c>
      <c r="E412" s="58"/>
      <c r="F412" s="87" t="s">
        <v>330</v>
      </c>
      <c r="G412" s="59">
        <f>SUM(G413)</f>
        <v>0</v>
      </c>
      <c r="H412" s="59">
        <f>SUM(H413)</f>
        <v>0</v>
      </c>
      <c r="I412" s="59">
        <f t="shared" si="19"/>
        <v>0</v>
      </c>
      <c r="J412" s="68"/>
    </row>
    <row r="413" spans="1:10" x14ac:dyDescent="0.2">
      <c r="A413" s="75">
        <v>2</v>
      </c>
      <c r="B413" s="62">
        <v>6</v>
      </c>
      <c r="C413" s="62">
        <v>7</v>
      </c>
      <c r="D413" s="62">
        <v>4</v>
      </c>
      <c r="E413" s="63" t="s">
        <v>35</v>
      </c>
      <c r="F413" s="70" t="s">
        <v>330</v>
      </c>
      <c r="G413" s="64">
        <f>'[1]CUENTA T FONDO 100'!HP127</f>
        <v>0</v>
      </c>
      <c r="H413" s="64">
        <f>'[1]CUENTA T VS'!HP96</f>
        <v>0</v>
      </c>
      <c r="I413" s="64">
        <f t="shared" si="19"/>
        <v>0</v>
      </c>
      <c r="J413" s="65">
        <f>I413/$I$25</f>
        <v>0</v>
      </c>
    </row>
    <row r="414" spans="1:10" x14ac:dyDescent="0.2">
      <c r="A414" s="73">
        <v>2</v>
      </c>
      <c r="B414" s="58">
        <v>6</v>
      </c>
      <c r="C414" s="58">
        <v>7</v>
      </c>
      <c r="D414" s="58">
        <v>5</v>
      </c>
      <c r="E414" s="58"/>
      <c r="F414" s="87" t="s">
        <v>331</v>
      </c>
      <c r="G414" s="59">
        <f>SUM(G415)</f>
        <v>0</v>
      </c>
      <c r="H414" s="59">
        <f>SUM(H415)</f>
        <v>0</v>
      </c>
      <c r="I414" s="59">
        <f t="shared" si="19"/>
        <v>0</v>
      </c>
      <c r="J414" s="68"/>
    </row>
    <row r="415" spans="1:10" x14ac:dyDescent="0.2">
      <c r="A415" s="75">
        <v>2</v>
      </c>
      <c r="B415" s="62">
        <v>6</v>
      </c>
      <c r="C415" s="62">
        <v>7</v>
      </c>
      <c r="D415" s="62">
        <v>5</v>
      </c>
      <c r="E415" s="63" t="s">
        <v>35</v>
      </c>
      <c r="F415" s="70" t="s">
        <v>331</v>
      </c>
      <c r="G415" s="64">
        <f>'[1]CUENTA T FONDO 100'!HQ127</f>
        <v>0</v>
      </c>
      <c r="H415" s="64">
        <f>'[1]CUENTA T VS'!HQ96</f>
        <v>0</v>
      </c>
      <c r="I415" s="64">
        <f t="shared" si="19"/>
        <v>0</v>
      </c>
      <c r="J415" s="65">
        <f>I415/$I$25</f>
        <v>0</v>
      </c>
    </row>
    <row r="416" spans="1:10" x14ac:dyDescent="0.2">
      <c r="A416" s="73">
        <v>2</v>
      </c>
      <c r="B416" s="58">
        <v>6</v>
      </c>
      <c r="C416" s="58">
        <v>7</v>
      </c>
      <c r="D416" s="58">
        <v>6</v>
      </c>
      <c r="E416" s="58"/>
      <c r="F416" s="87" t="s">
        <v>332</v>
      </c>
      <c r="G416" s="59">
        <f>SUM(G417)</f>
        <v>0</v>
      </c>
      <c r="H416" s="59">
        <f>SUM(H417)</f>
        <v>0</v>
      </c>
      <c r="I416" s="59">
        <f t="shared" si="19"/>
        <v>0</v>
      </c>
      <c r="J416" s="68"/>
    </row>
    <row r="417" spans="1:10" x14ac:dyDescent="0.2">
      <c r="A417" s="75">
        <v>2</v>
      </c>
      <c r="B417" s="62">
        <v>6</v>
      </c>
      <c r="C417" s="62">
        <v>7</v>
      </c>
      <c r="D417" s="62">
        <v>6</v>
      </c>
      <c r="E417" s="63" t="s">
        <v>35</v>
      </c>
      <c r="F417" s="70" t="s">
        <v>332</v>
      </c>
      <c r="G417" s="64">
        <f>'[1]CUENTA T FONDO 100'!HR127</f>
        <v>0</v>
      </c>
      <c r="H417" s="64">
        <f>'[1]CUENTA T VS'!HR96</f>
        <v>0</v>
      </c>
      <c r="I417" s="64">
        <f t="shared" si="19"/>
        <v>0</v>
      </c>
      <c r="J417" s="65">
        <f>I417/$I$25</f>
        <v>0</v>
      </c>
    </row>
    <row r="418" spans="1:10" x14ac:dyDescent="0.2">
      <c r="A418" s="73">
        <v>2</v>
      </c>
      <c r="B418" s="58">
        <v>6</v>
      </c>
      <c r="C418" s="58">
        <v>7</v>
      </c>
      <c r="D418" s="58">
        <v>7</v>
      </c>
      <c r="E418" s="58"/>
      <c r="F418" s="87" t="s">
        <v>333</v>
      </c>
      <c r="G418" s="59">
        <f>SUM(G419)</f>
        <v>0</v>
      </c>
      <c r="H418" s="59">
        <f>SUM(H419)</f>
        <v>0</v>
      </c>
      <c r="I418" s="59">
        <f t="shared" si="19"/>
        <v>0</v>
      </c>
      <c r="J418" s="68"/>
    </row>
    <row r="419" spans="1:10" x14ac:dyDescent="0.2">
      <c r="A419" s="75">
        <v>2</v>
      </c>
      <c r="B419" s="62">
        <v>6</v>
      </c>
      <c r="C419" s="62">
        <v>7</v>
      </c>
      <c r="D419" s="62">
        <v>7</v>
      </c>
      <c r="E419" s="63" t="s">
        <v>35</v>
      </c>
      <c r="F419" s="70" t="s">
        <v>333</v>
      </c>
      <c r="G419" s="64">
        <f>'[1]CUENTA T FONDO 100'!HS127</f>
        <v>0</v>
      </c>
      <c r="H419" s="64">
        <f>'[1]CUENTA T VS'!HS96</f>
        <v>0</v>
      </c>
      <c r="I419" s="64">
        <f t="shared" si="19"/>
        <v>0</v>
      </c>
      <c r="J419" s="65">
        <f>I419/$I$25</f>
        <v>0</v>
      </c>
    </row>
    <row r="420" spans="1:10" x14ac:dyDescent="0.2">
      <c r="A420" s="73">
        <v>2</v>
      </c>
      <c r="B420" s="58">
        <v>6</v>
      </c>
      <c r="C420" s="58">
        <v>7</v>
      </c>
      <c r="D420" s="58">
        <v>8</v>
      </c>
      <c r="E420" s="58"/>
      <c r="F420" s="87" t="s">
        <v>334</v>
      </c>
      <c r="G420" s="59">
        <f>SUM(G421)</f>
        <v>0</v>
      </c>
      <c r="H420" s="59">
        <f>SUM(H421)</f>
        <v>0</v>
      </c>
      <c r="I420" s="59">
        <f t="shared" si="19"/>
        <v>0</v>
      </c>
      <c r="J420" s="68"/>
    </row>
    <row r="421" spans="1:10" x14ac:dyDescent="0.2">
      <c r="A421" s="75">
        <v>2</v>
      </c>
      <c r="B421" s="62">
        <v>6</v>
      </c>
      <c r="C421" s="62">
        <v>7</v>
      </c>
      <c r="D421" s="62">
        <v>8</v>
      </c>
      <c r="E421" s="63" t="s">
        <v>35</v>
      </c>
      <c r="F421" s="70" t="s">
        <v>334</v>
      </c>
      <c r="G421" s="64">
        <f>'[1]CUENTA T FONDO 100'!HT127</f>
        <v>0</v>
      </c>
      <c r="H421" s="64">
        <f>'[1]CUENTA T VS'!HT96</f>
        <v>0</v>
      </c>
      <c r="I421" s="64">
        <f t="shared" si="19"/>
        <v>0</v>
      </c>
      <c r="J421" s="65">
        <f>I421/$I$25</f>
        <v>0</v>
      </c>
    </row>
    <row r="422" spans="1:10" x14ac:dyDescent="0.2">
      <c r="A422" s="73">
        <v>2</v>
      </c>
      <c r="B422" s="58">
        <v>6</v>
      </c>
      <c r="C422" s="58">
        <v>7</v>
      </c>
      <c r="D422" s="58">
        <v>9</v>
      </c>
      <c r="E422" s="58"/>
      <c r="F422" s="87" t="s">
        <v>335</v>
      </c>
      <c r="G422" s="59">
        <f>SUM(G423)</f>
        <v>0</v>
      </c>
      <c r="H422" s="59">
        <f>SUM(H423)</f>
        <v>0</v>
      </c>
      <c r="I422" s="59">
        <f t="shared" si="19"/>
        <v>0</v>
      </c>
      <c r="J422" s="68"/>
    </row>
    <row r="423" spans="1:10" x14ac:dyDescent="0.2">
      <c r="A423" s="75">
        <v>2</v>
      </c>
      <c r="B423" s="62">
        <v>6</v>
      </c>
      <c r="C423" s="62">
        <v>7</v>
      </c>
      <c r="D423" s="62">
        <v>9</v>
      </c>
      <c r="E423" s="63" t="s">
        <v>35</v>
      </c>
      <c r="F423" s="70" t="s">
        <v>335</v>
      </c>
      <c r="G423" s="64">
        <f>'[1]CUENTA T FONDO 100'!HU127</f>
        <v>0</v>
      </c>
      <c r="H423" s="64">
        <f>'[1]CUENTA T VS'!HU96</f>
        <v>0</v>
      </c>
      <c r="I423" s="64">
        <f t="shared" si="19"/>
        <v>0</v>
      </c>
      <c r="J423" s="65">
        <f>I423/$I$25</f>
        <v>0</v>
      </c>
    </row>
    <row r="424" spans="1:10" x14ac:dyDescent="0.2">
      <c r="A424" s="71">
        <v>2</v>
      </c>
      <c r="B424" s="55">
        <v>6</v>
      </c>
      <c r="C424" s="55">
        <v>8</v>
      </c>
      <c r="D424" s="55"/>
      <c r="E424" s="55"/>
      <c r="F424" s="86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9"/>
        <v>0</v>
      </c>
      <c r="J424" s="53"/>
    </row>
    <row r="425" spans="1:10" x14ac:dyDescent="0.2">
      <c r="A425" s="73">
        <v>2</v>
      </c>
      <c r="B425" s="58">
        <v>6</v>
      </c>
      <c r="C425" s="58">
        <v>8</v>
      </c>
      <c r="D425" s="58">
        <v>1</v>
      </c>
      <c r="E425" s="58"/>
      <c r="F425" s="87" t="s">
        <v>337</v>
      </c>
      <c r="G425" s="59">
        <f>+G426</f>
        <v>0</v>
      </c>
      <c r="H425" s="59">
        <f>+H426</f>
        <v>0</v>
      </c>
      <c r="I425" s="59">
        <f t="shared" si="19"/>
        <v>0</v>
      </c>
      <c r="J425" s="68"/>
    </row>
    <row r="426" spans="1:10" x14ac:dyDescent="0.2">
      <c r="A426" s="75">
        <v>2</v>
      </c>
      <c r="B426" s="62">
        <v>6</v>
      </c>
      <c r="C426" s="62">
        <v>8</v>
      </c>
      <c r="D426" s="62">
        <v>1</v>
      </c>
      <c r="E426" s="63" t="s">
        <v>35</v>
      </c>
      <c r="F426" s="70" t="s">
        <v>337</v>
      </c>
      <c r="G426" s="64">
        <f>'[1]CUENTA T FONDO 100'!HV127</f>
        <v>0</v>
      </c>
      <c r="H426" s="64">
        <f>'[1]CUENTA T VS'!HV96</f>
        <v>0</v>
      </c>
      <c r="I426" s="64">
        <f t="shared" si="19"/>
        <v>0</v>
      </c>
      <c r="J426" s="65">
        <f>I426/$I$25</f>
        <v>0</v>
      </c>
    </row>
    <row r="427" spans="1:10" x14ac:dyDescent="0.2">
      <c r="A427" s="73">
        <v>2</v>
      </c>
      <c r="B427" s="58">
        <v>6</v>
      </c>
      <c r="C427" s="58">
        <v>8</v>
      </c>
      <c r="D427" s="58">
        <v>2</v>
      </c>
      <c r="E427" s="58"/>
      <c r="F427" s="87" t="s">
        <v>338</v>
      </c>
      <c r="G427" s="59">
        <f>+G428</f>
        <v>0</v>
      </c>
      <c r="H427" s="59">
        <f>+H428</f>
        <v>0</v>
      </c>
      <c r="I427" s="59">
        <f t="shared" si="19"/>
        <v>0</v>
      </c>
      <c r="J427" s="68"/>
    </row>
    <row r="428" spans="1:10" x14ac:dyDescent="0.2">
      <c r="A428" s="75">
        <v>2</v>
      </c>
      <c r="B428" s="62">
        <v>6</v>
      </c>
      <c r="C428" s="62">
        <v>8</v>
      </c>
      <c r="D428" s="62">
        <v>2</v>
      </c>
      <c r="E428" s="63" t="s">
        <v>35</v>
      </c>
      <c r="F428" s="70" t="s">
        <v>338</v>
      </c>
      <c r="G428" s="64">
        <f>'[1]CUENTA T FONDO 100'!HW127</f>
        <v>0</v>
      </c>
      <c r="H428" s="64">
        <f>'[1]CUENTA T VS'!HW96</f>
        <v>0</v>
      </c>
      <c r="I428" s="64">
        <f t="shared" si="19"/>
        <v>0</v>
      </c>
      <c r="J428" s="65">
        <f>I428/$I$25</f>
        <v>0</v>
      </c>
    </row>
    <row r="429" spans="1:10" x14ac:dyDescent="0.2">
      <c r="A429" s="73">
        <v>2</v>
      </c>
      <c r="B429" s="58">
        <v>6</v>
      </c>
      <c r="C429" s="58">
        <v>8</v>
      </c>
      <c r="D429" s="58">
        <v>3</v>
      </c>
      <c r="E429" s="58"/>
      <c r="F429" s="87" t="s">
        <v>339</v>
      </c>
      <c r="G429" s="59">
        <f>SUM(G430:G431)</f>
        <v>0</v>
      </c>
      <c r="H429" s="59">
        <f>SUM(H430:H431)</f>
        <v>0</v>
      </c>
      <c r="I429" s="59">
        <f t="shared" si="19"/>
        <v>0</v>
      </c>
      <c r="J429" s="68"/>
    </row>
    <row r="430" spans="1:10" x14ac:dyDescent="0.2">
      <c r="A430" s="75">
        <v>2</v>
      </c>
      <c r="B430" s="62">
        <v>6</v>
      </c>
      <c r="C430" s="62">
        <v>8</v>
      </c>
      <c r="D430" s="62">
        <v>3</v>
      </c>
      <c r="E430" s="63" t="s">
        <v>35</v>
      </c>
      <c r="F430" s="70" t="s">
        <v>340</v>
      </c>
      <c r="G430" s="64">
        <f>'[1]CUENTA T FONDO 100'!HX127</f>
        <v>0</v>
      </c>
      <c r="H430" s="64">
        <f>'[1]CUENTA T VS'!HX96</f>
        <v>0</v>
      </c>
      <c r="I430" s="64">
        <f t="shared" si="19"/>
        <v>0</v>
      </c>
      <c r="J430" s="65">
        <f>I430/$I$25</f>
        <v>0</v>
      </c>
    </row>
    <row r="431" spans="1:10" x14ac:dyDescent="0.2">
      <c r="A431" s="75">
        <v>2</v>
      </c>
      <c r="B431" s="62">
        <v>6</v>
      </c>
      <c r="C431" s="62">
        <v>8</v>
      </c>
      <c r="D431" s="62">
        <v>3</v>
      </c>
      <c r="E431" s="63" t="s">
        <v>37</v>
      </c>
      <c r="F431" s="70" t="s">
        <v>341</v>
      </c>
      <c r="G431" s="64">
        <f>'[1]CUENTA T FONDO 100'!HY127</f>
        <v>0</v>
      </c>
      <c r="H431" s="64">
        <f>'[1]CUENTA T VS'!HY96</f>
        <v>0</v>
      </c>
      <c r="I431" s="64">
        <f t="shared" si="19"/>
        <v>0</v>
      </c>
      <c r="J431" s="65">
        <f>I431/$I$25</f>
        <v>0</v>
      </c>
    </row>
    <row r="432" spans="1:10" x14ac:dyDescent="0.2">
      <c r="A432" s="73">
        <v>2</v>
      </c>
      <c r="B432" s="58">
        <v>6</v>
      </c>
      <c r="C432" s="58">
        <v>8</v>
      </c>
      <c r="D432" s="58">
        <v>4</v>
      </c>
      <c r="E432" s="58"/>
      <c r="F432" s="87" t="s">
        <v>342</v>
      </c>
      <c r="G432" s="59">
        <f>+G433</f>
        <v>0</v>
      </c>
      <c r="H432" s="59">
        <f>+H433</f>
        <v>0</v>
      </c>
      <c r="I432" s="59">
        <f t="shared" si="19"/>
        <v>0</v>
      </c>
      <c r="J432" s="68"/>
    </row>
    <row r="433" spans="1:10" x14ac:dyDescent="0.2">
      <c r="A433" s="75">
        <v>2</v>
      </c>
      <c r="B433" s="62">
        <v>6</v>
      </c>
      <c r="C433" s="62">
        <v>8</v>
      </c>
      <c r="D433" s="62">
        <v>4</v>
      </c>
      <c r="E433" s="63" t="s">
        <v>35</v>
      </c>
      <c r="F433" s="70" t="s">
        <v>342</v>
      </c>
      <c r="G433" s="64">
        <f>'[1]CUENTA T FONDO 100'!HZ127</f>
        <v>0</v>
      </c>
      <c r="H433" s="64">
        <f>'[1]CUENTA T VS'!HZ96</f>
        <v>0</v>
      </c>
      <c r="I433" s="64">
        <f t="shared" si="19"/>
        <v>0</v>
      </c>
      <c r="J433" s="65">
        <f>I433/$I$25</f>
        <v>0</v>
      </c>
    </row>
    <row r="434" spans="1:10" x14ac:dyDescent="0.2">
      <c r="A434" s="73">
        <v>2</v>
      </c>
      <c r="B434" s="58">
        <v>6</v>
      </c>
      <c r="C434" s="58">
        <v>8</v>
      </c>
      <c r="D434" s="58">
        <v>5</v>
      </c>
      <c r="E434" s="58"/>
      <c r="F434" s="87" t="s">
        <v>343</v>
      </c>
      <c r="G434" s="59">
        <f>+G435</f>
        <v>0</v>
      </c>
      <c r="H434" s="59">
        <f>+H435</f>
        <v>0</v>
      </c>
      <c r="I434" s="59">
        <f t="shared" si="19"/>
        <v>0</v>
      </c>
      <c r="J434" s="68"/>
    </row>
    <row r="435" spans="1:10" x14ac:dyDescent="0.2">
      <c r="A435" s="75">
        <v>2</v>
      </c>
      <c r="B435" s="62">
        <v>6</v>
      </c>
      <c r="C435" s="62">
        <v>8</v>
      </c>
      <c r="D435" s="62">
        <v>5</v>
      </c>
      <c r="E435" s="63" t="s">
        <v>35</v>
      </c>
      <c r="F435" s="70" t="s">
        <v>343</v>
      </c>
      <c r="G435" s="64">
        <f>'[1]CUENTA T FONDO 100'!IA127</f>
        <v>0</v>
      </c>
      <c r="H435" s="64">
        <f>'[1]CUENTA T VS'!IA96</f>
        <v>0</v>
      </c>
      <c r="I435" s="64">
        <f t="shared" si="19"/>
        <v>0</v>
      </c>
      <c r="J435" s="65">
        <f>I435/$I$25</f>
        <v>0</v>
      </c>
    </row>
    <row r="436" spans="1:10" x14ac:dyDescent="0.2">
      <c r="A436" s="73">
        <v>2</v>
      </c>
      <c r="B436" s="58">
        <v>6</v>
      </c>
      <c r="C436" s="58">
        <v>8</v>
      </c>
      <c r="D436" s="58">
        <v>6</v>
      </c>
      <c r="E436" s="58"/>
      <c r="F436" s="87" t="s">
        <v>344</v>
      </c>
      <c r="G436" s="59">
        <f>+G437</f>
        <v>0</v>
      </c>
      <c r="H436" s="59">
        <f>+H437</f>
        <v>0</v>
      </c>
      <c r="I436" s="59">
        <f t="shared" si="19"/>
        <v>0</v>
      </c>
      <c r="J436" s="68"/>
    </row>
    <row r="437" spans="1:10" x14ac:dyDescent="0.2">
      <c r="A437" s="75">
        <v>2</v>
      </c>
      <c r="B437" s="62">
        <v>6</v>
      </c>
      <c r="C437" s="62">
        <v>8</v>
      </c>
      <c r="D437" s="62">
        <v>6</v>
      </c>
      <c r="E437" s="63" t="s">
        <v>35</v>
      </c>
      <c r="F437" s="70" t="s">
        <v>344</v>
      </c>
      <c r="G437" s="64">
        <f>'[1]CUENTA T FONDO 100'!IB127</f>
        <v>0</v>
      </c>
      <c r="H437" s="64">
        <f>'[1]CUENTA T VS'!IB96</f>
        <v>0</v>
      </c>
      <c r="I437" s="64">
        <f t="shared" si="19"/>
        <v>0</v>
      </c>
      <c r="J437" s="65">
        <f>I437/$I$25</f>
        <v>0</v>
      </c>
    </row>
    <row r="438" spans="1:10" x14ac:dyDescent="0.2">
      <c r="A438" s="73">
        <v>2</v>
      </c>
      <c r="B438" s="58">
        <v>6</v>
      </c>
      <c r="C438" s="58">
        <v>8</v>
      </c>
      <c r="D438" s="58">
        <v>7</v>
      </c>
      <c r="E438" s="58"/>
      <c r="F438" s="87" t="s">
        <v>345</v>
      </c>
      <c r="G438" s="59">
        <f>+G439</f>
        <v>0</v>
      </c>
      <c r="H438" s="59">
        <f>+H439</f>
        <v>0</v>
      </c>
      <c r="I438" s="59">
        <f t="shared" si="19"/>
        <v>0</v>
      </c>
      <c r="J438" s="68"/>
    </row>
    <row r="439" spans="1:10" x14ac:dyDescent="0.2">
      <c r="A439" s="75">
        <v>2</v>
      </c>
      <c r="B439" s="62">
        <v>6</v>
      </c>
      <c r="C439" s="62">
        <v>8</v>
      </c>
      <c r="D439" s="62">
        <v>7</v>
      </c>
      <c r="E439" s="63" t="s">
        <v>35</v>
      </c>
      <c r="F439" s="70" t="s">
        <v>345</v>
      </c>
      <c r="G439" s="64">
        <f>'[1]CUENTA T FONDO 100'!IC127</f>
        <v>0</v>
      </c>
      <c r="H439" s="64">
        <f>'[1]CUENTA T VS'!IC96</f>
        <v>0</v>
      </c>
      <c r="I439" s="64">
        <f t="shared" si="19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7" t="s">
        <v>346</v>
      </c>
      <c r="G440" s="59">
        <f>SUM(G441:G443)</f>
        <v>0</v>
      </c>
      <c r="H440" s="59">
        <f>SUM(H441:H443)</f>
        <v>0</v>
      </c>
      <c r="I440" s="59">
        <f t="shared" si="19"/>
        <v>0</v>
      </c>
      <c r="J440" s="68"/>
    </row>
    <row r="441" spans="1:10" x14ac:dyDescent="0.2">
      <c r="A441" s="75">
        <v>2</v>
      </c>
      <c r="B441" s="62">
        <v>6</v>
      </c>
      <c r="C441" s="62">
        <v>8</v>
      </c>
      <c r="D441" s="62">
        <v>8</v>
      </c>
      <c r="E441" s="62" t="s">
        <v>347</v>
      </c>
      <c r="F441" s="70" t="s">
        <v>348</v>
      </c>
      <c r="G441" s="64">
        <f>'[1]CUENTA T FONDO 100'!ID127</f>
        <v>0</v>
      </c>
      <c r="H441" s="64">
        <f>'[1]CUENTA T VS'!ID96</f>
        <v>0</v>
      </c>
      <c r="I441" s="64">
        <f t="shared" si="19"/>
        <v>0</v>
      </c>
      <c r="J441" s="65">
        <f>I441/$I$25</f>
        <v>0</v>
      </c>
    </row>
    <row r="442" spans="1:10" x14ac:dyDescent="0.2">
      <c r="A442" s="75">
        <v>2</v>
      </c>
      <c r="B442" s="62">
        <v>6</v>
      </c>
      <c r="C442" s="62">
        <v>8</v>
      </c>
      <c r="D442" s="62">
        <v>8</v>
      </c>
      <c r="E442" s="62" t="s">
        <v>349</v>
      </c>
      <c r="F442" s="70" t="s">
        <v>350</v>
      </c>
      <c r="G442" s="64">
        <f>'[1]CUENTA T FONDO 100'!IE127</f>
        <v>0</v>
      </c>
      <c r="H442" s="64">
        <f>'[1]CUENTA T VS'!IE96</f>
        <v>0</v>
      </c>
      <c r="I442" s="64">
        <f t="shared" si="19"/>
        <v>0</v>
      </c>
      <c r="J442" s="65">
        <f>I442/$I$25</f>
        <v>0</v>
      </c>
    </row>
    <row r="443" spans="1:10" x14ac:dyDescent="0.2">
      <c r="A443" s="75">
        <v>2</v>
      </c>
      <c r="B443" s="62">
        <v>6</v>
      </c>
      <c r="C443" s="62">
        <v>8</v>
      </c>
      <c r="D443" s="62">
        <v>8</v>
      </c>
      <c r="E443" s="62" t="s">
        <v>351</v>
      </c>
      <c r="F443" s="70" t="s">
        <v>352</v>
      </c>
      <c r="G443" s="64">
        <f>'[1]CUENTA T FONDO 100'!IF127</f>
        <v>0</v>
      </c>
      <c r="H443" s="64">
        <f>'[1]CUENTA T VS'!IF96</f>
        <v>0</v>
      </c>
      <c r="I443" s="64">
        <f t="shared" si="19"/>
        <v>0</v>
      </c>
      <c r="J443" s="65">
        <f>I443/$I$25</f>
        <v>0</v>
      </c>
    </row>
    <row r="444" spans="1:10" x14ac:dyDescent="0.2">
      <c r="A444" s="73">
        <v>2</v>
      </c>
      <c r="B444" s="58">
        <v>6</v>
      </c>
      <c r="C444" s="58">
        <v>8</v>
      </c>
      <c r="D444" s="58">
        <v>9</v>
      </c>
      <c r="E444" s="58"/>
      <c r="F444" s="87" t="s">
        <v>353</v>
      </c>
      <c r="G444" s="59">
        <f>+G445</f>
        <v>0</v>
      </c>
      <c r="H444" s="59">
        <f>+H445</f>
        <v>0</v>
      </c>
      <c r="I444" s="59">
        <f t="shared" si="19"/>
        <v>0</v>
      </c>
      <c r="J444" s="68"/>
    </row>
    <row r="445" spans="1:10" x14ac:dyDescent="0.2">
      <c r="A445" s="75">
        <v>2</v>
      </c>
      <c r="B445" s="62">
        <v>6</v>
      </c>
      <c r="C445" s="62">
        <v>8</v>
      </c>
      <c r="D445" s="62">
        <v>9</v>
      </c>
      <c r="E445" s="62" t="s">
        <v>324</v>
      </c>
      <c r="F445" s="70" t="s">
        <v>353</v>
      </c>
      <c r="G445" s="64">
        <f>'[1]CUENTA T FONDO 100'!IG127</f>
        <v>0</v>
      </c>
      <c r="H445" s="64">
        <f>'[1]CUENTA T VS'!IG96</f>
        <v>0</v>
      </c>
      <c r="I445" s="64">
        <f t="shared" si="19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9"/>
      <c r="F446" s="86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9"/>
        <v>0</v>
      </c>
      <c r="J446" s="53"/>
    </row>
    <row r="447" spans="1:10" x14ac:dyDescent="0.2">
      <c r="A447" s="73">
        <v>2</v>
      </c>
      <c r="B447" s="58">
        <v>6</v>
      </c>
      <c r="C447" s="58">
        <v>9</v>
      </c>
      <c r="D447" s="58">
        <v>1</v>
      </c>
      <c r="E447" s="58"/>
      <c r="F447" s="87" t="s">
        <v>355</v>
      </c>
      <c r="G447" s="59">
        <f>+G448+G449</f>
        <v>0</v>
      </c>
      <c r="H447" s="59">
        <f t="shared" ref="H447" si="20">+H448+H449</f>
        <v>0</v>
      </c>
      <c r="I447" s="59">
        <f t="shared" si="19"/>
        <v>0</v>
      </c>
      <c r="J447" s="59"/>
    </row>
    <row r="448" spans="1:10" x14ac:dyDescent="0.2">
      <c r="A448" s="90">
        <v>2</v>
      </c>
      <c r="B448" s="91">
        <v>6</v>
      </c>
      <c r="C448" s="91">
        <v>9</v>
      </c>
      <c r="D448" s="91">
        <v>1</v>
      </c>
      <c r="E448" s="91" t="s">
        <v>35</v>
      </c>
      <c r="F448" s="92" t="s">
        <v>355</v>
      </c>
      <c r="G448" s="64">
        <f>'[1]CUENTA T FONDO 100'!IH127</f>
        <v>0</v>
      </c>
      <c r="H448" s="93">
        <f>'[1]CUENTA T VS'!IH96</f>
        <v>0</v>
      </c>
      <c r="I448" s="93">
        <f t="shared" si="19"/>
        <v>0</v>
      </c>
      <c r="J448" s="65">
        <f>I448/$I$25</f>
        <v>0</v>
      </c>
    </row>
    <row r="449" spans="1:10" x14ac:dyDescent="0.2">
      <c r="A449" s="90">
        <v>2</v>
      </c>
      <c r="B449" s="91">
        <v>6</v>
      </c>
      <c r="C449" s="91">
        <v>9</v>
      </c>
      <c r="D449" s="91">
        <v>1</v>
      </c>
      <c r="E449" s="91" t="s">
        <v>37</v>
      </c>
      <c r="F449" s="92" t="s">
        <v>356</v>
      </c>
      <c r="G449" s="64">
        <f>'[1]CUENTA T FONDO 100'!II127</f>
        <v>0</v>
      </c>
      <c r="H449" s="93">
        <f>'[1]CUENTA T VS'!II96</f>
        <v>0</v>
      </c>
      <c r="I449" s="93">
        <f t="shared" si="19"/>
        <v>0</v>
      </c>
      <c r="J449" s="65">
        <f>I449/$I$25</f>
        <v>0</v>
      </c>
    </row>
    <row r="450" spans="1:10" x14ac:dyDescent="0.2">
      <c r="A450" s="73">
        <v>2</v>
      </c>
      <c r="B450" s="58">
        <v>6</v>
      </c>
      <c r="C450" s="58">
        <v>9</v>
      </c>
      <c r="D450" s="58">
        <v>2</v>
      </c>
      <c r="E450" s="58"/>
      <c r="F450" s="87" t="s">
        <v>357</v>
      </c>
      <c r="G450" s="59">
        <f>SUM(G451:G452)</f>
        <v>0</v>
      </c>
      <c r="H450" s="59">
        <f t="shared" ref="H450" si="21">SUM(H451:H452)</f>
        <v>0</v>
      </c>
      <c r="I450" s="59">
        <f t="shared" si="19"/>
        <v>0</v>
      </c>
      <c r="J450" s="68"/>
    </row>
    <row r="451" spans="1:10" x14ac:dyDescent="0.2">
      <c r="A451" s="75">
        <v>2</v>
      </c>
      <c r="B451" s="62">
        <v>6</v>
      </c>
      <c r="C451" s="62">
        <v>9</v>
      </c>
      <c r="D451" s="62">
        <v>2</v>
      </c>
      <c r="E451" s="63" t="s">
        <v>35</v>
      </c>
      <c r="F451" s="70" t="s">
        <v>357</v>
      </c>
      <c r="G451" s="64">
        <f>'[1]CUENTA T FONDO 100'!IJ127</f>
        <v>0</v>
      </c>
      <c r="H451" s="64">
        <f>'[1]CUENTA T VS'!IJ96</f>
        <v>0</v>
      </c>
      <c r="I451" s="64">
        <f t="shared" si="19"/>
        <v>0</v>
      </c>
      <c r="J451" s="65">
        <f>I451/$I$25</f>
        <v>0</v>
      </c>
    </row>
    <row r="452" spans="1:10" x14ac:dyDescent="0.2">
      <c r="A452" s="75">
        <v>2</v>
      </c>
      <c r="B452" s="62">
        <v>6</v>
      </c>
      <c r="C452" s="62">
        <v>9</v>
      </c>
      <c r="D452" s="62">
        <v>2</v>
      </c>
      <c r="E452" s="63" t="s">
        <v>37</v>
      </c>
      <c r="F452" s="70" t="s">
        <v>358</v>
      </c>
      <c r="G452" s="64">
        <f>'[1]CUENTA T FONDO 100'!IK127</f>
        <v>0</v>
      </c>
      <c r="H452" s="64">
        <f>'[1]CUENTA T VS'!IK96</f>
        <v>0</v>
      </c>
      <c r="I452" s="64">
        <f t="shared" si="19"/>
        <v>0</v>
      </c>
      <c r="J452" s="65">
        <f>I452/$I$25</f>
        <v>0</v>
      </c>
    </row>
    <row r="453" spans="1:10" x14ac:dyDescent="0.2">
      <c r="A453" s="73">
        <v>2</v>
      </c>
      <c r="B453" s="58">
        <v>6</v>
      </c>
      <c r="C453" s="58">
        <v>9</v>
      </c>
      <c r="D453" s="58">
        <v>3</v>
      </c>
      <c r="E453" s="58"/>
      <c r="F453" s="87" t="s">
        <v>359</v>
      </c>
      <c r="G453" s="59">
        <f>SUM(G454)</f>
        <v>0</v>
      </c>
      <c r="H453" s="59">
        <f>SUM(H454)</f>
        <v>0</v>
      </c>
      <c r="I453" s="59">
        <f t="shared" si="19"/>
        <v>0</v>
      </c>
      <c r="J453" s="59"/>
    </row>
    <row r="454" spans="1:10" x14ac:dyDescent="0.2">
      <c r="A454" s="75">
        <v>2</v>
      </c>
      <c r="B454" s="62">
        <v>6</v>
      </c>
      <c r="C454" s="62">
        <v>9</v>
      </c>
      <c r="D454" s="62">
        <v>3</v>
      </c>
      <c r="E454" s="63" t="s">
        <v>35</v>
      </c>
      <c r="F454" s="70" t="s">
        <v>359</v>
      </c>
      <c r="G454" s="64">
        <f>'[1]CUENTA T FONDO 100'!IL127</f>
        <v>0</v>
      </c>
      <c r="H454" s="64">
        <f>'[1]CUENTA T VS'!IL96</f>
        <v>0</v>
      </c>
      <c r="I454" s="64">
        <f t="shared" si="19"/>
        <v>0</v>
      </c>
      <c r="J454" s="65">
        <f>I454/$I$25</f>
        <v>0</v>
      </c>
    </row>
    <row r="455" spans="1:10" x14ac:dyDescent="0.2">
      <c r="A455" s="73">
        <v>2</v>
      </c>
      <c r="B455" s="58">
        <v>6</v>
      </c>
      <c r="C455" s="58">
        <v>9</v>
      </c>
      <c r="D455" s="58">
        <v>4</v>
      </c>
      <c r="E455" s="58"/>
      <c r="F455" s="87" t="s">
        <v>360</v>
      </c>
      <c r="G455" s="59">
        <f>SUM(G456)</f>
        <v>0</v>
      </c>
      <c r="H455" s="59">
        <f>SUM(H456)</f>
        <v>0</v>
      </c>
      <c r="I455" s="59">
        <f t="shared" si="19"/>
        <v>0</v>
      </c>
      <c r="J455" s="68"/>
    </row>
    <row r="456" spans="1:10" x14ac:dyDescent="0.2">
      <c r="A456" s="75">
        <v>2</v>
      </c>
      <c r="B456" s="62">
        <v>6</v>
      </c>
      <c r="C456" s="62">
        <v>9</v>
      </c>
      <c r="D456" s="62">
        <v>4</v>
      </c>
      <c r="E456" s="63" t="s">
        <v>35</v>
      </c>
      <c r="F456" s="70" t="s">
        <v>360</v>
      </c>
      <c r="G456" s="64">
        <f>'[1]CUENTA T FONDO 100'!IM127</f>
        <v>0</v>
      </c>
      <c r="H456" s="64">
        <f>'[1]CUENTA T VS'!IM96</f>
        <v>0</v>
      </c>
      <c r="I456" s="64">
        <f t="shared" si="19"/>
        <v>0</v>
      </c>
      <c r="J456" s="65">
        <f>I456/$I$25</f>
        <v>0</v>
      </c>
    </row>
    <row r="457" spans="1:10" x14ac:dyDescent="0.2">
      <c r="A457" s="73">
        <v>2</v>
      </c>
      <c r="B457" s="58">
        <v>6</v>
      </c>
      <c r="C457" s="58">
        <v>9</v>
      </c>
      <c r="D457" s="58">
        <v>5</v>
      </c>
      <c r="E457" s="58"/>
      <c r="F457" s="87" t="s">
        <v>361</v>
      </c>
      <c r="G457" s="59">
        <f>SUM(G458:G460)</f>
        <v>0</v>
      </c>
      <c r="H457" s="59">
        <f>SUM(H458:H460)</f>
        <v>0</v>
      </c>
      <c r="I457" s="59">
        <f t="shared" si="19"/>
        <v>0</v>
      </c>
      <c r="J457" s="68"/>
    </row>
    <row r="458" spans="1:10" x14ac:dyDescent="0.2">
      <c r="A458" s="75">
        <v>2</v>
      </c>
      <c r="B458" s="62">
        <v>6</v>
      </c>
      <c r="C458" s="62">
        <v>9</v>
      </c>
      <c r="D458" s="62">
        <v>5</v>
      </c>
      <c r="E458" s="63" t="s">
        <v>35</v>
      </c>
      <c r="F458" s="70" t="s">
        <v>362</v>
      </c>
      <c r="G458" s="64">
        <f>'[1]CUENTA T FONDO 100'!IN127</f>
        <v>0</v>
      </c>
      <c r="H458" s="64">
        <f>'[1]CUENTA T VS'!IN96</f>
        <v>0</v>
      </c>
      <c r="I458" s="64">
        <f t="shared" si="19"/>
        <v>0</v>
      </c>
      <c r="J458" s="65">
        <f>I458/$I$25</f>
        <v>0</v>
      </c>
    </row>
    <row r="459" spans="1:10" x14ac:dyDescent="0.2">
      <c r="A459" s="75">
        <v>2</v>
      </c>
      <c r="B459" s="62">
        <v>6</v>
      </c>
      <c r="C459" s="62">
        <v>9</v>
      </c>
      <c r="D459" s="62">
        <v>5</v>
      </c>
      <c r="E459" s="63" t="s">
        <v>37</v>
      </c>
      <c r="F459" s="70" t="s">
        <v>363</v>
      </c>
      <c r="G459" s="64">
        <f>'[1]CUENTA T FONDO 100'!IO127</f>
        <v>0</v>
      </c>
      <c r="H459" s="64">
        <f>'[1]CUENTA T VS'!IO96</f>
        <v>0</v>
      </c>
      <c r="I459" s="64">
        <f t="shared" si="19"/>
        <v>0</v>
      </c>
      <c r="J459" s="65">
        <f>I459/$I$25</f>
        <v>0</v>
      </c>
    </row>
    <row r="460" spans="1:10" x14ac:dyDescent="0.2">
      <c r="A460" s="75">
        <v>2</v>
      </c>
      <c r="B460" s="62">
        <v>6</v>
      </c>
      <c r="C460" s="62">
        <v>9</v>
      </c>
      <c r="D460" s="62">
        <v>5</v>
      </c>
      <c r="E460" s="63" t="s">
        <v>39</v>
      </c>
      <c r="F460" s="70" t="s">
        <v>364</v>
      </c>
      <c r="G460" s="64">
        <f>'[1]CUENTA T FONDO 100'!IP127</f>
        <v>0</v>
      </c>
      <c r="H460" s="64">
        <f>'[1]CUENTA T VS'!IP96</f>
        <v>0</v>
      </c>
      <c r="I460" s="64">
        <f t="shared" si="19"/>
        <v>0</v>
      </c>
      <c r="J460" s="65">
        <f>I460/$I$25</f>
        <v>0</v>
      </c>
    </row>
    <row r="461" spans="1:10" x14ac:dyDescent="0.2">
      <c r="A461" s="73">
        <v>2</v>
      </c>
      <c r="B461" s="58">
        <v>6</v>
      </c>
      <c r="C461" s="58">
        <v>9</v>
      </c>
      <c r="D461" s="58">
        <v>9</v>
      </c>
      <c r="E461" s="58"/>
      <c r="F461" s="87" t="s">
        <v>365</v>
      </c>
      <c r="G461" s="59">
        <f>SUM(G462)</f>
        <v>0</v>
      </c>
      <c r="H461" s="59">
        <f>SUM(H462)</f>
        <v>0</v>
      </c>
      <c r="I461" s="59">
        <f t="shared" si="19"/>
        <v>0</v>
      </c>
      <c r="J461" s="68"/>
    </row>
    <row r="462" spans="1:10" x14ac:dyDescent="0.2">
      <c r="A462" s="75">
        <v>2</v>
      </c>
      <c r="B462" s="62">
        <v>6</v>
      </c>
      <c r="C462" s="62">
        <v>9</v>
      </c>
      <c r="D462" s="62">
        <v>9</v>
      </c>
      <c r="E462" s="63" t="s">
        <v>35</v>
      </c>
      <c r="F462" s="70" t="s">
        <v>365</v>
      </c>
      <c r="G462" s="64">
        <f>'[1]CUENTA T FONDO 100'!IQ127</f>
        <v>0</v>
      </c>
      <c r="H462" s="64">
        <f>'[1]CUENTA T VS'!IQ96</f>
        <v>0</v>
      </c>
      <c r="I462" s="64">
        <f t="shared" si="19"/>
        <v>0</v>
      </c>
      <c r="J462" s="65">
        <f>I462/$I$25</f>
        <v>0</v>
      </c>
    </row>
    <row r="463" spans="1:10" x14ac:dyDescent="0.2">
      <c r="A463" s="71">
        <v>2</v>
      </c>
      <c r="B463" s="55">
        <v>7</v>
      </c>
      <c r="C463" s="55"/>
      <c r="D463" s="55"/>
      <c r="E463" s="55"/>
      <c r="F463" s="86" t="s">
        <v>366</v>
      </c>
      <c r="G463" s="56">
        <f>G464+G473+G492+G497</f>
        <v>0</v>
      </c>
      <c r="H463" s="56">
        <f>H464+H473+H492+H497</f>
        <v>0</v>
      </c>
      <c r="I463" s="56">
        <f t="shared" si="19"/>
        <v>0</v>
      </c>
      <c r="J463" s="53">
        <f>I463/$I$25</f>
        <v>0</v>
      </c>
    </row>
    <row r="464" spans="1:10" x14ac:dyDescent="0.2">
      <c r="A464" s="71">
        <v>2</v>
      </c>
      <c r="B464" s="55">
        <v>7</v>
      </c>
      <c r="C464" s="55">
        <v>1</v>
      </c>
      <c r="D464" s="55"/>
      <c r="E464" s="55"/>
      <c r="F464" s="86" t="s">
        <v>367</v>
      </c>
      <c r="G464" s="56">
        <f>+G465+G467+G469+G471</f>
        <v>0</v>
      </c>
      <c r="H464" s="56">
        <f>+H465+H467+H469+H471</f>
        <v>0</v>
      </c>
      <c r="I464" s="56">
        <f t="shared" si="19"/>
        <v>0</v>
      </c>
      <c r="J464" s="53"/>
    </row>
    <row r="465" spans="1:10" x14ac:dyDescent="0.2">
      <c r="A465" s="73">
        <v>2</v>
      </c>
      <c r="B465" s="58">
        <v>7</v>
      </c>
      <c r="C465" s="58">
        <v>1</v>
      </c>
      <c r="D465" s="58">
        <v>1</v>
      </c>
      <c r="E465" s="78"/>
      <c r="F465" s="87" t="s">
        <v>368</v>
      </c>
      <c r="G465" s="59">
        <f>+G466</f>
        <v>0</v>
      </c>
      <c r="H465" s="59">
        <f>+H466</f>
        <v>0</v>
      </c>
      <c r="I465" s="59">
        <f t="shared" si="19"/>
        <v>0</v>
      </c>
      <c r="J465" s="68"/>
    </row>
    <row r="466" spans="1:10" x14ac:dyDescent="0.2">
      <c r="A466" s="75">
        <v>2</v>
      </c>
      <c r="B466" s="62">
        <v>7</v>
      </c>
      <c r="C466" s="62">
        <v>1</v>
      </c>
      <c r="D466" s="62">
        <v>1</v>
      </c>
      <c r="E466" s="62" t="s">
        <v>324</v>
      </c>
      <c r="F466" s="70" t="s">
        <v>368</v>
      </c>
      <c r="G466" s="64">
        <f>'[1]CUENTA T FONDO 100'!IR127</f>
        <v>0</v>
      </c>
      <c r="H466" s="64">
        <f>'[1]CUENTA T VS'!IR96</f>
        <v>0</v>
      </c>
      <c r="I466" s="64">
        <f t="shared" si="19"/>
        <v>0</v>
      </c>
      <c r="J466" s="65">
        <f>I466/$I$25</f>
        <v>0</v>
      </c>
    </row>
    <row r="467" spans="1:10" x14ac:dyDescent="0.2">
      <c r="A467" s="73">
        <v>2</v>
      </c>
      <c r="B467" s="58">
        <v>7</v>
      </c>
      <c r="C467" s="58">
        <v>1</v>
      </c>
      <c r="D467" s="58">
        <v>2</v>
      </c>
      <c r="E467" s="78"/>
      <c r="F467" s="87" t="s">
        <v>369</v>
      </c>
      <c r="G467" s="59">
        <f>+G468</f>
        <v>0</v>
      </c>
      <c r="H467" s="59">
        <f>+H468</f>
        <v>0</v>
      </c>
      <c r="I467" s="59">
        <f t="shared" si="19"/>
        <v>0</v>
      </c>
      <c r="J467" s="68"/>
    </row>
    <row r="468" spans="1:10" x14ac:dyDescent="0.2">
      <c r="A468" s="75">
        <v>2</v>
      </c>
      <c r="B468" s="62">
        <v>7</v>
      </c>
      <c r="C468" s="62">
        <v>1</v>
      </c>
      <c r="D468" s="62">
        <v>2</v>
      </c>
      <c r="E468" s="62" t="s">
        <v>324</v>
      </c>
      <c r="F468" s="70" t="s">
        <v>369</v>
      </c>
      <c r="G468" s="64">
        <f>'[1]CUENTA T FONDO 100'!IS127</f>
        <v>0</v>
      </c>
      <c r="H468" s="64">
        <f>'[1]CUENTA T VS'!IS96</f>
        <v>0</v>
      </c>
      <c r="I468" s="64">
        <f t="shared" si="19"/>
        <v>0</v>
      </c>
      <c r="J468" s="65">
        <f>I468/$I$25</f>
        <v>0</v>
      </c>
    </row>
    <row r="469" spans="1:10" x14ac:dyDescent="0.2">
      <c r="A469" s="73">
        <v>2</v>
      </c>
      <c r="B469" s="58">
        <v>7</v>
      </c>
      <c r="C469" s="58">
        <v>1</v>
      </c>
      <c r="D469" s="58">
        <v>3</v>
      </c>
      <c r="E469" s="78"/>
      <c r="F469" s="87" t="s">
        <v>370</v>
      </c>
      <c r="G469" s="59">
        <f>+G470</f>
        <v>0</v>
      </c>
      <c r="H469" s="59">
        <f>+H470</f>
        <v>0</v>
      </c>
      <c r="I469" s="59">
        <f t="shared" si="19"/>
        <v>0</v>
      </c>
      <c r="J469" s="68"/>
    </row>
    <row r="470" spans="1:10" x14ac:dyDescent="0.2">
      <c r="A470" s="75">
        <v>2</v>
      </c>
      <c r="B470" s="62">
        <v>7</v>
      </c>
      <c r="C470" s="62">
        <v>1</v>
      </c>
      <c r="D470" s="62">
        <v>3</v>
      </c>
      <c r="E470" s="62" t="s">
        <v>324</v>
      </c>
      <c r="F470" s="70" t="s">
        <v>370</v>
      </c>
      <c r="G470" s="64">
        <f>'[1]CUENTA T FONDO 100'!IT127</f>
        <v>0</v>
      </c>
      <c r="H470" s="64">
        <f>'[1]CUENTA T VS'!IT96</f>
        <v>0</v>
      </c>
      <c r="I470" s="64">
        <f t="shared" si="19"/>
        <v>0</v>
      </c>
      <c r="J470" s="65">
        <f>I470/$I$25</f>
        <v>0</v>
      </c>
    </row>
    <row r="471" spans="1:10" x14ac:dyDescent="0.2">
      <c r="A471" s="73">
        <v>2</v>
      </c>
      <c r="B471" s="58">
        <v>7</v>
      </c>
      <c r="C471" s="58">
        <v>1</v>
      </c>
      <c r="D471" s="58">
        <v>4</v>
      </c>
      <c r="E471" s="78"/>
      <c r="F471" s="87" t="s">
        <v>371</v>
      </c>
      <c r="G471" s="59">
        <f>+G472</f>
        <v>0</v>
      </c>
      <c r="H471" s="59">
        <f>+H472</f>
        <v>0</v>
      </c>
      <c r="I471" s="59">
        <f t="shared" si="19"/>
        <v>0</v>
      </c>
      <c r="J471" s="68"/>
    </row>
    <row r="472" spans="1:10" x14ac:dyDescent="0.2">
      <c r="A472" s="75">
        <v>2</v>
      </c>
      <c r="B472" s="62">
        <v>7</v>
      </c>
      <c r="C472" s="62">
        <v>1</v>
      </c>
      <c r="D472" s="62">
        <v>4</v>
      </c>
      <c r="E472" s="62" t="s">
        <v>324</v>
      </c>
      <c r="F472" s="70" t="s">
        <v>371</v>
      </c>
      <c r="G472" s="64">
        <f>'[1]CUENTA T FONDO 100'!IU127</f>
        <v>0</v>
      </c>
      <c r="H472" s="64">
        <f>'[1]CUENTA T VS'!IU96</f>
        <v>0</v>
      </c>
      <c r="I472" s="64">
        <f t="shared" si="19"/>
        <v>0</v>
      </c>
      <c r="J472" s="65">
        <f>I472/$I$25</f>
        <v>0</v>
      </c>
    </row>
    <row r="473" spans="1:10" x14ac:dyDescent="0.2">
      <c r="A473" s="71">
        <v>2</v>
      </c>
      <c r="B473" s="55">
        <v>7</v>
      </c>
      <c r="C473" s="55">
        <v>2</v>
      </c>
      <c r="D473" s="55"/>
      <c r="E473" s="55"/>
      <c r="F473" s="86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22">SUM(G473:H473)</f>
        <v>0</v>
      </c>
      <c r="J473" s="53"/>
    </row>
    <row r="474" spans="1:10" x14ac:dyDescent="0.2">
      <c r="A474" s="73">
        <v>2</v>
      </c>
      <c r="B474" s="58">
        <v>7</v>
      </c>
      <c r="C474" s="58">
        <v>2</v>
      </c>
      <c r="D474" s="58">
        <v>1</v>
      </c>
      <c r="E474" s="78"/>
      <c r="F474" s="87" t="s">
        <v>373</v>
      </c>
      <c r="G474" s="59">
        <f>+G475</f>
        <v>0</v>
      </c>
      <c r="H474" s="59">
        <f>+H475</f>
        <v>0</v>
      </c>
      <c r="I474" s="59">
        <f t="shared" si="22"/>
        <v>0</v>
      </c>
      <c r="J474" s="68"/>
    </row>
    <row r="475" spans="1:10" x14ac:dyDescent="0.2">
      <c r="A475" s="75">
        <v>2</v>
      </c>
      <c r="B475" s="62">
        <v>7</v>
      </c>
      <c r="C475" s="62">
        <v>2</v>
      </c>
      <c r="D475" s="62">
        <v>1</v>
      </c>
      <c r="E475" s="62" t="s">
        <v>324</v>
      </c>
      <c r="F475" s="70" t="s">
        <v>373</v>
      </c>
      <c r="G475" s="64">
        <f>'[1]CUENTA T FONDO 100'!IV127</f>
        <v>0</v>
      </c>
      <c r="H475" s="64">
        <f>'[1]CUENTA T VS'!IV96</f>
        <v>0</v>
      </c>
      <c r="I475" s="64">
        <f t="shared" si="22"/>
        <v>0</v>
      </c>
      <c r="J475" s="65">
        <f>I475/$I$25</f>
        <v>0</v>
      </c>
    </row>
    <row r="476" spans="1:10" x14ac:dyDescent="0.2">
      <c r="A476" s="73">
        <v>2</v>
      </c>
      <c r="B476" s="58">
        <v>7</v>
      </c>
      <c r="C476" s="58">
        <v>2</v>
      </c>
      <c r="D476" s="58">
        <v>2</v>
      </c>
      <c r="E476" s="78"/>
      <c r="F476" s="87" t="s">
        <v>374</v>
      </c>
      <c r="G476" s="59">
        <f>+G477</f>
        <v>0</v>
      </c>
      <c r="H476" s="59">
        <f>+H477</f>
        <v>0</v>
      </c>
      <c r="I476" s="59">
        <f t="shared" si="22"/>
        <v>0</v>
      </c>
      <c r="J476" s="68"/>
    </row>
    <row r="477" spans="1:10" x14ac:dyDescent="0.2">
      <c r="A477" s="75">
        <v>2</v>
      </c>
      <c r="B477" s="62">
        <v>7</v>
      </c>
      <c r="C477" s="62">
        <v>2</v>
      </c>
      <c r="D477" s="62">
        <v>2</v>
      </c>
      <c r="E477" s="62" t="s">
        <v>324</v>
      </c>
      <c r="F477" s="70" t="s">
        <v>374</v>
      </c>
      <c r="G477" s="64">
        <f>'[1]CUENTA T FONDO 100'!IW127</f>
        <v>0</v>
      </c>
      <c r="H477" s="64">
        <f>'[1]CUENTA T VS'!IW96</f>
        <v>0</v>
      </c>
      <c r="I477" s="64">
        <f t="shared" si="22"/>
        <v>0</v>
      </c>
      <c r="J477" s="65">
        <f>I477/$I$25</f>
        <v>0</v>
      </c>
    </row>
    <row r="478" spans="1:10" x14ac:dyDescent="0.2">
      <c r="A478" s="73">
        <v>2</v>
      </c>
      <c r="B478" s="58">
        <v>7</v>
      </c>
      <c r="C478" s="58">
        <v>2</v>
      </c>
      <c r="D478" s="58">
        <v>3</v>
      </c>
      <c r="E478" s="78"/>
      <c r="F478" s="87" t="s">
        <v>375</v>
      </c>
      <c r="G478" s="59">
        <f>+G479</f>
        <v>0</v>
      </c>
      <c r="H478" s="59">
        <f>+H479</f>
        <v>0</v>
      </c>
      <c r="I478" s="59">
        <f t="shared" si="22"/>
        <v>0</v>
      </c>
      <c r="J478" s="68"/>
    </row>
    <row r="479" spans="1:10" x14ac:dyDescent="0.2">
      <c r="A479" s="75">
        <v>2</v>
      </c>
      <c r="B479" s="62">
        <v>7</v>
      </c>
      <c r="C479" s="62">
        <v>2</v>
      </c>
      <c r="D479" s="62">
        <v>3</v>
      </c>
      <c r="E479" s="62" t="s">
        <v>324</v>
      </c>
      <c r="F479" s="70" t="s">
        <v>375</v>
      </c>
      <c r="G479" s="64">
        <f>'[1]CUENTA T FONDO 100'!IX127</f>
        <v>0</v>
      </c>
      <c r="H479" s="64">
        <f>'[1]CUENTA T VS'!IX96</f>
        <v>0</v>
      </c>
      <c r="I479" s="64">
        <f t="shared" si="22"/>
        <v>0</v>
      </c>
      <c r="J479" s="65">
        <f>I479/$I$25</f>
        <v>0</v>
      </c>
    </row>
    <row r="480" spans="1:10" x14ac:dyDescent="0.2">
      <c r="A480" s="73">
        <v>2</v>
      </c>
      <c r="B480" s="58">
        <v>7</v>
      </c>
      <c r="C480" s="58">
        <v>2</v>
      </c>
      <c r="D480" s="58">
        <v>4</v>
      </c>
      <c r="E480" s="78"/>
      <c r="F480" s="87" t="s">
        <v>376</v>
      </c>
      <c r="G480" s="59">
        <f>+G481</f>
        <v>0</v>
      </c>
      <c r="H480" s="59">
        <f>+H481</f>
        <v>0</v>
      </c>
      <c r="I480" s="59">
        <f t="shared" si="22"/>
        <v>0</v>
      </c>
      <c r="J480" s="68"/>
    </row>
    <row r="481" spans="1:10" x14ac:dyDescent="0.2">
      <c r="A481" s="75">
        <v>2</v>
      </c>
      <c r="B481" s="62">
        <v>7</v>
      </c>
      <c r="C481" s="62">
        <v>2</v>
      </c>
      <c r="D481" s="62">
        <v>4</v>
      </c>
      <c r="E481" s="62" t="s">
        <v>324</v>
      </c>
      <c r="F481" s="70" t="s">
        <v>376</v>
      </c>
      <c r="G481" s="64">
        <f>'[1]CUENTA T FONDO 100'!IY127</f>
        <v>0</v>
      </c>
      <c r="H481" s="64">
        <f>'[1]CUENTA T VS'!IY96</f>
        <v>0</v>
      </c>
      <c r="I481" s="64">
        <f t="shared" si="22"/>
        <v>0</v>
      </c>
      <c r="J481" s="65">
        <f>I481/$I$25</f>
        <v>0</v>
      </c>
    </row>
    <row r="482" spans="1:10" x14ac:dyDescent="0.2">
      <c r="A482" s="73">
        <v>2</v>
      </c>
      <c r="B482" s="58">
        <v>7</v>
      </c>
      <c r="C482" s="58">
        <v>2</v>
      </c>
      <c r="D482" s="58">
        <v>5</v>
      </c>
      <c r="E482" s="78"/>
      <c r="F482" s="87" t="s">
        <v>377</v>
      </c>
      <c r="G482" s="59">
        <f>+G483</f>
        <v>0</v>
      </c>
      <c r="H482" s="59">
        <f>+H483</f>
        <v>0</v>
      </c>
      <c r="I482" s="59">
        <f t="shared" si="22"/>
        <v>0</v>
      </c>
      <c r="J482" s="68"/>
    </row>
    <row r="483" spans="1:10" x14ac:dyDescent="0.2">
      <c r="A483" s="75">
        <v>2</v>
      </c>
      <c r="B483" s="62">
        <v>7</v>
      </c>
      <c r="C483" s="62">
        <v>2</v>
      </c>
      <c r="D483" s="62">
        <v>5</v>
      </c>
      <c r="E483" s="62" t="s">
        <v>324</v>
      </c>
      <c r="F483" s="70" t="s">
        <v>377</v>
      </c>
      <c r="G483" s="64">
        <f>'[1]CUENTA T FONDO 100'!IZ127</f>
        <v>0</v>
      </c>
      <c r="H483" s="64">
        <f>'[1]CUENTA T VS'!IZ96</f>
        <v>0</v>
      </c>
      <c r="I483" s="64">
        <f t="shared" si="22"/>
        <v>0</v>
      </c>
      <c r="J483" s="65">
        <f>I483/$I$25</f>
        <v>0</v>
      </c>
    </row>
    <row r="484" spans="1:10" x14ac:dyDescent="0.2">
      <c r="A484" s="73">
        <v>2</v>
      </c>
      <c r="B484" s="58">
        <v>7</v>
      </c>
      <c r="C484" s="58">
        <v>2</v>
      </c>
      <c r="D484" s="58">
        <v>6</v>
      </c>
      <c r="E484" s="78"/>
      <c r="F484" s="87" t="s">
        <v>378</v>
      </c>
      <c r="G484" s="59">
        <f>+G485</f>
        <v>0</v>
      </c>
      <c r="H484" s="59">
        <f>+H485</f>
        <v>0</v>
      </c>
      <c r="I484" s="59">
        <f t="shared" si="22"/>
        <v>0</v>
      </c>
      <c r="J484" s="68"/>
    </row>
    <row r="485" spans="1:10" x14ac:dyDescent="0.2">
      <c r="A485" s="75">
        <v>2</v>
      </c>
      <c r="B485" s="62">
        <v>7</v>
      </c>
      <c r="C485" s="62">
        <v>2</v>
      </c>
      <c r="D485" s="62">
        <v>6</v>
      </c>
      <c r="E485" s="62" t="s">
        <v>324</v>
      </c>
      <c r="F485" s="70" t="s">
        <v>378</v>
      </c>
      <c r="G485" s="64">
        <f>'[1]CUENTA T FONDO 100'!JA127</f>
        <v>0</v>
      </c>
      <c r="H485" s="64">
        <f>'[1]CUENTA T VS'!JA96</f>
        <v>0</v>
      </c>
      <c r="I485" s="64">
        <f t="shared" si="22"/>
        <v>0</v>
      </c>
      <c r="J485" s="65">
        <f>I485/$I$25</f>
        <v>0</v>
      </c>
    </row>
    <row r="486" spans="1:10" x14ac:dyDescent="0.2">
      <c r="A486" s="73">
        <v>2</v>
      </c>
      <c r="B486" s="58">
        <v>7</v>
      </c>
      <c r="C486" s="58">
        <v>2</v>
      </c>
      <c r="D486" s="58">
        <v>7</v>
      </c>
      <c r="E486" s="78"/>
      <c r="F486" s="87" t="s">
        <v>379</v>
      </c>
      <c r="G486" s="59">
        <f>+G487</f>
        <v>0</v>
      </c>
      <c r="H486" s="59">
        <f>+H487</f>
        <v>0</v>
      </c>
      <c r="I486" s="59">
        <f t="shared" si="22"/>
        <v>0</v>
      </c>
      <c r="J486" s="68"/>
    </row>
    <row r="487" spans="1:10" x14ac:dyDescent="0.2">
      <c r="A487" s="75">
        <v>2</v>
      </c>
      <c r="B487" s="62">
        <v>7</v>
      </c>
      <c r="C487" s="62">
        <v>2</v>
      </c>
      <c r="D487" s="62">
        <v>7</v>
      </c>
      <c r="E487" s="62" t="s">
        <v>324</v>
      </c>
      <c r="F487" s="70" t="s">
        <v>379</v>
      </c>
      <c r="G487" s="64">
        <f>'[1]CUENTA T FONDO 100'!JB127</f>
        <v>0</v>
      </c>
      <c r="H487" s="64">
        <f>'[1]CUENTA T VS'!JB96</f>
        <v>0</v>
      </c>
      <c r="I487" s="64">
        <f t="shared" si="22"/>
        <v>0</v>
      </c>
      <c r="J487" s="65">
        <f>I487/$I$25</f>
        <v>0</v>
      </c>
    </row>
    <row r="488" spans="1:10" x14ac:dyDescent="0.2">
      <c r="A488" s="73">
        <v>2</v>
      </c>
      <c r="B488" s="58">
        <v>7</v>
      </c>
      <c r="C488" s="58">
        <v>2</v>
      </c>
      <c r="D488" s="58">
        <v>8</v>
      </c>
      <c r="E488" s="78"/>
      <c r="F488" s="87" t="s">
        <v>380</v>
      </c>
      <c r="G488" s="59">
        <f>+G489</f>
        <v>0</v>
      </c>
      <c r="H488" s="59">
        <f>+H489</f>
        <v>0</v>
      </c>
      <c r="I488" s="59">
        <f t="shared" si="22"/>
        <v>0</v>
      </c>
      <c r="J488" s="68"/>
    </row>
    <row r="489" spans="1:10" x14ac:dyDescent="0.2">
      <c r="A489" s="75">
        <v>2</v>
      </c>
      <c r="B489" s="62">
        <v>7</v>
      </c>
      <c r="C489" s="62">
        <v>2</v>
      </c>
      <c r="D489" s="62">
        <v>8</v>
      </c>
      <c r="E489" s="62" t="s">
        <v>324</v>
      </c>
      <c r="F489" s="70" t="s">
        <v>380</v>
      </c>
      <c r="G489" s="64">
        <f>'[1]CUENTA T FONDO 100'!JC127</f>
        <v>0</v>
      </c>
      <c r="H489" s="64">
        <f>'[1]CUENTA T VS'!JC96</f>
        <v>0</v>
      </c>
      <c r="I489" s="64">
        <f t="shared" si="22"/>
        <v>0</v>
      </c>
      <c r="J489" s="65">
        <f>I489/$I$25</f>
        <v>0</v>
      </c>
    </row>
    <row r="490" spans="1:10" x14ac:dyDescent="0.2">
      <c r="A490" s="73">
        <v>2</v>
      </c>
      <c r="B490" s="58">
        <v>7</v>
      </c>
      <c r="C490" s="58">
        <v>2</v>
      </c>
      <c r="D490" s="58">
        <v>9</v>
      </c>
      <c r="E490" s="78"/>
      <c r="F490" s="87" t="s">
        <v>381</v>
      </c>
      <c r="G490" s="59">
        <f>+G491</f>
        <v>0</v>
      </c>
      <c r="H490" s="59">
        <f>+H491</f>
        <v>0</v>
      </c>
      <c r="I490" s="59">
        <f t="shared" si="22"/>
        <v>0</v>
      </c>
      <c r="J490" s="68"/>
    </row>
    <row r="491" spans="1:10" x14ac:dyDescent="0.2">
      <c r="A491" s="75">
        <v>2</v>
      </c>
      <c r="B491" s="62">
        <v>7</v>
      </c>
      <c r="C491" s="62">
        <v>2</v>
      </c>
      <c r="D491" s="62">
        <v>9</v>
      </c>
      <c r="E491" s="62" t="s">
        <v>324</v>
      </c>
      <c r="F491" s="70" t="s">
        <v>381</v>
      </c>
      <c r="G491" s="64">
        <f>'[1]CUENTA T FONDO 100'!JD127</f>
        <v>0</v>
      </c>
      <c r="H491" s="64">
        <f>'[1]CUENTA T VS'!JD96</f>
        <v>0</v>
      </c>
      <c r="I491" s="64">
        <f t="shared" si="22"/>
        <v>0</v>
      </c>
      <c r="J491" s="65">
        <f>I491/$I$25</f>
        <v>0</v>
      </c>
    </row>
    <row r="492" spans="1:10" x14ac:dyDescent="0.2">
      <c r="A492" s="71">
        <v>2</v>
      </c>
      <c r="B492" s="55">
        <v>7</v>
      </c>
      <c r="C492" s="55">
        <v>3</v>
      </c>
      <c r="D492" s="55"/>
      <c r="E492" s="55"/>
      <c r="F492" s="86" t="s">
        <v>382</v>
      </c>
      <c r="G492" s="56">
        <f>+G493+G495</f>
        <v>0</v>
      </c>
      <c r="H492" s="56">
        <f>+H493+H495</f>
        <v>0</v>
      </c>
      <c r="I492" s="56">
        <f t="shared" si="22"/>
        <v>0</v>
      </c>
      <c r="J492" s="53"/>
    </row>
    <row r="493" spans="1:10" x14ac:dyDescent="0.2">
      <c r="A493" s="73">
        <v>2</v>
      </c>
      <c r="B493" s="58">
        <v>7</v>
      </c>
      <c r="C493" s="58">
        <v>3</v>
      </c>
      <c r="D493" s="58">
        <v>1</v>
      </c>
      <c r="E493" s="78"/>
      <c r="F493" s="87" t="s">
        <v>383</v>
      </c>
      <c r="G493" s="59">
        <f>+G494</f>
        <v>0</v>
      </c>
      <c r="H493" s="59">
        <f>+H494</f>
        <v>0</v>
      </c>
      <c r="I493" s="59">
        <f t="shared" si="22"/>
        <v>0</v>
      </c>
      <c r="J493" s="68"/>
    </row>
    <row r="494" spans="1:10" x14ac:dyDescent="0.2">
      <c r="A494" s="75">
        <v>2</v>
      </c>
      <c r="B494" s="62">
        <v>7</v>
      </c>
      <c r="C494" s="62">
        <v>3</v>
      </c>
      <c r="D494" s="62">
        <v>1</v>
      </c>
      <c r="E494" s="62" t="s">
        <v>324</v>
      </c>
      <c r="F494" s="70" t="s">
        <v>383</v>
      </c>
      <c r="G494" s="64">
        <f>'[1]CUENTA T FONDO 100'!JE127</f>
        <v>0</v>
      </c>
      <c r="H494" s="64">
        <f>'[1]CUENTA T VS'!JE96</f>
        <v>0</v>
      </c>
      <c r="I494" s="64">
        <f t="shared" si="22"/>
        <v>0</v>
      </c>
      <c r="J494" s="65">
        <f>I494/$I$25</f>
        <v>0</v>
      </c>
    </row>
    <row r="495" spans="1:10" x14ac:dyDescent="0.2">
      <c r="A495" s="73">
        <v>2</v>
      </c>
      <c r="B495" s="58">
        <v>7</v>
      </c>
      <c r="C495" s="58">
        <v>3</v>
      </c>
      <c r="D495" s="58">
        <v>2</v>
      </c>
      <c r="E495" s="78"/>
      <c r="F495" s="87" t="s">
        <v>384</v>
      </c>
      <c r="G495" s="59">
        <f>+G496</f>
        <v>0</v>
      </c>
      <c r="H495" s="59">
        <f>+H496</f>
        <v>0</v>
      </c>
      <c r="I495" s="59">
        <f t="shared" si="22"/>
        <v>0</v>
      </c>
      <c r="J495" s="68"/>
    </row>
    <row r="496" spans="1:10" x14ac:dyDescent="0.2">
      <c r="A496" s="75">
        <v>2</v>
      </c>
      <c r="B496" s="62">
        <v>7</v>
      </c>
      <c r="C496" s="62">
        <v>3</v>
      </c>
      <c r="D496" s="62">
        <v>2</v>
      </c>
      <c r="E496" s="62" t="s">
        <v>324</v>
      </c>
      <c r="F496" s="70" t="s">
        <v>384</v>
      </c>
      <c r="G496" s="64">
        <f>'[1]CUENTA T FONDO 100'!JF127</f>
        <v>0</v>
      </c>
      <c r="H496" s="64">
        <f>'[1]CUENTA T VS'!JF96</f>
        <v>0</v>
      </c>
      <c r="I496" s="64">
        <f t="shared" si="22"/>
        <v>0</v>
      </c>
      <c r="J496" s="65">
        <f>I496/$I$25</f>
        <v>0</v>
      </c>
    </row>
    <row r="497" spans="1:10" ht="25.5" x14ac:dyDescent="0.2">
      <c r="A497" s="71">
        <v>2</v>
      </c>
      <c r="B497" s="55">
        <v>7</v>
      </c>
      <c r="C497" s="55">
        <v>4</v>
      </c>
      <c r="D497" s="55"/>
      <c r="E497" s="55"/>
      <c r="F497" s="86" t="s">
        <v>385</v>
      </c>
      <c r="G497" s="56">
        <f>+G498+G500</f>
        <v>0</v>
      </c>
      <c r="H497" s="56">
        <f>+H498+H500</f>
        <v>0</v>
      </c>
      <c r="I497" s="56">
        <f t="shared" si="22"/>
        <v>0</v>
      </c>
      <c r="J497" s="53"/>
    </row>
    <row r="498" spans="1:10" x14ac:dyDescent="0.2">
      <c r="A498" s="73">
        <v>2</v>
      </c>
      <c r="B498" s="58">
        <v>7</v>
      </c>
      <c r="C498" s="58">
        <v>4</v>
      </c>
      <c r="D498" s="58">
        <v>1</v>
      </c>
      <c r="E498" s="78"/>
      <c r="F498" s="87" t="s">
        <v>386</v>
      </c>
      <c r="G498" s="59">
        <f>+G499</f>
        <v>0</v>
      </c>
      <c r="H498" s="59">
        <f>+H499</f>
        <v>0</v>
      </c>
      <c r="I498" s="59">
        <f t="shared" si="22"/>
        <v>0</v>
      </c>
      <c r="J498" s="68"/>
    </row>
    <row r="499" spans="1:10" x14ac:dyDescent="0.2">
      <c r="A499" s="75">
        <v>2</v>
      </c>
      <c r="B499" s="62">
        <v>7</v>
      </c>
      <c r="C499" s="62">
        <v>4</v>
      </c>
      <c r="D499" s="62">
        <v>1</v>
      </c>
      <c r="E499" s="62" t="s">
        <v>324</v>
      </c>
      <c r="F499" s="70" t="s">
        <v>386</v>
      </c>
      <c r="G499" s="64">
        <f>'[1]CUENTA T FONDO 100'!JG127</f>
        <v>0</v>
      </c>
      <c r="H499" s="64">
        <f>'[1]CUENTA T VS'!JG96</f>
        <v>0</v>
      </c>
      <c r="I499" s="64">
        <f t="shared" si="22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8"/>
      <c r="F500" s="87" t="s">
        <v>387</v>
      </c>
      <c r="G500" s="59">
        <f>+G501</f>
        <v>0</v>
      </c>
      <c r="H500" s="59">
        <f>+H501</f>
        <v>0</v>
      </c>
      <c r="I500" s="59">
        <f t="shared" si="22"/>
        <v>0</v>
      </c>
      <c r="J500" s="68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70" t="s">
        <v>387</v>
      </c>
      <c r="G501" s="64">
        <f>'[1]CUENTA T FONDO 100'!JH127</f>
        <v>0</v>
      </c>
      <c r="H501" s="64">
        <f>'[1]CUENTA T VS'!JH96</f>
        <v>0</v>
      </c>
      <c r="I501" s="64">
        <f t="shared" si="22"/>
        <v>0</v>
      </c>
      <c r="J501" s="65">
        <f>I501/$I$25</f>
        <v>0</v>
      </c>
    </row>
    <row r="502" spans="1:10" ht="15" x14ac:dyDescent="0.25">
      <c r="A502" s="94"/>
      <c r="B502" s="94"/>
      <c r="C502" s="94"/>
      <c r="D502" s="94"/>
      <c r="E502" s="94"/>
      <c r="F502" s="94"/>
      <c r="G502" s="94"/>
      <c r="H502" s="94"/>
      <c r="I502" s="94"/>
      <c r="J502" s="95"/>
    </row>
    <row r="503" spans="1:10" ht="15" x14ac:dyDescent="0.25">
      <c r="A503" s="94"/>
      <c r="B503" s="94"/>
      <c r="C503" s="94"/>
      <c r="D503" s="94"/>
      <c r="E503" s="94"/>
      <c r="F503" s="94"/>
      <c r="G503" s="94"/>
      <c r="H503" s="94"/>
      <c r="I503" s="94"/>
      <c r="J503" s="94"/>
    </row>
    <row r="504" spans="1:10" ht="15" x14ac:dyDescent="0.25">
      <c r="A504" s="94"/>
      <c r="B504" s="94"/>
      <c r="C504" s="94"/>
      <c r="D504" s="94"/>
      <c r="E504" s="94"/>
      <c r="F504" s="94"/>
      <c r="G504" s="94"/>
      <c r="H504" s="94"/>
      <c r="I504" s="94"/>
      <c r="J504" s="94"/>
    </row>
    <row r="505" spans="1:10" ht="15" x14ac:dyDescent="0.25">
      <c r="A505" s="94"/>
      <c r="B505" s="94"/>
      <c r="C505" s="94"/>
      <c r="D505" s="94"/>
      <c r="E505" s="94"/>
      <c r="F505" s="94"/>
      <c r="G505" s="94"/>
      <c r="H505" s="94"/>
      <c r="I505" s="94"/>
      <c r="J505" s="94"/>
    </row>
    <row r="506" spans="1:10" ht="15" x14ac:dyDescent="0.25">
      <c r="A506" s="94"/>
      <c r="B506" s="94"/>
      <c r="C506" s="94"/>
      <c r="D506" s="94"/>
      <c r="E506" s="94"/>
      <c r="F506" s="94"/>
      <c r="G506" s="94"/>
      <c r="H506" s="94"/>
      <c r="I506" s="94"/>
      <c r="J506" s="94"/>
    </row>
    <row r="507" spans="1:10" ht="15" x14ac:dyDescent="0.25">
      <c r="A507" s="94"/>
      <c r="B507" s="94"/>
      <c r="C507" s="94"/>
      <c r="D507" s="94"/>
      <c r="E507" s="94"/>
      <c r="F507" s="94"/>
      <c r="G507" s="94"/>
      <c r="H507" s="94"/>
      <c r="I507" s="94"/>
      <c r="J507" s="94"/>
    </row>
    <row r="508" spans="1:10" ht="15" x14ac:dyDescent="0.25">
      <c r="A508" s="94"/>
      <c r="B508" s="94"/>
      <c r="C508" s="94"/>
      <c r="D508" s="94"/>
      <c r="E508" s="94"/>
      <c r="F508" s="94"/>
      <c r="G508" s="94"/>
      <c r="H508" s="94"/>
      <c r="I508" s="94"/>
      <c r="J508" s="94"/>
    </row>
    <row r="509" spans="1:10" ht="15" x14ac:dyDescent="0.25">
      <c r="A509" s="94"/>
      <c r="B509" s="94"/>
      <c r="C509" s="94"/>
      <c r="D509" s="94"/>
      <c r="E509" s="94"/>
      <c r="F509" s="94"/>
      <c r="G509" s="94"/>
      <c r="H509" s="94"/>
      <c r="I509" s="94"/>
      <c r="J509" s="94"/>
    </row>
    <row r="510" spans="1:10" ht="15" x14ac:dyDescent="0.25">
      <c r="A510" s="94"/>
      <c r="B510" s="94"/>
      <c r="C510" s="94"/>
      <c r="D510" s="94"/>
      <c r="E510" s="94"/>
      <c r="F510" s="94"/>
      <c r="G510" s="94"/>
      <c r="H510" s="94"/>
      <c r="I510" s="94"/>
      <c r="J510" s="94"/>
    </row>
    <row r="511" spans="1:10" ht="15" x14ac:dyDescent="0.25">
      <c r="A511" s="94"/>
      <c r="B511" s="94"/>
      <c r="C511" s="94"/>
      <c r="D511" s="94"/>
      <c r="E511" s="94"/>
      <c r="F511" s="94"/>
      <c r="G511" s="94"/>
      <c r="H511" s="94"/>
      <c r="I511" s="94"/>
      <c r="J511" s="9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1"/>
  <sheetViews>
    <sheetView topLeftCell="A178" workbookViewId="0">
      <selection activeCell="K336" sqref="K336"/>
    </sheetView>
  </sheetViews>
  <sheetFormatPr baseColWidth="10" defaultColWidth="2.85546875" defaultRowHeight="12.75" x14ac:dyDescent="0.2"/>
  <cols>
    <col min="1" max="5" width="4.5703125" style="5" customWidth="1"/>
    <col min="6" max="6" width="52" style="5" customWidth="1"/>
    <col min="7" max="7" width="18.28515625" style="5" customWidth="1"/>
    <col min="8" max="8" width="17.42578125" style="5" customWidth="1"/>
    <col min="9" max="9" width="13.28515625" style="5" bestFit="1" customWidth="1"/>
    <col min="10" max="10" width="5.5703125" style="5" bestFit="1" customWidth="1"/>
    <col min="11" max="11" width="12.7109375" style="5" bestFit="1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02"/>
      <c r="B2" s="103"/>
      <c r="C2" s="103"/>
      <c r="D2" s="103"/>
      <c r="E2" s="103"/>
      <c r="F2" s="103"/>
      <c r="G2" s="103"/>
      <c r="H2" s="103"/>
      <c r="I2" s="6"/>
      <c r="J2" s="7"/>
    </row>
    <row r="3" spans="1:14" ht="26.25" x14ac:dyDescent="0.4">
      <c r="A3" s="104" t="s">
        <v>1</v>
      </c>
      <c r="B3" s="105"/>
      <c r="C3" s="105"/>
      <c r="D3" s="105"/>
      <c r="E3" s="105"/>
      <c r="F3" s="105"/>
      <c r="G3" s="105"/>
      <c r="H3" s="105"/>
      <c r="I3" s="105"/>
      <c r="J3" s="106"/>
    </row>
    <row r="4" spans="1:14" s="8" customFormat="1" ht="18.75" x14ac:dyDescent="0.3">
      <c r="A4" s="107" t="s">
        <v>2</v>
      </c>
      <c r="B4" s="108"/>
      <c r="C4" s="108"/>
      <c r="D4" s="108"/>
      <c r="E4" s="108"/>
      <c r="F4" s="108"/>
      <c r="G4" s="108"/>
      <c r="H4" s="108"/>
      <c r="I4" s="108"/>
      <c r="J4" s="109"/>
    </row>
    <row r="5" spans="1:14" ht="15" x14ac:dyDescent="0.25">
      <c r="A5" s="110" t="s">
        <v>3</v>
      </c>
      <c r="B5" s="111"/>
      <c r="C5" s="111"/>
      <c r="D5" s="111"/>
      <c r="E5" s="111"/>
      <c r="F5" s="111"/>
      <c r="G5" s="111"/>
      <c r="H5" s="111"/>
      <c r="I5" s="111"/>
      <c r="J5" s="112"/>
    </row>
    <row r="6" spans="1:14" ht="15.75" x14ac:dyDescent="0.25">
      <c r="A6" s="113" t="s">
        <v>4</v>
      </c>
      <c r="B6" s="114"/>
      <c r="C6" s="114"/>
      <c r="D6" s="114"/>
      <c r="E6" s="114"/>
      <c r="F6" s="114"/>
      <c r="G6" s="114"/>
      <c r="H6" s="114"/>
      <c r="I6" s="114"/>
      <c r="J6" s="115"/>
    </row>
    <row r="7" spans="1:14" ht="15.75" x14ac:dyDescent="0.25">
      <c r="A7" s="116" t="s">
        <v>388</v>
      </c>
      <c r="B7" s="117"/>
      <c r="C7" s="117"/>
      <c r="D7" s="117"/>
      <c r="E7" s="117"/>
      <c r="F7" s="117"/>
      <c r="G7" s="117"/>
      <c r="H7" s="117"/>
      <c r="I7" s="117"/>
      <c r="J7" s="118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500388.24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/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12593841.17+3169632.08+84553321.83</f>
        <v>100316795.08</v>
      </c>
      <c r="H15" s="25" t="s">
        <v>17</v>
      </c>
      <c r="I15" s="19">
        <v>0</v>
      </c>
      <c r="J15" s="17"/>
      <c r="L15" s="5">
        <v>2.1</v>
      </c>
      <c r="M15" s="27">
        <f>G26</f>
        <v>67131935.939999998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+'[2]INGR SEGUN ORIGEN'!E31+'[2]INGR SEGUN ORIGEN'!E25</f>
        <v>9549024.620000001</v>
      </c>
      <c r="H16" s="25"/>
      <c r="I16" s="23"/>
      <c r="J16" s="17"/>
      <c r="L16" s="5">
        <v>2.2000000000000002</v>
      </c>
      <c r="M16" s="27">
        <f>G87</f>
        <v>1336968.6400000001</v>
      </c>
      <c r="N16" s="27">
        <f>H87</f>
        <v>1213383.3500000001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110366207.94</v>
      </c>
      <c r="J17" s="17"/>
      <c r="L17" s="5">
        <v>2.2999999999999998</v>
      </c>
      <c r="M17" s="27">
        <f>'[2]CONS. FUENTES FINAN'!G212</f>
        <v>14433131.48</v>
      </c>
      <c r="N17" s="27">
        <f>'[2]CONS. FUENTES FINAN'!H212</f>
        <v>2432378.29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23400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6461017.2600000007</v>
      </c>
      <c r="N19" s="27">
        <f>H336</f>
        <v>3887510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'[2]CONS. FUENTES FINAN'!G463</f>
        <v>0</v>
      </c>
      <c r="N20" s="27">
        <f>'[2]CONS. FUENTES FINAN'!H463</f>
        <v>0</v>
      </c>
    </row>
    <row r="21" spans="1:16" x14ac:dyDescent="0.2">
      <c r="A21" s="41">
        <v>1</v>
      </c>
      <c r="B21" s="41"/>
      <c r="C21" s="41"/>
      <c r="D21" s="41"/>
      <c r="E21" s="41"/>
      <c r="F21" s="41">
        <v>2</v>
      </c>
      <c r="G21" s="119">
        <v>3</v>
      </c>
      <c r="H21" s="120"/>
      <c r="I21" s="42">
        <v>4</v>
      </c>
      <c r="J21" s="42">
        <v>5</v>
      </c>
    </row>
    <row r="22" spans="1:16" ht="27.75" customHeight="1" x14ac:dyDescent="0.2">
      <c r="A22" s="157" t="s">
        <v>19</v>
      </c>
      <c r="B22" s="158"/>
      <c r="C22" s="158"/>
      <c r="D22" s="158"/>
      <c r="E22" s="159"/>
      <c r="F22" s="122" t="s">
        <v>20</v>
      </c>
      <c r="G22" s="160" t="s">
        <v>21</v>
      </c>
      <c r="H22" s="161"/>
      <c r="I22" s="125" t="s">
        <v>22</v>
      </c>
      <c r="J22" s="126" t="s">
        <v>23</v>
      </c>
    </row>
    <row r="23" spans="1:16" ht="12.75" customHeight="1" x14ac:dyDescent="0.2">
      <c r="A23" s="162" t="s">
        <v>24</v>
      </c>
      <c r="B23" s="162" t="s">
        <v>25</v>
      </c>
      <c r="C23" s="162" t="s">
        <v>26</v>
      </c>
      <c r="D23" s="162" t="s">
        <v>27</v>
      </c>
      <c r="E23" s="162" t="s">
        <v>28</v>
      </c>
      <c r="F23" s="128"/>
      <c r="G23" s="155" t="s">
        <v>29</v>
      </c>
      <c r="H23" s="155" t="s">
        <v>30</v>
      </c>
      <c r="I23" s="130"/>
      <c r="J23" s="131"/>
      <c r="L23" s="43"/>
      <c r="M23" s="43"/>
      <c r="N23" s="43"/>
      <c r="O23" s="43"/>
      <c r="P23" s="43"/>
    </row>
    <row r="24" spans="1:16" ht="35.25" customHeight="1" x14ac:dyDescent="0.2">
      <c r="A24" s="163"/>
      <c r="B24" s="163"/>
      <c r="C24" s="163"/>
      <c r="D24" s="163"/>
      <c r="E24" s="163"/>
      <c r="F24" s="133"/>
      <c r="G24" s="156"/>
      <c r="H24" s="156"/>
      <c r="I24" s="135"/>
      <c r="J24" s="136"/>
      <c r="L24" s="43"/>
      <c r="M24" s="43"/>
      <c r="N24" s="43"/>
      <c r="O24" s="43"/>
      <c r="P24" s="4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89363053.320000008</v>
      </c>
      <c r="H25" s="47">
        <f>+H26+H87+H212+H330+H336+H463</f>
        <v>7556671.6400000006</v>
      </c>
      <c r="I25" s="47">
        <f>SUM(G25:H25)</f>
        <v>96919724.960000008</v>
      </c>
      <c r="J25" s="48">
        <f>+J26+J87+J212+J330+J336+J463</f>
        <v>0.99999999999999989</v>
      </c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67131935.939999998</v>
      </c>
      <c r="H26" s="52">
        <f>+H27+H51+H64+H71+H78</f>
        <v>0</v>
      </c>
      <c r="I26" s="52">
        <f t="shared" ref="I26:I88" si="0">SUM(G26:H26)</f>
        <v>67131935.939999998</v>
      </c>
      <c r="J26" s="53">
        <f>I26/$I$25</f>
        <v>0.69265503970121867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55586128.810000002</v>
      </c>
      <c r="H27" s="56">
        <f>+H28+H35+H42+H44+H46</f>
        <v>0</v>
      </c>
      <c r="I27" s="56">
        <f t="shared" si="0"/>
        <v>55586128.810000002</v>
      </c>
      <c r="J27" s="53">
        <f>I27/$I$25</f>
        <v>0.57352751292826198</v>
      </c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53156477.630000003</v>
      </c>
      <c r="H28" s="59">
        <f>SUM(H29:H34)</f>
        <v>0</v>
      </c>
      <c r="I28" s="59">
        <f t="shared" si="0"/>
        <v>53156477.630000003</v>
      </c>
      <c r="J28" s="60">
        <f>I28/$I$25</f>
        <v>0.5484588163239047</v>
      </c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'[2]CUENTA T FONDO 100'!A116</f>
        <v>53156477.630000003</v>
      </c>
      <c r="H29" s="64">
        <f>'[2]CUENTA T VS'!A96</f>
        <v>0</v>
      </c>
      <c r="I29" s="64">
        <f t="shared" si="0"/>
        <v>53156477.630000003</v>
      </c>
      <c r="J29" s="65">
        <f t="shared" ref="J29:J34" si="1">I29/$I$25</f>
        <v>0.5484588163239047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'[2]CUENTA T FONDO 100'!B116</f>
        <v>0</v>
      </c>
      <c r="H30" s="64">
        <f>'[2]CUENTA T VS'!B96</f>
        <v>0</v>
      </c>
      <c r="I30" s="64">
        <f t="shared" si="0"/>
        <v>0</v>
      </c>
      <c r="J30" s="65">
        <f>I30/$I$25</f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'[2]CUENTA T FONDO 100'!C116</f>
        <v>0</v>
      </c>
      <c r="H31" s="64">
        <f>'[2]CUENTA T VS'!C96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'[2]CUENTA T FONDO 100'!D116</f>
        <v>0</v>
      </c>
      <c r="H32" s="64">
        <f>'[2]CUENTA T VS'!D96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'[2]CUENTA T FONDO 100'!E116</f>
        <v>0</v>
      </c>
      <c r="H33" s="64">
        <f>'[2]CUENTA T VS'!E96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'[2]CUENTA T FONDO 100'!F116</f>
        <v>0</v>
      </c>
      <c r="H34" s="64">
        <f>'[2]CUENTA T VS'!F96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1096531.03</v>
      </c>
      <c r="H35" s="59">
        <f>SUM(H36:H41)</f>
        <v>0</v>
      </c>
      <c r="I35" s="59">
        <f t="shared" si="0"/>
        <v>1096531.03</v>
      </c>
      <c r="J35" s="68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'[2]CUENTA T FONDO 100'!G116</f>
        <v>0</v>
      </c>
      <c r="H36" s="64">
        <f>'[2]CUENTA T VS'!G96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'[2]CUENTA T FONDO 100'!H116</f>
        <v>0</v>
      </c>
      <c r="H37" s="64">
        <f>'[2]CUENTA T VS'!H96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'[2]CUENTA T FONDO 100'!I116</f>
        <v>0</v>
      </c>
      <c r="H38" s="64">
        <f>'[2]CUENTA T VS'!I96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'[2]CUENTA T FONDO 100'!J116</f>
        <v>1096531.03</v>
      </c>
      <c r="H39" s="64">
        <f>'[2]CUENTA T VS'!J96</f>
        <v>0</v>
      </c>
      <c r="I39" s="64">
        <f t="shared" si="0"/>
        <v>1096531.03</v>
      </c>
      <c r="J39" s="65">
        <f t="shared" si="2"/>
        <v>1.1313806662705164E-2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'[2]CUENTA T FONDO 100'!K116</f>
        <v>0</v>
      </c>
      <c r="H40" s="64">
        <f>'[2]CUENTA T VS'!K96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'[2]CUENTA T FONDO 100'!L116</f>
        <v>0</v>
      </c>
      <c r="H41" s="64">
        <f>'[2]CUENTA T VS'!L96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8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'[2]CUENTA T FONDO 100'!M116</f>
        <v>0</v>
      </c>
      <c r="H43" s="64">
        <f>'[2]CUENTA T VS'!M96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8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'[2]CUENTA T FONDO 100'!N116</f>
        <v>0</v>
      </c>
      <c r="H45" s="64">
        <f>'[2]CUENTA T VS'!N96</f>
        <v>0</v>
      </c>
      <c r="I45" s="64">
        <f t="shared" si="0"/>
        <v>0</v>
      </c>
      <c r="J45" s="65">
        <f>I45/$I$25</f>
        <v>0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1333120.1499999999</v>
      </c>
      <c r="H46" s="59">
        <f>SUM(H47:H50)</f>
        <v>0</v>
      </c>
      <c r="I46" s="59">
        <f t="shared" si="0"/>
        <v>1333120.1499999999</v>
      </c>
      <c r="J46" s="68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'[2]CUENTA T FONDO 100'!O116</f>
        <v>815000</v>
      </c>
      <c r="H47" s="64">
        <f>'[2]CUENTA T VS'!O96</f>
        <v>0</v>
      </c>
      <c r="I47" s="64">
        <f t="shared" si="0"/>
        <v>815000</v>
      </c>
      <c r="J47" s="65">
        <f>I47/$I$25</f>
        <v>8.4090209741759046E-3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'[2]CUENTA T FONDO 100'!P116</f>
        <v>0</v>
      </c>
      <c r="H48" s="64">
        <f>'[2]CUENTA T VS'!P96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'[2]CUENTA T FONDO 100'!Q116</f>
        <v>0</v>
      </c>
      <c r="H49" s="64">
        <f>'[2]CUENTA T VS'!Q96</f>
        <v>0</v>
      </c>
      <c r="I49" s="64">
        <f t="shared" si="0"/>
        <v>0</v>
      </c>
      <c r="J49" s="65">
        <f>I49/$I$25</f>
        <v>0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'[2]CUENTA T FONDO 100'!R116</f>
        <v>518120.15</v>
      </c>
      <c r="H50" s="64">
        <f>'[2]CUENTA T VS'!R96</f>
        <v>0</v>
      </c>
      <c r="I50" s="64">
        <f t="shared" si="0"/>
        <v>518120.15</v>
      </c>
      <c r="J50" s="65">
        <f>I50/$I$25</f>
        <v>5.3458689674762772E-3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9" t="s">
        <v>63</v>
      </c>
      <c r="G51" s="56">
        <f>+G52+G54</f>
        <v>3197999.6</v>
      </c>
      <c r="H51" s="56">
        <f>+H52+H54</f>
        <v>0</v>
      </c>
      <c r="I51" s="56">
        <f t="shared" si="0"/>
        <v>3197999.6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2752136.5</v>
      </c>
      <c r="H52" s="59">
        <f>SUM(H53)</f>
        <v>0</v>
      </c>
      <c r="I52" s="59">
        <f t="shared" si="0"/>
        <v>2752136.5</v>
      </c>
      <c r="J52" s="68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'[2]CUENTA T FONDO 100'!S116</f>
        <v>2752136.5</v>
      </c>
      <c r="H53" s="64">
        <f>'[2]CUENTA T VS'!S96</f>
        <v>0</v>
      </c>
      <c r="I53" s="64">
        <f t="shared" si="0"/>
        <v>2752136.5</v>
      </c>
      <c r="J53" s="65">
        <f>I53/$I$25</f>
        <v>2.8396041168460201E-2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445863.1</v>
      </c>
      <c r="H54" s="59">
        <f>SUM(H55:H63)</f>
        <v>0</v>
      </c>
      <c r="I54" s="59">
        <f t="shared" si="0"/>
        <v>445863.1</v>
      </c>
      <c r="J54" s="68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'[2]CUENTA T FONDO 100'!T116</f>
        <v>0</v>
      </c>
      <c r="H55" s="64">
        <f>'[2]CUENTA T VS'!T96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70" t="s">
        <v>67</v>
      </c>
      <c r="G56" s="64">
        <f>'[2]CUENTA T FONDO 100'!U116</f>
        <v>0</v>
      </c>
      <c r="H56" s="64">
        <f>'[2]CUENTA T VS'!U96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'[2]CUENTA T FONDO 100'!V116</f>
        <v>0</v>
      </c>
      <c r="H57" s="64">
        <f>'[2]CUENTA T VS'!V96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'[2]CUENTA T FONDO 100'!W116</f>
        <v>45000</v>
      </c>
      <c r="H58" s="64">
        <f>'[2]CUENTA T VS'!W96</f>
        <v>0</v>
      </c>
      <c r="I58" s="64">
        <f t="shared" si="0"/>
        <v>45000</v>
      </c>
      <c r="J58" s="65">
        <f t="shared" si="3"/>
        <v>4.6430177158026466E-4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'[2]CUENTA T FONDO 100'!X116</f>
        <v>0</v>
      </c>
      <c r="H59" s="64">
        <f>'[2]CUENTA T VS'!X96</f>
        <v>0</v>
      </c>
      <c r="I59" s="64">
        <f t="shared" si="0"/>
        <v>0</v>
      </c>
      <c r="J59" s="65">
        <f t="shared" si="3"/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'[2]CUENTA T FONDO 100'!Y116</f>
        <v>0</v>
      </c>
      <c r="H60" s="64">
        <f>'[2]CUENTA T VS'!Y96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'[2]CUENTA T FONDO 100'!Z116</f>
        <v>331200</v>
      </c>
      <c r="H61" s="64">
        <f>'[2]CUENTA T VS'!Z96</f>
        <v>0</v>
      </c>
      <c r="I61" s="64">
        <f t="shared" si="0"/>
        <v>331200</v>
      </c>
      <c r="J61" s="65">
        <f t="shared" si="3"/>
        <v>3.4172610388307481E-3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'[2]CUENTA T FONDO 100'!AA116</f>
        <v>0</v>
      </c>
      <c r="H62" s="64">
        <f>'[2]CUENTA T VS'!AA96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70" t="s">
        <v>75</v>
      </c>
      <c r="G63" s="64">
        <f>'[2]CUENTA T FONDO 100'!AB116</f>
        <v>69663.099999999991</v>
      </c>
      <c r="H63" s="64">
        <f>'[2]CUENTA T VS'!AB96</f>
        <v>0</v>
      </c>
      <c r="I63" s="64">
        <f t="shared" si="0"/>
        <v>69663.099999999991</v>
      </c>
      <c r="J63" s="65">
        <f t="shared" si="3"/>
        <v>7.1877112763940295E-4</v>
      </c>
    </row>
    <row r="64" spans="1:10" x14ac:dyDescent="0.2">
      <c r="A64" s="71">
        <v>2</v>
      </c>
      <c r="B64" s="55">
        <v>1</v>
      </c>
      <c r="C64" s="55">
        <v>3</v>
      </c>
      <c r="D64" s="55"/>
      <c r="E64" s="55"/>
      <c r="F64" s="72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3">
        <v>2</v>
      </c>
      <c r="B65" s="58">
        <v>1</v>
      </c>
      <c r="C65" s="58">
        <v>3</v>
      </c>
      <c r="D65" s="58">
        <v>1</v>
      </c>
      <c r="E65" s="58"/>
      <c r="F65" s="74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8"/>
    </row>
    <row r="66" spans="1:10" x14ac:dyDescent="0.2">
      <c r="A66" s="75">
        <v>2</v>
      </c>
      <c r="B66" s="62">
        <v>1</v>
      </c>
      <c r="C66" s="62">
        <v>3</v>
      </c>
      <c r="D66" s="62">
        <v>1</v>
      </c>
      <c r="E66" s="63" t="s">
        <v>35</v>
      </c>
      <c r="F66" s="76" t="s">
        <v>78</v>
      </c>
      <c r="G66" s="64">
        <f>'[2]CUENTA T FONDO 100'!AC116</f>
        <v>0</v>
      </c>
      <c r="H66" s="64">
        <f>'[2]CUENTA T VS'!AC96</f>
        <v>0</v>
      </c>
      <c r="I66" s="64">
        <f t="shared" si="0"/>
        <v>0</v>
      </c>
      <c r="J66" s="65">
        <f>I66/$I$25</f>
        <v>0</v>
      </c>
    </row>
    <row r="67" spans="1:10" x14ac:dyDescent="0.2">
      <c r="A67" s="75">
        <v>2</v>
      </c>
      <c r="B67" s="62">
        <v>1</v>
      </c>
      <c r="C67" s="62">
        <v>3</v>
      </c>
      <c r="D67" s="62">
        <v>1</v>
      </c>
      <c r="E67" s="63" t="s">
        <v>37</v>
      </c>
      <c r="F67" s="76" t="s">
        <v>79</v>
      </c>
      <c r="G67" s="64">
        <f>'[2]CUENTA T FONDO 100'!AD116</f>
        <v>0</v>
      </c>
      <c r="H67" s="64">
        <f>'[2]CUENTA T VS'!AD96</f>
        <v>0</v>
      </c>
      <c r="I67" s="64">
        <f t="shared" si="0"/>
        <v>0</v>
      </c>
      <c r="J67" s="65">
        <f>I67/$I$25</f>
        <v>0</v>
      </c>
    </row>
    <row r="68" spans="1:10" x14ac:dyDescent="0.2">
      <c r="A68" s="73">
        <v>2</v>
      </c>
      <c r="B68" s="58">
        <v>1</v>
      </c>
      <c r="C68" s="58">
        <v>3</v>
      </c>
      <c r="D68" s="58">
        <v>2</v>
      </c>
      <c r="E68" s="58"/>
      <c r="F68" s="74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8"/>
    </row>
    <row r="69" spans="1:10" x14ac:dyDescent="0.2">
      <c r="A69" s="75">
        <v>2</v>
      </c>
      <c r="B69" s="62">
        <v>1</v>
      </c>
      <c r="C69" s="62">
        <v>3</v>
      </c>
      <c r="D69" s="62">
        <v>2</v>
      </c>
      <c r="E69" s="63" t="s">
        <v>35</v>
      </c>
      <c r="F69" s="76" t="s">
        <v>81</v>
      </c>
      <c r="G69" s="64">
        <f>'[2]CUENTA T FONDO 100'!AE116</f>
        <v>0</v>
      </c>
      <c r="H69" s="64">
        <f>'[2]CUENTA T VS'!AE96</f>
        <v>0</v>
      </c>
      <c r="I69" s="64">
        <f t="shared" si="0"/>
        <v>0</v>
      </c>
      <c r="J69" s="65">
        <f>I69/$I$25</f>
        <v>0</v>
      </c>
    </row>
    <row r="70" spans="1:10" x14ac:dyDescent="0.2">
      <c r="A70" s="75">
        <v>2</v>
      </c>
      <c r="B70" s="62">
        <v>1</v>
      </c>
      <c r="C70" s="62">
        <v>3</v>
      </c>
      <c r="D70" s="62">
        <v>2</v>
      </c>
      <c r="E70" s="63" t="s">
        <v>37</v>
      </c>
      <c r="F70" s="76" t="s">
        <v>82</v>
      </c>
      <c r="G70" s="64">
        <f>'[2]CUENTA T FONDO 100'!AF116</f>
        <v>0</v>
      </c>
      <c r="H70" s="64">
        <f>'[2]CUENTA T VS'!AF96</f>
        <v>0</v>
      </c>
      <c r="I70" s="64">
        <f t="shared" si="0"/>
        <v>0</v>
      </c>
      <c r="J70" s="65">
        <f>I70/$I$25</f>
        <v>0</v>
      </c>
    </row>
    <row r="71" spans="1:10" x14ac:dyDescent="0.2">
      <c r="A71" s="71">
        <v>2</v>
      </c>
      <c r="B71" s="55">
        <v>1</v>
      </c>
      <c r="C71" s="55">
        <v>4</v>
      </c>
      <c r="D71" s="55"/>
      <c r="E71" s="55"/>
      <c r="F71" s="72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8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'[2]CUENTA T FONDO 100'!AG116</f>
        <v>0</v>
      </c>
      <c r="H73" s="64">
        <f>'[2]CUENTA T VS'!AG96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8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'[2]CUENTA T FONDO 100'!AH116</f>
        <v>0</v>
      </c>
      <c r="H75" s="64">
        <f>'[2]CUENTA T VS'!AH96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'[2]CUENTA T FONDO 100'!AI116</f>
        <v>0</v>
      </c>
      <c r="H76" s="64">
        <f>'[2]CUENTA T VS'!AI96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'[2]CUENTA T FONDO 100'!AJ116</f>
        <v>0</v>
      </c>
      <c r="H77" s="64">
        <f>'[2]CUENTA T VS'!AJ96</f>
        <v>0</v>
      </c>
      <c r="I77" s="64">
        <f t="shared" si="0"/>
        <v>0</v>
      </c>
      <c r="J77" s="65">
        <f>I77/$I$25</f>
        <v>0</v>
      </c>
    </row>
    <row r="78" spans="1:10" x14ac:dyDescent="0.2">
      <c r="A78" s="71">
        <v>2</v>
      </c>
      <c r="B78" s="55">
        <v>1</v>
      </c>
      <c r="C78" s="55">
        <v>5</v>
      </c>
      <c r="D78" s="55"/>
      <c r="E78" s="55"/>
      <c r="F78" s="72" t="s">
        <v>89</v>
      </c>
      <c r="G78" s="56">
        <f>+G79+G81+G83+G85</f>
        <v>8347807.5299999993</v>
      </c>
      <c r="H78" s="56">
        <f>+H79+H81+H83+H85</f>
        <v>0</v>
      </c>
      <c r="I78" s="56">
        <f t="shared" si="0"/>
        <v>8347807.5299999993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3846540.61</v>
      </c>
      <c r="H79" s="59">
        <f>SUM(H80)</f>
        <v>0</v>
      </c>
      <c r="I79" s="59">
        <f t="shared" si="0"/>
        <v>3846540.61</v>
      </c>
      <c r="J79" s="68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'[2]CUENTA T FONDO 100'!AK116</f>
        <v>3846540.61</v>
      </c>
      <c r="H80" s="64">
        <f>'[2]CUENTA T VS'!AK96</f>
        <v>0</v>
      </c>
      <c r="I80" s="64">
        <f t="shared" si="0"/>
        <v>3846540.61</v>
      </c>
      <c r="J80" s="65">
        <f>I80/$I$25</f>
        <v>3.9687902659520706E-2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3851964.0700000003</v>
      </c>
      <c r="H81" s="59">
        <f>SUM(H82)</f>
        <v>0</v>
      </c>
      <c r="I81" s="59">
        <f t="shared" si="0"/>
        <v>3851964.0700000003</v>
      </c>
      <c r="J81" s="68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'[2]CUENTA T FONDO 100'!AL116</f>
        <v>3851964.0700000003</v>
      </c>
      <c r="H82" s="64">
        <f>'[2]CUENTA T VS'!AL96</f>
        <v>0</v>
      </c>
      <c r="I82" s="64">
        <f t="shared" si="0"/>
        <v>3851964.0700000003</v>
      </c>
      <c r="J82" s="65">
        <f>I82/$I$25</f>
        <v>3.9743860928100595E-2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649302.85000000009</v>
      </c>
      <c r="H83" s="59">
        <f>SUM(H84)</f>
        <v>0</v>
      </c>
      <c r="I83" s="59">
        <f t="shared" si="0"/>
        <v>649302.85000000009</v>
      </c>
      <c r="J83" s="68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'[2]CUENTA T FONDO 100'!AM116</f>
        <v>649302.85000000009</v>
      </c>
      <c r="H84" s="64">
        <f>'[2]CUENTA T VS'!AM96</f>
        <v>0</v>
      </c>
      <c r="I84" s="64">
        <f t="shared" si="0"/>
        <v>649302.85000000009</v>
      </c>
      <c r="J84" s="65">
        <f>I84/$I$25</f>
        <v>6.6993880788247754E-3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8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'[2]CUENTA T FONDO 100'!AN116</f>
        <v>0</v>
      </c>
      <c r="H86" s="64">
        <f>'[2]CUENTA T VS'!AN96</f>
        <v>0</v>
      </c>
      <c r="I86" s="64">
        <f t="shared" si="0"/>
        <v>0</v>
      </c>
      <c r="J86" s="65">
        <f>I86/$I$25</f>
        <v>0</v>
      </c>
    </row>
    <row r="87" spans="1:10" x14ac:dyDescent="0.2">
      <c r="A87" s="71">
        <v>2</v>
      </c>
      <c r="B87" s="77">
        <v>2</v>
      </c>
      <c r="C87" s="55"/>
      <c r="D87" s="55"/>
      <c r="E87" s="55"/>
      <c r="F87" s="72" t="s">
        <v>94</v>
      </c>
      <c r="G87" s="56">
        <f>G88+G106+G111+G116+G125+G148+G157+G179+G208</f>
        <v>1336968.6400000001</v>
      </c>
      <c r="H87" s="56">
        <f>H88+H106+H111+H116+H125+H148+H157+H179+H208</f>
        <v>1213383.3500000001</v>
      </c>
      <c r="I87" s="56">
        <f t="shared" si="0"/>
        <v>2550351.9900000002</v>
      </c>
      <c r="J87" s="53">
        <f>I87/$I$25</f>
        <v>2.6314065491338967E-2</v>
      </c>
    </row>
    <row r="88" spans="1:10" x14ac:dyDescent="0.2">
      <c r="A88" s="71">
        <v>2</v>
      </c>
      <c r="B88" s="55">
        <v>2</v>
      </c>
      <c r="C88" s="55">
        <v>1</v>
      </c>
      <c r="D88" s="55"/>
      <c r="E88" s="55"/>
      <c r="F88" s="72" t="s">
        <v>95</v>
      </c>
      <c r="G88" s="56">
        <f>+G89+G91+G93+G95+G97+G99+G102+G104</f>
        <v>0</v>
      </c>
      <c r="H88" s="56">
        <f>+H89+H91+H93+H95+H97+H99+H102+H104</f>
        <v>259054.40000000002</v>
      </c>
      <c r="I88" s="56">
        <f t="shared" si="0"/>
        <v>259054.40000000002</v>
      </c>
      <c r="J88" s="53"/>
    </row>
    <row r="89" spans="1:10" x14ac:dyDescent="0.2">
      <c r="A89" s="73">
        <v>2</v>
      </c>
      <c r="B89" s="58">
        <v>2</v>
      </c>
      <c r="C89" s="58">
        <v>1</v>
      </c>
      <c r="D89" s="58">
        <v>1</v>
      </c>
      <c r="E89" s="58"/>
      <c r="F89" s="74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8"/>
    </row>
    <row r="90" spans="1:10" x14ac:dyDescent="0.2">
      <c r="A90" s="75">
        <v>2</v>
      </c>
      <c r="B90" s="62">
        <v>2</v>
      </c>
      <c r="C90" s="62">
        <v>1</v>
      </c>
      <c r="D90" s="62">
        <v>1</v>
      </c>
      <c r="E90" s="63" t="s">
        <v>35</v>
      </c>
      <c r="F90" s="76" t="s">
        <v>96</v>
      </c>
      <c r="G90" s="64">
        <f>'[2]CUENTA T FONDO 100'!AO116</f>
        <v>0</v>
      </c>
      <c r="H90" s="64">
        <f>'[2]CUENTA T VS'!AO96</f>
        <v>0</v>
      </c>
      <c r="I90" s="64">
        <f t="shared" si="4"/>
        <v>0</v>
      </c>
      <c r="J90" s="65">
        <f>I90/$I$25</f>
        <v>0</v>
      </c>
    </row>
    <row r="91" spans="1:10" x14ac:dyDescent="0.2">
      <c r="A91" s="73">
        <v>2</v>
      </c>
      <c r="B91" s="58">
        <v>2</v>
      </c>
      <c r="C91" s="58">
        <v>1</v>
      </c>
      <c r="D91" s="58">
        <v>2</v>
      </c>
      <c r="E91" s="58"/>
      <c r="F91" s="74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8"/>
    </row>
    <row r="92" spans="1:10" x14ac:dyDescent="0.2">
      <c r="A92" s="75">
        <v>2</v>
      </c>
      <c r="B92" s="62">
        <v>2</v>
      </c>
      <c r="C92" s="62">
        <v>1</v>
      </c>
      <c r="D92" s="62">
        <v>2</v>
      </c>
      <c r="E92" s="63" t="s">
        <v>35</v>
      </c>
      <c r="F92" s="76" t="s">
        <v>97</v>
      </c>
      <c r="G92" s="64">
        <f>'[2]CUENTA T FONDO 100'!AP116</f>
        <v>0</v>
      </c>
      <c r="H92" s="64">
        <f>'[2]CUENTA T VS'!AP96</f>
        <v>0</v>
      </c>
      <c r="I92" s="64">
        <f t="shared" si="4"/>
        <v>0</v>
      </c>
      <c r="J92" s="65">
        <f>I92/$I$25</f>
        <v>0</v>
      </c>
    </row>
    <row r="93" spans="1:10" x14ac:dyDescent="0.2">
      <c r="A93" s="73">
        <v>2</v>
      </c>
      <c r="B93" s="58">
        <v>2</v>
      </c>
      <c r="C93" s="58">
        <v>1</v>
      </c>
      <c r="D93" s="58">
        <v>3</v>
      </c>
      <c r="E93" s="58"/>
      <c r="F93" s="74" t="s">
        <v>98</v>
      </c>
      <c r="G93" s="59">
        <f>SUM(G94)</f>
        <v>0</v>
      </c>
      <c r="H93" s="59">
        <f>SUM(H94)</f>
        <v>259054.40000000002</v>
      </c>
      <c r="I93" s="59">
        <f t="shared" si="4"/>
        <v>259054.40000000002</v>
      </c>
      <c r="J93" s="68"/>
    </row>
    <row r="94" spans="1:10" x14ac:dyDescent="0.2">
      <c r="A94" s="75">
        <v>2</v>
      </c>
      <c r="B94" s="62">
        <v>2</v>
      </c>
      <c r="C94" s="62">
        <v>1</v>
      </c>
      <c r="D94" s="62">
        <v>3</v>
      </c>
      <c r="E94" s="63" t="s">
        <v>35</v>
      </c>
      <c r="F94" s="76" t="s">
        <v>98</v>
      </c>
      <c r="G94" s="64">
        <f>'[2]CUENTA T FONDO 100'!AQ116</f>
        <v>0</v>
      </c>
      <c r="H94" s="64">
        <f>'[2]CUENTA T VS'!AQ96</f>
        <v>259054.40000000002</v>
      </c>
      <c r="I94" s="64">
        <f t="shared" si="4"/>
        <v>259054.40000000002</v>
      </c>
      <c r="J94" s="65">
        <f>I94/$I$25</f>
        <v>2.6728759301258339E-3</v>
      </c>
    </row>
    <row r="95" spans="1:10" x14ac:dyDescent="0.2">
      <c r="A95" s="73">
        <v>2</v>
      </c>
      <c r="B95" s="58">
        <v>2</v>
      </c>
      <c r="C95" s="58">
        <v>1</v>
      </c>
      <c r="D95" s="58">
        <v>4</v>
      </c>
      <c r="E95" s="58"/>
      <c r="F95" s="74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8"/>
    </row>
    <row r="96" spans="1:10" x14ac:dyDescent="0.2">
      <c r="A96" s="75">
        <v>2</v>
      </c>
      <c r="B96" s="62">
        <v>2</v>
      </c>
      <c r="C96" s="62">
        <v>1</v>
      </c>
      <c r="D96" s="62">
        <v>4</v>
      </c>
      <c r="E96" s="63" t="s">
        <v>35</v>
      </c>
      <c r="F96" s="76" t="s">
        <v>99</v>
      </c>
      <c r="G96" s="64">
        <f>'[2]CUENTA T FONDO 100'!AR116</f>
        <v>0</v>
      </c>
      <c r="H96" s="64">
        <f>'[2]CUENTA T VS'!AR96</f>
        <v>0</v>
      </c>
      <c r="I96" s="64">
        <f t="shared" si="4"/>
        <v>0</v>
      </c>
      <c r="J96" s="65">
        <f>I96/$I$25</f>
        <v>0</v>
      </c>
    </row>
    <row r="97" spans="1:10" x14ac:dyDescent="0.2">
      <c r="A97" s="73">
        <v>2</v>
      </c>
      <c r="B97" s="58">
        <v>2</v>
      </c>
      <c r="C97" s="58">
        <v>1</v>
      </c>
      <c r="D97" s="58">
        <v>5</v>
      </c>
      <c r="E97" s="58"/>
      <c r="F97" s="74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8"/>
    </row>
    <row r="98" spans="1:10" x14ac:dyDescent="0.2">
      <c r="A98" s="75">
        <v>2</v>
      </c>
      <c r="B98" s="62">
        <v>2</v>
      </c>
      <c r="C98" s="62">
        <v>1</v>
      </c>
      <c r="D98" s="62">
        <v>5</v>
      </c>
      <c r="E98" s="63" t="s">
        <v>35</v>
      </c>
      <c r="F98" s="76" t="s">
        <v>100</v>
      </c>
      <c r="G98" s="64">
        <f>'[2]CUENTA T FONDO 100'!AS116</f>
        <v>0</v>
      </c>
      <c r="H98" s="64">
        <f>'[2]CUENTA T VS'!AS96</f>
        <v>0</v>
      </c>
      <c r="I98" s="64">
        <f t="shared" si="4"/>
        <v>0</v>
      </c>
      <c r="J98" s="65">
        <f>I98/$I$25</f>
        <v>0</v>
      </c>
    </row>
    <row r="99" spans="1:10" x14ac:dyDescent="0.2">
      <c r="A99" s="73">
        <v>2</v>
      </c>
      <c r="B99" s="58">
        <v>2</v>
      </c>
      <c r="C99" s="58">
        <v>1</v>
      </c>
      <c r="D99" s="58">
        <v>6</v>
      </c>
      <c r="E99" s="58"/>
      <c r="F99" s="74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8"/>
    </row>
    <row r="100" spans="1:10" x14ac:dyDescent="0.2">
      <c r="A100" s="75">
        <v>2</v>
      </c>
      <c r="B100" s="62">
        <v>2</v>
      </c>
      <c r="C100" s="62">
        <v>1</v>
      </c>
      <c r="D100" s="62">
        <v>6</v>
      </c>
      <c r="E100" s="63" t="s">
        <v>35</v>
      </c>
      <c r="F100" s="76" t="s">
        <v>102</v>
      </c>
      <c r="G100" s="64">
        <f>'[2]CUENTA T FONDO 100'!AT116</f>
        <v>0</v>
      </c>
      <c r="H100" s="64">
        <f>'[2]CUENTA T VS'!AT96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5">
        <v>2</v>
      </c>
      <c r="B101" s="62">
        <v>2</v>
      </c>
      <c r="C101" s="62">
        <v>1</v>
      </c>
      <c r="D101" s="62">
        <v>6</v>
      </c>
      <c r="E101" s="63" t="s">
        <v>37</v>
      </c>
      <c r="F101" s="76" t="s">
        <v>103</v>
      </c>
      <c r="G101" s="64">
        <f>'[2]CUENTA T FONDO 100'!AU116</f>
        <v>0</v>
      </c>
      <c r="H101" s="64">
        <f>'[2]CUENTA T VS'!AU96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3">
        <v>2</v>
      </c>
      <c r="B102" s="58">
        <v>2</v>
      </c>
      <c r="C102" s="58">
        <v>1</v>
      </c>
      <c r="D102" s="58">
        <v>7</v>
      </c>
      <c r="E102" s="58"/>
      <c r="F102" s="74" t="s">
        <v>104</v>
      </c>
      <c r="G102" s="59">
        <f>SUM(G103)</f>
        <v>0</v>
      </c>
      <c r="H102" s="59">
        <f>SUM(H103)</f>
        <v>0</v>
      </c>
      <c r="I102" s="59">
        <f t="shared" si="4"/>
        <v>0</v>
      </c>
      <c r="J102" s="68"/>
    </row>
    <row r="103" spans="1:10" x14ac:dyDescent="0.2">
      <c r="A103" s="75">
        <v>2</v>
      </c>
      <c r="B103" s="62">
        <v>2</v>
      </c>
      <c r="C103" s="62">
        <v>1</v>
      </c>
      <c r="D103" s="62">
        <v>7</v>
      </c>
      <c r="E103" s="63" t="s">
        <v>35</v>
      </c>
      <c r="F103" s="76" t="s">
        <v>104</v>
      </c>
      <c r="G103" s="64">
        <f>'[2]CUENTA T FONDO 100'!AV116</f>
        <v>0</v>
      </c>
      <c r="H103" s="64">
        <f>'[2]CUENTA T VS'!AV96</f>
        <v>0</v>
      </c>
      <c r="I103" s="64">
        <f t="shared" si="4"/>
        <v>0</v>
      </c>
      <c r="J103" s="65">
        <f>I103/$I$25</f>
        <v>0</v>
      </c>
    </row>
    <row r="104" spans="1:10" x14ac:dyDescent="0.2">
      <c r="A104" s="73">
        <v>2</v>
      </c>
      <c r="B104" s="58">
        <v>2</v>
      </c>
      <c r="C104" s="58">
        <v>1</v>
      </c>
      <c r="D104" s="58">
        <v>8</v>
      </c>
      <c r="E104" s="58"/>
      <c r="F104" s="74" t="s">
        <v>105</v>
      </c>
      <c r="G104" s="59">
        <f>SUM(G105)</f>
        <v>0</v>
      </c>
      <c r="H104" s="59">
        <f>SUM(H105)</f>
        <v>0</v>
      </c>
      <c r="I104" s="59">
        <f t="shared" si="4"/>
        <v>0</v>
      </c>
      <c r="J104" s="68"/>
    </row>
    <row r="105" spans="1:10" x14ac:dyDescent="0.2">
      <c r="A105" s="75">
        <v>2</v>
      </c>
      <c r="B105" s="62">
        <v>2</v>
      </c>
      <c r="C105" s="62">
        <v>1</v>
      </c>
      <c r="D105" s="62">
        <v>8</v>
      </c>
      <c r="E105" s="63" t="s">
        <v>35</v>
      </c>
      <c r="F105" s="76" t="s">
        <v>105</v>
      </c>
      <c r="G105" s="64">
        <f>'[2]CUENTA T FONDO 100'!AW116</f>
        <v>0</v>
      </c>
      <c r="H105" s="64">
        <f>'[2]CUENTA T VS'!AW96</f>
        <v>0</v>
      </c>
      <c r="I105" s="64">
        <f t="shared" si="4"/>
        <v>0</v>
      </c>
      <c r="J105" s="65">
        <f>I105/$I$25</f>
        <v>0</v>
      </c>
    </row>
    <row r="106" spans="1:10" x14ac:dyDescent="0.2">
      <c r="A106" s="71">
        <v>2</v>
      </c>
      <c r="B106" s="55">
        <v>2</v>
      </c>
      <c r="C106" s="55">
        <v>2</v>
      </c>
      <c r="D106" s="55"/>
      <c r="E106" s="55"/>
      <c r="F106" s="72" t="s">
        <v>106</v>
      </c>
      <c r="G106" s="56">
        <f>+G107+G109</f>
        <v>324206.83</v>
      </c>
      <c r="H106" s="56">
        <f>+H107+H109</f>
        <v>0</v>
      </c>
      <c r="I106" s="56">
        <f t="shared" si="4"/>
        <v>324206.83</v>
      </c>
      <c r="J106" s="53"/>
    </row>
    <row r="107" spans="1:10" x14ac:dyDescent="0.2">
      <c r="A107" s="73">
        <v>2</v>
      </c>
      <c r="B107" s="58">
        <v>2</v>
      </c>
      <c r="C107" s="58">
        <v>2</v>
      </c>
      <c r="D107" s="58">
        <v>1</v>
      </c>
      <c r="E107" s="58"/>
      <c r="F107" s="74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8"/>
    </row>
    <row r="108" spans="1:10" x14ac:dyDescent="0.2">
      <c r="A108" s="75">
        <v>2</v>
      </c>
      <c r="B108" s="62">
        <v>2</v>
      </c>
      <c r="C108" s="62">
        <v>2</v>
      </c>
      <c r="D108" s="62">
        <v>1</v>
      </c>
      <c r="E108" s="63" t="s">
        <v>35</v>
      </c>
      <c r="F108" s="76" t="s">
        <v>107</v>
      </c>
      <c r="G108" s="64">
        <f>'[2]CUENTA T FONDO 100'!AX116</f>
        <v>0</v>
      </c>
      <c r="H108" s="64">
        <f>'[2]CUENTA T VS'!AX96</f>
        <v>0</v>
      </c>
      <c r="I108" s="64">
        <f t="shared" si="4"/>
        <v>0</v>
      </c>
      <c r="J108" s="65">
        <f>I108/$I$25</f>
        <v>0</v>
      </c>
    </row>
    <row r="109" spans="1:10" x14ac:dyDescent="0.2">
      <c r="A109" s="73">
        <v>2</v>
      </c>
      <c r="B109" s="58">
        <v>2</v>
      </c>
      <c r="C109" s="58">
        <v>2</v>
      </c>
      <c r="D109" s="58">
        <v>2</v>
      </c>
      <c r="E109" s="58"/>
      <c r="F109" s="74" t="s">
        <v>108</v>
      </c>
      <c r="G109" s="59">
        <f>SUM(G110)</f>
        <v>324206.83</v>
      </c>
      <c r="H109" s="59">
        <f>SUM(H110)</f>
        <v>0</v>
      </c>
      <c r="I109" s="59">
        <f t="shared" si="4"/>
        <v>324206.83</v>
      </c>
      <c r="J109" s="68"/>
    </row>
    <row r="110" spans="1:10" x14ac:dyDescent="0.2">
      <c r="A110" s="75">
        <v>2</v>
      </c>
      <c r="B110" s="62">
        <v>2</v>
      </c>
      <c r="C110" s="62">
        <v>2</v>
      </c>
      <c r="D110" s="62">
        <v>2</v>
      </c>
      <c r="E110" s="63" t="s">
        <v>35</v>
      </c>
      <c r="F110" s="76" t="s">
        <v>108</v>
      </c>
      <c r="G110" s="64">
        <f>'[2]CUENTA T FONDO 100'!AY116</f>
        <v>324206.83</v>
      </c>
      <c r="H110" s="64">
        <f>'[2]CUENTA T VS'!AY96</f>
        <v>0</v>
      </c>
      <c r="I110" s="64">
        <f t="shared" si="4"/>
        <v>324206.83</v>
      </c>
      <c r="J110" s="65">
        <f>I110/$I$25</f>
        <v>3.3451067894982602E-3</v>
      </c>
    </row>
    <row r="111" spans="1:10" x14ac:dyDescent="0.2">
      <c r="A111" s="71">
        <v>2</v>
      </c>
      <c r="B111" s="55">
        <v>2</v>
      </c>
      <c r="C111" s="55">
        <v>3</v>
      </c>
      <c r="D111" s="55"/>
      <c r="E111" s="55"/>
      <c r="F111" s="72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3">
        <v>2</v>
      </c>
      <c r="B112" s="58">
        <v>2</v>
      </c>
      <c r="C112" s="58">
        <v>3</v>
      </c>
      <c r="D112" s="58">
        <v>1</v>
      </c>
      <c r="E112" s="58"/>
      <c r="F112" s="74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8"/>
    </row>
    <row r="113" spans="1:10" x14ac:dyDescent="0.2">
      <c r="A113" s="75">
        <v>2</v>
      </c>
      <c r="B113" s="62">
        <v>2</v>
      </c>
      <c r="C113" s="62">
        <v>3</v>
      </c>
      <c r="D113" s="62">
        <v>1</v>
      </c>
      <c r="E113" s="63" t="s">
        <v>35</v>
      </c>
      <c r="F113" s="76" t="s">
        <v>110</v>
      </c>
      <c r="G113" s="64">
        <f>'[2]CUENTA T FONDO 100'!AZ116</f>
        <v>0</v>
      </c>
      <c r="H113" s="64">
        <f>'[2]CUENTA T VS'!AZ96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3">
        <v>2</v>
      </c>
      <c r="B114" s="58">
        <v>2</v>
      </c>
      <c r="C114" s="58">
        <v>3</v>
      </c>
      <c r="D114" s="58">
        <v>2</v>
      </c>
      <c r="E114" s="58"/>
      <c r="F114" s="74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8"/>
    </row>
    <row r="115" spans="1:10" x14ac:dyDescent="0.2">
      <c r="A115" s="75">
        <v>2</v>
      </c>
      <c r="B115" s="62">
        <v>2</v>
      </c>
      <c r="C115" s="62">
        <v>3</v>
      </c>
      <c r="D115" s="62">
        <v>2</v>
      </c>
      <c r="E115" s="63" t="s">
        <v>35</v>
      </c>
      <c r="F115" s="76" t="s">
        <v>111</v>
      </c>
      <c r="G115" s="64">
        <f>'[2]CUENTA T FONDO 100'!BA116</f>
        <v>0</v>
      </c>
      <c r="H115" s="64">
        <f>'[2]CUENTA T VS'!BA96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1">
        <v>2</v>
      </c>
      <c r="B116" s="55">
        <v>2</v>
      </c>
      <c r="C116" s="55">
        <v>4</v>
      </c>
      <c r="D116" s="55"/>
      <c r="E116" s="55"/>
      <c r="F116" s="72" t="s">
        <v>112</v>
      </c>
      <c r="G116" s="56">
        <f>+G117+G119+G121+G123</f>
        <v>0</v>
      </c>
      <c r="H116" s="56">
        <f>+H117+H119+H121+H123</f>
        <v>24000</v>
      </c>
      <c r="I116" s="56">
        <f t="shared" si="4"/>
        <v>24000</v>
      </c>
      <c r="J116" s="53"/>
    </row>
    <row r="117" spans="1:10" x14ac:dyDescent="0.2">
      <c r="A117" s="73">
        <v>2</v>
      </c>
      <c r="B117" s="58">
        <v>2</v>
      </c>
      <c r="C117" s="58">
        <v>4</v>
      </c>
      <c r="D117" s="58">
        <v>1</v>
      </c>
      <c r="E117" s="58"/>
      <c r="F117" s="74" t="s">
        <v>113</v>
      </c>
      <c r="G117" s="59">
        <f>SUM(G118)</f>
        <v>0</v>
      </c>
      <c r="H117" s="59">
        <f>SUM(H118)</f>
        <v>0</v>
      </c>
      <c r="I117" s="59">
        <f t="shared" si="4"/>
        <v>0</v>
      </c>
      <c r="J117" s="68"/>
    </row>
    <row r="118" spans="1:10" x14ac:dyDescent="0.2">
      <c r="A118" s="75">
        <v>2</v>
      </c>
      <c r="B118" s="62">
        <v>2</v>
      </c>
      <c r="C118" s="62">
        <v>4</v>
      </c>
      <c r="D118" s="62">
        <v>1</v>
      </c>
      <c r="E118" s="63" t="s">
        <v>35</v>
      </c>
      <c r="F118" s="76" t="s">
        <v>113</v>
      </c>
      <c r="G118" s="64">
        <f>'[2]CUENTA T FONDO 100'!BB116</f>
        <v>0</v>
      </c>
      <c r="H118" s="64">
        <f>'[2]CUENTA T VS'!BB96</f>
        <v>0</v>
      </c>
      <c r="I118" s="64">
        <f t="shared" si="4"/>
        <v>0</v>
      </c>
      <c r="J118" s="65">
        <f>I118/$I$25</f>
        <v>0</v>
      </c>
    </row>
    <row r="119" spans="1:10" x14ac:dyDescent="0.2">
      <c r="A119" s="73">
        <v>2</v>
      </c>
      <c r="B119" s="58">
        <v>2</v>
      </c>
      <c r="C119" s="58">
        <v>4</v>
      </c>
      <c r="D119" s="58">
        <v>2</v>
      </c>
      <c r="E119" s="58"/>
      <c r="F119" s="74" t="s">
        <v>114</v>
      </c>
      <c r="G119" s="59">
        <f>SUM(G120)</f>
        <v>0</v>
      </c>
      <c r="H119" s="59">
        <f>SUM(H120)</f>
        <v>24000</v>
      </c>
      <c r="I119" s="59">
        <f t="shared" si="4"/>
        <v>24000</v>
      </c>
      <c r="J119" s="68"/>
    </row>
    <row r="120" spans="1:10" x14ac:dyDescent="0.2">
      <c r="A120" s="75">
        <v>2</v>
      </c>
      <c r="B120" s="62">
        <v>2</v>
      </c>
      <c r="C120" s="62">
        <v>4</v>
      </c>
      <c r="D120" s="62">
        <v>2</v>
      </c>
      <c r="E120" s="63" t="s">
        <v>35</v>
      </c>
      <c r="F120" s="76" t="s">
        <v>114</v>
      </c>
      <c r="G120" s="64">
        <f>'[2]CUENTA T FONDO 100'!BC116</f>
        <v>0</v>
      </c>
      <c r="H120" s="64">
        <f>'[2]CUENTA T VS'!BC96</f>
        <v>24000</v>
      </c>
      <c r="I120" s="64">
        <f t="shared" si="4"/>
        <v>24000</v>
      </c>
      <c r="J120" s="65">
        <f>I120/$I$25</f>
        <v>2.4762761150947451E-4</v>
      </c>
    </row>
    <row r="121" spans="1:10" x14ac:dyDescent="0.2">
      <c r="A121" s="73">
        <v>2</v>
      </c>
      <c r="B121" s="58">
        <v>2</v>
      </c>
      <c r="C121" s="58">
        <v>4</v>
      </c>
      <c r="D121" s="58">
        <v>3</v>
      </c>
      <c r="E121" s="58"/>
      <c r="F121" s="74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8"/>
    </row>
    <row r="122" spans="1:10" x14ac:dyDescent="0.2">
      <c r="A122" s="75">
        <v>2</v>
      </c>
      <c r="B122" s="62">
        <v>2</v>
      </c>
      <c r="C122" s="62">
        <v>4</v>
      </c>
      <c r="D122" s="62">
        <v>3</v>
      </c>
      <c r="E122" s="63" t="s">
        <v>35</v>
      </c>
      <c r="F122" s="76" t="s">
        <v>115</v>
      </c>
      <c r="G122" s="64">
        <f>'[2]CUENTA T FONDO 100'!BD116</f>
        <v>0</v>
      </c>
      <c r="H122" s="64">
        <f>'[2]CUENTA T VS'!BD96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3">
        <v>2</v>
      </c>
      <c r="B123" s="58">
        <v>2</v>
      </c>
      <c r="C123" s="58">
        <v>4</v>
      </c>
      <c r="D123" s="58">
        <v>4</v>
      </c>
      <c r="E123" s="58"/>
      <c r="F123" s="74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8"/>
    </row>
    <row r="124" spans="1:10" x14ac:dyDescent="0.2">
      <c r="A124" s="75">
        <v>2</v>
      </c>
      <c r="B124" s="62">
        <v>2</v>
      </c>
      <c r="C124" s="62">
        <v>4</v>
      </c>
      <c r="D124" s="62">
        <v>4</v>
      </c>
      <c r="E124" s="63" t="s">
        <v>35</v>
      </c>
      <c r="F124" s="76" t="s">
        <v>116</v>
      </c>
      <c r="G124" s="64">
        <f>'[2]CUENTA T FONDO 100'!BE116</f>
        <v>0</v>
      </c>
      <c r="H124" s="64">
        <f>'[2]CUENTA T VS'!BE96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2" t="s">
        <v>117</v>
      </c>
      <c r="G125" s="56">
        <f>+G126+G128+G130+G136+G138+G140+G142+G144+G146</f>
        <v>0</v>
      </c>
      <c r="H125" s="56">
        <f t="shared" ref="H125" si="5">+H126+H128+H130+H136+H138+H140+H142+H144+H146</f>
        <v>252960.9</v>
      </c>
      <c r="I125" s="56">
        <f t="shared" si="4"/>
        <v>252960.9</v>
      </c>
      <c r="J125" s="53"/>
    </row>
    <row r="126" spans="1:10" x14ac:dyDescent="0.2">
      <c r="A126" s="73">
        <v>2</v>
      </c>
      <c r="B126" s="58">
        <v>2</v>
      </c>
      <c r="C126" s="58">
        <v>5</v>
      </c>
      <c r="D126" s="58">
        <v>1</v>
      </c>
      <c r="E126" s="78"/>
      <c r="F126" s="74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8"/>
    </row>
    <row r="127" spans="1:10" x14ac:dyDescent="0.2">
      <c r="A127" s="75">
        <v>2</v>
      </c>
      <c r="B127" s="62">
        <v>2</v>
      </c>
      <c r="C127" s="62">
        <v>5</v>
      </c>
      <c r="D127" s="62">
        <v>1</v>
      </c>
      <c r="E127" s="63" t="s">
        <v>35</v>
      </c>
      <c r="F127" s="76" t="s">
        <v>118</v>
      </c>
      <c r="G127" s="64">
        <f>'[2]CUENTA T FONDO 100'!BF116</f>
        <v>0</v>
      </c>
      <c r="H127" s="64">
        <f>'[2]CUENTA T VS'!BF96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3">
        <v>2</v>
      </c>
      <c r="B128" s="58">
        <v>2</v>
      </c>
      <c r="C128" s="58">
        <v>5</v>
      </c>
      <c r="D128" s="58">
        <v>2</v>
      </c>
      <c r="E128" s="78"/>
      <c r="F128" s="74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8"/>
    </row>
    <row r="129" spans="1:10" x14ac:dyDescent="0.2">
      <c r="A129" s="75">
        <v>2</v>
      </c>
      <c r="B129" s="62">
        <v>2</v>
      </c>
      <c r="C129" s="62">
        <v>5</v>
      </c>
      <c r="D129" s="62">
        <v>2</v>
      </c>
      <c r="E129" s="63" t="s">
        <v>35</v>
      </c>
      <c r="F129" s="76" t="s">
        <v>120</v>
      </c>
      <c r="G129" s="64">
        <f>'[2]CUENTA T FONDO 100'!BG116</f>
        <v>0</v>
      </c>
      <c r="H129" s="64">
        <f>'[2]CUENTA T VS'!BG96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3">
        <v>2</v>
      </c>
      <c r="B130" s="58">
        <v>2</v>
      </c>
      <c r="C130" s="58">
        <v>5</v>
      </c>
      <c r="D130" s="58">
        <v>3</v>
      </c>
      <c r="E130" s="78"/>
      <c r="F130" s="74" t="s">
        <v>121</v>
      </c>
      <c r="G130" s="59">
        <f>SUM(G131:G135)</f>
        <v>0</v>
      </c>
      <c r="H130" s="59">
        <f>SUM(H131:H135)</f>
        <v>252960.9</v>
      </c>
      <c r="I130" s="59">
        <f t="shared" si="4"/>
        <v>252960.9</v>
      </c>
      <c r="J130" s="68"/>
    </row>
    <row r="131" spans="1:10" x14ac:dyDescent="0.2">
      <c r="A131" s="75">
        <v>2</v>
      </c>
      <c r="B131" s="62">
        <v>2</v>
      </c>
      <c r="C131" s="62">
        <v>5</v>
      </c>
      <c r="D131" s="62">
        <v>3</v>
      </c>
      <c r="E131" s="63" t="s">
        <v>35</v>
      </c>
      <c r="F131" s="76" t="s">
        <v>122</v>
      </c>
      <c r="G131" s="64">
        <f>'[2]CUENTA T FONDO 100'!BH116</f>
        <v>0</v>
      </c>
      <c r="H131" s="64">
        <f>'[2]CUENTA T VS'!BH96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5">
        <v>2</v>
      </c>
      <c r="B132" s="62">
        <v>2</v>
      </c>
      <c r="C132" s="62">
        <v>5</v>
      </c>
      <c r="D132" s="62">
        <v>3</v>
      </c>
      <c r="E132" s="63" t="s">
        <v>37</v>
      </c>
      <c r="F132" s="76" t="s">
        <v>123</v>
      </c>
      <c r="G132" s="64">
        <f>'[2]CUENTA T FONDO 100'!BI116</f>
        <v>0</v>
      </c>
      <c r="H132" s="64">
        <f>'[2]CUENTA T VS'!BI96</f>
        <v>252960.9</v>
      </c>
      <c r="I132" s="64">
        <f t="shared" si="4"/>
        <v>252960.9</v>
      </c>
      <c r="J132" s="65">
        <f>I132/$I$25</f>
        <v>2.6100043113452928E-3</v>
      </c>
    </row>
    <row r="133" spans="1:10" x14ac:dyDescent="0.2">
      <c r="A133" s="75">
        <v>2</v>
      </c>
      <c r="B133" s="62">
        <v>2</v>
      </c>
      <c r="C133" s="62">
        <v>5</v>
      </c>
      <c r="D133" s="62">
        <v>3</v>
      </c>
      <c r="E133" s="63" t="s">
        <v>39</v>
      </c>
      <c r="F133" s="76" t="s">
        <v>124</v>
      </c>
      <c r="G133" s="64">
        <f>'[2]CUENTA T FONDO 100'!BJ116</f>
        <v>0</v>
      </c>
      <c r="H133" s="64">
        <f>'[2]CUENTA T VS'!BJ96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5">
        <v>2</v>
      </c>
      <c r="B134" s="62">
        <v>2</v>
      </c>
      <c r="C134" s="62">
        <v>5</v>
      </c>
      <c r="D134" s="62">
        <v>3</v>
      </c>
      <c r="E134" s="63" t="s">
        <v>41</v>
      </c>
      <c r="F134" s="76" t="s">
        <v>125</v>
      </c>
      <c r="G134" s="64">
        <f>'[2]CUENTA T FONDO 100'!BK116</f>
        <v>0</v>
      </c>
      <c r="H134" s="64">
        <f>'[2]CUENTA T VS'!BK96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5">
        <v>2</v>
      </c>
      <c r="B135" s="62">
        <v>2</v>
      </c>
      <c r="C135" s="62">
        <v>5</v>
      </c>
      <c r="D135" s="62">
        <v>3</v>
      </c>
      <c r="E135" s="63" t="s">
        <v>43</v>
      </c>
      <c r="F135" s="76" t="s">
        <v>126</v>
      </c>
      <c r="G135" s="64">
        <f>'[2]CUENTA T FONDO 100'!BL116</f>
        <v>0</v>
      </c>
      <c r="H135" s="64">
        <f>'[2]CUENTA T VS'!BL96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3">
        <v>2</v>
      </c>
      <c r="B136" s="58">
        <v>2</v>
      </c>
      <c r="C136" s="58">
        <v>5</v>
      </c>
      <c r="D136" s="58">
        <v>4</v>
      </c>
      <c r="E136" s="78"/>
      <c r="F136" s="74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8"/>
    </row>
    <row r="137" spans="1:10" x14ac:dyDescent="0.2">
      <c r="A137" s="75">
        <v>2</v>
      </c>
      <c r="B137" s="62">
        <v>2</v>
      </c>
      <c r="C137" s="62">
        <v>5</v>
      </c>
      <c r="D137" s="62">
        <v>4</v>
      </c>
      <c r="E137" s="63" t="s">
        <v>35</v>
      </c>
      <c r="F137" s="76" t="s">
        <v>127</v>
      </c>
      <c r="G137" s="64">
        <f>'[2]CUENTA T FONDO 100'!BM116</f>
        <v>0</v>
      </c>
      <c r="H137" s="64">
        <f>'[2]CUENTA T VS'!BM96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3">
        <v>2</v>
      </c>
      <c r="B138" s="58">
        <v>2</v>
      </c>
      <c r="C138" s="58">
        <v>5</v>
      </c>
      <c r="D138" s="58">
        <v>5</v>
      </c>
      <c r="E138" s="78"/>
      <c r="F138" s="74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8"/>
    </row>
    <row r="139" spans="1:10" x14ac:dyDescent="0.2">
      <c r="A139" s="75">
        <v>2</v>
      </c>
      <c r="B139" s="62">
        <v>2</v>
      </c>
      <c r="C139" s="62">
        <v>5</v>
      </c>
      <c r="D139" s="62">
        <v>5</v>
      </c>
      <c r="E139" s="63" t="s">
        <v>35</v>
      </c>
      <c r="F139" s="76" t="s">
        <v>128</v>
      </c>
      <c r="G139" s="64">
        <f>'[2]CUENTA T FONDO 100'!BN116</f>
        <v>0</v>
      </c>
      <c r="H139" s="64">
        <f>'[2]CUENTA T VS'!BN96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3">
        <v>2</v>
      </c>
      <c r="B140" s="58">
        <v>2</v>
      </c>
      <c r="C140" s="58">
        <v>5</v>
      </c>
      <c r="D140" s="58">
        <v>6</v>
      </c>
      <c r="E140" s="78"/>
      <c r="F140" s="74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8"/>
    </row>
    <row r="141" spans="1:10" x14ac:dyDescent="0.2">
      <c r="A141" s="75">
        <v>2</v>
      </c>
      <c r="B141" s="62">
        <v>2</v>
      </c>
      <c r="C141" s="62">
        <v>5</v>
      </c>
      <c r="D141" s="62">
        <v>6</v>
      </c>
      <c r="E141" s="63" t="s">
        <v>35</v>
      </c>
      <c r="F141" s="76" t="s">
        <v>129</v>
      </c>
      <c r="G141" s="64">
        <f>'[2]CUENTA T FONDO 100'!BO116</f>
        <v>0</v>
      </c>
      <c r="H141" s="64">
        <f>'[2]CUENTA T VS'!BO96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3">
        <v>2</v>
      </c>
      <c r="B142" s="58">
        <v>2</v>
      </c>
      <c r="C142" s="58">
        <v>5</v>
      </c>
      <c r="D142" s="58">
        <v>7</v>
      </c>
      <c r="E142" s="78"/>
      <c r="F142" s="74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8"/>
    </row>
    <row r="143" spans="1:10" x14ac:dyDescent="0.2">
      <c r="A143" s="75">
        <v>2</v>
      </c>
      <c r="B143" s="62">
        <v>2</v>
      </c>
      <c r="C143" s="62">
        <v>5</v>
      </c>
      <c r="D143" s="62">
        <v>7</v>
      </c>
      <c r="E143" s="63" t="s">
        <v>35</v>
      </c>
      <c r="F143" s="76" t="s">
        <v>130</v>
      </c>
      <c r="G143" s="64">
        <f>'[2]CUENTA T FONDO 100'!BP116</f>
        <v>0</v>
      </c>
      <c r="H143" s="64">
        <f>'[2]CUENTA T VS'!BP96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3">
        <v>2</v>
      </c>
      <c r="B144" s="58">
        <v>2</v>
      </c>
      <c r="C144" s="58">
        <v>5</v>
      </c>
      <c r="D144" s="58">
        <v>8</v>
      </c>
      <c r="E144" s="78"/>
      <c r="F144" s="74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8"/>
    </row>
    <row r="145" spans="1:10" x14ac:dyDescent="0.2">
      <c r="A145" s="75">
        <v>2</v>
      </c>
      <c r="B145" s="62">
        <v>2</v>
      </c>
      <c r="C145" s="62">
        <v>5</v>
      </c>
      <c r="D145" s="62">
        <v>8</v>
      </c>
      <c r="E145" s="63" t="s">
        <v>35</v>
      </c>
      <c r="F145" s="76" t="s">
        <v>131</v>
      </c>
      <c r="G145" s="64">
        <f>'[2]CUENTA T FONDO 100'!BQ116</f>
        <v>0</v>
      </c>
      <c r="H145" s="64">
        <f>'[2]CUENTA T VS'!BQ96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3">
        <v>2</v>
      </c>
      <c r="B146" s="58">
        <v>2</v>
      </c>
      <c r="C146" s="58">
        <v>5</v>
      </c>
      <c r="D146" s="58">
        <v>9</v>
      </c>
      <c r="E146" s="78"/>
      <c r="F146" s="74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8"/>
    </row>
    <row r="147" spans="1:10" x14ac:dyDescent="0.2">
      <c r="A147" s="75">
        <v>2</v>
      </c>
      <c r="B147" s="62">
        <v>2</v>
      </c>
      <c r="C147" s="62">
        <v>5</v>
      </c>
      <c r="D147" s="62">
        <v>9</v>
      </c>
      <c r="E147" s="63" t="s">
        <v>35</v>
      </c>
      <c r="F147" s="76" t="s">
        <v>133</v>
      </c>
      <c r="G147" s="64">
        <f>'[2]CUENTA T FONDO 100'!BR116</f>
        <v>0</v>
      </c>
      <c r="H147" s="64">
        <f>'[2]CUENTA T VS'!BR96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2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3">
        <v>2</v>
      </c>
      <c r="B149" s="58">
        <v>2</v>
      </c>
      <c r="C149" s="58">
        <v>6</v>
      </c>
      <c r="D149" s="58">
        <v>1</v>
      </c>
      <c r="E149" s="78"/>
      <c r="F149" s="74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8"/>
    </row>
    <row r="150" spans="1:10" x14ac:dyDescent="0.2">
      <c r="A150" s="75">
        <v>2</v>
      </c>
      <c r="B150" s="62">
        <v>2</v>
      </c>
      <c r="C150" s="62">
        <v>6</v>
      </c>
      <c r="D150" s="62">
        <v>1</v>
      </c>
      <c r="E150" s="63" t="s">
        <v>35</v>
      </c>
      <c r="F150" s="76" t="s">
        <v>135</v>
      </c>
      <c r="G150" s="64">
        <f>'[2]CUENTA T FONDO 100'!BS116</f>
        <v>0</v>
      </c>
      <c r="H150" s="64">
        <f>'[2]CUENTA T VS'!BS96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3">
        <v>2</v>
      </c>
      <c r="B151" s="58">
        <v>2</v>
      </c>
      <c r="C151" s="58">
        <v>6</v>
      </c>
      <c r="D151" s="58">
        <v>2</v>
      </c>
      <c r="E151" s="58"/>
      <c r="F151" s="74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8"/>
    </row>
    <row r="152" spans="1:10" x14ac:dyDescent="0.2">
      <c r="A152" s="75">
        <v>2</v>
      </c>
      <c r="B152" s="62">
        <v>2</v>
      </c>
      <c r="C152" s="62">
        <v>6</v>
      </c>
      <c r="D152" s="62">
        <v>2</v>
      </c>
      <c r="E152" s="63" t="s">
        <v>35</v>
      </c>
      <c r="F152" s="76" t="s">
        <v>136</v>
      </c>
      <c r="G152" s="64">
        <f>'[2]CUENTA T FONDO 100'!BT116</f>
        <v>0</v>
      </c>
      <c r="H152" s="64">
        <f>'[2]CUENTA T VS'!BT96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3">
        <v>2</v>
      </c>
      <c r="B153" s="58">
        <v>2</v>
      </c>
      <c r="C153" s="58">
        <v>6</v>
      </c>
      <c r="D153" s="58">
        <v>3</v>
      </c>
      <c r="E153" s="58"/>
      <c r="F153" s="74" t="s">
        <v>137</v>
      </c>
      <c r="G153" s="59">
        <f>SUM(G154)</f>
        <v>0</v>
      </c>
      <c r="H153" s="59">
        <f>SUM(H154)</f>
        <v>0</v>
      </c>
      <c r="I153" s="59">
        <f t="shared" ref="I153:I216" si="6">SUM(G153:H153)</f>
        <v>0</v>
      </c>
      <c r="J153" s="68"/>
    </row>
    <row r="154" spans="1:10" x14ac:dyDescent="0.2">
      <c r="A154" s="75">
        <v>2</v>
      </c>
      <c r="B154" s="62">
        <v>2</v>
      </c>
      <c r="C154" s="62">
        <v>6</v>
      </c>
      <c r="D154" s="62">
        <v>3</v>
      </c>
      <c r="E154" s="63" t="s">
        <v>35</v>
      </c>
      <c r="F154" s="76" t="s">
        <v>137</v>
      </c>
      <c r="G154" s="64">
        <f>'[2]CUENTA T FONDO 100'!BU116</f>
        <v>0</v>
      </c>
      <c r="H154" s="64">
        <f>'[2]CUENTA T VS'!BU96</f>
        <v>0</v>
      </c>
      <c r="I154" s="64">
        <f t="shared" si="6"/>
        <v>0</v>
      </c>
      <c r="J154" s="65">
        <f>I154/$I$25</f>
        <v>0</v>
      </c>
    </row>
    <row r="155" spans="1:10" x14ac:dyDescent="0.2">
      <c r="A155" s="73">
        <v>2</v>
      </c>
      <c r="B155" s="58">
        <v>2</v>
      </c>
      <c r="C155" s="58">
        <v>6</v>
      </c>
      <c r="D155" s="58">
        <v>4</v>
      </c>
      <c r="E155" s="58"/>
      <c r="F155" s="74" t="s">
        <v>138</v>
      </c>
      <c r="G155" s="59">
        <f>SUM(G156)</f>
        <v>0</v>
      </c>
      <c r="H155" s="59">
        <f>SUM(H156)</f>
        <v>0</v>
      </c>
      <c r="I155" s="59">
        <f t="shared" si="6"/>
        <v>0</v>
      </c>
      <c r="J155" s="68"/>
    </row>
    <row r="156" spans="1:10" x14ac:dyDescent="0.2">
      <c r="A156" s="75">
        <v>2</v>
      </c>
      <c r="B156" s="62">
        <v>2</v>
      </c>
      <c r="C156" s="62">
        <v>6</v>
      </c>
      <c r="D156" s="62">
        <v>4</v>
      </c>
      <c r="E156" s="63" t="s">
        <v>35</v>
      </c>
      <c r="F156" s="76" t="s">
        <v>138</v>
      </c>
      <c r="G156" s="64">
        <f>'[2]CUENTA T FONDO 100'!BV116</f>
        <v>0</v>
      </c>
      <c r="H156" s="64">
        <f>'[2]CUENTA T VS'!BV96</f>
        <v>0</v>
      </c>
      <c r="I156" s="64">
        <f t="shared" si="6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9"/>
      <c r="F157" s="80" t="s">
        <v>139</v>
      </c>
      <c r="G157" s="56">
        <f>+G158+G167+G177</f>
        <v>523061.81</v>
      </c>
      <c r="H157" s="56">
        <f>+H158+H167+H177</f>
        <v>472756.61</v>
      </c>
      <c r="I157" s="56">
        <f t="shared" si="6"/>
        <v>995818.41999999993</v>
      </c>
      <c r="J157" s="53"/>
    </row>
    <row r="158" spans="1:10" x14ac:dyDescent="0.2">
      <c r="A158" s="73">
        <v>2</v>
      </c>
      <c r="B158" s="58">
        <v>2</v>
      </c>
      <c r="C158" s="58">
        <v>7</v>
      </c>
      <c r="D158" s="58">
        <v>1</v>
      </c>
      <c r="E158" s="58"/>
      <c r="F158" s="74" t="s">
        <v>140</v>
      </c>
      <c r="G158" s="59">
        <f>SUM(G159:G166)</f>
        <v>0</v>
      </c>
      <c r="H158" s="59">
        <f>SUM(H159:H166)</f>
        <v>472756.61</v>
      </c>
      <c r="I158" s="59">
        <f t="shared" si="6"/>
        <v>472756.61</v>
      </c>
      <c r="J158" s="68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1" t="s">
        <v>141</v>
      </c>
      <c r="G159" s="64">
        <f>'[2]CUENTA T FONDO 100'!BW116</f>
        <v>0</v>
      </c>
      <c r="H159" s="64">
        <f>'[2]CUENTA T VS'!BW96</f>
        <v>257071.41999999998</v>
      </c>
      <c r="I159" s="64">
        <f t="shared" si="6"/>
        <v>257071.41999999998</v>
      </c>
      <c r="J159" s="65">
        <f t="shared" ref="J159:J166" si="7">I159/$I$25</f>
        <v>2.6524159050812061E-3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1" t="s">
        <v>142</v>
      </c>
      <c r="G160" s="64">
        <f>'[2]CUENTA T FONDO 100'!BX116</f>
        <v>0</v>
      </c>
      <c r="H160" s="64">
        <f>'[2]CUENTA T VS'!BX96</f>
        <v>215685.19</v>
      </c>
      <c r="I160" s="64">
        <f t="shared" si="6"/>
        <v>215685.19</v>
      </c>
      <c r="J160" s="65">
        <f t="shared" si="7"/>
        <v>2.2254003515694665E-3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1" t="s">
        <v>143</v>
      </c>
      <c r="G161" s="64">
        <f>'[2]CUENTA T FONDO 100'!BY116</f>
        <v>0</v>
      </c>
      <c r="H161" s="64">
        <f>'[2]CUENTA T VS'!BY96</f>
        <v>0</v>
      </c>
      <c r="I161" s="64">
        <f t="shared" si="6"/>
        <v>0</v>
      </c>
      <c r="J161" s="65">
        <f t="shared" si="7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1" t="s">
        <v>144</v>
      </c>
      <c r="G162" s="64">
        <f>'[2]CUENTA T FONDO 100'!BZ116</f>
        <v>0</v>
      </c>
      <c r="H162" s="64">
        <f>'[2]CUENTA T VS'!BZ96</f>
        <v>0</v>
      </c>
      <c r="I162" s="64">
        <f t="shared" si="6"/>
        <v>0</v>
      </c>
      <c r="J162" s="65">
        <f t="shared" si="7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1" t="s">
        <v>145</v>
      </c>
      <c r="G163" s="64">
        <f>'[2]CUENTA T FONDO 100'!CA116</f>
        <v>0</v>
      </c>
      <c r="H163" s="64">
        <f>'[2]CUENTA T VS'!CA96</f>
        <v>0</v>
      </c>
      <c r="I163" s="64">
        <f t="shared" si="6"/>
        <v>0</v>
      </c>
      <c r="J163" s="65">
        <f t="shared" si="7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1" t="s">
        <v>146</v>
      </c>
      <c r="G164" s="64">
        <f>'[2]CUENTA T FONDO 100'!CB116</f>
        <v>0</v>
      </c>
      <c r="H164" s="64">
        <f>'[2]CUENTA T VS'!CB96</f>
        <v>0</v>
      </c>
      <c r="I164" s="64">
        <f t="shared" si="6"/>
        <v>0</v>
      </c>
      <c r="J164" s="65">
        <f t="shared" si="7"/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1" t="s">
        <v>147</v>
      </c>
      <c r="G165" s="64">
        <f>'[2]CUENTA T FONDO 100'!CC116</f>
        <v>0</v>
      </c>
      <c r="H165" s="64">
        <f>'[2]CUENTA T VS'!CC96</f>
        <v>0</v>
      </c>
      <c r="I165" s="64">
        <f t="shared" si="6"/>
        <v>0</v>
      </c>
      <c r="J165" s="65">
        <f t="shared" si="7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1" t="s">
        <v>149</v>
      </c>
      <c r="G166" s="64">
        <f>'[2]CUENTA T FONDO 100'!CD116</f>
        <v>0</v>
      </c>
      <c r="H166" s="64">
        <f>'[2]CUENTA T VS'!CD96</f>
        <v>0</v>
      </c>
      <c r="I166" s="64">
        <f t="shared" si="6"/>
        <v>0</v>
      </c>
      <c r="J166" s="65">
        <f t="shared" si="7"/>
        <v>0</v>
      </c>
    </row>
    <row r="167" spans="1:10" x14ac:dyDescent="0.2">
      <c r="A167" s="73">
        <v>2</v>
      </c>
      <c r="B167" s="58">
        <v>2</v>
      </c>
      <c r="C167" s="58">
        <v>7</v>
      </c>
      <c r="D167" s="58">
        <v>2</v>
      </c>
      <c r="E167" s="58"/>
      <c r="F167" s="74" t="s">
        <v>150</v>
      </c>
      <c r="G167" s="59">
        <f>SUM(G168:G176)</f>
        <v>523061.81</v>
      </c>
      <c r="H167" s="59">
        <f>SUM(H168:H176)</f>
        <v>0</v>
      </c>
      <c r="I167" s="59">
        <f t="shared" si="6"/>
        <v>523061.81</v>
      </c>
      <c r="J167" s="68"/>
    </row>
    <row r="168" spans="1:10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1" t="s">
        <v>151</v>
      </c>
      <c r="G168" s="64">
        <f>'[2]CUENTA T FONDO 100'!CE116</f>
        <v>0</v>
      </c>
      <c r="H168" s="64">
        <f>'[2]CUENTA T VS'!CE96</f>
        <v>0</v>
      </c>
      <c r="I168" s="64">
        <f t="shared" si="6"/>
        <v>0</v>
      </c>
      <c r="J168" s="65">
        <f t="shared" ref="J168:J176" si="8">I168/$I$25</f>
        <v>0</v>
      </c>
    </row>
    <row r="169" spans="1:10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1" t="s">
        <v>152</v>
      </c>
      <c r="G169" s="64">
        <f>'[2]CUENTA T FONDO 100'!CF116</f>
        <v>0</v>
      </c>
      <c r="H169" s="64">
        <f>'[2]CUENTA T VS'!CF96</f>
        <v>0</v>
      </c>
      <c r="I169" s="64">
        <f t="shared" si="6"/>
        <v>0</v>
      </c>
      <c r="J169" s="65">
        <f t="shared" si="8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1" t="s">
        <v>153</v>
      </c>
      <c r="G170" s="64">
        <f>'[2]CUENTA T FONDO 100'!CG116</f>
        <v>0</v>
      </c>
      <c r="H170" s="64">
        <f>'[2]CUENTA T VS'!CG96</f>
        <v>0</v>
      </c>
      <c r="I170" s="64">
        <f t="shared" si="6"/>
        <v>0</v>
      </c>
      <c r="J170" s="65">
        <f t="shared" si="8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1" t="s">
        <v>154</v>
      </c>
      <c r="G171" s="64">
        <f>'[2]CUENTA T FONDO 100'!CH116</f>
        <v>523061.81</v>
      </c>
      <c r="H171" s="64">
        <f>'[2]CUENTA T VS'!CH96</f>
        <v>0</v>
      </c>
      <c r="I171" s="64">
        <f t="shared" si="6"/>
        <v>523061.81</v>
      </c>
      <c r="J171" s="65">
        <f t="shared" si="8"/>
        <v>5.3968561117551063E-3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1" t="s">
        <v>155</v>
      </c>
      <c r="G172" s="64">
        <f>'[2]CUENTA T FONDO 100'!CI116</f>
        <v>0</v>
      </c>
      <c r="H172" s="64">
        <f>'[2]CUENTA T VS'!CI96</f>
        <v>0</v>
      </c>
      <c r="I172" s="64">
        <f t="shared" si="6"/>
        <v>0</v>
      </c>
      <c r="J172" s="65">
        <f t="shared" si="8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2" t="s">
        <v>156</v>
      </c>
      <c r="G173" s="64">
        <f>'[2]CUENTA T FONDO 100'!CJ116</f>
        <v>0</v>
      </c>
      <c r="H173" s="64">
        <f>'[2]CUENTA T VS'!CJ96</f>
        <v>0</v>
      </c>
      <c r="I173" s="64">
        <f t="shared" si="6"/>
        <v>0</v>
      </c>
      <c r="J173" s="65">
        <f t="shared" si="8"/>
        <v>0</v>
      </c>
    </row>
    <row r="174" spans="1:10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2" t="s">
        <v>157</v>
      </c>
      <c r="G174" s="64">
        <f>'[2]CUENTA T FONDO 100'!CK116</f>
        <v>0</v>
      </c>
      <c r="H174" s="64">
        <f>'[2]CUENTA T VS'!CK96</f>
        <v>0</v>
      </c>
      <c r="I174" s="64">
        <f t="shared" si="6"/>
        <v>0</v>
      </c>
      <c r="J174" s="65">
        <f t="shared" si="8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2" t="s">
        <v>158</v>
      </c>
      <c r="G175" s="64">
        <f>'[2]CUENTA T FONDO 100'!CL116</f>
        <v>0</v>
      </c>
      <c r="H175" s="64">
        <f>'[2]CUENTA T VS'!CL96</f>
        <v>0</v>
      </c>
      <c r="I175" s="64">
        <f t="shared" si="6"/>
        <v>0</v>
      </c>
      <c r="J175" s="65">
        <f t="shared" si="8"/>
        <v>0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2" t="s">
        <v>159</v>
      </c>
      <c r="G176" s="64">
        <f>'[2]CUENTA T FONDO 100'!CM116</f>
        <v>0</v>
      </c>
      <c r="H176" s="64">
        <f>'[2]CUENTA T VS'!CM96</f>
        <v>0</v>
      </c>
      <c r="I176" s="64">
        <f t="shared" si="6"/>
        <v>0</v>
      </c>
      <c r="J176" s="65">
        <f t="shared" si="8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8"/>
      <c r="F177" s="57" t="s">
        <v>160</v>
      </c>
      <c r="G177" s="59">
        <f>SUM(G178)</f>
        <v>0</v>
      </c>
      <c r="H177" s="59">
        <f>SUM(H178)</f>
        <v>0</v>
      </c>
      <c r="I177" s="59">
        <f t="shared" si="6"/>
        <v>0</v>
      </c>
      <c r="J177" s="68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'[2]CUENTA T FONDO 100'!CN116</f>
        <v>0</v>
      </c>
      <c r="H178" s="64">
        <f>'[2]CUENTA T VS'!CN96</f>
        <v>0</v>
      </c>
      <c r="I178" s="64">
        <f t="shared" si="6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489700</v>
      </c>
      <c r="H179" s="56">
        <f>+H180+H182+H184+H186+H188+H192+H197+H204</f>
        <v>204611.44</v>
      </c>
      <c r="I179" s="56">
        <f t="shared" si="6"/>
        <v>694311.44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6"/>
        <v>0</v>
      </c>
      <c r="J180" s="68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'[2]CUENTA T FONDO 100'!CO116</f>
        <v>0</v>
      </c>
      <c r="H181" s="64">
        <f>'[2]CUENTA T VS'!CO96</f>
        <v>0</v>
      </c>
      <c r="I181" s="64">
        <f t="shared" si="6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11179.44</v>
      </c>
      <c r="I182" s="59">
        <f t="shared" si="6"/>
        <v>11179.44</v>
      </c>
      <c r="J182" s="68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'[2]CUENTA T FONDO 100'!CP116</f>
        <v>0</v>
      </c>
      <c r="H183" s="64">
        <f>'[2]CUENTA T VS'!CP96</f>
        <v>11179.44</v>
      </c>
      <c r="I183" s="64">
        <f t="shared" si="6"/>
        <v>11179.44</v>
      </c>
      <c r="J183" s="65">
        <f>I183/$I$25</f>
        <v>1.1534741771722831E-4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0</v>
      </c>
      <c r="I184" s="59">
        <f t="shared" si="6"/>
        <v>0</v>
      </c>
      <c r="J184" s="68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'[2]CUENTA T FONDO 100'!CQ116</f>
        <v>0</v>
      </c>
      <c r="H185" s="64">
        <f>'[2]CUENTA T VS'!CQ96</f>
        <v>0</v>
      </c>
      <c r="I185" s="64">
        <f t="shared" si="6"/>
        <v>0</v>
      </c>
      <c r="J185" s="65">
        <f>I185/$I$25</f>
        <v>0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6"/>
        <v>0</v>
      </c>
      <c r="J186" s="68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'[2]CUENTA T FONDO 100'!CR116</f>
        <v>0</v>
      </c>
      <c r="H187" s="64">
        <f>'[2]CUENTA T VS'!CR96</f>
        <v>0</v>
      </c>
      <c r="I187" s="64">
        <f t="shared" si="6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0</v>
      </c>
      <c r="I188" s="59">
        <f t="shared" si="6"/>
        <v>0</v>
      </c>
      <c r="J188" s="68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'[2]CUENTA T FONDO 100'!CS116</f>
        <v>0</v>
      </c>
      <c r="H189" s="64">
        <f>'[2]CUENTA T VS'!CS96</f>
        <v>0</v>
      </c>
      <c r="I189" s="64">
        <f t="shared" si="6"/>
        <v>0</v>
      </c>
      <c r="J189" s="65">
        <f>I189/$I$25</f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'[2]CUENTA T FONDO 100'!CT116</f>
        <v>0</v>
      </c>
      <c r="H190" s="64">
        <f>'[2]CUENTA T VS'!CT96</f>
        <v>0</v>
      </c>
      <c r="I190" s="64">
        <f t="shared" si="6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'[2]CUENTA T FONDO 100'!CU116</f>
        <v>0</v>
      </c>
      <c r="H191" s="64">
        <f>'[2]CUENTA T VS'!CU96</f>
        <v>0</v>
      </c>
      <c r="I191" s="64">
        <f t="shared" si="6"/>
        <v>0</v>
      </c>
      <c r="J191" s="65">
        <f>I191/$I$25</f>
        <v>0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6"/>
        <v>0</v>
      </c>
      <c r="J192" s="68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'[2]CUENTA T FONDO 100'!CV116</f>
        <v>0</v>
      </c>
      <c r="H193" s="64">
        <f>'[2]CUENTA T VS'!CV96</f>
        <v>0</v>
      </c>
      <c r="I193" s="64">
        <f t="shared" si="6"/>
        <v>0</v>
      </c>
      <c r="J193" s="65">
        <f>I193/$I$25</f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'[2]CUENTA T FONDO 100'!CW116</f>
        <v>0</v>
      </c>
      <c r="H194" s="64">
        <f>'[2]CUENTA T VS'!CW96</f>
        <v>0</v>
      </c>
      <c r="I194" s="64">
        <f t="shared" si="6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'[2]CUENTA T FONDO 100'!CX116</f>
        <v>0</v>
      </c>
      <c r="H195" s="64">
        <f>'[2]CUENTA T VS'!CX96</f>
        <v>0</v>
      </c>
      <c r="I195" s="64">
        <f t="shared" si="6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'[2]CUENTA T FONDO 100'!CY116</f>
        <v>0</v>
      </c>
      <c r="H196" s="64">
        <f>'[2]CUENTA T VS'!CY96</f>
        <v>0</v>
      </c>
      <c r="I196" s="64">
        <f t="shared" si="6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489700</v>
      </c>
      <c r="H197" s="59">
        <f>SUM(H198:H203)</f>
        <v>193432</v>
      </c>
      <c r="I197" s="59">
        <f t="shared" si="6"/>
        <v>683132</v>
      </c>
      <c r="J197" s="68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2" t="s">
        <v>176</v>
      </c>
      <c r="G198" s="64">
        <f>'[2]CUENTA T FONDO 100'!CZ116</f>
        <v>489700</v>
      </c>
      <c r="H198" s="64">
        <f>'[2]CUENTA T VS'!CZ96</f>
        <v>0</v>
      </c>
      <c r="I198" s="64">
        <f t="shared" si="6"/>
        <v>489700</v>
      </c>
      <c r="J198" s="65">
        <f t="shared" ref="J198:J203" si="9">I198/$I$25</f>
        <v>5.0526350565079023E-3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2" t="s">
        <v>177</v>
      </c>
      <c r="G199" s="64">
        <f>'[2]CUENTA T FONDO 100'!DA116</f>
        <v>0</v>
      </c>
      <c r="H199" s="64">
        <f>'[2]CUENTA T VS'!DA96</f>
        <v>0</v>
      </c>
      <c r="I199" s="64">
        <f t="shared" si="6"/>
        <v>0</v>
      </c>
      <c r="J199" s="65">
        <f t="shared" si="9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2" t="s">
        <v>178</v>
      </c>
      <c r="G200" s="64">
        <f>'[2]CUENTA T FONDO 100'!DB116</f>
        <v>0</v>
      </c>
      <c r="H200" s="64">
        <f>'[2]CUENTA T VS'!DB96</f>
        <v>0</v>
      </c>
      <c r="I200" s="64">
        <f t="shared" si="6"/>
        <v>0</v>
      </c>
      <c r="J200" s="65">
        <f t="shared" si="9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2" t="s">
        <v>179</v>
      </c>
      <c r="G201" s="64">
        <f>'[2]CUENTA T FONDO 100'!DC116</f>
        <v>0</v>
      </c>
      <c r="H201" s="64">
        <f>'[2]CUENTA T VS'!DC96</f>
        <v>0</v>
      </c>
      <c r="I201" s="64">
        <f t="shared" si="6"/>
        <v>0</v>
      </c>
      <c r="J201" s="65">
        <f t="shared" si="9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2" t="s">
        <v>180</v>
      </c>
      <c r="G202" s="64">
        <f>'[2]CUENTA T FONDO 100'!DD116</f>
        <v>0</v>
      </c>
      <c r="H202" s="64">
        <f>'[2]CUENTA T VS'!DD96</f>
        <v>48852</v>
      </c>
      <c r="I202" s="64">
        <f t="shared" si="6"/>
        <v>48852</v>
      </c>
      <c r="J202" s="65">
        <f t="shared" si="9"/>
        <v>5.0404600322753528E-4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2" t="s">
        <v>181</v>
      </c>
      <c r="G203" s="64">
        <f>'[2]CUENTA T FONDO 100'!DE116</f>
        <v>0</v>
      </c>
      <c r="H203" s="64">
        <f>'[2]CUENTA T VS'!DE96</f>
        <v>144580</v>
      </c>
      <c r="I203" s="64">
        <f t="shared" si="6"/>
        <v>144580</v>
      </c>
      <c r="J203" s="65">
        <f t="shared" si="9"/>
        <v>1.4917500030016593E-3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3" t="s">
        <v>182</v>
      </c>
      <c r="G204" s="59">
        <f>SUM(G205:G207)</f>
        <v>0</v>
      </c>
      <c r="H204" s="59">
        <f>SUM(H205:H207)</f>
        <v>0</v>
      </c>
      <c r="I204" s="59">
        <f t="shared" si="6"/>
        <v>0</v>
      </c>
      <c r="J204" s="68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2" t="s">
        <v>183</v>
      </c>
      <c r="G205" s="64">
        <f>'[2]CUENTA T FONDO 100'!DF116</f>
        <v>0</v>
      </c>
      <c r="H205" s="64">
        <f>'[2]CUENTA T VS'!DF96</f>
        <v>0</v>
      </c>
      <c r="I205" s="64">
        <f t="shared" si="6"/>
        <v>0</v>
      </c>
      <c r="J205" s="65">
        <f>I205/$I$25</f>
        <v>0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2" t="s">
        <v>184</v>
      </c>
      <c r="G206" s="64">
        <f>'[2]CUENTA T FONDO 100'!DG116</f>
        <v>0</v>
      </c>
      <c r="H206" s="64">
        <f>'[2]CUENTA T VS'!DG96</f>
        <v>0</v>
      </c>
      <c r="I206" s="64">
        <f t="shared" si="6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2" t="s">
        <v>185</v>
      </c>
      <c r="G207" s="64">
        <f>'[2]CUENTA T FONDO 100'!DH116</f>
        <v>0</v>
      </c>
      <c r="H207" s="64">
        <f>'[2]CUENTA T VS'!DH96</f>
        <v>0</v>
      </c>
      <c r="I207" s="64">
        <f t="shared" si="6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 t="shared" ref="G208:H208" si="10">+G209</f>
        <v>0</v>
      </c>
      <c r="H208" s="56">
        <f t="shared" si="10"/>
        <v>0</v>
      </c>
      <c r="I208" s="56">
        <f t="shared" si="6"/>
        <v>0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 t="shared" ref="H209" si="11">H210+H211</f>
        <v>0</v>
      </c>
      <c r="I209" s="59">
        <f t="shared" si="6"/>
        <v>0</v>
      </c>
      <c r="J209" s="68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2" t="s">
        <v>188</v>
      </c>
      <c r="G210" s="64">
        <f>'[2]CUENTA T FONDO 100'!DI116</f>
        <v>0</v>
      </c>
      <c r="H210" s="64">
        <f>'[2]CUENTA T VS'!DI96</f>
        <v>0</v>
      </c>
      <c r="I210" s="64">
        <f t="shared" si="6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2" t="s">
        <v>189</v>
      </c>
      <c r="G211" s="64">
        <f>'[2]CUENTA T FONDO 100'!DJ116</f>
        <v>0</v>
      </c>
      <c r="H211" s="64">
        <f>'[2]CUENTA T VS'!DJ96</f>
        <v>0</v>
      </c>
      <c r="I211" s="64">
        <f t="shared" si="6"/>
        <v>0</v>
      </c>
      <c r="J211" s="65">
        <f>I211/$I$25</f>
        <v>0</v>
      </c>
    </row>
    <row r="212" spans="1:10" x14ac:dyDescent="0.2">
      <c r="A212" s="71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14433131.48</v>
      </c>
      <c r="H212" s="56">
        <f>H213+H225+H232+H245+H250+H261+H286+H303+H308</f>
        <v>2432378.29</v>
      </c>
      <c r="I212" s="56">
        <f t="shared" si="6"/>
        <v>16865509.77</v>
      </c>
      <c r="J212" s="53">
        <f>I212/$I$25</f>
        <v>0.17401524588478359</v>
      </c>
    </row>
    <row r="213" spans="1:10" x14ac:dyDescent="0.2">
      <c r="A213" s="71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591460.4</v>
      </c>
      <c r="H213" s="56">
        <f>+H214+H217+H219+H223</f>
        <v>300691.8</v>
      </c>
      <c r="I213" s="56">
        <f t="shared" si="6"/>
        <v>892152.2</v>
      </c>
      <c r="J213" s="53"/>
    </row>
    <row r="214" spans="1:10" x14ac:dyDescent="0.2">
      <c r="A214" s="73">
        <v>2</v>
      </c>
      <c r="B214" s="58">
        <v>3</v>
      </c>
      <c r="C214" s="58">
        <v>1</v>
      </c>
      <c r="D214" s="58">
        <v>1</v>
      </c>
      <c r="E214" s="78"/>
      <c r="F214" s="57" t="s">
        <v>192</v>
      </c>
      <c r="G214" s="59">
        <f>SUM(G215:G216)</f>
        <v>591460.4</v>
      </c>
      <c r="H214" s="59">
        <f>SUM(H215:H216)</f>
        <v>300691.8</v>
      </c>
      <c r="I214" s="59">
        <f t="shared" si="6"/>
        <v>892152.2</v>
      </c>
      <c r="J214" s="68"/>
    </row>
    <row r="215" spans="1:10" x14ac:dyDescent="0.2">
      <c r="A215" s="75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'[2]CUENTA T FONDO 100'!DK116</f>
        <v>591460.4</v>
      </c>
      <c r="H215" s="64">
        <f>'[2]CUENTA T VS'!DK96</f>
        <v>300691.8</v>
      </c>
      <c r="I215" s="64">
        <f t="shared" si="6"/>
        <v>892152.2</v>
      </c>
      <c r="J215" s="65">
        <f>I215/$I$25</f>
        <v>9.2050632662051234E-3</v>
      </c>
    </row>
    <row r="216" spans="1:10" x14ac:dyDescent="0.2">
      <c r="A216" s="75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'[2]CUENTA T FONDO 100'!DL116</f>
        <v>0</v>
      </c>
      <c r="H216" s="64">
        <f>'[2]CUENTA T VS'!DL96</f>
        <v>0</v>
      </c>
      <c r="I216" s="64">
        <f t="shared" si="6"/>
        <v>0</v>
      </c>
      <c r="J216" s="65">
        <f>I216/$I$25</f>
        <v>0</v>
      </c>
    </row>
    <row r="217" spans="1:10" x14ac:dyDescent="0.2">
      <c r="A217" s="73">
        <v>2</v>
      </c>
      <c r="B217" s="58">
        <v>3</v>
      </c>
      <c r="C217" s="58">
        <v>1</v>
      </c>
      <c r="D217" s="58">
        <v>2</v>
      </c>
      <c r="E217" s="78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12">SUM(G217:H217)</f>
        <v>0</v>
      </c>
      <c r="J217" s="68"/>
    </row>
    <row r="218" spans="1:10" x14ac:dyDescent="0.2">
      <c r="A218" s="75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'[2]CUENTA T FONDO 100'!DM116</f>
        <v>0</v>
      </c>
      <c r="H218" s="64">
        <f>'[2]CUENTA T VS'!DM96</f>
        <v>0</v>
      </c>
      <c r="I218" s="64">
        <f t="shared" si="12"/>
        <v>0</v>
      </c>
      <c r="J218" s="65">
        <f>I218/$I$25</f>
        <v>0</v>
      </c>
    </row>
    <row r="219" spans="1:10" x14ac:dyDescent="0.2">
      <c r="A219" s="73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12"/>
        <v>0</v>
      </c>
      <c r="J219" s="68"/>
    </row>
    <row r="220" spans="1:10" x14ac:dyDescent="0.2">
      <c r="A220" s="75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'[2]CUENTA T FONDO 100'!DN116</f>
        <v>0</v>
      </c>
      <c r="H220" s="64">
        <f>'[2]CUENTA T VS'!DN96</f>
        <v>0</v>
      </c>
      <c r="I220" s="64">
        <f t="shared" si="12"/>
        <v>0</v>
      </c>
      <c r="J220" s="65">
        <f>I220/$I$25</f>
        <v>0</v>
      </c>
    </row>
    <row r="221" spans="1:10" x14ac:dyDescent="0.2">
      <c r="A221" s="75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'[2]CUENTA T FONDO 100'!DO116</f>
        <v>0</v>
      </c>
      <c r="H221" s="64">
        <f>'[2]CUENTA T VS'!DO96</f>
        <v>0</v>
      </c>
      <c r="I221" s="64">
        <f t="shared" si="12"/>
        <v>0</v>
      </c>
      <c r="J221" s="65">
        <f>I221/$I$25</f>
        <v>0</v>
      </c>
    </row>
    <row r="222" spans="1:10" x14ac:dyDescent="0.2">
      <c r="A222" s="75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'[2]CUENTA T FONDO 100'!DP116</f>
        <v>0</v>
      </c>
      <c r="H222" s="64">
        <f>'[2]CUENTA T VS'!DP96</f>
        <v>0</v>
      </c>
      <c r="I222" s="64">
        <f t="shared" si="12"/>
        <v>0</v>
      </c>
      <c r="J222" s="65">
        <f>I222/$I$25</f>
        <v>0</v>
      </c>
    </row>
    <row r="223" spans="1:10" x14ac:dyDescent="0.2">
      <c r="A223" s="73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12"/>
        <v>0</v>
      </c>
      <c r="J223" s="68"/>
    </row>
    <row r="224" spans="1:10" x14ac:dyDescent="0.2">
      <c r="A224" s="75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'[2]CUENTA T FONDO 100'!DQ116</f>
        <v>0</v>
      </c>
      <c r="H224" s="64">
        <f>'[2]CUENTA T VS'!DQ96</f>
        <v>0</v>
      </c>
      <c r="I224" s="64">
        <f t="shared" si="12"/>
        <v>0</v>
      </c>
      <c r="J224" s="65">
        <f>I224/$I$25</f>
        <v>0</v>
      </c>
    </row>
    <row r="225" spans="1:10" x14ac:dyDescent="0.2">
      <c r="A225" s="71">
        <v>2</v>
      </c>
      <c r="B225" s="55">
        <v>3</v>
      </c>
      <c r="C225" s="55">
        <v>2</v>
      </c>
      <c r="D225" s="55"/>
      <c r="E225" s="79"/>
      <c r="F225" s="54" t="s">
        <v>200</v>
      </c>
      <c r="G225" s="56">
        <f>+G226+G228+G230</f>
        <v>61630.73</v>
      </c>
      <c r="H225" s="56">
        <f>+H226+H228+H230</f>
        <v>0</v>
      </c>
      <c r="I225" s="56">
        <f t="shared" si="12"/>
        <v>61630.73</v>
      </c>
      <c r="J225" s="53"/>
    </row>
    <row r="226" spans="1:10" x14ac:dyDescent="0.2">
      <c r="A226" s="73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12"/>
        <v>0</v>
      </c>
      <c r="J226" s="68"/>
    </row>
    <row r="227" spans="1:10" x14ac:dyDescent="0.2">
      <c r="A227" s="75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'[2]CUENTA T FONDO 100'!DR116</f>
        <v>0</v>
      </c>
      <c r="H227" s="64">
        <f>'[2]CUENTA T VS'!DR96</f>
        <v>0</v>
      </c>
      <c r="I227" s="64">
        <f t="shared" si="12"/>
        <v>0</v>
      </c>
      <c r="J227" s="65">
        <f>I227/$I$25</f>
        <v>0</v>
      </c>
    </row>
    <row r="228" spans="1:10" x14ac:dyDescent="0.2">
      <c r="A228" s="73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61630.73</v>
      </c>
      <c r="H228" s="59">
        <f>SUM(H229)</f>
        <v>0</v>
      </c>
      <c r="I228" s="59">
        <f t="shared" si="12"/>
        <v>61630.73</v>
      </c>
      <c r="J228" s="68"/>
    </row>
    <row r="229" spans="1:10" x14ac:dyDescent="0.2">
      <c r="A229" s="75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'[2]CUENTA T FONDO 100'!DS116</f>
        <v>61630.73</v>
      </c>
      <c r="H229" s="64">
        <f>'[2]CUENTA T VS'!DS96</f>
        <v>0</v>
      </c>
      <c r="I229" s="64">
        <f t="shared" si="12"/>
        <v>61630.73</v>
      </c>
      <c r="J229" s="65">
        <f>I229/$I$25</f>
        <v>6.358946027285548E-4</v>
      </c>
    </row>
    <row r="230" spans="1:10" x14ac:dyDescent="0.2">
      <c r="A230" s="73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SUM(H231)</f>
        <v>0</v>
      </c>
      <c r="I230" s="59">
        <f t="shared" si="12"/>
        <v>0</v>
      </c>
      <c r="J230" s="68"/>
    </row>
    <row r="231" spans="1:10" x14ac:dyDescent="0.2">
      <c r="A231" s="75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'[2]CUENTA T FONDO 100'!DT116</f>
        <v>0</v>
      </c>
      <c r="H231" s="64">
        <f>'[2]CUENTA T VS'!DT96</f>
        <v>0</v>
      </c>
      <c r="I231" s="64">
        <f t="shared" si="12"/>
        <v>0</v>
      </c>
      <c r="J231" s="65">
        <f>I231/$I$25</f>
        <v>0</v>
      </c>
    </row>
    <row r="232" spans="1:10" x14ac:dyDescent="0.2">
      <c r="A232" s="71">
        <v>2</v>
      </c>
      <c r="B232" s="55">
        <v>3</v>
      </c>
      <c r="C232" s="55">
        <v>3</v>
      </c>
      <c r="D232" s="55"/>
      <c r="E232" s="79"/>
      <c r="F232" s="54" t="s">
        <v>204</v>
      </c>
      <c r="G232" s="56">
        <f>+G233+G235+G237+G239+G241+G243</f>
        <v>352366.67</v>
      </c>
      <c r="H232" s="56">
        <f>+H233+H235+H237+H239+H241+H243</f>
        <v>107616</v>
      </c>
      <c r="I232" s="56">
        <f t="shared" si="12"/>
        <v>459982.67</v>
      </c>
      <c r="J232" s="53"/>
    </row>
    <row r="233" spans="1:10" x14ac:dyDescent="0.2">
      <c r="A233" s="73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0</v>
      </c>
      <c r="H233" s="59">
        <f>SUM(H234)</f>
        <v>0</v>
      </c>
      <c r="I233" s="59">
        <f t="shared" si="12"/>
        <v>0</v>
      </c>
      <c r="J233" s="68"/>
    </row>
    <row r="234" spans="1:10" x14ac:dyDescent="0.2">
      <c r="A234" s="75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'[2]CUENTA T FONDO 100'!DU116</f>
        <v>0</v>
      </c>
      <c r="H234" s="64">
        <f>'[2]CUENTA T VS'!DU96</f>
        <v>0</v>
      </c>
      <c r="I234" s="64">
        <f t="shared" si="12"/>
        <v>0</v>
      </c>
      <c r="J234" s="65">
        <f>I234/$I$25</f>
        <v>0</v>
      </c>
    </row>
    <row r="235" spans="1:10" x14ac:dyDescent="0.2">
      <c r="A235" s="73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352366.67</v>
      </c>
      <c r="H235" s="59">
        <f>SUM(H236)</f>
        <v>0</v>
      </c>
      <c r="I235" s="59">
        <f t="shared" si="12"/>
        <v>352366.67</v>
      </c>
      <c r="J235" s="68"/>
    </row>
    <row r="236" spans="1:10" x14ac:dyDescent="0.2">
      <c r="A236" s="75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'[2]CUENTA T FONDO 100'!DV116</f>
        <v>352366.67</v>
      </c>
      <c r="H236" s="64">
        <f>'[2]CUENTA T VS'!DV96</f>
        <v>0</v>
      </c>
      <c r="I236" s="64">
        <f t="shared" si="12"/>
        <v>352366.67</v>
      </c>
      <c r="J236" s="65">
        <f>I236/$I$25</f>
        <v>3.6356548694852996E-3</v>
      </c>
    </row>
    <row r="237" spans="1:10" x14ac:dyDescent="0.2">
      <c r="A237" s="73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0</v>
      </c>
      <c r="H237" s="59">
        <f>SUM(H238)</f>
        <v>107616</v>
      </c>
      <c r="I237" s="59">
        <f t="shared" si="12"/>
        <v>107616</v>
      </c>
      <c r="J237" s="68"/>
    </row>
    <row r="238" spans="1:10" x14ac:dyDescent="0.2">
      <c r="A238" s="75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'[2]CUENTA T FONDO 100'!DW116</f>
        <v>0</v>
      </c>
      <c r="H238" s="64">
        <f>'[2]CUENTA T VS'!DW96</f>
        <v>107616</v>
      </c>
      <c r="I238" s="64">
        <f t="shared" si="12"/>
        <v>107616</v>
      </c>
      <c r="J238" s="65">
        <f>I238/$I$25</f>
        <v>1.1103622100084836E-3</v>
      </c>
    </row>
    <row r="239" spans="1:10" x14ac:dyDescent="0.2">
      <c r="A239" s="73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12"/>
        <v>0</v>
      </c>
      <c r="J239" s="68"/>
    </row>
    <row r="240" spans="1:10" x14ac:dyDescent="0.2">
      <c r="A240" s="75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'[2]CUENTA T FONDO 100'!DX116</f>
        <v>0</v>
      </c>
      <c r="H240" s="64">
        <f>'[2]CUENTA T VS'!DX96</f>
        <v>0</v>
      </c>
      <c r="I240" s="64">
        <f t="shared" si="12"/>
        <v>0</v>
      </c>
      <c r="J240" s="65">
        <f>I240/$I$25</f>
        <v>0</v>
      </c>
    </row>
    <row r="241" spans="1:10" x14ac:dyDescent="0.2">
      <c r="A241" s="73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12"/>
        <v>0</v>
      </c>
      <c r="J241" s="68"/>
    </row>
    <row r="242" spans="1:10" x14ac:dyDescent="0.2">
      <c r="A242" s="75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'[2]CUENTA T FONDO 100'!DY116</f>
        <v>0</v>
      </c>
      <c r="H242" s="64">
        <f>'[2]CUENTA T VS'!DY96</f>
        <v>0</v>
      </c>
      <c r="I242" s="64">
        <f t="shared" si="12"/>
        <v>0</v>
      </c>
      <c r="J242" s="65">
        <f>I242/$I$25</f>
        <v>0</v>
      </c>
    </row>
    <row r="243" spans="1:10" x14ac:dyDescent="0.2">
      <c r="A243" s="73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12"/>
        <v>0</v>
      </c>
      <c r="J243" s="68"/>
    </row>
    <row r="244" spans="1:10" x14ac:dyDescent="0.2">
      <c r="A244" s="75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'[2]CUENTA T FONDO 100'!DZ116</f>
        <v>0</v>
      </c>
      <c r="H244" s="64">
        <f>'[2]CUENTA T VS'!DZ96</f>
        <v>0</v>
      </c>
      <c r="I244" s="64">
        <f t="shared" si="12"/>
        <v>0</v>
      </c>
      <c r="J244" s="65">
        <f>I244/$I$25</f>
        <v>0</v>
      </c>
    </row>
    <row r="245" spans="1:10" x14ac:dyDescent="0.2">
      <c r="A245" s="71">
        <v>2</v>
      </c>
      <c r="B245" s="55">
        <v>3</v>
      </c>
      <c r="C245" s="55">
        <v>4</v>
      </c>
      <c r="D245" s="55"/>
      <c r="E245" s="79"/>
      <c r="F245" s="54" t="s">
        <v>211</v>
      </c>
      <c r="G245" s="56">
        <f>+G246+G248</f>
        <v>2014526.8</v>
      </c>
      <c r="H245" s="56">
        <f>+H246+H248</f>
        <v>0</v>
      </c>
      <c r="I245" s="56">
        <f t="shared" si="12"/>
        <v>2014526.8</v>
      </c>
      <c r="J245" s="53"/>
    </row>
    <row r="246" spans="1:10" x14ac:dyDescent="0.2">
      <c r="A246" s="73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2014526.8</v>
      </c>
      <c r="H246" s="59">
        <f>SUM(H247)</f>
        <v>0</v>
      </c>
      <c r="I246" s="59">
        <f t="shared" si="12"/>
        <v>2014526.8</v>
      </c>
      <c r="J246" s="68"/>
    </row>
    <row r="247" spans="1:10" x14ac:dyDescent="0.2">
      <c r="A247" s="75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'[2]CUENTA T FONDO 100'!EA116</f>
        <v>2014526.8</v>
      </c>
      <c r="H247" s="64">
        <f>'[2]CUENTA T VS'!EA96</f>
        <v>0</v>
      </c>
      <c r="I247" s="64">
        <f t="shared" si="12"/>
        <v>2014526.8</v>
      </c>
      <c r="J247" s="65">
        <f>I247/$I$25</f>
        <v>2.0785519158576033E-2</v>
      </c>
    </row>
    <row r="248" spans="1:10" x14ac:dyDescent="0.2">
      <c r="A248" s="73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12"/>
        <v>0</v>
      </c>
      <c r="J248" s="68"/>
    </row>
    <row r="249" spans="1:10" x14ac:dyDescent="0.2">
      <c r="A249" s="75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'[2]CUENTA T FONDO 100'!EB116</f>
        <v>0</v>
      </c>
      <c r="H249" s="64">
        <f>'[2]CUENTA T VS'!EB96</f>
        <v>0</v>
      </c>
      <c r="I249" s="64">
        <f t="shared" si="12"/>
        <v>0</v>
      </c>
      <c r="J249" s="65">
        <f>I249/$I$25</f>
        <v>0</v>
      </c>
    </row>
    <row r="250" spans="1:10" x14ac:dyDescent="0.2">
      <c r="A250" s="71">
        <v>2</v>
      </c>
      <c r="B250" s="55">
        <v>3</v>
      </c>
      <c r="C250" s="55">
        <v>5</v>
      </c>
      <c r="D250" s="55"/>
      <c r="E250" s="79"/>
      <c r="F250" s="54" t="s">
        <v>214</v>
      </c>
      <c r="G250" s="56">
        <f>+G251+G253+G255+G257+G259</f>
        <v>0</v>
      </c>
      <c r="H250" s="56">
        <f>+H251+H253+H255+H257+H259</f>
        <v>249831.2</v>
      </c>
      <c r="I250" s="56">
        <f t="shared" si="12"/>
        <v>249831.2</v>
      </c>
      <c r="J250" s="53"/>
    </row>
    <row r="251" spans="1:10" x14ac:dyDescent="0.2">
      <c r="A251" s="73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12"/>
        <v>0</v>
      </c>
      <c r="J251" s="68"/>
    </row>
    <row r="252" spans="1:10" x14ac:dyDescent="0.2">
      <c r="A252" s="75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'[2]CUENTA T FONDO 100'!EC116</f>
        <v>0</v>
      </c>
      <c r="H252" s="64">
        <f>'[2]CUENTA T VS'!EC96</f>
        <v>0</v>
      </c>
      <c r="I252" s="64">
        <f t="shared" si="12"/>
        <v>0</v>
      </c>
      <c r="J252" s="65">
        <f>I252/$I$25</f>
        <v>0</v>
      </c>
    </row>
    <row r="253" spans="1:10" x14ac:dyDescent="0.2">
      <c r="A253" s="73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12"/>
        <v>0</v>
      </c>
      <c r="J253" s="68"/>
    </row>
    <row r="254" spans="1:10" x14ac:dyDescent="0.2">
      <c r="A254" s="75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'[2]CUENTA T FONDO 100'!ED116</f>
        <v>0</v>
      </c>
      <c r="H254" s="64">
        <f>'[2]CUENTA T VS'!ED96</f>
        <v>0</v>
      </c>
      <c r="I254" s="64">
        <f t="shared" si="12"/>
        <v>0</v>
      </c>
      <c r="J254" s="65">
        <f>I254/$I$25</f>
        <v>0</v>
      </c>
    </row>
    <row r="255" spans="1:10" x14ac:dyDescent="0.2">
      <c r="A255" s="73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 t="shared" si="12"/>
        <v>0</v>
      </c>
      <c r="J255" s="68"/>
    </row>
    <row r="256" spans="1:10" x14ac:dyDescent="0.2">
      <c r="A256" s="75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'[2]CUENTA T FONDO 100'!EE116</f>
        <v>0</v>
      </c>
      <c r="H256" s="64">
        <f>'[2]CUENTA T VS'!EE96</f>
        <v>0</v>
      </c>
      <c r="I256" s="64">
        <f t="shared" si="12"/>
        <v>0</v>
      </c>
      <c r="J256" s="65">
        <f>I256/$I$25</f>
        <v>0</v>
      </c>
    </row>
    <row r="257" spans="1:10" x14ac:dyDescent="0.2">
      <c r="A257" s="73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0</v>
      </c>
      <c r="H257" s="59">
        <f>SUM(H258)</f>
        <v>0</v>
      </c>
      <c r="I257" s="59">
        <f t="shared" si="12"/>
        <v>0</v>
      </c>
      <c r="J257" s="68"/>
    </row>
    <row r="258" spans="1:10" x14ac:dyDescent="0.2">
      <c r="A258" s="75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'[2]CUENTA T FONDO 100'!EF116</f>
        <v>0</v>
      </c>
      <c r="H258" s="64">
        <f>'[2]CUENTA T VS'!EF96</f>
        <v>0</v>
      </c>
      <c r="I258" s="64">
        <f t="shared" si="12"/>
        <v>0</v>
      </c>
      <c r="J258" s="65">
        <f>I258/$I$25</f>
        <v>0</v>
      </c>
    </row>
    <row r="259" spans="1:10" x14ac:dyDescent="0.2">
      <c r="A259" s="73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0</v>
      </c>
      <c r="H259" s="59">
        <f>SUM(H260)</f>
        <v>249831.2</v>
      </c>
      <c r="I259" s="59">
        <f t="shared" si="12"/>
        <v>249831.2</v>
      </c>
      <c r="J259" s="68"/>
    </row>
    <row r="260" spans="1:10" x14ac:dyDescent="0.2">
      <c r="A260" s="75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'[2]CUENTA T FONDO 100'!EG116</f>
        <v>0</v>
      </c>
      <c r="H260" s="64">
        <f>'[2]CUENTA T VS'!EG96</f>
        <v>249831.2</v>
      </c>
      <c r="I260" s="64">
        <f t="shared" si="12"/>
        <v>249831.2</v>
      </c>
      <c r="J260" s="65">
        <f>I260/$I$25</f>
        <v>2.5777126390227429E-3</v>
      </c>
    </row>
    <row r="261" spans="1:10" x14ac:dyDescent="0.2">
      <c r="A261" s="71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11630.98</v>
      </c>
      <c r="H261" s="56">
        <f>+H262+H268+H272+H276+H284</f>
        <v>183732.33000000002</v>
      </c>
      <c r="I261" s="56">
        <f t="shared" si="12"/>
        <v>195363.31000000003</v>
      </c>
      <c r="J261" s="53"/>
    </row>
    <row r="262" spans="1:10" x14ac:dyDescent="0.2">
      <c r="A262" s="73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989.98</v>
      </c>
      <c r="I262" s="59">
        <f t="shared" si="12"/>
        <v>989.98</v>
      </c>
      <c r="J262" s="68"/>
    </row>
    <row r="263" spans="1:10" x14ac:dyDescent="0.2">
      <c r="A263" s="75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'[2]CUENTA T FONDO 100'!EH116</f>
        <v>0</v>
      </c>
      <c r="H263" s="64">
        <f>'[2]CUENTA T VS'!EH96</f>
        <v>989.98</v>
      </c>
      <c r="I263" s="64">
        <f t="shared" si="12"/>
        <v>989.98</v>
      </c>
      <c r="J263" s="65">
        <f>I263/$I$25</f>
        <v>1.0214432618422898E-5</v>
      </c>
    </row>
    <row r="264" spans="1:10" x14ac:dyDescent="0.2">
      <c r="A264" s="75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'[2]CUENTA T FONDO 100'!EI116</f>
        <v>0</v>
      </c>
      <c r="H264" s="64">
        <f>'[2]CUENTA T VS'!EI96</f>
        <v>0</v>
      </c>
      <c r="I264" s="64">
        <f t="shared" si="12"/>
        <v>0</v>
      </c>
      <c r="J264" s="65">
        <f>I264/$I$25</f>
        <v>0</v>
      </c>
    </row>
    <row r="265" spans="1:10" x14ac:dyDescent="0.2">
      <c r="A265" s="75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'[2]CUENTA T FONDO 100'!EJ116</f>
        <v>0</v>
      </c>
      <c r="H265" s="64">
        <f>'[2]CUENTA T VS'!EJ96</f>
        <v>0</v>
      </c>
      <c r="I265" s="64">
        <f t="shared" si="12"/>
        <v>0</v>
      </c>
      <c r="J265" s="65">
        <f>I265/$I$25</f>
        <v>0</v>
      </c>
    </row>
    <row r="266" spans="1:10" x14ac:dyDescent="0.2">
      <c r="A266" s="75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'[2]CUENTA T FONDO 100'!EK116</f>
        <v>0</v>
      </c>
      <c r="H266" s="64">
        <f>'[2]CUENTA T VS'!EK96</f>
        <v>0</v>
      </c>
      <c r="I266" s="64">
        <f t="shared" si="12"/>
        <v>0</v>
      </c>
      <c r="J266" s="65">
        <f>I266/$I$25</f>
        <v>0</v>
      </c>
    </row>
    <row r="267" spans="1:10" x14ac:dyDescent="0.2">
      <c r="A267" s="75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'[2]CUENTA T FONDO 100'!EL116</f>
        <v>0</v>
      </c>
      <c r="H267" s="64">
        <f>'[2]CUENTA T VS'!EL96</f>
        <v>0</v>
      </c>
      <c r="I267" s="64">
        <f t="shared" si="12"/>
        <v>0</v>
      </c>
      <c r="J267" s="65">
        <f>I267/$I$25</f>
        <v>0</v>
      </c>
    </row>
    <row r="268" spans="1:10" x14ac:dyDescent="0.2">
      <c r="A268" s="73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0</v>
      </c>
      <c r="H268" s="59">
        <f>SUM(H269:H271)</f>
        <v>123045.27</v>
      </c>
      <c r="I268" s="59">
        <f t="shared" si="12"/>
        <v>123045.27</v>
      </c>
      <c r="J268" s="68"/>
    </row>
    <row r="269" spans="1:10" x14ac:dyDescent="0.2">
      <c r="A269" s="75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'[2]CUENTA T FONDO 100'!EM116</f>
        <v>0</v>
      </c>
      <c r="H269" s="64">
        <f>'[2]CUENTA T VS'!EM96</f>
        <v>0</v>
      </c>
      <c r="I269" s="64">
        <f t="shared" si="12"/>
        <v>0</v>
      </c>
      <c r="J269" s="65">
        <f>I269/$I$25</f>
        <v>0</v>
      </c>
    </row>
    <row r="270" spans="1:10" x14ac:dyDescent="0.2">
      <c r="A270" s="75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'[2]CUENTA T FONDO 100'!EN116</f>
        <v>0</v>
      </c>
      <c r="H270" s="64">
        <f>'[2]CUENTA T VS'!EN96</f>
        <v>0</v>
      </c>
      <c r="I270" s="64">
        <f t="shared" si="12"/>
        <v>0</v>
      </c>
      <c r="J270" s="65">
        <f>I270/$I$25</f>
        <v>0</v>
      </c>
    </row>
    <row r="271" spans="1:10" x14ac:dyDescent="0.2">
      <c r="A271" s="75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'[2]CUENTA T FONDO 100'!EO116</f>
        <v>0</v>
      </c>
      <c r="H271" s="64">
        <f>'[2]CUENTA T VS'!EO96</f>
        <v>123045.27</v>
      </c>
      <c r="I271" s="64">
        <f t="shared" si="12"/>
        <v>123045.27</v>
      </c>
      <c r="J271" s="65">
        <f>I271/$I$25</f>
        <v>1.2695585965682666E-3</v>
      </c>
    </row>
    <row r="272" spans="1:10" x14ac:dyDescent="0.2">
      <c r="A272" s="73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11630.98</v>
      </c>
      <c r="H272" s="59">
        <f>SUM(H273:H275)</f>
        <v>59697.08</v>
      </c>
      <c r="I272" s="59">
        <f t="shared" si="12"/>
        <v>71328.06</v>
      </c>
      <c r="J272" s="68"/>
    </row>
    <row r="273" spans="1:10" x14ac:dyDescent="0.2">
      <c r="A273" s="75">
        <v>2</v>
      </c>
      <c r="B273" s="62">
        <v>3</v>
      </c>
      <c r="C273" s="62">
        <v>6</v>
      </c>
      <c r="D273" s="62">
        <v>3</v>
      </c>
      <c r="E273" s="63" t="s">
        <v>41</v>
      </c>
      <c r="F273" s="82" t="s">
        <v>232</v>
      </c>
      <c r="G273" s="64">
        <f>'[2]CUENTA T FONDO 100'!EP116</f>
        <v>1261.1300000000001</v>
      </c>
      <c r="H273" s="64">
        <f>'[2]CUENTA T VS'!EP96</f>
        <v>0</v>
      </c>
      <c r="I273" s="64">
        <f t="shared" si="12"/>
        <v>1261.1300000000001</v>
      </c>
      <c r="J273" s="65">
        <f>I273/$I$25</f>
        <v>1.3012108737622649E-5</v>
      </c>
    </row>
    <row r="274" spans="1:10" x14ac:dyDescent="0.2">
      <c r="A274" s="75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'[2]CUENTA T FONDO 100'!EQ116</f>
        <v>0</v>
      </c>
      <c r="H274" s="64">
        <f>'[2]CUENTA T VS'!EQ96</f>
        <v>0</v>
      </c>
      <c r="I274" s="64">
        <f t="shared" si="12"/>
        <v>0</v>
      </c>
      <c r="J274" s="65">
        <f>I274/$I$25</f>
        <v>0</v>
      </c>
    </row>
    <row r="275" spans="1:10" x14ac:dyDescent="0.2">
      <c r="A275" s="75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'[2]CUENTA T FONDO 100'!ER116</f>
        <v>10369.85</v>
      </c>
      <c r="H275" s="64">
        <f>'[2]CUENTA T VS'!ER96</f>
        <v>59697.08</v>
      </c>
      <c r="I275" s="64">
        <f t="shared" si="12"/>
        <v>70066.930000000008</v>
      </c>
      <c r="J275" s="65">
        <f>I275/$I$25</f>
        <v>7.2293777173756436E-4</v>
      </c>
    </row>
    <row r="276" spans="1:10" x14ac:dyDescent="0.2">
      <c r="A276" s="73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12"/>
        <v>0</v>
      </c>
      <c r="J276" s="68"/>
    </row>
    <row r="277" spans="1:10" x14ac:dyDescent="0.2">
      <c r="A277" s="75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'[2]CUENTA T FONDO 100'!ES116</f>
        <v>0</v>
      </c>
      <c r="H277" s="64">
        <f>'[2]CUENTA T VS'!ES96</f>
        <v>0</v>
      </c>
      <c r="I277" s="64">
        <f t="shared" si="12"/>
        <v>0</v>
      </c>
      <c r="J277" s="65">
        <f t="shared" ref="J277:J283" si="13">I277/$I$25</f>
        <v>0</v>
      </c>
    </row>
    <row r="278" spans="1:10" x14ac:dyDescent="0.2">
      <c r="A278" s="75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'[2]CUENTA T FONDO 100'!ET116</f>
        <v>0</v>
      </c>
      <c r="H278" s="64">
        <f>'[2]CUENTA T VS'!ET96</f>
        <v>0</v>
      </c>
      <c r="I278" s="64">
        <f t="shared" si="12"/>
        <v>0</v>
      </c>
      <c r="J278" s="65">
        <f t="shared" si="13"/>
        <v>0</v>
      </c>
    </row>
    <row r="279" spans="1:10" x14ac:dyDescent="0.2">
      <c r="A279" s="75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'[2]CUENTA T FONDO 100'!EU116</f>
        <v>0</v>
      </c>
      <c r="H279" s="64">
        <f>'[2]CUENTA T VS'!EU96</f>
        <v>0</v>
      </c>
      <c r="I279" s="64">
        <f t="shared" si="12"/>
        <v>0</v>
      </c>
      <c r="J279" s="65">
        <f t="shared" si="13"/>
        <v>0</v>
      </c>
    </row>
    <row r="280" spans="1:10" x14ac:dyDescent="0.2">
      <c r="A280" s="75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'[2]CUENTA T FONDO 100'!EV116</f>
        <v>0</v>
      </c>
      <c r="H280" s="64">
        <f>'[2]CUENTA T VS'!EV96</f>
        <v>0</v>
      </c>
      <c r="I280" s="64">
        <f t="shared" si="12"/>
        <v>0</v>
      </c>
      <c r="J280" s="65">
        <f t="shared" si="13"/>
        <v>0</v>
      </c>
    </row>
    <row r="281" spans="1:10" x14ac:dyDescent="0.2">
      <c r="A281" s="75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'[2]CUENTA T FONDO 100'!EW116</f>
        <v>0</v>
      </c>
      <c r="H281" s="64">
        <f>'[2]CUENTA T VS'!EW96</f>
        <v>0</v>
      </c>
      <c r="I281" s="64">
        <f t="shared" ref="I281:I344" si="14">SUM(G281:H281)</f>
        <v>0</v>
      </c>
      <c r="J281" s="65">
        <f t="shared" si="13"/>
        <v>0</v>
      </c>
    </row>
    <row r="282" spans="1:10" x14ac:dyDescent="0.2">
      <c r="A282" s="75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'[2]CUENTA T FONDO 100'!EX116</f>
        <v>0</v>
      </c>
      <c r="H282" s="64">
        <f>'[2]CUENTA T VS'!EX96</f>
        <v>0</v>
      </c>
      <c r="I282" s="64">
        <f t="shared" si="14"/>
        <v>0</v>
      </c>
      <c r="J282" s="65">
        <f t="shared" si="13"/>
        <v>0</v>
      </c>
    </row>
    <row r="283" spans="1:10" x14ac:dyDescent="0.2">
      <c r="A283" s="75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'[2]CUENTA T FONDO 100'!EY116</f>
        <v>0</v>
      </c>
      <c r="H283" s="64">
        <f>'[2]CUENTA T VS'!EY96</f>
        <v>0</v>
      </c>
      <c r="I283" s="64">
        <f t="shared" si="14"/>
        <v>0</v>
      </c>
      <c r="J283" s="65">
        <f t="shared" si="13"/>
        <v>0</v>
      </c>
    </row>
    <row r="284" spans="1:10" x14ac:dyDescent="0.2">
      <c r="A284" s="73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4"/>
        <v>0</v>
      </c>
      <c r="J284" s="68"/>
    </row>
    <row r="285" spans="1:10" x14ac:dyDescent="0.2">
      <c r="A285" s="75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'[2]CUENTA T FONDO 100'!EZ116</f>
        <v>0</v>
      </c>
      <c r="H285" s="64">
        <f>'[2]CUENTA T VS'!EZ96</f>
        <v>0</v>
      </c>
      <c r="I285" s="64">
        <f t="shared" si="14"/>
        <v>0</v>
      </c>
      <c r="J285" s="65">
        <f>I285/$I$25</f>
        <v>0</v>
      </c>
    </row>
    <row r="286" spans="1:10" x14ac:dyDescent="0.2">
      <c r="A286" s="54">
        <v>2</v>
      </c>
      <c r="B286" s="55">
        <v>3</v>
      </c>
      <c r="C286" s="55">
        <v>7</v>
      </c>
      <c r="D286" s="55"/>
      <c r="E286" s="55"/>
      <c r="F286" s="84" t="s">
        <v>245</v>
      </c>
      <c r="G286" s="56">
        <f>G287+G295</f>
        <v>3902915.53</v>
      </c>
      <c r="H286" s="56">
        <f>H287+H295</f>
        <v>1114592.73</v>
      </c>
      <c r="I286" s="56">
        <f t="shared" si="14"/>
        <v>5017508.26</v>
      </c>
      <c r="J286" s="53"/>
    </row>
    <row r="287" spans="1:10" x14ac:dyDescent="0.2">
      <c r="A287" s="73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0</v>
      </c>
      <c r="H287" s="59">
        <f>SUM(H288:H294)</f>
        <v>195844.13</v>
      </c>
      <c r="I287" s="59">
        <f t="shared" si="14"/>
        <v>195844.13</v>
      </c>
      <c r="J287" s="68"/>
    </row>
    <row r="288" spans="1:10" x14ac:dyDescent="0.2">
      <c r="A288" s="75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'[2]CUENTA T FONDO 100'!FA116</f>
        <v>0</v>
      </c>
      <c r="H288" s="64">
        <f>'[2]CUENTA T VS'!FA96</f>
        <v>172000</v>
      </c>
      <c r="I288" s="64">
        <f t="shared" si="14"/>
        <v>172000</v>
      </c>
      <c r="J288" s="65">
        <f t="shared" ref="J288:J294" si="15">I288/$I$25</f>
        <v>1.7746645491512338E-3</v>
      </c>
    </row>
    <row r="289" spans="1:10" x14ac:dyDescent="0.2">
      <c r="A289" s="75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'[2]CUENTA T FONDO 100'!FB116</f>
        <v>0</v>
      </c>
      <c r="H289" s="64">
        <f>'[2]CUENTA T VS'!FB96</f>
        <v>0</v>
      </c>
      <c r="I289" s="64">
        <f t="shared" si="14"/>
        <v>0</v>
      </c>
      <c r="J289" s="65">
        <f t="shared" si="15"/>
        <v>0</v>
      </c>
    </row>
    <row r="290" spans="1:10" x14ac:dyDescent="0.2">
      <c r="A290" s="75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'[2]CUENTA T FONDO 100'!FC116</f>
        <v>0</v>
      </c>
      <c r="H290" s="64">
        <f>'[2]CUENTA T VS'!FC96</f>
        <v>0</v>
      </c>
      <c r="I290" s="64">
        <f t="shared" si="14"/>
        <v>0</v>
      </c>
      <c r="J290" s="65">
        <f t="shared" si="15"/>
        <v>0</v>
      </c>
    </row>
    <row r="291" spans="1:10" x14ac:dyDescent="0.2">
      <c r="A291" s="75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'[2]CUENTA T FONDO 100'!FD116</f>
        <v>0</v>
      </c>
      <c r="H291" s="64">
        <f>'[2]CUENTA T VS'!FD96</f>
        <v>23844.13</v>
      </c>
      <c r="I291" s="64">
        <f t="shared" si="14"/>
        <v>23844.13</v>
      </c>
      <c r="J291" s="65">
        <f t="shared" si="15"/>
        <v>2.4601937335089191E-4</v>
      </c>
    </row>
    <row r="292" spans="1:10" x14ac:dyDescent="0.2">
      <c r="A292" s="75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'[2]CUENTA T FONDO 100'!FE116</f>
        <v>0</v>
      </c>
      <c r="H292" s="64">
        <f>'[2]CUENTA T VS'!FE96</f>
        <v>0</v>
      </c>
      <c r="I292" s="64">
        <f t="shared" si="14"/>
        <v>0</v>
      </c>
      <c r="J292" s="65">
        <f t="shared" si="15"/>
        <v>0</v>
      </c>
    </row>
    <row r="293" spans="1:10" x14ac:dyDescent="0.2">
      <c r="A293" s="75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'[2]CUENTA T FONDO 100'!FF116</f>
        <v>0</v>
      </c>
      <c r="H293" s="64">
        <f>'[2]CUENTA T VS'!FF96</f>
        <v>0</v>
      </c>
      <c r="I293" s="64">
        <f t="shared" si="14"/>
        <v>0</v>
      </c>
      <c r="J293" s="65">
        <f t="shared" si="15"/>
        <v>0</v>
      </c>
    </row>
    <row r="294" spans="1:10" x14ac:dyDescent="0.2">
      <c r="A294" s="75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'[2]CUENTA T FONDO 100'!FG116</f>
        <v>0</v>
      </c>
      <c r="H294" s="64">
        <f>'[2]CUENTA T VS'!FG96</f>
        <v>0</v>
      </c>
      <c r="I294" s="64">
        <f t="shared" si="14"/>
        <v>0</v>
      </c>
      <c r="J294" s="65">
        <f t="shared" si="15"/>
        <v>0</v>
      </c>
    </row>
    <row r="295" spans="1:10" x14ac:dyDescent="0.2">
      <c r="A295" s="73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3902915.53</v>
      </c>
      <c r="H295" s="59">
        <f>SUM(H296:H302)</f>
        <v>918748.6</v>
      </c>
      <c r="I295" s="59">
        <f t="shared" si="14"/>
        <v>4821664.13</v>
      </c>
      <c r="J295" s="68"/>
    </row>
    <row r="296" spans="1:10" x14ac:dyDescent="0.2">
      <c r="A296" s="75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'[2]CUENTA T FONDO 100'!FH116</f>
        <v>0</v>
      </c>
      <c r="H296" s="64">
        <f>'[2]CUENTA T VS'!FH96</f>
        <v>0</v>
      </c>
      <c r="I296" s="64">
        <f t="shared" si="14"/>
        <v>0</v>
      </c>
      <c r="J296" s="65">
        <f t="shared" ref="J296:J302" si="16">I296/$I$25</f>
        <v>0</v>
      </c>
    </row>
    <row r="297" spans="1:10" x14ac:dyDescent="0.2">
      <c r="A297" s="75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'[2]CUENTA T FONDO 100'!FI116</f>
        <v>0</v>
      </c>
      <c r="H297" s="64">
        <f>'[2]CUENTA T VS'!FI96</f>
        <v>0</v>
      </c>
      <c r="I297" s="64">
        <f t="shared" si="14"/>
        <v>0</v>
      </c>
      <c r="J297" s="65">
        <f t="shared" si="16"/>
        <v>0</v>
      </c>
    </row>
    <row r="298" spans="1:10" x14ac:dyDescent="0.2">
      <c r="A298" s="75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'[2]CUENTA T FONDO 100'!FJ116</f>
        <v>3252187.63</v>
      </c>
      <c r="H298" s="64">
        <f>'[2]CUENTA T VS'!FJ96</f>
        <v>18975</v>
      </c>
      <c r="I298" s="64">
        <f t="shared" si="14"/>
        <v>3271162.63</v>
      </c>
      <c r="J298" s="65">
        <f t="shared" si="16"/>
        <v>3.3751257871914617E-2</v>
      </c>
    </row>
    <row r="299" spans="1:10" x14ac:dyDescent="0.2">
      <c r="A299" s="75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'[2]CUENTA T FONDO 100'!FK116</f>
        <v>0</v>
      </c>
      <c r="H299" s="64">
        <f>'[2]CUENTA T VS'!FK96</f>
        <v>0</v>
      </c>
      <c r="I299" s="64">
        <f t="shared" si="14"/>
        <v>0</v>
      </c>
      <c r="J299" s="65">
        <f t="shared" si="16"/>
        <v>0</v>
      </c>
    </row>
    <row r="300" spans="1:10" x14ac:dyDescent="0.2">
      <c r="A300" s="75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'[2]CUENTA T FONDO 100'!FL116</f>
        <v>0</v>
      </c>
      <c r="H300" s="64">
        <f>'[2]CUENTA T VS'!FL96</f>
        <v>0</v>
      </c>
      <c r="I300" s="64">
        <f t="shared" si="14"/>
        <v>0</v>
      </c>
      <c r="J300" s="65">
        <f t="shared" si="16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5" t="s">
        <v>260</v>
      </c>
      <c r="G301" s="64">
        <f>'[2]CUENTA T FONDO 100'!FM116</f>
        <v>0</v>
      </c>
      <c r="H301" s="64">
        <f>'[2]CUENTA T VS'!FM96</f>
        <v>0</v>
      </c>
      <c r="I301" s="64">
        <f t="shared" si="14"/>
        <v>0</v>
      </c>
      <c r="J301" s="65">
        <f t="shared" si="16"/>
        <v>0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5" t="s">
        <v>261</v>
      </c>
      <c r="G302" s="64">
        <f>'[2]CUENTA T FONDO 100'!FN116</f>
        <v>650727.9</v>
      </c>
      <c r="H302" s="64">
        <f>'[2]CUENTA T VS'!FN96</f>
        <v>899773.6</v>
      </c>
      <c r="I302" s="64">
        <f t="shared" si="14"/>
        <v>1550501.5</v>
      </c>
      <c r="J302" s="65">
        <f t="shared" si="16"/>
        <v>1.5997790961952394E-2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4" t="s">
        <v>262</v>
      </c>
      <c r="G303" s="56">
        <f>+G304+G306</f>
        <v>0</v>
      </c>
      <c r="H303" s="56">
        <f>+H304+H306</f>
        <v>0</v>
      </c>
      <c r="I303" s="56">
        <f t="shared" si="14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4"/>
        <v>0</v>
      </c>
      <c r="J304" s="68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'[2]CUENTA T FONDO 100'!FO116</f>
        <v>0</v>
      </c>
      <c r="H305" s="64">
        <f>'[2]CUENTA T VS'!FO96</f>
        <v>0</v>
      </c>
      <c r="I305" s="64">
        <f t="shared" si="14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3" t="s">
        <v>264</v>
      </c>
      <c r="G306" s="59">
        <f>SUM(G307)</f>
        <v>0</v>
      </c>
      <c r="H306" s="59">
        <f>SUM(H307)</f>
        <v>0</v>
      </c>
      <c r="I306" s="59">
        <f t="shared" si="14"/>
        <v>0</v>
      </c>
      <c r="J306" s="68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2" t="s">
        <v>264</v>
      </c>
      <c r="G307" s="64">
        <f>'[2]CUENTA T FONDO 100'!FP116</f>
        <v>0</v>
      </c>
      <c r="H307" s="64">
        <f>'[2]CUENTA T VS'!FP96</f>
        <v>0</v>
      </c>
      <c r="I307" s="64">
        <f t="shared" si="14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7498600.3700000001</v>
      </c>
      <c r="H308" s="56">
        <f>+H309+H312+H314+H316+H318+H320+H322+H324+H327</f>
        <v>475914.23</v>
      </c>
      <c r="I308" s="56">
        <f t="shared" si="14"/>
        <v>7974514.5999999996</v>
      </c>
      <c r="J308" s="53"/>
    </row>
    <row r="309" spans="1:10" x14ac:dyDescent="0.2">
      <c r="A309" s="73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1107347.4699999997</v>
      </c>
      <c r="H309" s="59">
        <f>SUM(H310:H311)</f>
        <v>0</v>
      </c>
      <c r="I309" s="59">
        <f t="shared" si="14"/>
        <v>1107347.4699999997</v>
      </c>
      <c r="J309" s="68"/>
    </row>
    <row r="310" spans="1:10" x14ac:dyDescent="0.2">
      <c r="A310" s="75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'[2]CUENTA T FONDO 100'!FQ116</f>
        <v>1107347.4699999997</v>
      </c>
      <c r="H310" s="64">
        <f>'[2]CUENTA T VS'!FQ96</f>
        <v>0</v>
      </c>
      <c r="I310" s="64">
        <f t="shared" si="14"/>
        <v>1107347.4699999997</v>
      </c>
      <c r="J310" s="65">
        <f>I310/$I$25</f>
        <v>1.1425408712798308E-2</v>
      </c>
    </row>
    <row r="311" spans="1:10" x14ac:dyDescent="0.2">
      <c r="A311" s="75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'[2]CUENTA T FONDO 100'!FR116</f>
        <v>0</v>
      </c>
      <c r="H311" s="64">
        <f>'[2]CUENTA T VS'!FR96</f>
        <v>0</v>
      </c>
      <c r="I311" s="64">
        <f t="shared" si="14"/>
        <v>0</v>
      </c>
      <c r="J311" s="65">
        <f>I311/$I$25</f>
        <v>0</v>
      </c>
    </row>
    <row r="312" spans="1:10" x14ac:dyDescent="0.2">
      <c r="A312" s="73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0</v>
      </c>
      <c r="H312" s="59">
        <f>SUM(H313)</f>
        <v>0</v>
      </c>
      <c r="I312" s="59">
        <f t="shared" si="14"/>
        <v>0</v>
      </c>
      <c r="J312" s="68"/>
    </row>
    <row r="313" spans="1:10" x14ac:dyDescent="0.2">
      <c r="A313" s="75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'[2]CUENTA T FONDO 100'!FS116</f>
        <v>0</v>
      </c>
      <c r="H313" s="64">
        <f>'[2]CUENTA T VS'!FS96</f>
        <v>0</v>
      </c>
      <c r="I313" s="64">
        <f t="shared" si="14"/>
        <v>0</v>
      </c>
      <c r="J313" s="65">
        <f>I313/$I$25</f>
        <v>0</v>
      </c>
    </row>
    <row r="314" spans="1:10" x14ac:dyDescent="0.2">
      <c r="A314" s="73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5362778.4900000012</v>
      </c>
      <c r="H314" s="59">
        <f>SUM(H315)</f>
        <v>419800</v>
      </c>
      <c r="I314" s="59">
        <f t="shared" si="14"/>
        <v>5782578.4900000012</v>
      </c>
      <c r="J314" s="68"/>
    </row>
    <row r="315" spans="1:10" x14ac:dyDescent="0.2">
      <c r="A315" s="75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'[2]CUENTA T FONDO 100'!FT116</f>
        <v>5362778.4900000012</v>
      </c>
      <c r="H315" s="64">
        <f>'[2]CUENTA T VS'!FT96</f>
        <v>419800</v>
      </c>
      <c r="I315" s="64">
        <f t="shared" si="14"/>
        <v>5782578.4900000012</v>
      </c>
      <c r="J315" s="65">
        <f>I315/$I$25</f>
        <v>5.9663587493531831E-2</v>
      </c>
    </row>
    <row r="316" spans="1:10" x14ac:dyDescent="0.2">
      <c r="A316" s="73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4"/>
        <v>0</v>
      </c>
      <c r="J316" s="68"/>
    </row>
    <row r="317" spans="1:10" x14ac:dyDescent="0.2">
      <c r="A317" s="75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'[2]CUENTA T FONDO 100'!FU116</f>
        <v>0</v>
      </c>
      <c r="H317" s="64">
        <f>'[2]CUENTA T VS'!FU96</f>
        <v>0</v>
      </c>
      <c r="I317" s="64">
        <f t="shared" si="14"/>
        <v>0</v>
      </c>
      <c r="J317" s="65">
        <f>I317/$I$25</f>
        <v>0</v>
      </c>
    </row>
    <row r="318" spans="1:10" x14ac:dyDescent="0.2">
      <c r="A318" s="73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SUM(H319)</f>
        <v>0</v>
      </c>
      <c r="I318" s="59">
        <f t="shared" si="14"/>
        <v>0</v>
      </c>
      <c r="J318" s="68"/>
    </row>
    <row r="319" spans="1:10" x14ac:dyDescent="0.2">
      <c r="A319" s="75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'[2]CUENTA T FONDO 100'!FV116</f>
        <v>0</v>
      </c>
      <c r="H319" s="64">
        <f>'[2]CUENTA T VS'!FV96</f>
        <v>0</v>
      </c>
      <c r="I319" s="64">
        <f t="shared" si="14"/>
        <v>0</v>
      </c>
      <c r="J319" s="65">
        <f>I319/$I$25</f>
        <v>0</v>
      </c>
    </row>
    <row r="320" spans="1:10" x14ac:dyDescent="0.2">
      <c r="A320" s="73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569305.18999999994</v>
      </c>
      <c r="H320" s="59">
        <f>SUM(H321)</f>
        <v>4050.01</v>
      </c>
      <c r="I320" s="59">
        <f t="shared" si="14"/>
        <v>573355.19999999995</v>
      </c>
      <c r="J320" s="68"/>
    </row>
    <row r="321" spans="1:11" x14ac:dyDescent="0.2">
      <c r="A321" s="75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'[2]CUENTA T FONDO 100'!FW116</f>
        <v>569305.18999999994</v>
      </c>
      <c r="H321" s="64">
        <f>'[2]CUENTA T VS'!FW96</f>
        <v>4050.01</v>
      </c>
      <c r="I321" s="64">
        <f t="shared" si="14"/>
        <v>573355.19999999995</v>
      </c>
      <c r="J321" s="65">
        <f>I321/$I$25</f>
        <v>5.9157741134390433E-3</v>
      </c>
    </row>
    <row r="322" spans="1:11" x14ac:dyDescent="0.2">
      <c r="A322" s="73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4"/>
        <v>0</v>
      </c>
      <c r="J322" s="68"/>
    </row>
    <row r="323" spans="1:11" x14ac:dyDescent="0.2">
      <c r="A323" s="75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'[2]CUENTA T FONDO 100'!FX116</f>
        <v>0</v>
      </c>
      <c r="H323" s="64">
        <f>'[2]CUENTA T VS'!FX96</f>
        <v>0</v>
      </c>
      <c r="I323" s="64">
        <f t="shared" si="14"/>
        <v>0</v>
      </c>
      <c r="J323" s="65">
        <f>I323/$I$25</f>
        <v>0</v>
      </c>
    </row>
    <row r="324" spans="1:11" x14ac:dyDescent="0.2">
      <c r="A324" s="73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459169.22</v>
      </c>
      <c r="H324" s="59">
        <f>SUM(H325:H326)</f>
        <v>0</v>
      </c>
      <c r="I324" s="59">
        <f t="shared" si="14"/>
        <v>459169.22</v>
      </c>
      <c r="J324" s="68"/>
    </row>
    <row r="325" spans="1:11" x14ac:dyDescent="0.2">
      <c r="A325" s="75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'[2]CUENTA T FONDO 100'!FY116</f>
        <v>30401.279999999999</v>
      </c>
      <c r="H325" s="64">
        <f>'[2]CUENTA T VS'!FY96</f>
        <v>0</v>
      </c>
      <c r="I325" s="64">
        <f t="shared" si="14"/>
        <v>30401.279999999999</v>
      </c>
      <c r="J325" s="65">
        <f>I325/$I$25</f>
        <v>3.1367484805128149E-4</v>
      </c>
    </row>
    <row r="326" spans="1:11" x14ac:dyDescent="0.2">
      <c r="A326" s="75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'[2]CUENTA T FONDO 100'!FZ116</f>
        <v>428767.94</v>
      </c>
      <c r="H326" s="64">
        <f>'[2]CUENTA T VS'!FZ96</f>
        <v>0</v>
      </c>
      <c r="I326" s="64">
        <f t="shared" si="14"/>
        <v>428767.94</v>
      </c>
      <c r="J326" s="65">
        <f>I326/$I$25</f>
        <v>4.423949203084903E-3</v>
      </c>
    </row>
    <row r="327" spans="1:11" x14ac:dyDescent="0.2">
      <c r="A327" s="73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0</v>
      </c>
      <c r="H327" s="59">
        <f>SUM(H328:H329)</f>
        <v>52064.22</v>
      </c>
      <c r="I327" s="59">
        <f t="shared" si="14"/>
        <v>52064.22</v>
      </c>
      <c r="J327" s="68"/>
    </row>
    <row r="328" spans="1:11" x14ac:dyDescent="0.2">
      <c r="A328" s="75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'[2]CUENTA T FONDO 100'!GA116</f>
        <v>0</v>
      </c>
      <c r="H328" s="64">
        <f>'[2]CUENTA T VS'!GA96</f>
        <v>52064.22</v>
      </c>
      <c r="I328" s="64">
        <f t="shared" si="14"/>
        <v>52064.22</v>
      </c>
      <c r="J328" s="65">
        <f>I328/$I$25</f>
        <v>5.3718910182099216E-4</v>
      </c>
    </row>
    <row r="329" spans="1:11" x14ac:dyDescent="0.2">
      <c r="A329" s="75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'[2]CUENTA T FONDO 100'!GB116</f>
        <v>0</v>
      </c>
      <c r="H329" s="64">
        <f>'[2]CUENTA T VS'!GB96</f>
        <v>0</v>
      </c>
      <c r="I329" s="64">
        <f t="shared" si="14"/>
        <v>0</v>
      </c>
      <c r="J329" s="65">
        <f>I329/$I$25</f>
        <v>0</v>
      </c>
    </row>
    <row r="330" spans="1:11" x14ac:dyDescent="0.2">
      <c r="A330" s="71">
        <v>2</v>
      </c>
      <c r="B330" s="55">
        <v>4</v>
      </c>
      <c r="C330" s="55">
        <v>1</v>
      </c>
      <c r="D330" s="55">
        <v>2</v>
      </c>
      <c r="E330" s="55"/>
      <c r="F330" s="86" t="s">
        <v>281</v>
      </c>
      <c r="G330" s="56">
        <f>G331+G332+G333+G334+G335</f>
        <v>0</v>
      </c>
      <c r="H330" s="56">
        <f>H331+H332+H333+H334+H335</f>
        <v>23400</v>
      </c>
      <c r="I330" s="56">
        <f t="shared" si="14"/>
        <v>23400</v>
      </c>
      <c r="J330" s="53">
        <f>+I330/I25</f>
        <v>2.4143692122173763E-4</v>
      </c>
    </row>
    <row r="331" spans="1:11" x14ac:dyDescent="0.2">
      <c r="A331" s="75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'[2]CUENTA T FONDO 100'!GC116</f>
        <v>0</v>
      </c>
      <c r="H331" s="64">
        <f>'[2]CUENTA T VS'!GC96</f>
        <v>0</v>
      </c>
      <c r="I331" s="64">
        <f t="shared" si="14"/>
        <v>0</v>
      </c>
      <c r="J331" s="65">
        <f t="shared" ref="J331:J336" si="17">I331/$I$25</f>
        <v>0</v>
      </c>
    </row>
    <row r="332" spans="1:11" x14ac:dyDescent="0.2">
      <c r="A332" s="75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'[2]CUENTA T FONDO 100'!GD116</f>
        <v>0</v>
      </c>
      <c r="H332" s="64">
        <f>'[2]CUENTA T VS'!GD96</f>
        <v>23400</v>
      </c>
      <c r="I332" s="64">
        <f t="shared" si="14"/>
        <v>23400</v>
      </c>
      <c r="J332" s="65">
        <f t="shared" si="17"/>
        <v>2.4143692122173763E-4</v>
      </c>
    </row>
    <row r="333" spans="1:11" x14ac:dyDescent="0.2">
      <c r="A333" s="75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'[2]CUENTA T FONDO 100'!GE116</f>
        <v>0</v>
      </c>
      <c r="H333" s="64">
        <f>'[2]CUENTA T VS'!GE96</f>
        <v>0</v>
      </c>
      <c r="I333" s="64">
        <f t="shared" si="14"/>
        <v>0</v>
      </c>
      <c r="J333" s="65">
        <f t="shared" si="17"/>
        <v>0</v>
      </c>
    </row>
    <row r="334" spans="1:11" x14ac:dyDescent="0.2">
      <c r="A334" s="75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'[2]CUENTA T FONDO 100'!GF116</f>
        <v>0</v>
      </c>
      <c r="H334" s="64">
        <f>'[2]CUENTA T VS'!GF96</f>
        <v>0</v>
      </c>
      <c r="I334" s="64">
        <f t="shared" si="14"/>
        <v>0</v>
      </c>
      <c r="J334" s="65">
        <f t="shared" si="17"/>
        <v>0</v>
      </c>
    </row>
    <row r="335" spans="1:11" x14ac:dyDescent="0.2">
      <c r="A335" s="75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'[2]CUENTA T FONDO 100'!GG116</f>
        <v>0</v>
      </c>
      <c r="H335" s="64">
        <f>'[2]CUENTA T VS'!GG96</f>
        <v>0</v>
      </c>
      <c r="I335" s="64">
        <f t="shared" si="14"/>
        <v>0</v>
      </c>
      <c r="J335" s="65">
        <f t="shared" si="17"/>
        <v>0</v>
      </c>
    </row>
    <row r="336" spans="1:11" x14ac:dyDescent="0.2">
      <c r="A336" s="71">
        <v>2</v>
      </c>
      <c r="B336" s="55">
        <v>6</v>
      </c>
      <c r="C336" s="55"/>
      <c r="D336" s="55"/>
      <c r="E336" s="55"/>
      <c r="F336" s="86" t="s">
        <v>287</v>
      </c>
      <c r="G336" s="56">
        <f>G337+G348+G357+G366+G383+G400+G405+G424+G446</f>
        <v>6461017.2600000007</v>
      </c>
      <c r="H336" s="56">
        <f>H337+H348+H357+H366+H383+H400+H405+H424+H446</f>
        <v>3887510</v>
      </c>
      <c r="I336" s="56">
        <f t="shared" si="14"/>
        <v>10348527.260000002</v>
      </c>
      <c r="J336" s="53">
        <f t="shared" si="17"/>
        <v>0.10677421200143696</v>
      </c>
      <c r="K336" s="27">
        <f>+I336+'ENERO 2025'!J336</f>
        <v>11236522.100000001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6" t="s">
        <v>288</v>
      </c>
      <c r="G337" s="56">
        <f>+G338+G340+G342+G344+G346</f>
        <v>432420.86</v>
      </c>
      <c r="H337" s="56">
        <f>+H338+H340+H342+H344+H346</f>
        <v>0</v>
      </c>
      <c r="I337" s="56">
        <f t="shared" si="14"/>
        <v>432420.86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7" t="s">
        <v>289</v>
      </c>
      <c r="G338" s="59">
        <f>SUM(G339)</f>
        <v>159283.04999999999</v>
      </c>
      <c r="H338" s="59">
        <f>SUM(H339)</f>
        <v>0</v>
      </c>
      <c r="I338" s="59">
        <f t="shared" si="14"/>
        <v>159283.04999999999</v>
      </c>
      <c r="J338" s="68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70" t="s">
        <v>289</v>
      </c>
      <c r="G339" s="64">
        <f>'[2]CUENTA T FONDO 100'!GH116</f>
        <v>159283.04999999999</v>
      </c>
      <c r="H339" s="64">
        <f>'[2]CUENTA T VS'!GH96</f>
        <v>0</v>
      </c>
      <c r="I339" s="64">
        <f t="shared" si="14"/>
        <v>159283.04999999999</v>
      </c>
      <c r="J339" s="65">
        <f>I339/$I$25</f>
        <v>1.6434533843935081E-3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7" t="s">
        <v>290</v>
      </c>
      <c r="G340" s="59">
        <f>SUM(G341)</f>
        <v>0</v>
      </c>
      <c r="H340" s="59">
        <f>SUM(H341)</f>
        <v>0</v>
      </c>
      <c r="I340" s="59">
        <f t="shared" si="14"/>
        <v>0</v>
      </c>
      <c r="J340" s="68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70" t="s">
        <v>290</v>
      </c>
      <c r="G341" s="64">
        <f>'[2]CUENTA T FONDO 100'!GI116</f>
        <v>0</v>
      </c>
      <c r="H341" s="64">
        <f>'[2]CUENTA T VS'!GI96</f>
        <v>0</v>
      </c>
      <c r="I341" s="64">
        <f t="shared" si="14"/>
        <v>0</v>
      </c>
      <c r="J341" s="65">
        <f>I341/$I$25</f>
        <v>0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7" t="s">
        <v>291</v>
      </c>
      <c r="G342" s="59">
        <f>SUM(G343)</f>
        <v>0</v>
      </c>
      <c r="H342" s="59">
        <f>SUM(H343)</f>
        <v>0</v>
      </c>
      <c r="I342" s="59">
        <f t="shared" si="14"/>
        <v>0</v>
      </c>
      <c r="J342" s="68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70" t="s">
        <v>291</v>
      </c>
      <c r="G343" s="64">
        <f>'[2]CUENTA T FONDO 100'!GJ116</f>
        <v>0</v>
      </c>
      <c r="H343" s="64">
        <f>'[2]CUENTA T VS'!GJ96</f>
        <v>0</v>
      </c>
      <c r="I343" s="64">
        <f t="shared" si="14"/>
        <v>0</v>
      </c>
      <c r="J343" s="65">
        <f>I343/$I$25</f>
        <v>0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7" t="s">
        <v>292</v>
      </c>
      <c r="G344" s="59">
        <f>SUM(G345)</f>
        <v>210276</v>
      </c>
      <c r="H344" s="59">
        <f>SUM(H345)</f>
        <v>0</v>
      </c>
      <c r="I344" s="59">
        <f t="shared" si="14"/>
        <v>210276</v>
      </c>
      <c r="J344" s="68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70" t="s">
        <v>292</v>
      </c>
      <c r="G345" s="64">
        <f>'[2]CUENTA T FONDO 100'!GK116</f>
        <v>210276</v>
      </c>
      <c r="H345" s="64">
        <f>'[2]CUENTA T VS'!GK96</f>
        <v>0</v>
      </c>
      <c r="I345" s="64">
        <f t="shared" ref="I345:I408" si="18">SUM(G345:H345)</f>
        <v>210276</v>
      </c>
      <c r="J345" s="65">
        <f>I345/$I$25</f>
        <v>2.1695893182402609E-3</v>
      </c>
    </row>
    <row r="346" spans="1:10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7" t="s">
        <v>293</v>
      </c>
      <c r="G346" s="59">
        <f>SUM(G347)</f>
        <v>62861.81</v>
      </c>
      <c r="H346" s="59">
        <f>SUM(H347)</f>
        <v>0</v>
      </c>
      <c r="I346" s="59">
        <f t="shared" si="18"/>
        <v>62861.81</v>
      </c>
      <c r="J346" s="68"/>
    </row>
    <row r="347" spans="1:10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70" t="s">
        <v>293</v>
      </c>
      <c r="G347" s="64">
        <f>'[2]CUENTA T FONDO 100'!GL116</f>
        <v>62861.81</v>
      </c>
      <c r="H347" s="64">
        <f>'[2]CUENTA T VS'!GL96</f>
        <v>0</v>
      </c>
      <c r="I347" s="64">
        <f t="shared" si="18"/>
        <v>62861.81</v>
      </c>
      <c r="J347" s="65">
        <f>I347/$I$25</f>
        <v>6.485966610609333E-4</v>
      </c>
    </row>
    <row r="348" spans="1:10" x14ac:dyDescent="0.2">
      <c r="A348" s="88">
        <v>2</v>
      </c>
      <c r="B348" s="88">
        <v>6</v>
      </c>
      <c r="C348" s="88">
        <v>2</v>
      </c>
      <c r="D348" s="88"/>
      <c r="E348" s="88"/>
      <c r="F348" s="89" t="s">
        <v>294</v>
      </c>
      <c r="G348" s="56">
        <f>+G349+G351+G353+G355</f>
        <v>0</v>
      </c>
      <c r="H348" s="56">
        <f>+H349+H351+H353+H355</f>
        <v>0</v>
      </c>
      <c r="I348" s="56">
        <f t="shared" si="18"/>
        <v>0</v>
      </c>
      <c r="J348" s="53"/>
    </row>
    <row r="349" spans="1:10" x14ac:dyDescent="0.2">
      <c r="A349" s="73">
        <v>2</v>
      </c>
      <c r="B349" s="58">
        <v>6</v>
      </c>
      <c r="C349" s="58">
        <v>2</v>
      </c>
      <c r="D349" s="58">
        <v>1</v>
      </c>
      <c r="E349" s="78"/>
      <c r="F349" s="87" t="s">
        <v>295</v>
      </c>
      <c r="G349" s="59">
        <f>SUM(G350)</f>
        <v>0</v>
      </c>
      <c r="H349" s="59">
        <f>SUM(H350)</f>
        <v>0</v>
      </c>
      <c r="I349" s="59">
        <f t="shared" si="18"/>
        <v>0</v>
      </c>
      <c r="J349" s="68"/>
    </row>
    <row r="350" spans="1:10" x14ac:dyDescent="0.2">
      <c r="A350" s="75">
        <v>2</v>
      </c>
      <c r="B350" s="62">
        <v>6</v>
      </c>
      <c r="C350" s="62">
        <v>2</v>
      </c>
      <c r="D350" s="62">
        <v>1</v>
      </c>
      <c r="E350" s="63" t="s">
        <v>35</v>
      </c>
      <c r="F350" s="70" t="s">
        <v>295</v>
      </c>
      <c r="G350" s="64">
        <f>'[2]CUENTA T FONDO 100'!GM116</f>
        <v>0</v>
      </c>
      <c r="H350" s="64">
        <f>'[2]CUENTA T VS'!GM96</f>
        <v>0</v>
      </c>
      <c r="I350" s="64">
        <f t="shared" si="18"/>
        <v>0</v>
      </c>
      <c r="J350" s="65">
        <f>I350/$I$25</f>
        <v>0</v>
      </c>
    </row>
    <row r="351" spans="1:10" x14ac:dyDescent="0.2">
      <c r="A351" s="73">
        <v>2</v>
      </c>
      <c r="B351" s="58">
        <v>6</v>
      </c>
      <c r="C351" s="58">
        <v>2</v>
      </c>
      <c r="D351" s="58">
        <v>2</v>
      </c>
      <c r="E351" s="78"/>
      <c r="F351" s="87" t="s">
        <v>296</v>
      </c>
      <c r="G351" s="59">
        <f>SUM(G352)</f>
        <v>0</v>
      </c>
      <c r="H351" s="59">
        <f>SUM(H352)</f>
        <v>0</v>
      </c>
      <c r="I351" s="59">
        <f t="shared" si="18"/>
        <v>0</v>
      </c>
      <c r="J351" s="68"/>
    </row>
    <row r="352" spans="1:10" x14ac:dyDescent="0.2">
      <c r="A352" s="75">
        <v>2</v>
      </c>
      <c r="B352" s="62">
        <v>6</v>
      </c>
      <c r="C352" s="62">
        <v>2</v>
      </c>
      <c r="D352" s="62">
        <v>2</v>
      </c>
      <c r="E352" s="63" t="s">
        <v>35</v>
      </c>
      <c r="F352" s="70" t="s">
        <v>296</v>
      </c>
      <c r="G352" s="64">
        <f>'[2]CUENTA T FONDO 100'!GN116</f>
        <v>0</v>
      </c>
      <c r="H352" s="64">
        <f>'[2]CUENTA T VS'!GN96</f>
        <v>0</v>
      </c>
      <c r="I352" s="64">
        <f t="shared" si="18"/>
        <v>0</v>
      </c>
      <c r="J352" s="65">
        <f>I352/$I$25</f>
        <v>0</v>
      </c>
    </row>
    <row r="353" spans="1:11" x14ac:dyDescent="0.2">
      <c r="A353" s="73">
        <v>2</v>
      </c>
      <c r="B353" s="58">
        <v>6</v>
      </c>
      <c r="C353" s="58">
        <v>2</v>
      </c>
      <c r="D353" s="58">
        <v>3</v>
      </c>
      <c r="E353" s="78"/>
      <c r="F353" s="87" t="s">
        <v>297</v>
      </c>
      <c r="G353" s="59">
        <f>SUM(G354)</f>
        <v>0</v>
      </c>
      <c r="H353" s="59">
        <f>SUM(H354)</f>
        <v>0</v>
      </c>
      <c r="I353" s="59">
        <f t="shared" si="18"/>
        <v>0</v>
      </c>
      <c r="J353" s="68"/>
    </row>
    <row r="354" spans="1:11" x14ac:dyDescent="0.2">
      <c r="A354" s="75">
        <v>2</v>
      </c>
      <c r="B354" s="62">
        <v>6</v>
      </c>
      <c r="C354" s="62">
        <v>2</v>
      </c>
      <c r="D354" s="62">
        <v>3</v>
      </c>
      <c r="E354" s="63" t="s">
        <v>35</v>
      </c>
      <c r="F354" s="70" t="s">
        <v>297</v>
      </c>
      <c r="G354" s="64">
        <f>'[2]CUENTA T FONDO 100'!GO116</f>
        <v>0</v>
      </c>
      <c r="H354" s="64">
        <f>'[2]CUENTA T VS'!GO96</f>
        <v>0</v>
      </c>
      <c r="I354" s="64">
        <f t="shared" si="18"/>
        <v>0</v>
      </c>
      <c r="J354" s="65">
        <f>I354/$I$25</f>
        <v>0</v>
      </c>
    </row>
    <row r="355" spans="1:11" x14ac:dyDescent="0.2">
      <c r="A355" s="73">
        <v>2</v>
      </c>
      <c r="B355" s="58">
        <v>6</v>
      </c>
      <c r="C355" s="58">
        <v>2</v>
      </c>
      <c r="D355" s="58">
        <v>4</v>
      </c>
      <c r="E355" s="78"/>
      <c r="F355" s="87" t="s">
        <v>298</v>
      </c>
      <c r="G355" s="59">
        <f>SUM(G356)</f>
        <v>0</v>
      </c>
      <c r="H355" s="59">
        <f>SUM(H356)</f>
        <v>0</v>
      </c>
      <c r="I355" s="59">
        <f t="shared" si="18"/>
        <v>0</v>
      </c>
      <c r="J355" s="68"/>
    </row>
    <row r="356" spans="1:11" x14ac:dyDescent="0.2">
      <c r="A356" s="75">
        <v>2</v>
      </c>
      <c r="B356" s="62">
        <v>6</v>
      </c>
      <c r="C356" s="62">
        <v>2</v>
      </c>
      <c r="D356" s="62">
        <v>4</v>
      </c>
      <c r="E356" s="63" t="s">
        <v>35</v>
      </c>
      <c r="F356" s="70" t="s">
        <v>298</v>
      </c>
      <c r="G356" s="64">
        <f>'[2]CUENTA T FONDO 100'!GP116</f>
        <v>0</v>
      </c>
      <c r="H356" s="64">
        <f>'[2]CUENTA T VS'!GP96</f>
        <v>0</v>
      </c>
      <c r="I356" s="64">
        <f t="shared" si="18"/>
        <v>0</v>
      </c>
      <c r="J356" s="65">
        <f>I356/$I$25</f>
        <v>0</v>
      </c>
    </row>
    <row r="357" spans="1:11" x14ac:dyDescent="0.2">
      <c r="A357" s="88">
        <v>2</v>
      </c>
      <c r="B357" s="88">
        <v>6</v>
      </c>
      <c r="C357" s="88">
        <v>3</v>
      </c>
      <c r="D357" s="88"/>
      <c r="E357" s="88"/>
      <c r="F357" s="89" t="s">
        <v>299</v>
      </c>
      <c r="G357" s="56">
        <f>+G358+G360+G362+G364</f>
        <v>6028596.4000000004</v>
      </c>
      <c r="H357" s="56">
        <f>+H358+H360+H362+H364</f>
        <v>2075030</v>
      </c>
      <c r="I357" s="56">
        <f t="shared" si="18"/>
        <v>8103626.4000000004</v>
      </c>
      <c r="J357" s="53"/>
      <c r="K357" s="27">
        <f>+I357+'ENERO 2025'!J336</f>
        <v>8991621.2400000002</v>
      </c>
    </row>
    <row r="358" spans="1:11" x14ac:dyDescent="0.2">
      <c r="A358" s="73">
        <v>2</v>
      </c>
      <c r="B358" s="58">
        <v>6</v>
      </c>
      <c r="C358" s="58">
        <v>3</v>
      </c>
      <c r="D358" s="58">
        <v>1</v>
      </c>
      <c r="E358" s="78"/>
      <c r="F358" s="87" t="s">
        <v>300</v>
      </c>
      <c r="G358" s="59">
        <f>SUM(G359)</f>
        <v>2793910</v>
      </c>
      <c r="H358" s="59">
        <f>SUM(H359)</f>
        <v>413000</v>
      </c>
      <c r="I358" s="59">
        <f t="shared" si="18"/>
        <v>3206910</v>
      </c>
      <c r="J358" s="68"/>
    </row>
    <row r="359" spans="1:11" x14ac:dyDescent="0.2">
      <c r="A359" s="75">
        <v>2</v>
      </c>
      <c r="B359" s="62">
        <v>6</v>
      </c>
      <c r="C359" s="62">
        <v>3</v>
      </c>
      <c r="D359" s="62">
        <v>1</v>
      </c>
      <c r="E359" s="63" t="s">
        <v>35</v>
      </c>
      <c r="F359" s="70" t="s">
        <v>300</v>
      </c>
      <c r="G359" s="64">
        <f>'[2]CUENTA T FONDO 100'!GQ116</f>
        <v>2793910</v>
      </c>
      <c r="H359" s="64">
        <f>'[2]CUENTA T VS'!GQ96</f>
        <v>413000</v>
      </c>
      <c r="I359" s="64">
        <f t="shared" si="18"/>
        <v>3206910</v>
      </c>
      <c r="J359" s="65">
        <f>I359/$I$25</f>
        <v>3.3088310984410368E-2</v>
      </c>
    </row>
    <row r="360" spans="1:11" x14ac:dyDescent="0.2">
      <c r="A360" s="73">
        <v>2</v>
      </c>
      <c r="B360" s="58">
        <v>6</v>
      </c>
      <c r="C360" s="58">
        <v>3</v>
      </c>
      <c r="D360" s="58">
        <v>2</v>
      </c>
      <c r="E360" s="78"/>
      <c r="F360" s="87" t="s">
        <v>301</v>
      </c>
      <c r="G360" s="59">
        <f>SUM(G361)</f>
        <v>2432782.4</v>
      </c>
      <c r="H360" s="59">
        <f>SUM(H361)</f>
        <v>1662030</v>
      </c>
      <c r="I360" s="59">
        <f t="shared" si="18"/>
        <v>4094812.4</v>
      </c>
      <c r="J360" s="68"/>
    </row>
    <row r="361" spans="1:11" x14ac:dyDescent="0.2">
      <c r="A361" s="75">
        <v>2</v>
      </c>
      <c r="B361" s="62">
        <v>6</v>
      </c>
      <c r="C361" s="62">
        <v>3</v>
      </c>
      <c r="D361" s="62">
        <v>2</v>
      </c>
      <c r="E361" s="63" t="s">
        <v>35</v>
      </c>
      <c r="F361" s="70" t="s">
        <v>301</v>
      </c>
      <c r="G361" s="64">
        <f>'[2]CUENTA T FONDO 100'!GR116</f>
        <v>2432782.4</v>
      </c>
      <c r="H361" s="64">
        <f>'[2]CUENTA T VS'!GR96</f>
        <v>1662030</v>
      </c>
      <c r="I361" s="64">
        <f t="shared" si="18"/>
        <v>4094812.4</v>
      </c>
      <c r="J361" s="65">
        <f>I361/$I$25</f>
        <v>4.2249525591307451E-2</v>
      </c>
    </row>
    <row r="362" spans="1:11" x14ac:dyDescent="0.2">
      <c r="A362" s="73">
        <v>2</v>
      </c>
      <c r="B362" s="58">
        <v>6</v>
      </c>
      <c r="C362" s="58">
        <v>3</v>
      </c>
      <c r="D362" s="58">
        <v>3</v>
      </c>
      <c r="E362" s="78"/>
      <c r="F362" s="87" t="s">
        <v>302</v>
      </c>
      <c r="G362" s="59">
        <f>SUM(G363)</f>
        <v>0</v>
      </c>
      <c r="H362" s="59">
        <f>SUM(H363)</f>
        <v>0</v>
      </c>
      <c r="I362" s="59">
        <f t="shared" si="18"/>
        <v>0</v>
      </c>
      <c r="J362" s="68"/>
    </row>
    <row r="363" spans="1:11" x14ac:dyDescent="0.2">
      <c r="A363" s="75">
        <v>2</v>
      </c>
      <c r="B363" s="62">
        <v>6</v>
      </c>
      <c r="C363" s="62">
        <v>3</v>
      </c>
      <c r="D363" s="62">
        <v>3</v>
      </c>
      <c r="E363" s="63" t="s">
        <v>35</v>
      </c>
      <c r="F363" s="70" t="s">
        <v>302</v>
      </c>
      <c r="G363" s="64">
        <f>'[2]CUENTA T FONDO 100'!GS116</f>
        <v>0</v>
      </c>
      <c r="H363" s="64">
        <f>'[2]CUENTA T VS'!GS96</f>
        <v>0</v>
      </c>
      <c r="I363" s="64">
        <f t="shared" si="18"/>
        <v>0</v>
      </c>
      <c r="J363" s="65">
        <f>I363/$I$25</f>
        <v>0</v>
      </c>
    </row>
    <row r="364" spans="1:11" x14ac:dyDescent="0.2">
      <c r="A364" s="73">
        <v>2</v>
      </c>
      <c r="B364" s="58">
        <v>6</v>
      </c>
      <c r="C364" s="58">
        <v>3</v>
      </c>
      <c r="D364" s="58">
        <v>4</v>
      </c>
      <c r="E364" s="58"/>
      <c r="F364" s="87" t="s">
        <v>303</v>
      </c>
      <c r="G364" s="59">
        <f>+G365</f>
        <v>801904</v>
      </c>
      <c r="H364" s="59">
        <f>+H365</f>
        <v>0</v>
      </c>
      <c r="I364" s="59">
        <f t="shared" si="18"/>
        <v>801904</v>
      </c>
      <c r="J364" s="68"/>
    </row>
    <row r="365" spans="1:11" x14ac:dyDescent="0.2">
      <c r="A365" s="75">
        <v>2</v>
      </c>
      <c r="B365" s="62">
        <v>6</v>
      </c>
      <c r="C365" s="62">
        <v>3</v>
      </c>
      <c r="D365" s="62">
        <v>4</v>
      </c>
      <c r="E365" s="63" t="s">
        <v>35</v>
      </c>
      <c r="F365" s="70" t="s">
        <v>303</v>
      </c>
      <c r="G365" s="64">
        <f>'[2]CUENTA T FONDO 100'!GT116</f>
        <v>801904</v>
      </c>
      <c r="H365" s="64">
        <f>'[2]CUENTA T VS'!GT96</f>
        <v>0</v>
      </c>
      <c r="I365" s="64">
        <f t="shared" si="18"/>
        <v>801904</v>
      </c>
      <c r="J365" s="65">
        <f>I365/$I$25</f>
        <v>8.2738988408289013E-3</v>
      </c>
    </row>
    <row r="366" spans="1:11" x14ac:dyDescent="0.2">
      <c r="A366" s="54">
        <v>2</v>
      </c>
      <c r="B366" s="55">
        <v>6</v>
      </c>
      <c r="C366" s="55">
        <v>4</v>
      </c>
      <c r="D366" s="55"/>
      <c r="E366" s="79"/>
      <c r="F366" s="86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8"/>
        <v>0</v>
      </c>
      <c r="J366" s="53"/>
    </row>
    <row r="367" spans="1:11" x14ac:dyDescent="0.2">
      <c r="A367" s="73">
        <v>2</v>
      </c>
      <c r="B367" s="58">
        <v>6</v>
      </c>
      <c r="C367" s="58">
        <v>4</v>
      </c>
      <c r="D367" s="58">
        <v>1</v>
      </c>
      <c r="E367" s="58"/>
      <c r="F367" s="87" t="s">
        <v>305</v>
      </c>
      <c r="G367" s="59">
        <f>SUM(G368)</f>
        <v>0</v>
      </c>
      <c r="H367" s="59">
        <f>SUM(H368)</f>
        <v>0</v>
      </c>
      <c r="I367" s="59">
        <f t="shared" si="18"/>
        <v>0</v>
      </c>
      <c r="J367" s="68"/>
    </row>
    <row r="368" spans="1:11" x14ac:dyDescent="0.2">
      <c r="A368" s="75">
        <v>2</v>
      </c>
      <c r="B368" s="62">
        <v>6</v>
      </c>
      <c r="C368" s="62">
        <v>4</v>
      </c>
      <c r="D368" s="62">
        <v>1</v>
      </c>
      <c r="E368" s="63" t="s">
        <v>35</v>
      </c>
      <c r="F368" s="70" t="s">
        <v>305</v>
      </c>
      <c r="G368" s="64">
        <f>'[2]CUENTA T FONDO 100'!GU116</f>
        <v>0</v>
      </c>
      <c r="H368" s="64">
        <f>'[2]CUENTA T VS'!GU96</f>
        <v>0</v>
      </c>
      <c r="I368" s="64">
        <f t="shared" si="18"/>
        <v>0</v>
      </c>
      <c r="J368" s="65">
        <f>I368/$I$25</f>
        <v>0</v>
      </c>
    </row>
    <row r="369" spans="1:10" x14ac:dyDescent="0.2">
      <c r="A369" s="73">
        <v>2</v>
      </c>
      <c r="B369" s="58">
        <v>6</v>
      </c>
      <c r="C369" s="58">
        <v>4</v>
      </c>
      <c r="D369" s="58">
        <v>2</v>
      </c>
      <c r="E369" s="58"/>
      <c r="F369" s="87" t="s">
        <v>306</v>
      </c>
      <c r="G369" s="59">
        <f>SUM(G370)</f>
        <v>0</v>
      </c>
      <c r="H369" s="59">
        <f>SUM(H370)</f>
        <v>0</v>
      </c>
      <c r="I369" s="59">
        <f t="shared" si="18"/>
        <v>0</v>
      </c>
      <c r="J369" s="68"/>
    </row>
    <row r="370" spans="1:10" x14ac:dyDescent="0.2">
      <c r="A370" s="75">
        <v>2</v>
      </c>
      <c r="B370" s="62">
        <v>6</v>
      </c>
      <c r="C370" s="62">
        <v>4</v>
      </c>
      <c r="D370" s="62">
        <v>2</v>
      </c>
      <c r="E370" s="63" t="s">
        <v>35</v>
      </c>
      <c r="F370" s="70" t="s">
        <v>306</v>
      </c>
      <c r="G370" s="64">
        <f>'[2]CUENTA T FONDO 100'!GV116</f>
        <v>0</v>
      </c>
      <c r="H370" s="64">
        <f>'[2]CUENTA T VS'!GV96</f>
        <v>0</v>
      </c>
      <c r="I370" s="64">
        <f t="shared" si="18"/>
        <v>0</v>
      </c>
      <c r="J370" s="65">
        <f>I370/$I$25</f>
        <v>0</v>
      </c>
    </row>
    <row r="371" spans="1:10" x14ac:dyDescent="0.2">
      <c r="A371" s="73">
        <v>2</v>
      </c>
      <c r="B371" s="58">
        <v>6</v>
      </c>
      <c r="C371" s="58">
        <v>4</v>
      </c>
      <c r="D371" s="58">
        <v>3</v>
      </c>
      <c r="E371" s="58"/>
      <c r="F371" s="87" t="s">
        <v>307</v>
      </c>
      <c r="G371" s="59">
        <f>SUM(G372)</f>
        <v>0</v>
      </c>
      <c r="H371" s="59">
        <f>SUM(H372)</f>
        <v>0</v>
      </c>
      <c r="I371" s="59">
        <f t="shared" si="18"/>
        <v>0</v>
      </c>
      <c r="J371" s="68"/>
    </row>
    <row r="372" spans="1:10" x14ac:dyDescent="0.2">
      <c r="A372" s="75">
        <v>2</v>
      </c>
      <c r="B372" s="62">
        <v>6</v>
      </c>
      <c r="C372" s="62">
        <v>4</v>
      </c>
      <c r="D372" s="62">
        <v>3</v>
      </c>
      <c r="E372" s="63" t="s">
        <v>35</v>
      </c>
      <c r="F372" s="70" t="s">
        <v>307</v>
      </c>
      <c r="G372" s="64">
        <f>'[2]CUENTA T FONDO 100'!GW116</f>
        <v>0</v>
      </c>
      <c r="H372" s="64">
        <f>'[2]CUENTA T VS'!GX96</f>
        <v>0</v>
      </c>
      <c r="I372" s="64">
        <f t="shared" si="18"/>
        <v>0</v>
      </c>
      <c r="J372" s="65">
        <f>I372/$I$25</f>
        <v>0</v>
      </c>
    </row>
    <row r="373" spans="1:10" x14ac:dyDescent="0.2">
      <c r="A373" s="73">
        <v>2</v>
      </c>
      <c r="B373" s="58">
        <v>6</v>
      </c>
      <c r="C373" s="58">
        <v>4</v>
      </c>
      <c r="D373" s="58">
        <v>4</v>
      </c>
      <c r="E373" s="58"/>
      <c r="F373" s="87" t="s">
        <v>308</v>
      </c>
      <c r="G373" s="59">
        <f>SUM(G374)</f>
        <v>0</v>
      </c>
      <c r="H373" s="59">
        <f>SUM(H374)</f>
        <v>0</v>
      </c>
      <c r="I373" s="59">
        <f t="shared" si="18"/>
        <v>0</v>
      </c>
      <c r="J373" s="68"/>
    </row>
    <row r="374" spans="1:10" x14ac:dyDescent="0.2">
      <c r="A374" s="75">
        <v>2</v>
      </c>
      <c r="B374" s="62">
        <v>6</v>
      </c>
      <c r="C374" s="62">
        <v>4</v>
      </c>
      <c r="D374" s="62">
        <v>4</v>
      </c>
      <c r="E374" s="63" t="s">
        <v>35</v>
      </c>
      <c r="F374" s="70" t="s">
        <v>308</v>
      </c>
      <c r="G374" s="64">
        <f>'[2]CUENTA T FONDO 100'!GX116</f>
        <v>0</v>
      </c>
      <c r="H374" s="64">
        <f>'[2]CUENTA T VS'!GX96</f>
        <v>0</v>
      </c>
      <c r="I374" s="64">
        <f t="shared" si="18"/>
        <v>0</v>
      </c>
      <c r="J374" s="65">
        <f>I374/$I$25</f>
        <v>0</v>
      </c>
    </row>
    <row r="375" spans="1:10" x14ac:dyDescent="0.2">
      <c r="A375" s="73">
        <v>2</v>
      </c>
      <c r="B375" s="58">
        <v>6</v>
      </c>
      <c r="C375" s="58">
        <v>4</v>
      </c>
      <c r="D375" s="58">
        <v>5</v>
      </c>
      <c r="E375" s="58"/>
      <c r="F375" s="87" t="s">
        <v>309</v>
      </c>
      <c r="G375" s="59">
        <f>SUM(G376)</f>
        <v>0</v>
      </c>
      <c r="H375" s="59">
        <f>SUM(H376)</f>
        <v>0</v>
      </c>
      <c r="I375" s="59">
        <f t="shared" si="18"/>
        <v>0</v>
      </c>
      <c r="J375" s="68"/>
    </row>
    <row r="376" spans="1:10" x14ac:dyDescent="0.2">
      <c r="A376" s="75">
        <v>2</v>
      </c>
      <c r="B376" s="62">
        <v>6</v>
      </c>
      <c r="C376" s="62">
        <v>4</v>
      </c>
      <c r="D376" s="62">
        <v>5</v>
      </c>
      <c r="E376" s="63" t="s">
        <v>35</v>
      </c>
      <c r="F376" s="70" t="s">
        <v>309</v>
      </c>
      <c r="G376" s="64">
        <f>'[2]CUENTA T FONDO 100'!GY116</f>
        <v>0</v>
      </c>
      <c r="H376" s="64">
        <f>'[2]CUENTA T VS'!GY96</f>
        <v>0</v>
      </c>
      <c r="I376" s="64">
        <f t="shared" si="18"/>
        <v>0</v>
      </c>
      <c r="J376" s="65">
        <f>I376/$I$25</f>
        <v>0</v>
      </c>
    </row>
    <row r="377" spans="1:10" x14ac:dyDescent="0.2">
      <c r="A377" s="73">
        <v>2</v>
      </c>
      <c r="B377" s="58">
        <v>6</v>
      </c>
      <c r="C377" s="58">
        <v>4</v>
      </c>
      <c r="D377" s="58">
        <v>6</v>
      </c>
      <c r="E377" s="58"/>
      <c r="F377" s="87" t="s">
        <v>310</v>
      </c>
      <c r="G377" s="59">
        <f>SUM(G378)</f>
        <v>0</v>
      </c>
      <c r="H377" s="59">
        <f>SUM(H378)</f>
        <v>0</v>
      </c>
      <c r="I377" s="59">
        <f t="shared" si="18"/>
        <v>0</v>
      </c>
      <c r="J377" s="68"/>
    </row>
    <row r="378" spans="1:10" x14ac:dyDescent="0.2">
      <c r="A378" s="75">
        <v>2</v>
      </c>
      <c r="B378" s="62">
        <v>6</v>
      </c>
      <c r="C378" s="62">
        <v>4</v>
      </c>
      <c r="D378" s="62">
        <v>6</v>
      </c>
      <c r="E378" s="63" t="s">
        <v>35</v>
      </c>
      <c r="F378" s="70" t="s">
        <v>310</v>
      </c>
      <c r="G378" s="64">
        <f>'[2]CUENTA T FONDO 100'!GZ116</f>
        <v>0</v>
      </c>
      <c r="H378" s="64">
        <f>'[2]CUENTA T VS'!GZ96</f>
        <v>0</v>
      </c>
      <c r="I378" s="64">
        <f t="shared" si="18"/>
        <v>0</v>
      </c>
      <c r="J378" s="65">
        <f>I378/$I$25</f>
        <v>0</v>
      </c>
    </row>
    <row r="379" spans="1:10" x14ac:dyDescent="0.2">
      <c r="A379" s="73">
        <v>2</v>
      </c>
      <c r="B379" s="58">
        <v>6</v>
      </c>
      <c r="C379" s="58">
        <v>4</v>
      </c>
      <c r="D379" s="58">
        <v>7</v>
      </c>
      <c r="E379" s="58"/>
      <c r="F379" s="87" t="s">
        <v>311</v>
      </c>
      <c r="G379" s="59">
        <f>SUM(G380)</f>
        <v>0</v>
      </c>
      <c r="H379" s="59">
        <f>SUM(H380)</f>
        <v>0</v>
      </c>
      <c r="I379" s="59">
        <f t="shared" si="18"/>
        <v>0</v>
      </c>
      <c r="J379" s="68"/>
    </row>
    <row r="380" spans="1:10" x14ac:dyDescent="0.2">
      <c r="A380" s="75">
        <v>2</v>
      </c>
      <c r="B380" s="62">
        <v>6</v>
      </c>
      <c r="C380" s="62">
        <v>4</v>
      </c>
      <c r="D380" s="62">
        <v>7</v>
      </c>
      <c r="E380" s="63" t="s">
        <v>35</v>
      </c>
      <c r="F380" s="70" t="s">
        <v>311</v>
      </c>
      <c r="G380" s="64">
        <f>'[2]CUENTA T FONDO 100'!HA116</f>
        <v>0</v>
      </c>
      <c r="H380" s="64">
        <f>'[2]CUENTA T VS'!HA96</f>
        <v>0</v>
      </c>
      <c r="I380" s="64">
        <f t="shared" si="18"/>
        <v>0</v>
      </c>
      <c r="J380" s="65">
        <f>I380/$I$25</f>
        <v>0</v>
      </c>
    </row>
    <row r="381" spans="1:10" x14ac:dyDescent="0.2">
      <c r="A381" s="73">
        <v>2</v>
      </c>
      <c r="B381" s="58">
        <v>6</v>
      </c>
      <c r="C381" s="58">
        <v>4</v>
      </c>
      <c r="D381" s="58">
        <v>8</v>
      </c>
      <c r="E381" s="58"/>
      <c r="F381" s="87" t="s">
        <v>312</v>
      </c>
      <c r="G381" s="59">
        <f>SUM(G382)</f>
        <v>0</v>
      </c>
      <c r="H381" s="59">
        <f>SUM(H382)</f>
        <v>0</v>
      </c>
      <c r="I381" s="59">
        <f t="shared" si="18"/>
        <v>0</v>
      </c>
      <c r="J381" s="68"/>
    </row>
    <row r="382" spans="1:10" x14ac:dyDescent="0.2">
      <c r="A382" s="75">
        <v>2</v>
      </c>
      <c r="B382" s="62">
        <v>6</v>
      </c>
      <c r="C382" s="62">
        <v>4</v>
      </c>
      <c r="D382" s="62">
        <v>8</v>
      </c>
      <c r="E382" s="63" t="s">
        <v>35</v>
      </c>
      <c r="F382" s="70" t="s">
        <v>312</v>
      </c>
      <c r="G382" s="64">
        <f>'[2]CUENTA T FONDO 100'!HB116</f>
        <v>0</v>
      </c>
      <c r="H382" s="64">
        <f>'[2]CUENTA T VS'!HB96</f>
        <v>0</v>
      </c>
      <c r="I382" s="64">
        <f t="shared" si="18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9"/>
      <c r="F383" s="86" t="s">
        <v>313</v>
      </c>
      <c r="G383" s="56">
        <f>+G384+G386+G388+G390+G392+G394+G396+G398</f>
        <v>0</v>
      </c>
      <c r="H383" s="56">
        <f>+H384+H386+H388+H390+H392+H394+H396+H398</f>
        <v>1812480</v>
      </c>
      <c r="I383" s="56">
        <f t="shared" si="18"/>
        <v>1812480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7" t="s">
        <v>314</v>
      </c>
      <c r="G384" s="59">
        <f>SUM(G385)</f>
        <v>0</v>
      </c>
      <c r="H384" s="59">
        <f>SUM(H385)</f>
        <v>0</v>
      </c>
      <c r="I384" s="59">
        <f t="shared" si="18"/>
        <v>0</v>
      </c>
      <c r="J384" s="68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70" t="s">
        <v>314</v>
      </c>
      <c r="G385" s="64">
        <f>'[2]CUENTA T FONDO 100'!HC116</f>
        <v>0</v>
      </c>
      <c r="H385" s="64">
        <f>'[2]CUENTA T VS'!HC96</f>
        <v>0</v>
      </c>
      <c r="I385" s="64">
        <f t="shared" si="18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7" t="s">
        <v>315</v>
      </c>
      <c r="G386" s="59">
        <f>SUM(G387)</f>
        <v>0</v>
      </c>
      <c r="H386" s="59">
        <f>SUM(H387)</f>
        <v>1770000</v>
      </c>
      <c r="I386" s="59">
        <f t="shared" si="18"/>
        <v>1770000</v>
      </c>
      <c r="J386" s="68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70" t="s">
        <v>315</v>
      </c>
      <c r="G387" s="64">
        <f>'[2]CUENTA T FONDO 100'!HD116</f>
        <v>0</v>
      </c>
      <c r="H387" s="64">
        <f>'[2]CUENTA T VS'!HD96</f>
        <v>1770000</v>
      </c>
      <c r="I387" s="64">
        <f t="shared" si="18"/>
        <v>1770000</v>
      </c>
      <c r="J387" s="65">
        <f>I387/$I$25</f>
        <v>1.8262536348823744E-2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7" t="s">
        <v>316</v>
      </c>
      <c r="G388" s="59">
        <f>SUM(G389)</f>
        <v>0</v>
      </c>
      <c r="H388" s="59">
        <f>SUM(H389)</f>
        <v>0</v>
      </c>
      <c r="I388" s="59">
        <f t="shared" si="18"/>
        <v>0</v>
      </c>
      <c r="J388" s="68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70" t="s">
        <v>316</v>
      </c>
      <c r="G389" s="64">
        <f>'[2]CUENTA T FONDO 100'!HE116</f>
        <v>0</v>
      </c>
      <c r="H389" s="64">
        <f>'[2]CUENTA T VS'!HE96</f>
        <v>0</v>
      </c>
      <c r="I389" s="64">
        <f t="shared" si="18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7" t="s">
        <v>317</v>
      </c>
      <c r="G390" s="59">
        <f>SUM(G391)</f>
        <v>0</v>
      </c>
      <c r="H390" s="59">
        <f>SUM(H391)</f>
        <v>0</v>
      </c>
      <c r="I390" s="59">
        <f t="shared" si="18"/>
        <v>0</v>
      </c>
      <c r="J390" s="68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70" t="s">
        <v>317</v>
      </c>
      <c r="G391" s="64">
        <f>'[2]CUENTA T FONDO 100'!HF116</f>
        <v>0</v>
      </c>
      <c r="H391" s="64">
        <f>'[2]CUENTA T VS'!HF96</f>
        <v>0</v>
      </c>
      <c r="I391" s="64">
        <f t="shared" si="18"/>
        <v>0</v>
      </c>
      <c r="J391" s="65">
        <f>I391/$I$25</f>
        <v>0</v>
      </c>
    </row>
    <row r="392" spans="1:10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7" t="s">
        <v>318</v>
      </c>
      <c r="G392" s="59">
        <f>SUM(G393)</f>
        <v>0</v>
      </c>
      <c r="H392" s="59">
        <f>SUM(H393)</f>
        <v>0</v>
      </c>
      <c r="I392" s="59">
        <f t="shared" si="18"/>
        <v>0</v>
      </c>
      <c r="J392" s="68"/>
    </row>
    <row r="393" spans="1:10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70" t="s">
        <v>318</v>
      </c>
      <c r="G393" s="64">
        <f>'[2]CUENTA T FONDO 100'!HG116</f>
        <v>0</v>
      </c>
      <c r="H393" s="64">
        <f>'[2]CUENTA T VS'!HG96</f>
        <v>0</v>
      </c>
      <c r="I393" s="64">
        <f t="shared" si="18"/>
        <v>0</v>
      </c>
      <c r="J393" s="65">
        <f>I393/$I$25</f>
        <v>0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7" t="s">
        <v>319</v>
      </c>
      <c r="G394" s="59">
        <f>SUM(G395)</f>
        <v>0</v>
      </c>
      <c r="H394" s="59">
        <f>SUM(H395)</f>
        <v>42480</v>
      </c>
      <c r="I394" s="59">
        <f t="shared" si="18"/>
        <v>42480</v>
      </c>
      <c r="J394" s="68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70" t="s">
        <v>319</v>
      </c>
      <c r="G395" s="64">
        <f>'[2]CUENTA T FONDO 100'!HH116</f>
        <v>0</v>
      </c>
      <c r="H395" s="64">
        <f>'[2]CUENTA T VS'!HH96</f>
        <v>42480</v>
      </c>
      <c r="I395" s="64">
        <f t="shared" si="18"/>
        <v>42480</v>
      </c>
      <c r="J395" s="65">
        <f>I395/$I$25</f>
        <v>4.3830087237176985E-4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7" t="s">
        <v>320</v>
      </c>
      <c r="G396" s="59">
        <f>SUM(G397)</f>
        <v>0</v>
      </c>
      <c r="H396" s="59">
        <f>SUM(H397)</f>
        <v>0</v>
      </c>
      <c r="I396" s="59">
        <f t="shared" si="18"/>
        <v>0</v>
      </c>
      <c r="J396" s="68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70" t="s">
        <v>320</v>
      </c>
      <c r="G397" s="64">
        <f>'[2]CUENTA T FONDO 100'!HI116</f>
        <v>0</v>
      </c>
      <c r="H397" s="64">
        <f>'[2]CUENTA T VS'!HI96</f>
        <v>0</v>
      </c>
      <c r="I397" s="64">
        <f t="shared" si="18"/>
        <v>0</v>
      </c>
      <c r="J397" s="65">
        <f>I397/$I$25</f>
        <v>0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7" t="s">
        <v>321</v>
      </c>
      <c r="G398" s="59">
        <f>SUM(G399)</f>
        <v>0</v>
      </c>
      <c r="H398" s="59">
        <f>SUM(H399)</f>
        <v>0</v>
      </c>
      <c r="I398" s="59">
        <f t="shared" si="18"/>
        <v>0</v>
      </c>
      <c r="J398" s="68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70" t="s">
        <v>321</v>
      </c>
      <c r="G399" s="64">
        <f>'[2]CUENTA T FONDO 100'!HJ116</f>
        <v>0</v>
      </c>
      <c r="H399" s="64">
        <f>'[2]CUENTA T VS'!HJ96</f>
        <v>0</v>
      </c>
      <c r="I399" s="64">
        <f t="shared" si="18"/>
        <v>0</v>
      </c>
      <c r="J399" s="65">
        <f>I399/$I$25</f>
        <v>0</v>
      </c>
    </row>
    <row r="400" spans="1:10" x14ac:dyDescent="0.2">
      <c r="A400" s="71">
        <v>2</v>
      </c>
      <c r="B400" s="55">
        <v>6</v>
      </c>
      <c r="C400" s="55">
        <v>6</v>
      </c>
      <c r="D400" s="55"/>
      <c r="E400" s="55"/>
      <c r="F400" s="86" t="s">
        <v>322</v>
      </c>
      <c r="G400" s="56">
        <f>+G401+G403</f>
        <v>0</v>
      </c>
      <c r="H400" s="56">
        <f>+H401+H403</f>
        <v>0</v>
      </c>
      <c r="I400" s="56">
        <f t="shared" si="18"/>
        <v>0</v>
      </c>
      <c r="J400" s="53">
        <f>I400/$I$25</f>
        <v>0</v>
      </c>
    </row>
    <row r="401" spans="1:10" x14ac:dyDescent="0.2">
      <c r="A401" s="73">
        <v>2</v>
      </c>
      <c r="B401" s="58">
        <v>6</v>
      </c>
      <c r="C401" s="58">
        <v>6</v>
      </c>
      <c r="D401" s="58">
        <v>1</v>
      </c>
      <c r="E401" s="78"/>
      <c r="F401" s="87" t="s">
        <v>323</v>
      </c>
      <c r="G401" s="59">
        <f>+G402</f>
        <v>0</v>
      </c>
      <c r="H401" s="59">
        <f>+H402</f>
        <v>0</v>
      </c>
      <c r="I401" s="59">
        <f t="shared" si="18"/>
        <v>0</v>
      </c>
      <c r="J401" s="68"/>
    </row>
    <row r="402" spans="1:10" x14ac:dyDescent="0.2">
      <c r="A402" s="75">
        <v>2</v>
      </c>
      <c r="B402" s="62">
        <v>6</v>
      </c>
      <c r="C402" s="62">
        <v>6</v>
      </c>
      <c r="D402" s="62">
        <v>1</v>
      </c>
      <c r="E402" s="62" t="s">
        <v>324</v>
      </c>
      <c r="F402" s="70" t="s">
        <v>323</v>
      </c>
      <c r="G402" s="64">
        <f>'[2]CUENTA T FONDO 100'!HK116</f>
        <v>0</v>
      </c>
      <c r="H402" s="64">
        <f>'[2]CUENTA T VS'!HK96</f>
        <v>0</v>
      </c>
      <c r="I402" s="64">
        <f t="shared" si="18"/>
        <v>0</v>
      </c>
      <c r="J402" s="65">
        <f>I402/$I$25</f>
        <v>0</v>
      </c>
    </row>
    <row r="403" spans="1:10" x14ac:dyDescent="0.2">
      <c r="A403" s="73">
        <v>2</v>
      </c>
      <c r="B403" s="58">
        <v>6</v>
      </c>
      <c r="C403" s="58">
        <v>6</v>
      </c>
      <c r="D403" s="58">
        <v>2</v>
      </c>
      <c r="E403" s="78"/>
      <c r="F403" s="87" t="s">
        <v>325</v>
      </c>
      <c r="G403" s="59">
        <f>+G404</f>
        <v>0</v>
      </c>
      <c r="H403" s="59">
        <f>+H404</f>
        <v>0</v>
      </c>
      <c r="I403" s="59">
        <f t="shared" si="18"/>
        <v>0</v>
      </c>
      <c r="J403" s="68"/>
    </row>
    <row r="404" spans="1:10" x14ac:dyDescent="0.2">
      <c r="A404" s="75">
        <v>2</v>
      </c>
      <c r="B404" s="62">
        <v>6</v>
      </c>
      <c r="C404" s="62">
        <v>6</v>
      </c>
      <c r="D404" s="62">
        <v>2</v>
      </c>
      <c r="E404" s="62" t="s">
        <v>324</v>
      </c>
      <c r="F404" s="70" t="s">
        <v>325</v>
      </c>
      <c r="G404" s="64">
        <f>'[2]CUENTA T FONDO 100'!HL116</f>
        <v>0</v>
      </c>
      <c r="H404" s="64">
        <f>'[2]CUENTA T VS'!HL96</f>
        <v>0</v>
      </c>
      <c r="I404" s="64">
        <f t="shared" si="18"/>
        <v>0</v>
      </c>
      <c r="J404" s="65">
        <f>I404/$I$25</f>
        <v>0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9"/>
      <c r="F405" s="86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8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7" t="s">
        <v>327</v>
      </c>
      <c r="G406" s="59">
        <f>SUM(G407)</f>
        <v>0</v>
      </c>
      <c r="H406" s="59">
        <f>SUM(H407)</f>
        <v>0</v>
      </c>
      <c r="I406" s="59">
        <f t="shared" si="18"/>
        <v>0</v>
      </c>
      <c r="J406" s="68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70" t="s">
        <v>327</v>
      </c>
      <c r="G407" s="64">
        <f>'[2]CUENTA T FONDO 100'!HM116</f>
        <v>0</v>
      </c>
      <c r="H407" s="64">
        <f>'[2]CUENTA T VS'!HM96</f>
        <v>0</v>
      </c>
      <c r="I407" s="64">
        <f t="shared" si="18"/>
        <v>0</v>
      </c>
      <c r="J407" s="65">
        <f>I407/$I$25</f>
        <v>0</v>
      </c>
    </row>
    <row r="408" spans="1:10" x14ac:dyDescent="0.2">
      <c r="A408" s="73">
        <v>2</v>
      </c>
      <c r="B408" s="58">
        <v>6</v>
      </c>
      <c r="C408" s="58">
        <v>7</v>
      </c>
      <c r="D408" s="58">
        <v>2</v>
      </c>
      <c r="E408" s="58"/>
      <c r="F408" s="87" t="s">
        <v>328</v>
      </c>
      <c r="G408" s="59">
        <f>SUM(G409)</f>
        <v>0</v>
      </c>
      <c r="H408" s="59">
        <f>SUM(H409)</f>
        <v>0</v>
      </c>
      <c r="I408" s="59">
        <f t="shared" si="18"/>
        <v>0</v>
      </c>
      <c r="J408" s="68"/>
    </row>
    <row r="409" spans="1:10" x14ac:dyDescent="0.2">
      <c r="A409" s="75">
        <v>2</v>
      </c>
      <c r="B409" s="62">
        <v>6</v>
      </c>
      <c r="C409" s="62">
        <v>7</v>
      </c>
      <c r="D409" s="62">
        <v>2</v>
      </c>
      <c r="E409" s="63" t="s">
        <v>35</v>
      </c>
      <c r="F409" s="70" t="s">
        <v>328</v>
      </c>
      <c r="G409" s="64">
        <f>'[2]CUENTA T FONDO 100'!HN116</f>
        <v>0</v>
      </c>
      <c r="H409" s="64">
        <f>'[2]CUENTA T VS'!HN96</f>
        <v>0</v>
      </c>
      <c r="I409" s="64">
        <f t="shared" ref="I409:I472" si="19">SUM(G409:H409)</f>
        <v>0</v>
      </c>
      <c r="J409" s="65">
        <f>I409/$I$25</f>
        <v>0</v>
      </c>
    </row>
    <row r="410" spans="1:10" x14ac:dyDescent="0.2">
      <c r="A410" s="73">
        <v>2</v>
      </c>
      <c r="B410" s="58">
        <v>6</v>
      </c>
      <c r="C410" s="58">
        <v>7</v>
      </c>
      <c r="D410" s="58">
        <v>3</v>
      </c>
      <c r="E410" s="58"/>
      <c r="F410" s="87" t="s">
        <v>329</v>
      </c>
      <c r="G410" s="59">
        <f>SUM(G411)</f>
        <v>0</v>
      </c>
      <c r="H410" s="59">
        <f>SUM(H411)</f>
        <v>0</v>
      </c>
      <c r="I410" s="59">
        <f t="shared" si="19"/>
        <v>0</v>
      </c>
      <c r="J410" s="68"/>
    </row>
    <row r="411" spans="1:10" x14ac:dyDescent="0.2">
      <c r="A411" s="75">
        <v>2</v>
      </c>
      <c r="B411" s="62">
        <v>6</v>
      </c>
      <c r="C411" s="62">
        <v>7</v>
      </c>
      <c r="D411" s="62">
        <v>3</v>
      </c>
      <c r="E411" s="63" t="s">
        <v>35</v>
      </c>
      <c r="F411" s="70" t="s">
        <v>329</v>
      </c>
      <c r="G411" s="64">
        <f>'[2]CUENTA T FONDO 100'!HO116</f>
        <v>0</v>
      </c>
      <c r="H411" s="64">
        <f>'[2]CUENTA T VS'!HO96</f>
        <v>0</v>
      </c>
      <c r="I411" s="64">
        <f t="shared" si="19"/>
        <v>0</v>
      </c>
      <c r="J411" s="65">
        <f>I411/$I$25</f>
        <v>0</v>
      </c>
    </row>
    <row r="412" spans="1:10" x14ac:dyDescent="0.2">
      <c r="A412" s="73">
        <v>2</v>
      </c>
      <c r="B412" s="58">
        <v>6</v>
      </c>
      <c r="C412" s="58">
        <v>7</v>
      </c>
      <c r="D412" s="58">
        <v>4</v>
      </c>
      <c r="E412" s="58"/>
      <c r="F412" s="87" t="s">
        <v>330</v>
      </c>
      <c r="G412" s="59">
        <f>SUM(G413)</f>
        <v>0</v>
      </c>
      <c r="H412" s="59">
        <f>SUM(H413)</f>
        <v>0</v>
      </c>
      <c r="I412" s="59">
        <f t="shared" si="19"/>
        <v>0</v>
      </c>
      <c r="J412" s="68"/>
    </row>
    <row r="413" spans="1:10" x14ac:dyDescent="0.2">
      <c r="A413" s="75">
        <v>2</v>
      </c>
      <c r="B413" s="62">
        <v>6</v>
      </c>
      <c r="C413" s="62">
        <v>7</v>
      </c>
      <c r="D413" s="62">
        <v>4</v>
      </c>
      <c r="E413" s="63" t="s">
        <v>35</v>
      </c>
      <c r="F413" s="70" t="s">
        <v>330</v>
      </c>
      <c r="G413" s="64">
        <f>'[2]CUENTA T FONDO 100'!HP116</f>
        <v>0</v>
      </c>
      <c r="H413" s="64">
        <f>'[2]CUENTA T VS'!HP96</f>
        <v>0</v>
      </c>
      <c r="I413" s="64">
        <f t="shared" si="19"/>
        <v>0</v>
      </c>
      <c r="J413" s="65">
        <f>I413/$I$25</f>
        <v>0</v>
      </c>
    </row>
    <row r="414" spans="1:10" x14ac:dyDescent="0.2">
      <c r="A414" s="73">
        <v>2</v>
      </c>
      <c r="B414" s="58">
        <v>6</v>
      </c>
      <c r="C414" s="58">
        <v>7</v>
      </c>
      <c r="D414" s="58">
        <v>5</v>
      </c>
      <c r="E414" s="58"/>
      <c r="F414" s="87" t="s">
        <v>331</v>
      </c>
      <c r="G414" s="59">
        <f>SUM(G415)</f>
        <v>0</v>
      </c>
      <c r="H414" s="59">
        <f>SUM(H415)</f>
        <v>0</v>
      </c>
      <c r="I414" s="59">
        <f t="shared" si="19"/>
        <v>0</v>
      </c>
      <c r="J414" s="68"/>
    </row>
    <row r="415" spans="1:10" x14ac:dyDescent="0.2">
      <c r="A415" s="75">
        <v>2</v>
      </c>
      <c r="B415" s="62">
        <v>6</v>
      </c>
      <c r="C415" s="62">
        <v>7</v>
      </c>
      <c r="D415" s="62">
        <v>5</v>
      </c>
      <c r="E415" s="63" t="s">
        <v>35</v>
      </c>
      <c r="F415" s="70" t="s">
        <v>331</v>
      </c>
      <c r="G415" s="64">
        <f>'[2]CUENTA T FONDO 100'!HQ116</f>
        <v>0</v>
      </c>
      <c r="H415" s="64">
        <f>'[2]CUENTA T VS'!HQ96</f>
        <v>0</v>
      </c>
      <c r="I415" s="64">
        <f t="shared" si="19"/>
        <v>0</v>
      </c>
      <c r="J415" s="65">
        <f>I415/$I$25</f>
        <v>0</v>
      </c>
    </row>
    <row r="416" spans="1:10" x14ac:dyDescent="0.2">
      <c r="A416" s="73">
        <v>2</v>
      </c>
      <c r="B416" s="58">
        <v>6</v>
      </c>
      <c r="C416" s="58">
        <v>7</v>
      </c>
      <c r="D416" s="58">
        <v>6</v>
      </c>
      <c r="E416" s="58"/>
      <c r="F416" s="87" t="s">
        <v>332</v>
      </c>
      <c r="G416" s="59">
        <f>SUM(G417)</f>
        <v>0</v>
      </c>
      <c r="H416" s="59">
        <f>SUM(H417)</f>
        <v>0</v>
      </c>
      <c r="I416" s="59">
        <f t="shared" si="19"/>
        <v>0</v>
      </c>
      <c r="J416" s="68"/>
    </row>
    <row r="417" spans="1:10" x14ac:dyDescent="0.2">
      <c r="A417" s="75">
        <v>2</v>
      </c>
      <c r="B417" s="62">
        <v>6</v>
      </c>
      <c r="C417" s="62">
        <v>7</v>
      </c>
      <c r="D417" s="62">
        <v>6</v>
      </c>
      <c r="E417" s="63" t="s">
        <v>35</v>
      </c>
      <c r="F417" s="70" t="s">
        <v>332</v>
      </c>
      <c r="G417" s="64">
        <f>'[2]CUENTA T FONDO 100'!HR116</f>
        <v>0</v>
      </c>
      <c r="H417" s="64">
        <f>'[2]CUENTA T VS'!HR96</f>
        <v>0</v>
      </c>
      <c r="I417" s="64">
        <f t="shared" si="19"/>
        <v>0</v>
      </c>
      <c r="J417" s="65">
        <f>I417/$I$25</f>
        <v>0</v>
      </c>
    </row>
    <row r="418" spans="1:10" x14ac:dyDescent="0.2">
      <c r="A418" s="73">
        <v>2</v>
      </c>
      <c r="B418" s="58">
        <v>6</v>
      </c>
      <c r="C418" s="58">
        <v>7</v>
      </c>
      <c r="D418" s="58">
        <v>7</v>
      </c>
      <c r="E418" s="58"/>
      <c r="F418" s="87" t="s">
        <v>333</v>
      </c>
      <c r="G418" s="59">
        <f>SUM(G419)</f>
        <v>0</v>
      </c>
      <c r="H418" s="59">
        <f>SUM(H419)</f>
        <v>0</v>
      </c>
      <c r="I418" s="59">
        <f t="shared" si="19"/>
        <v>0</v>
      </c>
      <c r="J418" s="68"/>
    </row>
    <row r="419" spans="1:10" x14ac:dyDescent="0.2">
      <c r="A419" s="75">
        <v>2</v>
      </c>
      <c r="B419" s="62">
        <v>6</v>
      </c>
      <c r="C419" s="62">
        <v>7</v>
      </c>
      <c r="D419" s="62">
        <v>7</v>
      </c>
      <c r="E419" s="63" t="s">
        <v>35</v>
      </c>
      <c r="F419" s="70" t="s">
        <v>333</v>
      </c>
      <c r="G419" s="64">
        <f>'[2]CUENTA T FONDO 100'!HS116</f>
        <v>0</v>
      </c>
      <c r="H419" s="64">
        <f>'[2]CUENTA T VS'!HS96</f>
        <v>0</v>
      </c>
      <c r="I419" s="64">
        <f t="shared" si="19"/>
        <v>0</v>
      </c>
      <c r="J419" s="65">
        <f>I419/$I$25</f>
        <v>0</v>
      </c>
    </row>
    <row r="420" spans="1:10" x14ac:dyDescent="0.2">
      <c r="A420" s="73">
        <v>2</v>
      </c>
      <c r="B420" s="58">
        <v>6</v>
      </c>
      <c r="C420" s="58">
        <v>7</v>
      </c>
      <c r="D420" s="58">
        <v>8</v>
      </c>
      <c r="E420" s="58"/>
      <c r="F420" s="87" t="s">
        <v>334</v>
      </c>
      <c r="G420" s="59">
        <f>SUM(G421)</f>
        <v>0</v>
      </c>
      <c r="H420" s="59">
        <f>SUM(H421)</f>
        <v>0</v>
      </c>
      <c r="I420" s="59">
        <f t="shared" si="19"/>
        <v>0</v>
      </c>
      <c r="J420" s="68"/>
    </row>
    <row r="421" spans="1:10" x14ac:dyDescent="0.2">
      <c r="A421" s="75">
        <v>2</v>
      </c>
      <c r="B421" s="62">
        <v>6</v>
      </c>
      <c r="C421" s="62">
        <v>7</v>
      </c>
      <c r="D421" s="62">
        <v>8</v>
      </c>
      <c r="E421" s="63" t="s">
        <v>35</v>
      </c>
      <c r="F421" s="70" t="s">
        <v>334</v>
      </c>
      <c r="G421" s="64">
        <f>'[2]CUENTA T FONDO 100'!HT116</f>
        <v>0</v>
      </c>
      <c r="H421" s="64">
        <f>'[2]CUENTA T VS'!HT96</f>
        <v>0</v>
      </c>
      <c r="I421" s="64">
        <f t="shared" si="19"/>
        <v>0</v>
      </c>
      <c r="J421" s="65">
        <f>I421/$I$25</f>
        <v>0</v>
      </c>
    </row>
    <row r="422" spans="1:10" x14ac:dyDescent="0.2">
      <c r="A422" s="73">
        <v>2</v>
      </c>
      <c r="B422" s="58">
        <v>6</v>
      </c>
      <c r="C422" s="58">
        <v>7</v>
      </c>
      <c r="D422" s="58">
        <v>9</v>
      </c>
      <c r="E422" s="58"/>
      <c r="F422" s="87" t="s">
        <v>335</v>
      </c>
      <c r="G422" s="59">
        <f>SUM(G423)</f>
        <v>0</v>
      </c>
      <c r="H422" s="59">
        <f>SUM(H423)</f>
        <v>0</v>
      </c>
      <c r="I422" s="59">
        <f t="shared" si="19"/>
        <v>0</v>
      </c>
      <c r="J422" s="68"/>
    </row>
    <row r="423" spans="1:10" x14ac:dyDescent="0.2">
      <c r="A423" s="75">
        <v>2</v>
      </c>
      <c r="B423" s="62">
        <v>6</v>
      </c>
      <c r="C423" s="62">
        <v>7</v>
      </c>
      <c r="D423" s="62">
        <v>9</v>
      </c>
      <c r="E423" s="63" t="s">
        <v>35</v>
      </c>
      <c r="F423" s="70" t="s">
        <v>335</v>
      </c>
      <c r="G423" s="64">
        <f>'[2]CUENTA T FONDO 100'!HU116</f>
        <v>0</v>
      </c>
      <c r="H423" s="64">
        <f>'[2]CUENTA T VS'!HU96</f>
        <v>0</v>
      </c>
      <c r="I423" s="64">
        <f t="shared" si="19"/>
        <v>0</v>
      </c>
      <c r="J423" s="65">
        <f>I423/$I$25</f>
        <v>0</v>
      </c>
    </row>
    <row r="424" spans="1:10" x14ac:dyDescent="0.2">
      <c r="A424" s="71">
        <v>2</v>
      </c>
      <c r="B424" s="55">
        <v>6</v>
      </c>
      <c r="C424" s="55">
        <v>8</v>
      </c>
      <c r="D424" s="55"/>
      <c r="E424" s="55"/>
      <c r="F424" s="86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9"/>
        <v>0</v>
      </c>
      <c r="J424" s="53"/>
    </row>
    <row r="425" spans="1:10" x14ac:dyDescent="0.2">
      <c r="A425" s="73">
        <v>2</v>
      </c>
      <c r="B425" s="58">
        <v>6</v>
      </c>
      <c r="C425" s="58">
        <v>8</v>
      </c>
      <c r="D425" s="58">
        <v>1</v>
      </c>
      <c r="E425" s="58"/>
      <c r="F425" s="87" t="s">
        <v>337</v>
      </c>
      <c r="G425" s="59">
        <f>+G426</f>
        <v>0</v>
      </c>
      <c r="H425" s="59">
        <f>+H426</f>
        <v>0</v>
      </c>
      <c r="I425" s="59">
        <f t="shared" si="19"/>
        <v>0</v>
      </c>
      <c r="J425" s="68"/>
    </row>
    <row r="426" spans="1:10" x14ac:dyDescent="0.2">
      <c r="A426" s="75">
        <v>2</v>
      </c>
      <c r="B426" s="62">
        <v>6</v>
      </c>
      <c r="C426" s="62">
        <v>8</v>
      </c>
      <c r="D426" s="62">
        <v>1</v>
      </c>
      <c r="E426" s="63" t="s">
        <v>35</v>
      </c>
      <c r="F426" s="70" t="s">
        <v>337</v>
      </c>
      <c r="G426" s="64">
        <f>'[2]CUENTA T FONDO 100'!HV116</f>
        <v>0</v>
      </c>
      <c r="H426" s="64">
        <f>'[2]CUENTA T VS'!HV96</f>
        <v>0</v>
      </c>
      <c r="I426" s="64">
        <f t="shared" si="19"/>
        <v>0</v>
      </c>
      <c r="J426" s="65">
        <f>I426/$I$25</f>
        <v>0</v>
      </c>
    </row>
    <row r="427" spans="1:10" x14ac:dyDescent="0.2">
      <c r="A427" s="73">
        <v>2</v>
      </c>
      <c r="B427" s="58">
        <v>6</v>
      </c>
      <c r="C427" s="58">
        <v>8</v>
      </c>
      <c r="D427" s="58">
        <v>2</v>
      </c>
      <c r="E427" s="58"/>
      <c r="F427" s="87" t="s">
        <v>338</v>
      </c>
      <c r="G427" s="59">
        <f>+G428</f>
        <v>0</v>
      </c>
      <c r="H427" s="59">
        <f>+H428</f>
        <v>0</v>
      </c>
      <c r="I427" s="59">
        <f t="shared" si="19"/>
        <v>0</v>
      </c>
      <c r="J427" s="68"/>
    </row>
    <row r="428" spans="1:10" x14ac:dyDescent="0.2">
      <c r="A428" s="75">
        <v>2</v>
      </c>
      <c r="B428" s="62">
        <v>6</v>
      </c>
      <c r="C428" s="62">
        <v>8</v>
      </c>
      <c r="D428" s="62">
        <v>2</v>
      </c>
      <c r="E428" s="63" t="s">
        <v>35</v>
      </c>
      <c r="F428" s="70" t="s">
        <v>338</v>
      </c>
      <c r="G428" s="64">
        <f>'[2]CUENTA T FONDO 100'!HW116</f>
        <v>0</v>
      </c>
      <c r="H428" s="64">
        <f>'[2]CUENTA T VS'!HW96</f>
        <v>0</v>
      </c>
      <c r="I428" s="64">
        <f t="shared" si="19"/>
        <v>0</v>
      </c>
      <c r="J428" s="65">
        <f>I428/$I$25</f>
        <v>0</v>
      </c>
    </row>
    <row r="429" spans="1:10" x14ac:dyDescent="0.2">
      <c r="A429" s="73">
        <v>2</v>
      </c>
      <c r="B429" s="58">
        <v>6</v>
      </c>
      <c r="C429" s="58">
        <v>8</v>
      </c>
      <c r="D429" s="58">
        <v>3</v>
      </c>
      <c r="E429" s="58"/>
      <c r="F429" s="87" t="s">
        <v>339</v>
      </c>
      <c r="G429" s="59">
        <f>SUM(G430:G431)</f>
        <v>0</v>
      </c>
      <c r="H429" s="59">
        <f>SUM(H430:H431)</f>
        <v>0</v>
      </c>
      <c r="I429" s="59">
        <f t="shared" si="19"/>
        <v>0</v>
      </c>
      <c r="J429" s="68"/>
    </row>
    <row r="430" spans="1:10" x14ac:dyDescent="0.2">
      <c r="A430" s="75">
        <v>2</v>
      </c>
      <c r="B430" s="62">
        <v>6</v>
      </c>
      <c r="C430" s="62">
        <v>8</v>
      </c>
      <c r="D430" s="62">
        <v>3</v>
      </c>
      <c r="E430" s="63" t="s">
        <v>35</v>
      </c>
      <c r="F430" s="70" t="s">
        <v>340</v>
      </c>
      <c r="G430" s="64">
        <f>'[2]CUENTA T FONDO 100'!HX116</f>
        <v>0</v>
      </c>
      <c r="H430" s="64">
        <f>'[2]CUENTA T VS'!HX96</f>
        <v>0</v>
      </c>
      <c r="I430" s="64">
        <f t="shared" si="19"/>
        <v>0</v>
      </c>
      <c r="J430" s="65">
        <f>I430/$I$25</f>
        <v>0</v>
      </c>
    </row>
    <row r="431" spans="1:10" x14ac:dyDescent="0.2">
      <c r="A431" s="75">
        <v>2</v>
      </c>
      <c r="B431" s="62">
        <v>6</v>
      </c>
      <c r="C431" s="62">
        <v>8</v>
      </c>
      <c r="D431" s="62">
        <v>3</v>
      </c>
      <c r="E431" s="63" t="s">
        <v>37</v>
      </c>
      <c r="F431" s="70" t="s">
        <v>341</v>
      </c>
      <c r="G431" s="64">
        <f>'[2]CUENTA T FONDO 100'!HY116</f>
        <v>0</v>
      </c>
      <c r="H431" s="64">
        <f>'[2]CUENTA T VS'!HY96</f>
        <v>0</v>
      </c>
      <c r="I431" s="64">
        <f t="shared" si="19"/>
        <v>0</v>
      </c>
      <c r="J431" s="65">
        <f>I431/$I$25</f>
        <v>0</v>
      </c>
    </row>
    <row r="432" spans="1:10" x14ac:dyDescent="0.2">
      <c r="A432" s="73">
        <v>2</v>
      </c>
      <c r="B432" s="58">
        <v>6</v>
      </c>
      <c r="C432" s="58">
        <v>8</v>
      </c>
      <c r="D432" s="58">
        <v>4</v>
      </c>
      <c r="E432" s="58"/>
      <c r="F432" s="87" t="s">
        <v>342</v>
      </c>
      <c r="G432" s="59">
        <f>+G433</f>
        <v>0</v>
      </c>
      <c r="H432" s="59">
        <f>+H433</f>
        <v>0</v>
      </c>
      <c r="I432" s="59">
        <f t="shared" si="19"/>
        <v>0</v>
      </c>
      <c r="J432" s="68"/>
    </row>
    <row r="433" spans="1:10" x14ac:dyDescent="0.2">
      <c r="A433" s="75">
        <v>2</v>
      </c>
      <c r="B433" s="62">
        <v>6</v>
      </c>
      <c r="C433" s="62">
        <v>8</v>
      </c>
      <c r="D433" s="62">
        <v>4</v>
      </c>
      <c r="E433" s="63" t="s">
        <v>35</v>
      </c>
      <c r="F433" s="70" t="s">
        <v>342</v>
      </c>
      <c r="G433" s="64">
        <f>'[2]CUENTA T FONDO 100'!HZ116</f>
        <v>0</v>
      </c>
      <c r="H433" s="64">
        <f>'[2]CUENTA T VS'!HZ96</f>
        <v>0</v>
      </c>
      <c r="I433" s="64">
        <f t="shared" si="19"/>
        <v>0</v>
      </c>
      <c r="J433" s="65">
        <f>I433/$I$25</f>
        <v>0</v>
      </c>
    </row>
    <row r="434" spans="1:10" x14ac:dyDescent="0.2">
      <c r="A434" s="73">
        <v>2</v>
      </c>
      <c r="B434" s="58">
        <v>6</v>
      </c>
      <c r="C434" s="58">
        <v>8</v>
      </c>
      <c r="D434" s="58">
        <v>5</v>
      </c>
      <c r="E434" s="58"/>
      <c r="F434" s="87" t="s">
        <v>343</v>
      </c>
      <c r="G434" s="59">
        <f>+G435</f>
        <v>0</v>
      </c>
      <c r="H434" s="59">
        <f>+H435</f>
        <v>0</v>
      </c>
      <c r="I434" s="59">
        <f t="shared" si="19"/>
        <v>0</v>
      </c>
      <c r="J434" s="68"/>
    </row>
    <row r="435" spans="1:10" x14ac:dyDescent="0.2">
      <c r="A435" s="75">
        <v>2</v>
      </c>
      <c r="B435" s="62">
        <v>6</v>
      </c>
      <c r="C435" s="62">
        <v>8</v>
      </c>
      <c r="D435" s="62">
        <v>5</v>
      </c>
      <c r="E435" s="63" t="s">
        <v>35</v>
      </c>
      <c r="F435" s="70" t="s">
        <v>343</v>
      </c>
      <c r="G435" s="64">
        <f>'[2]CUENTA T FONDO 100'!IA116</f>
        <v>0</v>
      </c>
      <c r="H435" s="64">
        <f>'[2]CUENTA T VS'!IA96</f>
        <v>0</v>
      </c>
      <c r="I435" s="64">
        <f t="shared" si="19"/>
        <v>0</v>
      </c>
      <c r="J435" s="65">
        <f>I435/$I$25</f>
        <v>0</v>
      </c>
    </row>
    <row r="436" spans="1:10" x14ac:dyDescent="0.2">
      <c r="A436" s="73">
        <v>2</v>
      </c>
      <c r="B436" s="58">
        <v>6</v>
      </c>
      <c r="C436" s="58">
        <v>8</v>
      </c>
      <c r="D436" s="58">
        <v>6</v>
      </c>
      <c r="E436" s="58"/>
      <c r="F436" s="87" t="s">
        <v>344</v>
      </c>
      <c r="G436" s="59">
        <f>+G437</f>
        <v>0</v>
      </c>
      <c r="H436" s="59">
        <f>+H437</f>
        <v>0</v>
      </c>
      <c r="I436" s="59">
        <f t="shared" si="19"/>
        <v>0</v>
      </c>
      <c r="J436" s="68"/>
    </row>
    <row r="437" spans="1:10" x14ac:dyDescent="0.2">
      <c r="A437" s="75">
        <v>2</v>
      </c>
      <c r="B437" s="62">
        <v>6</v>
      </c>
      <c r="C437" s="62">
        <v>8</v>
      </c>
      <c r="D437" s="62">
        <v>6</v>
      </c>
      <c r="E437" s="63" t="s">
        <v>35</v>
      </c>
      <c r="F437" s="70" t="s">
        <v>344</v>
      </c>
      <c r="G437" s="64">
        <f>'[2]CUENTA T FONDO 100'!IB116</f>
        <v>0</v>
      </c>
      <c r="H437" s="64">
        <f>'[2]CUENTA T VS'!IB96</f>
        <v>0</v>
      </c>
      <c r="I437" s="64">
        <f t="shared" si="19"/>
        <v>0</v>
      </c>
      <c r="J437" s="65">
        <f>I437/$I$25</f>
        <v>0</v>
      </c>
    </row>
    <row r="438" spans="1:10" x14ac:dyDescent="0.2">
      <c r="A438" s="73">
        <v>2</v>
      </c>
      <c r="B438" s="58">
        <v>6</v>
      </c>
      <c r="C438" s="58">
        <v>8</v>
      </c>
      <c r="D438" s="58">
        <v>7</v>
      </c>
      <c r="E438" s="58"/>
      <c r="F438" s="87" t="s">
        <v>345</v>
      </c>
      <c r="G438" s="59">
        <f>+G439</f>
        <v>0</v>
      </c>
      <c r="H438" s="59">
        <f>+H439</f>
        <v>0</v>
      </c>
      <c r="I438" s="59">
        <f t="shared" si="19"/>
        <v>0</v>
      </c>
      <c r="J438" s="68"/>
    </row>
    <row r="439" spans="1:10" x14ac:dyDescent="0.2">
      <c r="A439" s="75">
        <v>2</v>
      </c>
      <c r="B439" s="62">
        <v>6</v>
      </c>
      <c r="C439" s="62">
        <v>8</v>
      </c>
      <c r="D439" s="62">
        <v>7</v>
      </c>
      <c r="E439" s="63" t="s">
        <v>35</v>
      </c>
      <c r="F439" s="70" t="s">
        <v>345</v>
      </c>
      <c r="G439" s="64">
        <f>'[2]CUENTA T FONDO 100'!IC116</f>
        <v>0</v>
      </c>
      <c r="H439" s="64">
        <f>'[2]CUENTA T VS'!IC96</f>
        <v>0</v>
      </c>
      <c r="I439" s="64">
        <f t="shared" si="19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7" t="s">
        <v>346</v>
      </c>
      <c r="G440" s="59">
        <f>SUM(G441:G443)</f>
        <v>0</v>
      </c>
      <c r="H440" s="59">
        <f>SUM(H441:H443)</f>
        <v>0</v>
      </c>
      <c r="I440" s="59">
        <f t="shared" si="19"/>
        <v>0</v>
      </c>
      <c r="J440" s="68"/>
    </row>
    <row r="441" spans="1:10" x14ac:dyDescent="0.2">
      <c r="A441" s="75">
        <v>2</v>
      </c>
      <c r="B441" s="62">
        <v>6</v>
      </c>
      <c r="C441" s="62">
        <v>8</v>
      </c>
      <c r="D441" s="62">
        <v>8</v>
      </c>
      <c r="E441" s="62" t="s">
        <v>347</v>
      </c>
      <c r="F441" s="70" t="s">
        <v>348</v>
      </c>
      <c r="G441" s="64">
        <f>'[2]CUENTA T FONDO 100'!ID116</f>
        <v>0</v>
      </c>
      <c r="H441" s="64">
        <f>'[2]CUENTA T VS'!ID96</f>
        <v>0</v>
      </c>
      <c r="I441" s="64">
        <f t="shared" si="19"/>
        <v>0</v>
      </c>
      <c r="J441" s="65">
        <f>I441/$I$25</f>
        <v>0</v>
      </c>
    </row>
    <row r="442" spans="1:10" x14ac:dyDescent="0.2">
      <c r="A442" s="75">
        <v>2</v>
      </c>
      <c r="B442" s="62">
        <v>6</v>
      </c>
      <c r="C442" s="62">
        <v>8</v>
      </c>
      <c r="D442" s="62">
        <v>8</v>
      </c>
      <c r="E442" s="62" t="s">
        <v>349</v>
      </c>
      <c r="F442" s="70" t="s">
        <v>350</v>
      </c>
      <c r="G442" s="64">
        <f>'[2]CUENTA T FONDO 100'!IE116</f>
        <v>0</v>
      </c>
      <c r="H442" s="64">
        <f>'[2]CUENTA T VS'!IE96</f>
        <v>0</v>
      </c>
      <c r="I442" s="64">
        <f t="shared" si="19"/>
        <v>0</v>
      </c>
      <c r="J442" s="65">
        <f>I442/$I$25</f>
        <v>0</v>
      </c>
    </row>
    <row r="443" spans="1:10" x14ac:dyDescent="0.2">
      <c r="A443" s="75">
        <v>2</v>
      </c>
      <c r="B443" s="62">
        <v>6</v>
      </c>
      <c r="C443" s="62">
        <v>8</v>
      </c>
      <c r="D443" s="62">
        <v>8</v>
      </c>
      <c r="E443" s="62" t="s">
        <v>351</v>
      </c>
      <c r="F443" s="70" t="s">
        <v>352</v>
      </c>
      <c r="G443" s="64">
        <f>'[2]CUENTA T FONDO 100'!IF116</f>
        <v>0</v>
      </c>
      <c r="H443" s="64">
        <f>'[2]CUENTA T VS'!IF96</f>
        <v>0</v>
      </c>
      <c r="I443" s="64">
        <f t="shared" si="19"/>
        <v>0</v>
      </c>
      <c r="J443" s="65">
        <f>I443/$I$25</f>
        <v>0</v>
      </c>
    </row>
    <row r="444" spans="1:10" x14ac:dyDescent="0.2">
      <c r="A444" s="73">
        <v>2</v>
      </c>
      <c r="B444" s="58">
        <v>6</v>
      </c>
      <c r="C444" s="58">
        <v>8</v>
      </c>
      <c r="D444" s="58">
        <v>9</v>
      </c>
      <c r="E444" s="58"/>
      <c r="F444" s="87" t="s">
        <v>353</v>
      </c>
      <c r="G444" s="59">
        <f>+G445</f>
        <v>0</v>
      </c>
      <c r="H444" s="59">
        <f>+H445</f>
        <v>0</v>
      </c>
      <c r="I444" s="59">
        <f t="shared" si="19"/>
        <v>0</v>
      </c>
      <c r="J444" s="68"/>
    </row>
    <row r="445" spans="1:10" x14ac:dyDescent="0.2">
      <c r="A445" s="75">
        <v>2</v>
      </c>
      <c r="B445" s="62">
        <v>6</v>
      </c>
      <c r="C445" s="62">
        <v>8</v>
      </c>
      <c r="D445" s="62">
        <v>9</v>
      </c>
      <c r="E445" s="62" t="s">
        <v>324</v>
      </c>
      <c r="F445" s="70" t="s">
        <v>353</v>
      </c>
      <c r="G445" s="64">
        <f>'[2]CUENTA T FONDO 100'!IG116</f>
        <v>0</v>
      </c>
      <c r="H445" s="64">
        <f>'[2]CUENTA T VS'!IG96</f>
        <v>0</v>
      </c>
      <c r="I445" s="64">
        <f t="shared" si="19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9"/>
      <c r="F446" s="86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9"/>
        <v>0</v>
      </c>
      <c r="J446" s="53"/>
    </row>
    <row r="447" spans="1:10" x14ac:dyDescent="0.2">
      <c r="A447" s="73">
        <v>2</v>
      </c>
      <c r="B447" s="58">
        <v>6</v>
      </c>
      <c r="C447" s="58">
        <v>9</v>
      </c>
      <c r="D447" s="58">
        <v>1</v>
      </c>
      <c r="E447" s="58"/>
      <c r="F447" s="87" t="s">
        <v>355</v>
      </c>
      <c r="G447" s="59">
        <f>+G448+G449</f>
        <v>0</v>
      </c>
      <c r="H447" s="59">
        <f t="shared" ref="H447" si="20">+H448+H449</f>
        <v>0</v>
      </c>
      <c r="I447" s="59">
        <f t="shared" si="19"/>
        <v>0</v>
      </c>
      <c r="J447" s="59"/>
    </row>
    <row r="448" spans="1:10" x14ac:dyDescent="0.2">
      <c r="A448" s="90">
        <v>2</v>
      </c>
      <c r="B448" s="91">
        <v>6</v>
      </c>
      <c r="C448" s="91">
        <v>9</v>
      </c>
      <c r="D448" s="91">
        <v>1</v>
      </c>
      <c r="E448" s="91" t="s">
        <v>35</v>
      </c>
      <c r="F448" s="92" t="s">
        <v>355</v>
      </c>
      <c r="G448" s="64">
        <f>'[2]CUENTA T FONDO 100'!IH116</f>
        <v>0</v>
      </c>
      <c r="H448" s="93">
        <f>'[2]CUENTA T VS'!IH96</f>
        <v>0</v>
      </c>
      <c r="I448" s="93">
        <f t="shared" si="19"/>
        <v>0</v>
      </c>
      <c r="J448" s="65">
        <f>I448/$I$25</f>
        <v>0</v>
      </c>
    </row>
    <row r="449" spans="1:10" x14ac:dyDescent="0.2">
      <c r="A449" s="90">
        <v>2</v>
      </c>
      <c r="B449" s="91">
        <v>6</v>
      </c>
      <c r="C449" s="91">
        <v>9</v>
      </c>
      <c r="D449" s="91">
        <v>1</v>
      </c>
      <c r="E449" s="91" t="s">
        <v>37</v>
      </c>
      <c r="F449" s="92" t="s">
        <v>356</v>
      </c>
      <c r="G449" s="64">
        <f>'[2]CUENTA T FONDO 100'!II116</f>
        <v>0</v>
      </c>
      <c r="H449" s="93">
        <f>'[2]CUENTA T VS'!II96</f>
        <v>0</v>
      </c>
      <c r="I449" s="93">
        <f t="shared" si="19"/>
        <v>0</v>
      </c>
      <c r="J449" s="65">
        <f>I449/$I$25</f>
        <v>0</v>
      </c>
    </row>
    <row r="450" spans="1:10" x14ac:dyDescent="0.2">
      <c r="A450" s="73">
        <v>2</v>
      </c>
      <c r="B450" s="58">
        <v>6</v>
      </c>
      <c r="C450" s="58">
        <v>9</v>
      </c>
      <c r="D450" s="58">
        <v>2</v>
      </c>
      <c r="E450" s="58"/>
      <c r="F450" s="87" t="s">
        <v>357</v>
      </c>
      <c r="G450" s="59">
        <f>SUM(G451:G452)</f>
        <v>0</v>
      </c>
      <c r="H450" s="59">
        <f t="shared" ref="H450" si="21">SUM(H451:H452)</f>
        <v>0</v>
      </c>
      <c r="I450" s="59">
        <f t="shared" si="19"/>
        <v>0</v>
      </c>
      <c r="J450" s="68"/>
    </row>
    <row r="451" spans="1:10" x14ac:dyDescent="0.2">
      <c r="A451" s="75">
        <v>2</v>
      </c>
      <c r="B451" s="62">
        <v>6</v>
      </c>
      <c r="C451" s="62">
        <v>9</v>
      </c>
      <c r="D451" s="62">
        <v>2</v>
      </c>
      <c r="E451" s="63" t="s">
        <v>35</v>
      </c>
      <c r="F451" s="70" t="s">
        <v>357</v>
      </c>
      <c r="G451" s="64">
        <f>'[2]CUENTA T FONDO 100'!IJ116</f>
        <v>0</v>
      </c>
      <c r="H451" s="64">
        <f>'[2]CUENTA T VS'!IJ96</f>
        <v>0</v>
      </c>
      <c r="I451" s="64">
        <f t="shared" si="19"/>
        <v>0</v>
      </c>
      <c r="J451" s="65">
        <f>I451/$I$25</f>
        <v>0</v>
      </c>
    </row>
    <row r="452" spans="1:10" x14ac:dyDescent="0.2">
      <c r="A452" s="75">
        <v>2</v>
      </c>
      <c r="B452" s="62">
        <v>6</v>
      </c>
      <c r="C452" s="62">
        <v>9</v>
      </c>
      <c r="D452" s="62">
        <v>2</v>
      </c>
      <c r="E452" s="63" t="s">
        <v>37</v>
      </c>
      <c r="F452" s="70" t="s">
        <v>358</v>
      </c>
      <c r="G452" s="64">
        <f>'[2]CUENTA T FONDO 100'!IK116</f>
        <v>0</v>
      </c>
      <c r="H452" s="64">
        <f>'[2]CUENTA T VS'!IK96</f>
        <v>0</v>
      </c>
      <c r="I452" s="64">
        <f t="shared" si="19"/>
        <v>0</v>
      </c>
      <c r="J452" s="65">
        <f>I452/$I$25</f>
        <v>0</v>
      </c>
    </row>
    <row r="453" spans="1:10" x14ac:dyDescent="0.2">
      <c r="A453" s="73">
        <v>2</v>
      </c>
      <c r="B453" s="58">
        <v>6</v>
      </c>
      <c r="C453" s="58">
        <v>9</v>
      </c>
      <c r="D453" s="58">
        <v>3</v>
      </c>
      <c r="E453" s="58"/>
      <c r="F453" s="87" t="s">
        <v>359</v>
      </c>
      <c r="G453" s="59">
        <f>SUM(G454)</f>
        <v>0</v>
      </c>
      <c r="H453" s="59">
        <f>SUM(H454)</f>
        <v>0</v>
      </c>
      <c r="I453" s="59">
        <f t="shared" si="19"/>
        <v>0</v>
      </c>
      <c r="J453" s="59"/>
    </row>
    <row r="454" spans="1:10" x14ac:dyDescent="0.2">
      <c r="A454" s="75">
        <v>2</v>
      </c>
      <c r="B454" s="62">
        <v>6</v>
      </c>
      <c r="C454" s="62">
        <v>9</v>
      </c>
      <c r="D454" s="62">
        <v>3</v>
      </c>
      <c r="E454" s="63" t="s">
        <v>35</v>
      </c>
      <c r="F454" s="70" t="s">
        <v>359</v>
      </c>
      <c r="G454" s="64">
        <f>'[2]CUENTA T FONDO 100'!IL116</f>
        <v>0</v>
      </c>
      <c r="H454" s="64">
        <f>'[2]CUENTA T VS'!IL96</f>
        <v>0</v>
      </c>
      <c r="I454" s="64">
        <f t="shared" si="19"/>
        <v>0</v>
      </c>
      <c r="J454" s="65">
        <f>I454/$I$25</f>
        <v>0</v>
      </c>
    </row>
    <row r="455" spans="1:10" x14ac:dyDescent="0.2">
      <c r="A455" s="73">
        <v>2</v>
      </c>
      <c r="B455" s="58">
        <v>6</v>
      </c>
      <c r="C455" s="58">
        <v>9</v>
      </c>
      <c r="D455" s="58">
        <v>4</v>
      </c>
      <c r="E455" s="58"/>
      <c r="F455" s="87" t="s">
        <v>360</v>
      </c>
      <c r="G455" s="59">
        <f>SUM(G456)</f>
        <v>0</v>
      </c>
      <c r="H455" s="59">
        <f>SUM(H456)</f>
        <v>0</v>
      </c>
      <c r="I455" s="59">
        <f t="shared" si="19"/>
        <v>0</v>
      </c>
      <c r="J455" s="68"/>
    </row>
    <row r="456" spans="1:10" x14ac:dyDescent="0.2">
      <c r="A456" s="75">
        <v>2</v>
      </c>
      <c r="B456" s="62">
        <v>6</v>
      </c>
      <c r="C456" s="62">
        <v>9</v>
      </c>
      <c r="D456" s="62">
        <v>4</v>
      </c>
      <c r="E456" s="63" t="s">
        <v>35</v>
      </c>
      <c r="F456" s="70" t="s">
        <v>360</v>
      </c>
      <c r="G456" s="64">
        <f>'[2]CUENTA T FONDO 100'!IM116</f>
        <v>0</v>
      </c>
      <c r="H456" s="64">
        <f>'[2]CUENTA T VS'!IM96</f>
        <v>0</v>
      </c>
      <c r="I456" s="64">
        <f t="shared" si="19"/>
        <v>0</v>
      </c>
      <c r="J456" s="65">
        <f>I456/$I$25</f>
        <v>0</v>
      </c>
    </row>
    <row r="457" spans="1:10" x14ac:dyDescent="0.2">
      <c r="A457" s="73">
        <v>2</v>
      </c>
      <c r="B457" s="58">
        <v>6</v>
      </c>
      <c r="C457" s="58">
        <v>9</v>
      </c>
      <c r="D457" s="58">
        <v>5</v>
      </c>
      <c r="E457" s="58"/>
      <c r="F457" s="87" t="s">
        <v>361</v>
      </c>
      <c r="G457" s="59">
        <f>SUM(G458:G460)</f>
        <v>0</v>
      </c>
      <c r="H457" s="59">
        <f>SUM(H458:H460)</f>
        <v>0</v>
      </c>
      <c r="I457" s="59">
        <f t="shared" si="19"/>
        <v>0</v>
      </c>
      <c r="J457" s="68"/>
    </row>
    <row r="458" spans="1:10" x14ac:dyDescent="0.2">
      <c r="A458" s="75">
        <v>2</v>
      </c>
      <c r="B458" s="62">
        <v>6</v>
      </c>
      <c r="C458" s="62">
        <v>9</v>
      </c>
      <c r="D458" s="62">
        <v>5</v>
      </c>
      <c r="E458" s="63" t="s">
        <v>35</v>
      </c>
      <c r="F458" s="70" t="s">
        <v>362</v>
      </c>
      <c r="G458" s="64">
        <f>'[2]CUENTA T FONDO 100'!IN116</f>
        <v>0</v>
      </c>
      <c r="H458" s="64">
        <f>'[2]CUENTA T VS'!IN96</f>
        <v>0</v>
      </c>
      <c r="I458" s="64">
        <f t="shared" si="19"/>
        <v>0</v>
      </c>
      <c r="J458" s="65">
        <f>I458/$I$25</f>
        <v>0</v>
      </c>
    </row>
    <row r="459" spans="1:10" x14ac:dyDescent="0.2">
      <c r="A459" s="75">
        <v>2</v>
      </c>
      <c r="B459" s="62">
        <v>6</v>
      </c>
      <c r="C459" s="62">
        <v>9</v>
      </c>
      <c r="D459" s="62">
        <v>5</v>
      </c>
      <c r="E459" s="63" t="s">
        <v>37</v>
      </c>
      <c r="F459" s="70" t="s">
        <v>363</v>
      </c>
      <c r="G459" s="64">
        <f>'[2]CUENTA T FONDO 100'!IO116</f>
        <v>0</v>
      </c>
      <c r="H459" s="64">
        <f>'[2]CUENTA T VS'!IO96</f>
        <v>0</v>
      </c>
      <c r="I459" s="64">
        <f t="shared" si="19"/>
        <v>0</v>
      </c>
      <c r="J459" s="65">
        <f>I459/$I$25</f>
        <v>0</v>
      </c>
    </row>
    <row r="460" spans="1:10" x14ac:dyDescent="0.2">
      <c r="A460" s="75">
        <v>2</v>
      </c>
      <c r="B460" s="62">
        <v>6</v>
      </c>
      <c r="C460" s="62">
        <v>9</v>
      </c>
      <c r="D460" s="62">
        <v>5</v>
      </c>
      <c r="E460" s="63" t="s">
        <v>39</v>
      </c>
      <c r="F460" s="70" t="s">
        <v>364</v>
      </c>
      <c r="G460" s="64">
        <f>'[2]CUENTA T FONDO 100'!IP116</f>
        <v>0</v>
      </c>
      <c r="H460" s="64">
        <f>'[2]CUENTA T VS'!IP96</f>
        <v>0</v>
      </c>
      <c r="I460" s="64">
        <f t="shared" si="19"/>
        <v>0</v>
      </c>
      <c r="J460" s="65">
        <f>I460/$I$25</f>
        <v>0</v>
      </c>
    </row>
    <row r="461" spans="1:10" x14ac:dyDescent="0.2">
      <c r="A461" s="73">
        <v>2</v>
      </c>
      <c r="B461" s="58">
        <v>6</v>
      </c>
      <c r="C461" s="58">
        <v>9</v>
      </c>
      <c r="D461" s="58">
        <v>9</v>
      </c>
      <c r="E461" s="58"/>
      <c r="F461" s="87" t="s">
        <v>365</v>
      </c>
      <c r="G461" s="59">
        <f>SUM(G462)</f>
        <v>0</v>
      </c>
      <c r="H461" s="59">
        <f>SUM(H462)</f>
        <v>0</v>
      </c>
      <c r="I461" s="59">
        <f t="shared" si="19"/>
        <v>0</v>
      </c>
      <c r="J461" s="68"/>
    </row>
    <row r="462" spans="1:10" x14ac:dyDescent="0.2">
      <c r="A462" s="75">
        <v>2</v>
      </c>
      <c r="B462" s="62">
        <v>6</v>
      </c>
      <c r="C462" s="62">
        <v>9</v>
      </c>
      <c r="D462" s="62">
        <v>9</v>
      </c>
      <c r="E462" s="63" t="s">
        <v>35</v>
      </c>
      <c r="F462" s="70" t="s">
        <v>365</v>
      </c>
      <c r="G462" s="64">
        <f>'[2]CUENTA T FONDO 100'!IQ116</f>
        <v>0</v>
      </c>
      <c r="H462" s="64">
        <f>'[2]CUENTA T VS'!IQ96</f>
        <v>0</v>
      </c>
      <c r="I462" s="64">
        <f t="shared" si="19"/>
        <v>0</v>
      </c>
      <c r="J462" s="65">
        <f>I462/$I$25</f>
        <v>0</v>
      </c>
    </row>
    <row r="463" spans="1:10" x14ac:dyDescent="0.2">
      <c r="A463" s="71">
        <v>2</v>
      </c>
      <c r="B463" s="55">
        <v>7</v>
      </c>
      <c r="C463" s="55"/>
      <c r="D463" s="55"/>
      <c r="E463" s="55"/>
      <c r="F463" s="86" t="s">
        <v>366</v>
      </c>
      <c r="G463" s="56">
        <f>G464+G473+G492+G497</f>
        <v>0</v>
      </c>
      <c r="H463" s="56">
        <f>H464+H473+H492+H497</f>
        <v>0</v>
      </c>
      <c r="I463" s="56">
        <f t="shared" si="19"/>
        <v>0</v>
      </c>
      <c r="J463" s="53">
        <f>I463/$I$25</f>
        <v>0</v>
      </c>
    </row>
    <row r="464" spans="1:10" x14ac:dyDescent="0.2">
      <c r="A464" s="71">
        <v>2</v>
      </c>
      <c r="B464" s="55">
        <v>7</v>
      </c>
      <c r="C464" s="55">
        <v>1</v>
      </c>
      <c r="D464" s="55"/>
      <c r="E464" s="55"/>
      <c r="F464" s="86" t="s">
        <v>367</v>
      </c>
      <c r="G464" s="56">
        <f>+G465+G467+G469+G471</f>
        <v>0</v>
      </c>
      <c r="H464" s="56">
        <f>+H465+H467+H469+H471</f>
        <v>0</v>
      </c>
      <c r="I464" s="56">
        <f t="shared" si="19"/>
        <v>0</v>
      </c>
      <c r="J464" s="53"/>
    </row>
    <row r="465" spans="1:10" x14ac:dyDescent="0.2">
      <c r="A465" s="73">
        <v>2</v>
      </c>
      <c r="B465" s="58">
        <v>7</v>
      </c>
      <c r="C465" s="58">
        <v>1</v>
      </c>
      <c r="D465" s="58">
        <v>1</v>
      </c>
      <c r="E465" s="78"/>
      <c r="F465" s="87" t="s">
        <v>368</v>
      </c>
      <c r="G465" s="59">
        <f>+G466</f>
        <v>0</v>
      </c>
      <c r="H465" s="59">
        <f>+H466</f>
        <v>0</v>
      </c>
      <c r="I465" s="59">
        <f t="shared" si="19"/>
        <v>0</v>
      </c>
      <c r="J465" s="68"/>
    </row>
    <row r="466" spans="1:10" x14ac:dyDescent="0.2">
      <c r="A466" s="75">
        <v>2</v>
      </c>
      <c r="B466" s="62">
        <v>7</v>
      </c>
      <c r="C466" s="62">
        <v>1</v>
      </c>
      <c r="D466" s="62">
        <v>1</v>
      </c>
      <c r="E466" s="62" t="s">
        <v>324</v>
      </c>
      <c r="F466" s="70" t="s">
        <v>368</v>
      </c>
      <c r="G466" s="64">
        <f>'[2]CUENTA T FONDO 100'!IR116</f>
        <v>0</v>
      </c>
      <c r="H466" s="64">
        <f>'[2]CUENTA T VS'!IR96</f>
        <v>0</v>
      </c>
      <c r="I466" s="64">
        <f t="shared" si="19"/>
        <v>0</v>
      </c>
      <c r="J466" s="65">
        <f>I466/$I$25</f>
        <v>0</v>
      </c>
    </row>
    <row r="467" spans="1:10" x14ac:dyDescent="0.2">
      <c r="A467" s="73">
        <v>2</v>
      </c>
      <c r="B467" s="58">
        <v>7</v>
      </c>
      <c r="C467" s="58">
        <v>1</v>
      </c>
      <c r="D467" s="58">
        <v>2</v>
      </c>
      <c r="E467" s="78"/>
      <c r="F467" s="87" t="s">
        <v>369</v>
      </c>
      <c r="G467" s="59">
        <f>+G468</f>
        <v>0</v>
      </c>
      <c r="H467" s="59">
        <f>+H468</f>
        <v>0</v>
      </c>
      <c r="I467" s="59">
        <f t="shared" si="19"/>
        <v>0</v>
      </c>
      <c r="J467" s="68"/>
    </row>
    <row r="468" spans="1:10" x14ac:dyDescent="0.2">
      <c r="A468" s="75">
        <v>2</v>
      </c>
      <c r="B468" s="62">
        <v>7</v>
      </c>
      <c r="C468" s="62">
        <v>1</v>
      </c>
      <c r="D468" s="62">
        <v>2</v>
      </c>
      <c r="E468" s="62" t="s">
        <v>324</v>
      </c>
      <c r="F468" s="70" t="s">
        <v>369</v>
      </c>
      <c r="G468" s="64">
        <f>'[2]CUENTA T FONDO 100'!IS116</f>
        <v>0</v>
      </c>
      <c r="H468" s="64">
        <f>'[2]CUENTA T VS'!IS96</f>
        <v>0</v>
      </c>
      <c r="I468" s="64">
        <f t="shared" si="19"/>
        <v>0</v>
      </c>
      <c r="J468" s="65">
        <f>I468/$I$25</f>
        <v>0</v>
      </c>
    </row>
    <row r="469" spans="1:10" x14ac:dyDescent="0.2">
      <c r="A469" s="73">
        <v>2</v>
      </c>
      <c r="B469" s="58">
        <v>7</v>
      </c>
      <c r="C469" s="58">
        <v>1</v>
      </c>
      <c r="D469" s="58">
        <v>3</v>
      </c>
      <c r="E469" s="78"/>
      <c r="F469" s="87" t="s">
        <v>370</v>
      </c>
      <c r="G469" s="59">
        <f>+G470</f>
        <v>0</v>
      </c>
      <c r="H469" s="59">
        <f>+H470</f>
        <v>0</v>
      </c>
      <c r="I469" s="59">
        <f t="shared" si="19"/>
        <v>0</v>
      </c>
      <c r="J469" s="68"/>
    </row>
    <row r="470" spans="1:10" x14ac:dyDescent="0.2">
      <c r="A470" s="75">
        <v>2</v>
      </c>
      <c r="B470" s="62">
        <v>7</v>
      </c>
      <c r="C470" s="62">
        <v>1</v>
      </c>
      <c r="D470" s="62">
        <v>3</v>
      </c>
      <c r="E470" s="62" t="s">
        <v>324</v>
      </c>
      <c r="F470" s="70" t="s">
        <v>370</v>
      </c>
      <c r="G470" s="64">
        <f>'[2]CUENTA T FONDO 100'!IT116</f>
        <v>0</v>
      </c>
      <c r="H470" s="64">
        <f>'[2]CUENTA T VS'!IT96</f>
        <v>0</v>
      </c>
      <c r="I470" s="64">
        <f t="shared" si="19"/>
        <v>0</v>
      </c>
      <c r="J470" s="65">
        <f>I470/$I$25</f>
        <v>0</v>
      </c>
    </row>
    <row r="471" spans="1:10" x14ac:dyDescent="0.2">
      <c r="A471" s="73">
        <v>2</v>
      </c>
      <c r="B471" s="58">
        <v>7</v>
      </c>
      <c r="C471" s="58">
        <v>1</v>
      </c>
      <c r="D471" s="58">
        <v>4</v>
      </c>
      <c r="E471" s="78"/>
      <c r="F471" s="87" t="s">
        <v>371</v>
      </c>
      <c r="G471" s="59">
        <f>+G472</f>
        <v>0</v>
      </c>
      <c r="H471" s="59">
        <f>+H472</f>
        <v>0</v>
      </c>
      <c r="I471" s="59">
        <f t="shared" si="19"/>
        <v>0</v>
      </c>
      <c r="J471" s="68"/>
    </row>
    <row r="472" spans="1:10" x14ac:dyDescent="0.2">
      <c r="A472" s="75">
        <v>2</v>
      </c>
      <c r="B472" s="62">
        <v>7</v>
      </c>
      <c r="C472" s="62">
        <v>1</v>
      </c>
      <c r="D472" s="62">
        <v>4</v>
      </c>
      <c r="E472" s="62" t="s">
        <v>324</v>
      </c>
      <c r="F472" s="70" t="s">
        <v>371</v>
      </c>
      <c r="G472" s="64">
        <f>'[2]CUENTA T FONDO 100'!IU116</f>
        <v>0</v>
      </c>
      <c r="H472" s="64">
        <f>'[2]CUENTA T VS'!IU96</f>
        <v>0</v>
      </c>
      <c r="I472" s="64">
        <f t="shared" si="19"/>
        <v>0</v>
      </c>
      <c r="J472" s="65">
        <f>I472/$I$25</f>
        <v>0</v>
      </c>
    </row>
    <row r="473" spans="1:10" x14ac:dyDescent="0.2">
      <c r="A473" s="71">
        <v>2</v>
      </c>
      <c r="B473" s="55">
        <v>7</v>
      </c>
      <c r="C473" s="55">
        <v>2</v>
      </c>
      <c r="D473" s="55"/>
      <c r="E473" s="55"/>
      <c r="F473" s="86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22">SUM(G473:H473)</f>
        <v>0</v>
      </c>
      <c r="J473" s="53"/>
    </row>
    <row r="474" spans="1:10" x14ac:dyDescent="0.2">
      <c r="A474" s="73">
        <v>2</v>
      </c>
      <c r="B474" s="58">
        <v>7</v>
      </c>
      <c r="C474" s="58">
        <v>2</v>
      </c>
      <c r="D474" s="58">
        <v>1</v>
      </c>
      <c r="E474" s="78"/>
      <c r="F474" s="87" t="s">
        <v>373</v>
      </c>
      <c r="G474" s="59">
        <f>+G475</f>
        <v>0</v>
      </c>
      <c r="H474" s="59">
        <f>+H475</f>
        <v>0</v>
      </c>
      <c r="I474" s="59">
        <f t="shared" si="22"/>
        <v>0</v>
      </c>
      <c r="J474" s="68"/>
    </row>
    <row r="475" spans="1:10" x14ac:dyDescent="0.2">
      <c r="A475" s="75">
        <v>2</v>
      </c>
      <c r="B475" s="62">
        <v>7</v>
      </c>
      <c r="C475" s="62">
        <v>2</v>
      </c>
      <c r="D475" s="62">
        <v>1</v>
      </c>
      <c r="E475" s="62" t="s">
        <v>324</v>
      </c>
      <c r="F475" s="70" t="s">
        <v>373</v>
      </c>
      <c r="G475" s="64">
        <f>'[2]CUENTA T FONDO 100'!IV116</f>
        <v>0</v>
      </c>
      <c r="H475" s="64">
        <f>'[2]CUENTA T VS'!IV96</f>
        <v>0</v>
      </c>
      <c r="I475" s="64">
        <f t="shared" si="22"/>
        <v>0</v>
      </c>
      <c r="J475" s="65">
        <f>I475/$I$25</f>
        <v>0</v>
      </c>
    </row>
    <row r="476" spans="1:10" x14ac:dyDescent="0.2">
      <c r="A476" s="73">
        <v>2</v>
      </c>
      <c r="B476" s="58">
        <v>7</v>
      </c>
      <c r="C476" s="58">
        <v>2</v>
      </c>
      <c r="D476" s="58">
        <v>2</v>
      </c>
      <c r="E476" s="78"/>
      <c r="F476" s="87" t="s">
        <v>374</v>
      </c>
      <c r="G476" s="59">
        <f>+G477</f>
        <v>0</v>
      </c>
      <c r="H476" s="59">
        <f>+H477</f>
        <v>0</v>
      </c>
      <c r="I476" s="59">
        <f t="shared" si="22"/>
        <v>0</v>
      </c>
      <c r="J476" s="68"/>
    </row>
    <row r="477" spans="1:10" x14ac:dyDescent="0.2">
      <c r="A477" s="75">
        <v>2</v>
      </c>
      <c r="B477" s="62">
        <v>7</v>
      </c>
      <c r="C477" s="62">
        <v>2</v>
      </c>
      <c r="D477" s="62">
        <v>2</v>
      </c>
      <c r="E477" s="62" t="s">
        <v>324</v>
      </c>
      <c r="F477" s="70" t="s">
        <v>374</v>
      </c>
      <c r="G477" s="64">
        <f>'[2]CUENTA T FONDO 100'!IW116</f>
        <v>0</v>
      </c>
      <c r="H477" s="64">
        <f>'[2]CUENTA T VS'!IW96</f>
        <v>0</v>
      </c>
      <c r="I477" s="64">
        <f t="shared" si="22"/>
        <v>0</v>
      </c>
      <c r="J477" s="65">
        <f>I477/$I$25</f>
        <v>0</v>
      </c>
    </row>
    <row r="478" spans="1:10" x14ac:dyDescent="0.2">
      <c r="A478" s="73">
        <v>2</v>
      </c>
      <c r="B478" s="58">
        <v>7</v>
      </c>
      <c r="C478" s="58">
        <v>2</v>
      </c>
      <c r="D478" s="58">
        <v>3</v>
      </c>
      <c r="E478" s="78"/>
      <c r="F478" s="87" t="s">
        <v>375</v>
      </c>
      <c r="G478" s="59">
        <f>+G479</f>
        <v>0</v>
      </c>
      <c r="H478" s="59">
        <f>+H479</f>
        <v>0</v>
      </c>
      <c r="I478" s="59">
        <f t="shared" si="22"/>
        <v>0</v>
      </c>
      <c r="J478" s="68"/>
    </row>
    <row r="479" spans="1:10" x14ac:dyDescent="0.2">
      <c r="A479" s="75">
        <v>2</v>
      </c>
      <c r="B479" s="62">
        <v>7</v>
      </c>
      <c r="C479" s="62">
        <v>2</v>
      </c>
      <c r="D479" s="62">
        <v>3</v>
      </c>
      <c r="E479" s="62" t="s">
        <v>324</v>
      </c>
      <c r="F479" s="70" t="s">
        <v>375</v>
      </c>
      <c r="G479" s="64">
        <f>'[2]CUENTA T FONDO 100'!IX116</f>
        <v>0</v>
      </c>
      <c r="H479" s="64">
        <f>'[2]CUENTA T VS'!IX96</f>
        <v>0</v>
      </c>
      <c r="I479" s="64">
        <f t="shared" si="22"/>
        <v>0</v>
      </c>
      <c r="J479" s="65">
        <f>I479/$I$25</f>
        <v>0</v>
      </c>
    </row>
    <row r="480" spans="1:10" x14ac:dyDescent="0.2">
      <c r="A480" s="73">
        <v>2</v>
      </c>
      <c r="B480" s="58">
        <v>7</v>
      </c>
      <c r="C480" s="58">
        <v>2</v>
      </c>
      <c r="D480" s="58">
        <v>4</v>
      </c>
      <c r="E480" s="78"/>
      <c r="F480" s="87" t="s">
        <v>376</v>
      </c>
      <c r="G480" s="59">
        <f>+G481</f>
        <v>0</v>
      </c>
      <c r="H480" s="59">
        <f>+H481</f>
        <v>0</v>
      </c>
      <c r="I480" s="59">
        <f t="shared" si="22"/>
        <v>0</v>
      </c>
      <c r="J480" s="68"/>
    </row>
    <row r="481" spans="1:10" x14ac:dyDescent="0.2">
      <c r="A481" s="75">
        <v>2</v>
      </c>
      <c r="B481" s="62">
        <v>7</v>
      </c>
      <c r="C481" s="62">
        <v>2</v>
      </c>
      <c r="D481" s="62">
        <v>4</v>
      </c>
      <c r="E481" s="62" t="s">
        <v>324</v>
      </c>
      <c r="F481" s="70" t="s">
        <v>376</v>
      </c>
      <c r="G481" s="64">
        <f>'[2]CUENTA T FONDO 100'!IY116</f>
        <v>0</v>
      </c>
      <c r="H481" s="64">
        <f>'[2]CUENTA T VS'!IY96</f>
        <v>0</v>
      </c>
      <c r="I481" s="64">
        <f t="shared" si="22"/>
        <v>0</v>
      </c>
      <c r="J481" s="65">
        <f>I481/$I$25</f>
        <v>0</v>
      </c>
    </row>
    <row r="482" spans="1:10" x14ac:dyDescent="0.2">
      <c r="A482" s="73">
        <v>2</v>
      </c>
      <c r="B482" s="58">
        <v>7</v>
      </c>
      <c r="C482" s="58">
        <v>2</v>
      </c>
      <c r="D482" s="58">
        <v>5</v>
      </c>
      <c r="E482" s="78"/>
      <c r="F482" s="87" t="s">
        <v>377</v>
      </c>
      <c r="G482" s="59">
        <f>+G483</f>
        <v>0</v>
      </c>
      <c r="H482" s="59">
        <f>+H483</f>
        <v>0</v>
      </c>
      <c r="I482" s="59">
        <f t="shared" si="22"/>
        <v>0</v>
      </c>
      <c r="J482" s="68"/>
    </row>
    <row r="483" spans="1:10" x14ac:dyDescent="0.2">
      <c r="A483" s="75">
        <v>2</v>
      </c>
      <c r="B483" s="62">
        <v>7</v>
      </c>
      <c r="C483" s="62">
        <v>2</v>
      </c>
      <c r="D483" s="62">
        <v>5</v>
      </c>
      <c r="E483" s="62" t="s">
        <v>324</v>
      </c>
      <c r="F483" s="70" t="s">
        <v>377</v>
      </c>
      <c r="G483" s="64">
        <f>'[2]CUENTA T FONDO 100'!IZ116</f>
        <v>0</v>
      </c>
      <c r="H483" s="64">
        <f>'[2]CUENTA T VS'!IZ96</f>
        <v>0</v>
      </c>
      <c r="I483" s="64">
        <f t="shared" si="22"/>
        <v>0</v>
      </c>
      <c r="J483" s="65">
        <f>I483/$I$25</f>
        <v>0</v>
      </c>
    </row>
    <row r="484" spans="1:10" x14ac:dyDescent="0.2">
      <c r="A484" s="73">
        <v>2</v>
      </c>
      <c r="B484" s="58">
        <v>7</v>
      </c>
      <c r="C484" s="58">
        <v>2</v>
      </c>
      <c r="D484" s="58">
        <v>6</v>
      </c>
      <c r="E484" s="78"/>
      <c r="F484" s="87" t="s">
        <v>378</v>
      </c>
      <c r="G484" s="59">
        <f>+G485</f>
        <v>0</v>
      </c>
      <c r="H484" s="59">
        <f>+H485</f>
        <v>0</v>
      </c>
      <c r="I484" s="59">
        <f t="shared" si="22"/>
        <v>0</v>
      </c>
      <c r="J484" s="68"/>
    </row>
    <row r="485" spans="1:10" x14ac:dyDescent="0.2">
      <c r="A485" s="75">
        <v>2</v>
      </c>
      <c r="B485" s="62">
        <v>7</v>
      </c>
      <c r="C485" s="62">
        <v>2</v>
      </c>
      <c r="D485" s="62">
        <v>6</v>
      </c>
      <c r="E485" s="62" t="s">
        <v>324</v>
      </c>
      <c r="F485" s="70" t="s">
        <v>378</v>
      </c>
      <c r="G485" s="64">
        <f>'[2]CUENTA T FONDO 100'!JA116</f>
        <v>0</v>
      </c>
      <c r="H485" s="64">
        <f>'[2]CUENTA T VS'!JA96</f>
        <v>0</v>
      </c>
      <c r="I485" s="64">
        <f t="shared" si="22"/>
        <v>0</v>
      </c>
      <c r="J485" s="65">
        <f>I485/$I$25</f>
        <v>0</v>
      </c>
    </row>
    <row r="486" spans="1:10" x14ac:dyDescent="0.2">
      <c r="A486" s="73">
        <v>2</v>
      </c>
      <c r="B486" s="58">
        <v>7</v>
      </c>
      <c r="C486" s="58">
        <v>2</v>
      </c>
      <c r="D486" s="58">
        <v>7</v>
      </c>
      <c r="E486" s="78"/>
      <c r="F486" s="87" t="s">
        <v>379</v>
      </c>
      <c r="G486" s="59">
        <f>+G487</f>
        <v>0</v>
      </c>
      <c r="H486" s="59">
        <f>+H487</f>
        <v>0</v>
      </c>
      <c r="I486" s="59">
        <f t="shared" si="22"/>
        <v>0</v>
      </c>
      <c r="J486" s="68"/>
    </row>
    <row r="487" spans="1:10" x14ac:dyDescent="0.2">
      <c r="A487" s="75">
        <v>2</v>
      </c>
      <c r="B487" s="62">
        <v>7</v>
      </c>
      <c r="C487" s="62">
        <v>2</v>
      </c>
      <c r="D487" s="62">
        <v>7</v>
      </c>
      <c r="E487" s="62" t="s">
        <v>324</v>
      </c>
      <c r="F487" s="70" t="s">
        <v>379</v>
      </c>
      <c r="G487" s="64">
        <f>'[2]CUENTA T FONDO 100'!JB116</f>
        <v>0</v>
      </c>
      <c r="H487" s="64">
        <f>'[2]CUENTA T VS'!JB96</f>
        <v>0</v>
      </c>
      <c r="I487" s="64">
        <f t="shared" si="22"/>
        <v>0</v>
      </c>
      <c r="J487" s="65">
        <f>I487/$I$25</f>
        <v>0</v>
      </c>
    </row>
    <row r="488" spans="1:10" x14ac:dyDescent="0.2">
      <c r="A488" s="73">
        <v>2</v>
      </c>
      <c r="B488" s="58">
        <v>7</v>
      </c>
      <c r="C488" s="58">
        <v>2</v>
      </c>
      <c r="D488" s="58">
        <v>8</v>
      </c>
      <c r="E488" s="78"/>
      <c r="F488" s="87" t="s">
        <v>380</v>
      </c>
      <c r="G488" s="59">
        <f>+G489</f>
        <v>0</v>
      </c>
      <c r="H488" s="59">
        <f>+H489</f>
        <v>0</v>
      </c>
      <c r="I488" s="59">
        <f t="shared" si="22"/>
        <v>0</v>
      </c>
      <c r="J488" s="68"/>
    </row>
    <row r="489" spans="1:10" x14ac:dyDescent="0.2">
      <c r="A489" s="75">
        <v>2</v>
      </c>
      <c r="B489" s="62">
        <v>7</v>
      </c>
      <c r="C489" s="62">
        <v>2</v>
      </c>
      <c r="D489" s="62">
        <v>8</v>
      </c>
      <c r="E489" s="62" t="s">
        <v>324</v>
      </c>
      <c r="F489" s="70" t="s">
        <v>380</v>
      </c>
      <c r="G489" s="64">
        <f>'[2]CUENTA T FONDO 100'!JC116</f>
        <v>0</v>
      </c>
      <c r="H489" s="64">
        <f>'[2]CUENTA T VS'!JC96</f>
        <v>0</v>
      </c>
      <c r="I489" s="64">
        <f t="shared" si="22"/>
        <v>0</v>
      </c>
      <c r="J489" s="65">
        <f>I489/$I$25</f>
        <v>0</v>
      </c>
    </row>
    <row r="490" spans="1:10" x14ac:dyDescent="0.2">
      <c r="A490" s="73">
        <v>2</v>
      </c>
      <c r="B490" s="58">
        <v>7</v>
      </c>
      <c r="C490" s="58">
        <v>2</v>
      </c>
      <c r="D490" s="58">
        <v>9</v>
      </c>
      <c r="E490" s="78"/>
      <c r="F490" s="87" t="s">
        <v>381</v>
      </c>
      <c r="G490" s="59">
        <f>+G491</f>
        <v>0</v>
      </c>
      <c r="H490" s="59">
        <f>+H491</f>
        <v>0</v>
      </c>
      <c r="I490" s="59">
        <f t="shared" si="22"/>
        <v>0</v>
      </c>
      <c r="J490" s="68"/>
    </row>
    <row r="491" spans="1:10" x14ac:dyDescent="0.2">
      <c r="A491" s="75">
        <v>2</v>
      </c>
      <c r="B491" s="62">
        <v>7</v>
      </c>
      <c r="C491" s="62">
        <v>2</v>
      </c>
      <c r="D491" s="62">
        <v>9</v>
      </c>
      <c r="E491" s="62" t="s">
        <v>324</v>
      </c>
      <c r="F491" s="70" t="s">
        <v>381</v>
      </c>
      <c r="G491" s="64">
        <f>'[2]CUENTA T FONDO 100'!JD116</f>
        <v>0</v>
      </c>
      <c r="H491" s="64">
        <f>'[2]CUENTA T VS'!JD96</f>
        <v>0</v>
      </c>
      <c r="I491" s="64">
        <f t="shared" si="22"/>
        <v>0</v>
      </c>
      <c r="J491" s="65">
        <f>I491/$I$25</f>
        <v>0</v>
      </c>
    </row>
    <row r="492" spans="1:10" x14ac:dyDescent="0.2">
      <c r="A492" s="71">
        <v>2</v>
      </c>
      <c r="B492" s="55">
        <v>7</v>
      </c>
      <c r="C492" s="55">
        <v>3</v>
      </c>
      <c r="D492" s="55"/>
      <c r="E492" s="55"/>
      <c r="F492" s="86" t="s">
        <v>382</v>
      </c>
      <c r="G492" s="56">
        <f>+G493+G495</f>
        <v>0</v>
      </c>
      <c r="H492" s="56">
        <f>+H493+H495</f>
        <v>0</v>
      </c>
      <c r="I492" s="56">
        <f t="shared" si="22"/>
        <v>0</v>
      </c>
      <c r="J492" s="53"/>
    </row>
    <row r="493" spans="1:10" x14ac:dyDescent="0.2">
      <c r="A493" s="73">
        <v>2</v>
      </c>
      <c r="B493" s="58">
        <v>7</v>
      </c>
      <c r="C493" s="58">
        <v>3</v>
      </c>
      <c r="D493" s="58">
        <v>1</v>
      </c>
      <c r="E493" s="78"/>
      <c r="F493" s="87" t="s">
        <v>383</v>
      </c>
      <c r="G493" s="59">
        <f>+G494</f>
        <v>0</v>
      </c>
      <c r="H493" s="59">
        <f>+H494</f>
        <v>0</v>
      </c>
      <c r="I493" s="59">
        <f t="shared" si="22"/>
        <v>0</v>
      </c>
      <c r="J493" s="68"/>
    </row>
    <row r="494" spans="1:10" x14ac:dyDescent="0.2">
      <c r="A494" s="75">
        <v>2</v>
      </c>
      <c r="B494" s="62">
        <v>7</v>
      </c>
      <c r="C494" s="62">
        <v>3</v>
      </c>
      <c r="D494" s="62">
        <v>1</v>
      </c>
      <c r="E494" s="62" t="s">
        <v>324</v>
      </c>
      <c r="F494" s="70" t="s">
        <v>383</v>
      </c>
      <c r="G494" s="64">
        <f>'[2]CUENTA T FONDO 100'!JE116</f>
        <v>0</v>
      </c>
      <c r="H494" s="64">
        <f>'[2]CUENTA T VS'!JE96</f>
        <v>0</v>
      </c>
      <c r="I494" s="64">
        <f t="shared" si="22"/>
        <v>0</v>
      </c>
      <c r="J494" s="65">
        <f>I494/$I$25</f>
        <v>0</v>
      </c>
    </row>
    <row r="495" spans="1:10" x14ac:dyDescent="0.2">
      <c r="A495" s="73">
        <v>2</v>
      </c>
      <c r="B495" s="58">
        <v>7</v>
      </c>
      <c r="C495" s="58">
        <v>3</v>
      </c>
      <c r="D495" s="58">
        <v>2</v>
      </c>
      <c r="E495" s="78"/>
      <c r="F495" s="87" t="s">
        <v>384</v>
      </c>
      <c r="G495" s="59">
        <f>+G496</f>
        <v>0</v>
      </c>
      <c r="H495" s="59">
        <f>+H496</f>
        <v>0</v>
      </c>
      <c r="I495" s="59">
        <f t="shared" si="22"/>
        <v>0</v>
      </c>
      <c r="J495" s="68"/>
    </row>
    <row r="496" spans="1:10" x14ac:dyDescent="0.2">
      <c r="A496" s="75">
        <v>2</v>
      </c>
      <c r="B496" s="62">
        <v>7</v>
      </c>
      <c r="C496" s="62">
        <v>3</v>
      </c>
      <c r="D496" s="62">
        <v>2</v>
      </c>
      <c r="E496" s="62" t="s">
        <v>324</v>
      </c>
      <c r="F496" s="70" t="s">
        <v>384</v>
      </c>
      <c r="G496" s="64">
        <f>'[2]CUENTA T FONDO 100'!JF116</f>
        <v>0</v>
      </c>
      <c r="H496" s="64">
        <f>'[2]CUENTA T VS'!JF96</f>
        <v>0</v>
      </c>
      <c r="I496" s="64">
        <f t="shared" si="22"/>
        <v>0</v>
      </c>
      <c r="J496" s="65">
        <f>I496/$I$25</f>
        <v>0</v>
      </c>
    </row>
    <row r="497" spans="1:10" ht="25.5" x14ac:dyDescent="0.2">
      <c r="A497" s="71">
        <v>2</v>
      </c>
      <c r="B497" s="55">
        <v>7</v>
      </c>
      <c r="C497" s="55">
        <v>4</v>
      </c>
      <c r="D497" s="55"/>
      <c r="E497" s="55"/>
      <c r="F497" s="86" t="s">
        <v>385</v>
      </c>
      <c r="G497" s="56">
        <f>+G498+G500</f>
        <v>0</v>
      </c>
      <c r="H497" s="56">
        <f>+H498+H500</f>
        <v>0</v>
      </c>
      <c r="I497" s="56">
        <f t="shared" si="22"/>
        <v>0</v>
      </c>
      <c r="J497" s="53"/>
    </row>
    <row r="498" spans="1:10" x14ac:dyDescent="0.2">
      <c r="A498" s="73">
        <v>2</v>
      </c>
      <c r="B498" s="58">
        <v>7</v>
      </c>
      <c r="C498" s="58">
        <v>4</v>
      </c>
      <c r="D498" s="58">
        <v>1</v>
      </c>
      <c r="E498" s="78"/>
      <c r="F498" s="87" t="s">
        <v>386</v>
      </c>
      <c r="G498" s="59">
        <f>+G499</f>
        <v>0</v>
      </c>
      <c r="H498" s="59">
        <f>+H499</f>
        <v>0</v>
      </c>
      <c r="I498" s="59">
        <f t="shared" si="22"/>
        <v>0</v>
      </c>
      <c r="J498" s="68"/>
    </row>
    <row r="499" spans="1:10" x14ac:dyDescent="0.2">
      <c r="A499" s="75">
        <v>2</v>
      </c>
      <c r="B499" s="62">
        <v>7</v>
      </c>
      <c r="C499" s="62">
        <v>4</v>
      </c>
      <c r="D499" s="62">
        <v>1</v>
      </c>
      <c r="E499" s="62" t="s">
        <v>324</v>
      </c>
      <c r="F499" s="70" t="s">
        <v>386</v>
      </c>
      <c r="G499" s="64">
        <f>'[2]CUENTA T FONDO 100'!JG116</f>
        <v>0</v>
      </c>
      <c r="H499" s="64">
        <f>'[2]CUENTA T VS'!JG96</f>
        <v>0</v>
      </c>
      <c r="I499" s="64">
        <f t="shared" si="22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8"/>
      <c r="F500" s="87" t="s">
        <v>387</v>
      </c>
      <c r="G500" s="59">
        <f>+G501</f>
        <v>0</v>
      </c>
      <c r="H500" s="59">
        <f>+H501</f>
        <v>0</v>
      </c>
      <c r="I500" s="59">
        <f t="shared" si="22"/>
        <v>0</v>
      </c>
      <c r="J500" s="68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70" t="s">
        <v>387</v>
      </c>
      <c r="G501" s="64">
        <f>'[2]CUENTA T FONDO 100'!JH116</f>
        <v>0</v>
      </c>
      <c r="H501" s="64">
        <f>'[2]CUENTA T VS'!JH96</f>
        <v>0</v>
      </c>
      <c r="I501" s="64">
        <f t="shared" si="22"/>
        <v>0</v>
      </c>
      <c r="J501" s="65">
        <f>I501/$I$25</f>
        <v>0</v>
      </c>
    </row>
    <row r="502" spans="1:10" ht="15" x14ac:dyDescent="0.25">
      <c r="A502" s="94"/>
      <c r="B502" s="94"/>
      <c r="C502" s="94"/>
      <c r="D502" s="94"/>
      <c r="E502" s="94"/>
      <c r="F502" s="94"/>
      <c r="G502" s="94"/>
      <c r="H502" s="94"/>
      <c r="I502" s="94"/>
      <c r="J502" s="95"/>
    </row>
    <row r="503" spans="1:10" ht="15" x14ac:dyDescent="0.25">
      <c r="A503" s="94"/>
      <c r="B503" s="94"/>
      <c r="C503" s="94"/>
      <c r="D503" s="94"/>
      <c r="E503" s="94"/>
      <c r="F503" s="94"/>
      <c r="G503" s="94"/>
      <c r="H503" s="94"/>
      <c r="I503" s="94"/>
      <c r="J503" s="94"/>
    </row>
    <row r="504" spans="1:10" ht="15" x14ac:dyDescent="0.25">
      <c r="A504" s="94"/>
      <c r="B504" s="94"/>
      <c r="C504" s="94"/>
      <c r="D504" s="94"/>
      <c r="E504" s="94"/>
      <c r="F504" s="94"/>
      <c r="G504" s="94"/>
      <c r="H504" s="94"/>
      <c r="I504" s="94"/>
      <c r="J504" s="94"/>
    </row>
    <row r="505" spans="1:10" ht="15" x14ac:dyDescent="0.25">
      <c r="A505" s="94"/>
      <c r="B505" s="94"/>
      <c r="C505" s="94"/>
      <c r="D505" s="94"/>
      <c r="E505" s="94"/>
      <c r="F505" s="94"/>
      <c r="G505" s="94"/>
      <c r="H505" s="94"/>
      <c r="I505" s="94"/>
      <c r="J505" s="94"/>
    </row>
    <row r="506" spans="1:10" ht="15" x14ac:dyDescent="0.25">
      <c r="A506" s="94"/>
      <c r="B506" s="94"/>
      <c r="C506" s="94"/>
      <c r="D506" s="94"/>
      <c r="E506" s="94"/>
      <c r="F506" s="94"/>
      <c r="G506" s="94"/>
      <c r="H506" s="94"/>
      <c r="I506" s="94"/>
      <c r="J506" s="94"/>
    </row>
    <row r="507" spans="1:10" ht="15" x14ac:dyDescent="0.25">
      <c r="A507" s="94"/>
      <c r="B507" s="94"/>
      <c r="C507" s="94"/>
      <c r="D507" s="94"/>
      <c r="E507" s="94"/>
      <c r="F507" s="94"/>
      <c r="G507" s="94"/>
      <c r="H507" s="94"/>
      <c r="I507" s="94"/>
      <c r="J507" s="94"/>
    </row>
    <row r="508" spans="1:10" ht="15" x14ac:dyDescent="0.25">
      <c r="A508" s="94"/>
      <c r="B508" s="94"/>
      <c r="C508" s="94"/>
      <c r="D508" s="94"/>
      <c r="E508" s="94"/>
      <c r="F508" s="94"/>
      <c r="G508" s="94"/>
      <c r="H508" s="94"/>
      <c r="I508" s="94"/>
      <c r="J508" s="94"/>
    </row>
    <row r="509" spans="1:10" ht="15" x14ac:dyDescent="0.25">
      <c r="A509" s="94"/>
      <c r="B509" s="94"/>
      <c r="C509" s="94"/>
      <c r="D509" s="94"/>
      <c r="E509" s="94"/>
      <c r="F509" s="94"/>
      <c r="G509" s="94"/>
      <c r="H509" s="94"/>
      <c r="I509" s="94"/>
      <c r="J509" s="94"/>
    </row>
    <row r="510" spans="1:10" ht="15" x14ac:dyDescent="0.25">
      <c r="A510" s="94"/>
      <c r="B510" s="94"/>
      <c r="C510" s="94"/>
      <c r="D510" s="94"/>
      <c r="E510" s="94"/>
      <c r="F510" s="94"/>
      <c r="G510" s="94"/>
      <c r="H510" s="94"/>
      <c r="I510" s="94"/>
      <c r="J510" s="94"/>
    </row>
    <row r="511" spans="1:10" ht="15" x14ac:dyDescent="0.25">
      <c r="A511" s="94"/>
      <c r="B511" s="94"/>
      <c r="C511" s="94"/>
      <c r="D511" s="94"/>
      <c r="E511" s="94"/>
      <c r="F511" s="94"/>
      <c r="G511" s="94"/>
      <c r="H511" s="94"/>
      <c r="I511" s="94"/>
      <c r="J511" s="94"/>
    </row>
  </sheetData>
  <mergeCells count="9">
    <mergeCell ref="G23:G24"/>
    <mergeCell ref="H23:H24"/>
    <mergeCell ref="A22:E22"/>
    <mergeCell ref="G22:H22"/>
    <mergeCell ref="A23:A24"/>
    <mergeCell ref="B23:B24"/>
    <mergeCell ref="C23:C24"/>
    <mergeCell ref="D23:D24"/>
    <mergeCell ref="E23:E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"/>
  <sheetViews>
    <sheetView topLeftCell="A76" workbookViewId="0">
      <selection activeCell="L183" sqref="L183"/>
    </sheetView>
  </sheetViews>
  <sheetFormatPr baseColWidth="10" defaultColWidth="5.7109375" defaultRowHeight="12.75" x14ac:dyDescent="0.2"/>
  <cols>
    <col min="1" max="5" width="5.7109375" style="5"/>
    <col min="6" max="6" width="29" style="5" customWidth="1"/>
    <col min="7" max="7" width="13.5703125" style="5" customWidth="1"/>
    <col min="8" max="8" width="18" style="5" customWidth="1"/>
    <col min="9" max="9" width="12.85546875" style="5" customWidth="1"/>
    <col min="10" max="10" width="18.42578125" style="5" customWidth="1"/>
    <col min="11" max="11" width="9.85546875" style="5" customWidth="1"/>
    <col min="12" max="12" width="14.85546875" style="5" bestFit="1" customWidth="1"/>
    <col min="13" max="13" width="18.5703125" style="5" bestFit="1" customWidth="1"/>
    <col min="14" max="14" width="12.7109375" style="5" bestFit="1" customWidth="1"/>
    <col min="15" max="15" width="11.7109375" style="5" bestFit="1" customWidth="1"/>
    <col min="16" max="16384" width="5.7109375" style="5"/>
  </cols>
  <sheetData>
    <row r="1" spans="1:15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spans="1:15" ht="23.25" x14ac:dyDescent="0.35">
      <c r="A2" s="185"/>
      <c r="B2" s="186"/>
      <c r="C2" s="186"/>
      <c r="D2" s="186"/>
      <c r="E2" s="186"/>
      <c r="F2" s="186"/>
      <c r="G2" s="186"/>
      <c r="H2" s="186"/>
      <c r="I2" s="186"/>
      <c r="J2" s="6"/>
      <c r="K2" s="7"/>
    </row>
    <row r="3" spans="1:15" ht="26.25" x14ac:dyDescent="0.4">
      <c r="A3" s="187" t="s">
        <v>1</v>
      </c>
      <c r="B3" s="188"/>
      <c r="C3" s="188"/>
      <c r="D3" s="188"/>
      <c r="E3" s="188"/>
      <c r="F3" s="188"/>
      <c r="G3" s="188"/>
      <c r="H3" s="188"/>
      <c r="I3" s="188"/>
      <c r="J3" s="188"/>
      <c r="K3" s="189"/>
    </row>
    <row r="4" spans="1:15" ht="18.75" x14ac:dyDescent="0.3">
      <c r="A4" s="190" t="s">
        <v>2</v>
      </c>
      <c r="B4" s="191"/>
      <c r="C4" s="191"/>
      <c r="D4" s="191"/>
      <c r="E4" s="191"/>
      <c r="F4" s="191"/>
      <c r="G4" s="191"/>
      <c r="H4" s="191"/>
      <c r="I4" s="191"/>
      <c r="J4" s="191"/>
      <c r="K4" s="192"/>
    </row>
    <row r="5" spans="1:15" ht="15" x14ac:dyDescent="0.25">
      <c r="A5" s="193" t="s">
        <v>3</v>
      </c>
      <c r="B5" s="194"/>
      <c r="C5" s="194"/>
      <c r="D5" s="194"/>
      <c r="E5" s="194"/>
      <c r="F5" s="194"/>
      <c r="G5" s="194"/>
      <c r="H5" s="194"/>
      <c r="I5" s="194"/>
      <c r="J5" s="194"/>
      <c r="K5" s="195"/>
    </row>
    <row r="6" spans="1:15" ht="15.75" x14ac:dyDescent="0.25">
      <c r="A6" s="196" t="s">
        <v>4</v>
      </c>
      <c r="B6" s="197"/>
      <c r="C6" s="197"/>
      <c r="D6" s="197"/>
      <c r="E6" s="197"/>
      <c r="F6" s="197"/>
      <c r="G6" s="197"/>
      <c r="H6" s="197"/>
      <c r="I6" s="197"/>
      <c r="J6" s="197"/>
      <c r="K6" s="198"/>
    </row>
    <row r="7" spans="1:15" ht="15.75" x14ac:dyDescent="0.25">
      <c r="A7" s="182" t="s">
        <v>389</v>
      </c>
      <c r="B7" s="183"/>
      <c r="C7" s="183"/>
      <c r="D7" s="183"/>
      <c r="E7" s="183"/>
      <c r="F7" s="183"/>
      <c r="G7" s="183"/>
      <c r="H7" s="183"/>
      <c r="I7" s="183"/>
      <c r="J7" s="183"/>
      <c r="K7" s="184"/>
    </row>
    <row r="8" spans="1:15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0"/>
      <c r="K8" s="11"/>
    </row>
    <row r="9" spans="1:15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6"/>
      <c r="K9" s="17"/>
    </row>
    <row r="10" spans="1:15" ht="15.75" x14ac:dyDescent="0.25">
      <c r="A10" s="12"/>
      <c r="B10" s="13"/>
      <c r="C10" s="13"/>
      <c r="D10" s="13"/>
      <c r="E10" s="18" t="s">
        <v>8</v>
      </c>
      <c r="F10" s="15"/>
      <c r="G10" s="19">
        <v>0</v>
      </c>
      <c r="H10" s="20" t="s">
        <v>9</v>
      </c>
      <c r="I10" s="20"/>
      <c r="J10" s="19"/>
      <c r="K10" s="17"/>
      <c r="M10" s="21" t="s">
        <v>10</v>
      </c>
    </row>
    <row r="11" spans="1:15" ht="15.75" x14ac:dyDescent="0.25">
      <c r="A11" s="12"/>
      <c r="B11" s="13"/>
      <c r="C11" s="13"/>
      <c r="D11" s="13"/>
      <c r="E11" s="18" t="s">
        <v>11</v>
      </c>
      <c r="F11" s="15"/>
      <c r="G11" s="19">
        <v>0</v>
      </c>
      <c r="H11" s="22"/>
      <c r="I11" s="20"/>
      <c r="J11" s="23"/>
      <c r="K11" s="17"/>
    </row>
    <row r="12" spans="1:15" ht="15.75" x14ac:dyDescent="0.25">
      <c r="A12" s="12"/>
      <c r="B12" s="13"/>
      <c r="C12" s="13"/>
      <c r="D12" s="13"/>
      <c r="E12" s="18" t="s">
        <v>12</v>
      </c>
      <c r="F12" s="15"/>
      <c r="G12" s="24">
        <v>2244994.14</v>
      </c>
      <c r="H12" s="25"/>
      <c r="I12" s="25"/>
      <c r="J12" s="23"/>
      <c r="K12" s="17"/>
    </row>
    <row r="13" spans="1:15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23"/>
      <c r="K13" s="17"/>
    </row>
    <row r="14" spans="1:15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20"/>
      <c r="J14" s="19">
        <f>+'[3]INGRESOS SEGUN ORIGEN'!E8</f>
        <v>15763473.25</v>
      </c>
      <c r="K14" s="17"/>
      <c r="M14" s="5" t="s">
        <v>14</v>
      </c>
      <c r="N14" s="5" t="s">
        <v>15</v>
      </c>
      <c r="O14" s="5" t="s">
        <v>16</v>
      </c>
    </row>
    <row r="15" spans="1:15" ht="15.75" x14ac:dyDescent="0.25">
      <c r="A15" s="12"/>
      <c r="B15" s="13"/>
      <c r="C15" s="13"/>
      <c r="D15" s="13"/>
      <c r="E15" s="18" t="s">
        <v>11</v>
      </c>
      <c r="F15" s="15"/>
      <c r="G15" s="24"/>
      <c r="H15" s="25" t="s">
        <v>17</v>
      </c>
      <c r="I15" s="25"/>
      <c r="J15" s="19">
        <f>+'[3]INGRESOS SEGUN ORIGEN'!E7</f>
        <v>84553321.829999998</v>
      </c>
      <c r="K15" s="96"/>
      <c r="M15" s="5">
        <v>2.1</v>
      </c>
      <c r="N15" s="27">
        <f>G26</f>
        <v>65091179.920000002</v>
      </c>
      <c r="O15" s="27">
        <f>H26</f>
        <v>0</v>
      </c>
    </row>
    <row r="16" spans="1:15" ht="15.75" x14ac:dyDescent="0.25">
      <c r="A16" s="12"/>
      <c r="B16" s="13"/>
      <c r="C16" s="13"/>
      <c r="D16" s="13"/>
      <c r="E16" s="18" t="s">
        <v>12</v>
      </c>
      <c r="F16" s="15"/>
      <c r="G16" s="24">
        <f>+'[3]INGRESOS SEGUN ORIGEN'!E24+'[3]INGRESOS SEGUN ORIGEN'!E29</f>
        <v>6032481.209999999</v>
      </c>
      <c r="H16" s="25"/>
      <c r="I16" s="25"/>
      <c r="J16" s="23"/>
      <c r="K16" s="17"/>
      <c r="M16" s="5">
        <v>2.2000000000000002</v>
      </c>
      <c r="N16" s="27">
        <f>G87</f>
        <v>0</v>
      </c>
      <c r="O16" s="27">
        <f>H87</f>
        <v>2733844.2900000005</v>
      </c>
    </row>
    <row r="17" spans="1:17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97"/>
      <c r="J17" s="19">
        <f>+G10+G11+G12+J10+G14+G15+G16+J14+J15</f>
        <v>108594270.43000001</v>
      </c>
      <c r="K17" s="17"/>
      <c r="M17" s="5">
        <v>2.2999999999999998</v>
      </c>
      <c r="N17" s="27">
        <f>'[3]CONS. FUENTES FINAN'!G212</f>
        <v>4970601.1899999995</v>
      </c>
      <c r="O17" s="27">
        <f>'[3]CONS. FUENTES FINAN'!H212</f>
        <v>3062630.67</v>
      </c>
    </row>
    <row r="18" spans="1:17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5"/>
      <c r="K18" s="17"/>
      <c r="M18" s="5">
        <v>2.4</v>
      </c>
      <c r="N18" s="27">
        <f>G330</f>
        <v>0</v>
      </c>
      <c r="O18" s="27">
        <f>H330</f>
        <v>136966.70000000001</v>
      </c>
    </row>
    <row r="19" spans="1:17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8"/>
      <c r="K19" s="39"/>
      <c r="M19" s="5">
        <v>2.6</v>
      </c>
      <c r="N19" s="27">
        <f>G336</f>
        <v>0</v>
      </c>
      <c r="O19" s="27">
        <f>H336</f>
        <v>887994.84</v>
      </c>
    </row>
    <row r="20" spans="1:17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5"/>
      <c r="K20" s="17"/>
      <c r="M20" s="5">
        <v>2.7</v>
      </c>
      <c r="N20" s="27">
        <f>'[3]CONS. FUENTES FINAN'!G463</f>
        <v>0</v>
      </c>
      <c r="O20" s="27">
        <f>'[3]CONS. FUENTES FINAN'!H463</f>
        <v>0</v>
      </c>
    </row>
    <row r="21" spans="1:17" x14ac:dyDescent="0.2">
      <c r="A21" s="174">
        <v>1</v>
      </c>
      <c r="B21" s="174"/>
      <c r="C21" s="174"/>
      <c r="D21" s="174"/>
      <c r="E21" s="174"/>
      <c r="F21" s="41">
        <v>2</v>
      </c>
      <c r="G21" s="175">
        <v>3</v>
      </c>
      <c r="H21" s="176"/>
      <c r="I21" s="176"/>
      <c r="J21" s="42">
        <v>4</v>
      </c>
      <c r="K21" s="42">
        <v>5</v>
      </c>
    </row>
    <row r="22" spans="1:17" x14ac:dyDescent="0.2">
      <c r="A22" s="177" t="s">
        <v>19</v>
      </c>
      <c r="B22" s="177"/>
      <c r="C22" s="177"/>
      <c r="D22" s="177"/>
      <c r="E22" s="177"/>
      <c r="F22" s="178" t="s">
        <v>20</v>
      </c>
      <c r="G22" s="160" t="s">
        <v>21</v>
      </c>
      <c r="H22" s="181"/>
      <c r="I22" s="161"/>
      <c r="J22" s="171" t="s">
        <v>22</v>
      </c>
      <c r="K22" s="165" t="s">
        <v>23</v>
      </c>
    </row>
    <row r="23" spans="1:17" x14ac:dyDescent="0.2">
      <c r="A23" s="162" t="s">
        <v>24</v>
      </c>
      <c r="B23" s="162" t="s">
        <v>25</v>
      </c>
      <c r="C23" s="162" t="s">
        <v>26</v>
      </c>
      <c r="D23" s="162" t="s">
        <v>27</v>
      </c>
      <c r="E23" s="162" t="s">
        <v>28</v>
      </c>
      <c r="F23" s="179"/>
      <c r="G23" s="156" t="s">
        <v>29</v>
      </c>
      <c r="H23" s="169" t="s">
        <v>30</v>
      </c>
      <c r="I23" s="169" t="s">
        <v>17</v>
      </c>
      <c r="J23" s="172"/>
      <c r="K23" s="166"/>
      <c r="L23" s="98"/>
      <c r="M23" s="164"/>
      <c r="N23" s="164"/>
      <c r="O23" s="164"/>
      <c r="P23" s="164"/>
      <c r="Q23" s="164"/>
    </row>
    <row r="24" spans="1:17" x14ac:dyDescent="0.2">
      <c r="A24" s="163"/>
      <c r="B24" s="163"/>
      <c r="C24" s="163"/>
      <c r="D24" s="163"/>
      <c r="E24" s="163"/>
      <c r="F24" s="180"/>
      <c r="G24" s="168"/>
      <c r="H24" s="170"/>
      <c r="I24" s="170"/>
      <c r="J24" s="173"/>
      <c r="K24" s="167"/>
      <c r="L24" s="98"/>
      <c r="M24" s="99"/>
      <c r="N24" s="99"/>
      <c r="O24" s="99"/>
      <c r="P24" s="99"/>
      <c r="Q24" s="99"/>
    </row>
    <row r="25" spans="1:17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70061781.109999999</v>
      </c>
      <c r="H25" s="47">
        <f>+H26+H87+H212+H330+H336+H463</f>
        <v>6821436.5000000009</v>
      </c>
      <c r="I25" s="47">
        <f>+I26+I87+I212+I330+I336+I463</f>
        <v>0</v>
      </c>
      <c r="J25" s="47">
        <f>SUM(G25:I25)</f>
        <v>76883217.609999999</v>
      </c>
      <c r="K25" s="48">
        <f>+K26+K87+K212+K330+K336+K463</f>
        <v>1.0000000000000002</v>
      </c>
      <c r="L25" s="98">
        <f>+G25+'FEBRERO 2025'!G25</f>
        <v>159424834.43000001</v>
      </c>
      <c r="M25" s="98">
        <f>+H25+'FEBRERO 2025'!H25</f>
        <v>14378108.140000001</v>
      </c>
      <c r="N25" s="98"/>
      <c r="O25" s="98"/>
      <c r="P25" s="98"/>
      <c r="Q25" s="98"/>
    </row>
    <row r="26" spans="1:17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65091179.920000002</v>
      </c>
      <c r="H26" s="52">
        <f>+H27+H51+H64+H71+H78</f>
        <v>0</v>
      </c>
      <c r="I26" s="52">
        <f>+I27+I51+I64+I71+I78</f>
        <v>0</v>
      </c>
      <c r="J26" s="52">
        <f t="shared" ref="J26:J87" si="0">SUM(G26:I26)</f>
        <v>65091179.920000002</v>
      </c>
      <c r="K26" s="53">
        <f t="shared" ref="K26:K34" si="1">J26/$J$25</f>
        <v>0.84662403504212558</v>
      </c>
      <c r="L26" s="98"/>
      <c r="M26" s="98"/>
      <c r="N26" s="98"/>
      <c r="O26" s="98"/>
      <c r="P26" s="98"/>
      <c r="Q26" s="98"/>
    </row>
    <row r="27" spans="1:17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53640338.710000001</v>
      </c>
      <c r="H27" s="56">
        <f>+H28+H35+H42+H44+H46</f>
        <v>0</v>
      </c>
      <c r="I27" s="56">
        <f>+I28+I35+I42+I44+I46</f>
        <v>0</v>
      </c>
      <c r="J27" s="56">
        <f t="shared" si="0"/>
        <v>53640338.710000001</v>
      </c>
      <c r="K27" s="53">
        <f t="shared" si="1"/>
        <v>0.69768592389170692</v>
      </c>
      <c r="L27" s="98"/>
      <c r="M27" s="98"/>
      <c r="N27" s="98"/>
      <c r="O27" s="98"/>
      <c r="P27" s="98"/>
      <c r="Q27" s="98"/>
    </row>
    <row r="28" spans="1:17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52666807.68</v>
      </c>
      <c r="H28" s="59">
        <f>SUM(H29:H34)</f>
        <v>0</v>
      </c>
      <c r="I28" s="59">
        <f>SUM(I29:I34)</f>
        <v>0</v>
      </c>
      <c r="J28" s="59">
        <f>SUM(G28:I28)</f>
        <v>52666807.68</v>
      </c>
      <c r="K28" s="60">
        <f t="shared" si="1"/>
        <v>0.6850234591788178</v>
      </c>
    </row>
    <row r="29" spans="1:17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'[3]CUENTA T FONDO 100'!A288</f>
        <v>52666807.68</v>
      </c>
      <c r="H29" s="64">
        <f>'[3]CUENTA T VS'!A81</f>
        <v>0</v>
      </c>
      <c r="I29" s="64">
        <f>'[3]CUENTA T NOMINA SNS'!A58</f>
        <v>0</v>
      </c>
      <c r="J29" s="64">
        <f t="shared" si="0"/>
        <v>52666807.68</v>
      </c>
      <c r="K29" s="100">
        <f t="shared" si="1"/>
        <v>0.6850234591788178</v>
      </c>
    </row>
    <row r="30" spans="1:17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'[3]CUENTA T FONDO 100'!B288</f>
        <v>0</v>
      </c>
      <c r="H30" s="64">
        <f>'[3]CUENTA T VS'!B81</f>
        <v>0</v>
      </c>
      <c r="I30" s="64">
        <f>'[3]CUENTA T NOMINA SNS'!B58</f>
        <v>0</v>
      </c>
      <c r="J30" s="64">
        <f t="shared" si="0"/>
        <v>0</v>
      </c>
      <c r="K30" s="100">
        <f t="shared" si="1"/>
        <v>0</v>
      </c>
    </row>
    <row r="31" spans="1:17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'[3]CUENTA T FONDO 100'!C288</f>
        <v>0</v>
      </c>
      <c r="H31" s="64">
        <f>'[3]CUENTA T VS'!C81</f>
        <v>0</v>
      </c>
      <c r="I31" s="64">
        <f>'[3]CUENTA T NOMINA SNS'!C58</f>
        <v>0</v>
      </c>
      <c r="J31" s="64">
        <f t="shared" si="0"/>
        <v>0</v>
      </c>
      <c r="K31" s="100">
        <f t="shared" si="1"/>
        <v>0</v>
      </c>
    </row>
    <row r="32" spans="1:17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'[3]CUENTA T FONDO 100'!D288</f>
        <v>0</v>
      </c>
      <c r="H32" s="64">
        <f>'[3]CUENTA T VS'!D81</f>
        <v>0</v>
      </c>
      <c r="I32" s="64">
        <f>'[3]CUENTA T NOMINA SNS'!D58</f>
        <v>0</v>
      </c>
      <c r="J32" s="64">
        <f t="shared" si="0"/>
        <v>0</v>
      </c>
      <c r="K32" s="65">
        <f t="shared" si="1"/>
        <v>0</v>
      </c>
    </row>
    <row r="33" spans="1:11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'[3]CUENTA T FONDO 100'!E288</f>
        <v>0</v>
      </c>
      <c r="H33" s="64">
        <f>'[3]CUENTA T VS'!E81</f>
        <v>0</v>
      </c>
      <c r="I33" s="64">
        <f>'[3]CUENTA T NOMINA SNS'!E58</f>
        <v>0</v>
      </c>
      <c r="J33" s="64">
        <f t="shared" si="0"/>
        <v>0</v>
      </c>
      <c r="K33" s="65">
        <f t="shared" si="1"/>
        <v>0</v>
      </c>
    </row>
    <row r="34" spans="1:11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'[3]CUENTA T FONDO 100'!F288</f>
        <v>0</v>
      </c>
      <c r="H34" s="64">
        <f>'[3]CUENTA T VS'!F81</f>
        <v>0</v>
      </c>
      <c r="I34" s="64">
        <f>'[3]CUENTA T NOMINA SNS'!F58</f>
        <v>0</v>
      </c>
      <c r="J34" s="64">
        <f t="shared" si="0"/>
        <v>0</v>
      </c>
      <c r="K34" s="65">
        <f t="shared" si="1"/>
        <v>0</v>
      </c>
    </row>
    <row r="35" spans="1:11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973531.03</v>
      </c>
      <c r="H35" s="59">
        <f>SUM(H36:H41)</f>
        <v>0</v>
      </c>
      <c r="I35" s="59">
        <f>SUM(I36:I41)</f>
        <v>0</v>
      </c>
      <c r="J35" s="59">
        <f>SUM(G35:I35)</f>
        <v>973531.03</v>
      </c>
      <c r="K35" s="68"/>
    </row>
    <row r="36" spans="1:11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'[3]CUENTA T FONDO 100'!G288</f>
        <v>0</v>
      </c>
      <c r="H36" s="64">
        <f>'[3]CUENTA T VS'!G81</f>
        <v>0</v>
      </c>
      <c r="I36" s="64">
        <f>'[3]CUENTA T NOMINA SNS'!G58</f>
        <v>0</v>
      </c>
      <c r="J36" s="64">
        <f t="shared" si="0"/>
        <v>0</v>
      </c>
      <c r="K36" s="65">
        <f t="shared" ref="K36:K41" si="2">J36/$J$25</f>
        <v>0</v>
      </c>
    </row>
    <row r="37" spans="1:11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'[3]CUENTA T FONDO 100'!H288</f>
        <v>0</v>
      </c>
      <c r="H37" s="64">
        <f>'[3]CUENTA T VS'!H81</f>
        <v>0</v>
      </c>
      <c r="I37" s="64">
        <f>'[3]CUENTA T NOMINA SNS'!H58</f>
        <v>0</v>
      </c>
      <c r="J37" s="64">
        <f t="shared" si="0"/>
        <v>0</v>
      </c>
      <c r="K37" s="65">
        <f t="shared" si="2"/>
        <v>0</v>
      </c>
    </row>
    <row r="38" spans="1:11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'[3]CUENTA T FONDO 100'!I288</f>
        <v>0</v>
      </c>
      <c r="H38" s="64">
        <f>'[3]CUENTA T VS'!I81</f>
        <v>0</v>
      </c>
      <c r="I38" s="64">
        <f>'[3]CUENTA T NOMINA SNS'!I58</f>
        <v>0</v>
      </c>
      <c r="J38" s="64">
        <f t="shared" si="0"/>
        <v>0</v>
      </c>
      <c r="K38" s="65">
        <f t="shared" si="2"/>
        <v>0</v>
      </c>
    </row>
    <row r="39" spans="1:11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'[3]CUENTA T FONDO 100'!J288</f>
        <v>973531.03</v>
      </c>
      <c r="H39" s="64">
        <f>'[3]CUENTA T VS'!J81</f>
        <v>0</v>
      </c>
      <c r="I39" s="64">
        <f>'[3]CUENTA T NOMINA SNS'!J58</f>
        <v>0</v>
      </c>
      <c r="J39" s="64">
        <f t="shared" si="0"/>
        <v>973531.03</v>
      </c>
      <c r="K39" s="65">
        <f t="shared" si="2"/>
        <v>1.2662464712889116E-2</v>
      </c>
    </row>
    <row r="40" spans="1:11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'[3]CUENTA T FONDO 100'!K288</f>
        <v>0</v>
      </c>
      <c r="H40" s="64">
        <f>'[3]CUENTA T VS'!K81</f>
        <v>0</v>
      </c>
      <c r="I40" s="64">
        <f>'[3]CUENTA T NOMINA SNS'!K58</f>
        <v>0</v>
      </c>
      <c r="J40" s="64">
        <f t="shared" si="0"/>
        <v>0</v>
      </c>
      <c r="K40" s="65">
        <f t="shared" si="2"/>
        <v>0</v>
      </c>
    </row>
    <row r="41" spans="1:11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'[3]CUENTA T FONDO 100'!L288</f>
        <v>0</v>
      </c>
      <c r="H41" s="64">
        <f>'[3]CUENTA T VS'!L81</f>
        <v>0</v>
      </c>
      <c r="I41" s="64">
        <f>'[3]CUENTA T NOMINA SNS'!L58</f>
        <v>0</v>
      </c>
      <c r="J41" s="64">
        <f>SUM(G41:I41)</f>
        <v>0</v>
      </c>
      <c r="K41" s="65">
        <f t="shared" si="2"/>
        <v>0</v>
      </c>
    </row>
    <row r="42" spans="1:11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>SUM(I43)</f>
        <v>0</v>
      </c>
      <c r="J42" s="59">
        <f t="shared" si="0"/>
        <v>0</v>
      </c>
      <c r="K42" s="68"/>
    </row>
    <row r="43" spans="1:11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'[3]CUENTA T FONDO 100'!M288</f>
        <v>0</v>
      </c>
      <c r="H43" s="64">
        <f>'[3]CUENTA T VS'!M81</f>
        <v>0</v>
      </c>
      <c r="I43" s="64">
        <f>'[3]CUENTA T NOMINA SNS'!M58</f>
        <v>0</v>
      </c>
      <c r="J43" s="64">
        <f t="shared" si="0"/>
        <v>0</v>
      </c>
      <c r="K43" s="65">
        <f>J43/$J$25</f>
        <v>0</v>
      </c>
    </row>
    <row r="44" spans="1:11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>SUM(I45)</f>
        <v>0</v>
      </c>
      <c r="J44" s="59">
        <f t="shared" si="0"/>
        <v>0</v>
      </c>
      <c r="K44" s="68"/>
    </row>
    <row r="45" spans="1:11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'[3]CUENTA T FONDO 100'!N288</f>
        <v>0</v>
      </c>
      <c r="H45" s="64">
        <f>'[3]CUENTA T VS'!N81</f>
        <v>0</v>
      </c>
      <c r="I45" s="64">
        <f>'[3]CUENTA T NOMINA SNS'!N58</f>
        <v>0</v>
      </c>
      <c r="J45" s="64">
        <f t="shared" si="0"/>
        <v>0</v>
      </c>
      <c r="K45" s="65">
        <f>J45/$J$25</f>
        <v>0</v>
      </c>
    </row>
    <row r="46" spans="1:11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0</v>
      </c>
      <c r="H46" s="59">
        <f>SUM(H47:H50)</f>
        <v>0</v>
      </c>
      <c r="I46" s="59">
        <f>SUM(I47:I50)</f>
        <v>0</v>
      </c>
      <c r="J46" s="59">
        <f t="shared" si="0"/>
        <v>0</v>
      </c>
      <c r="K46" s="68"/>
    </row>
    <row r="47" spans="1:11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'[3]CUENTA T FONDO 100'!O288</f>
        <v>0</v>
      </c>
      <c r="H47" s="64">
        <f>'[3]CUENTA T VS'!O81</f>
        <v>0</v>
      </c>
      <c r="I47" s="64">
        <f>'[3]CUENTA T NOMINA SNS'!O58</f>
        <v>0</v>
      </c>
      <c r="J47" s="64">
        <f t="shared" si="0"/>
        <v>0</v>
      </c>
      <c r="K47" s="65">
        <f>J47/$J$25</f>
        <v>0</v>
      </c>
    </row>
    <row r="48" spans="1:11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'[3]CUENTA T FONDO 100'!P288</f>
        <v>0</v>
      </c>
      <c r="H48" s="64">
        <f>'[3]CUENTA T VS'!P81</f>
        <v>0</v>
      </c>
      <c r="I48" s="64">
        <f>'[3]CUENTA T NOMINA SNS'!P58</f>
        <v>0</v>
      </c>
      <c r="J48" s="64">
        <f t="shared" si="0"/>
        <v>0</v>
      </c>
      <c r="K48" s="65">
        <f>J48/$J$25</f>
        <v>0</v>
      </c>
    </row>
    <row r="49" spans="1:11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'[3]CUENTA T FONDO 100'!Q288</f>
        <v>0</v>
      </c>
      <c r="H49" s="64">
        <f>'[3]CUENTA T VS'!Q81</f>
        <v>0</v>
      </c>
      <c r="I49" s="64">
        <f>'[3]CUENTA T NOMINA SNS'!Q58</f>
        <v>0</v>
      </c>
      <c r="J49" s="64">
        <f t="shared" si="0"/>
        <v>0</v>
      </c>
      <c r="K49" s="65">
        <f>J49/$J$25</f>
        <v>0</v>
      </c>
    </row>
    <row r="50" spans="1:11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'[3]CUENTA T FONDO 100'!R288</f>
        <v>0</v>
      </c>
      <c r="H50" s="64">
        <f>'[3]CUENTA T VS'!R81</f>
        <v>0</v>
      </c>
      <c r="I50" s="64">
        <f>'[3]CUENTA T NOMINA SNS'!R58</f>
        <v>0</v>
      </c>
      <c r="J50" s="64">
        <f t="shared" si="0"/>
        <v>0</v>
      </c>
      <c r="K50" s="65">
        <f>J50/$J$25</f>
        <v>0</v>
      </c>
    </row>
    <row r="51" spans="1:11" x14ac:dyDescent="0.2">
      <c r="A51" s="54">
        <v>2</v>
      </c>
      <c r="B51" s="55">
        <v>1</v>
      </c>
      <c r="C51" s="55">
        <v>2</v>
      </c>
      <c r="D51" s="55"/>
      <c r="E51" s="55"/>
      <c r="F51" s="69" t="s">
        <v>63</v>
      </c>
      <c r="G51" s="56">
        <f>+G52+G54</f>
        <v>3196999.6</v>
      </c>
      <c r="H51" s="56">
        <f>+H52+H54</f>
        <v>0</v>
      </c>
      <c r="I51" s="56">
        <f>+I52+I54</f>
        <v>0</v>
      </c>
      <c r="J51" s="56">
        <f t="shared" si="0"/>
        <v>3196999.6</v>
      </c>
      <c r="K51" s="53"/>
    </row>
    <row r="52" spans="1:11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2752136.5</v>
      </c>
      <c r="H52" s="59">
        <f>SUM(H53)</f>
        <v>0</v>
      </c>
      <c r="I52" s="59">
        <f>SUM(I53)</f>
        <v>0</v>
      </c>
      <c r="J52" s="59">
        <f t="shared" si="0"/>
        <v>2752136.5</v>
      </c>
      <c r="K52" s="68"/>
    </row>
    <row r="53" spans="1:11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'[3]CUENTA T FONDO 100'!S288</f>
        <v>2752136.5</v>
      </c>
      <c r="H53" s="64">
        <f>'[3]CUENTA T VS'!S81</f>
        <v>0</v>
      </c>
      <c r="I53" s="64">
        <f>'[3]CUENTA T NOMINA SNS'!S58</f>
        <v>0</v>
      </c>
      <c r="J53" s="64">
        <f t="shared" si="0"/>
        <v>2752136.5</v>
      </c>
      <c r="K53" s="65">
        <f>J53/$J$25</f>
        <v>3.5796323119052668E-2</v>
      </c>
    </row>
    <row r="54" spans="1:11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444863.1</v>
      </c>
      <c r="H54" s="59">
        <f>SUM(H55:H63)</f>
        <v>0</v>
      </c>
      <c r="I54" s="59">
        <f>SUM(I55:I63)</f>
        <v>0</v>
      </c>
      <c r="J54" s="59">
        <f t="shared" si="0"/>
        <v>444863.1</v>
      </c>
      <c r="K54" s="68"/>
    </row>
    <row r="55" spans="1:11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'[3]CUENTA T FONDO 100'!T288</f>
        <v>0</v>
      </c>
      <c r="H55" s="64">
        <f>'[3]CUENTA T VS'!T81</f>
        <v>0</v>
      </c>
      <c r="I55" s="64">
        <f>'[3]CUENTA T NOMINA SNS'!T58</f>
        <v>0</v>
      </c>
      <c r="J55" s="64">
        <f t="shared" si="0"/>
        <v>0</v>
      </c>
      <c r="K55" s="65">
        <f t="shared" ref="K55:K63" si="3">J55/$J$25</f>
        <v>0</v>
      </c>
    </row>
    <row r="56" spans="1:11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70" t="s">
        <v>67</v>
      </c>
      <c r="G56" s="64">
        <f>'[3]CUENTA T FONDO 100'!U288</f>
        <v>0</v>
      </c>
      <c r="H56" s="64">
        <f>'[3]CUENTA T VS'!U81</f>
        <v>0</v>
      </c>
      <c r="I56" s="64">
        <f>'[3]CUENTA T NOMINA SNS'!U58</f>
        <v>0</v>
      </c>
      <c r="J56" s="64">
        <f t="shared" si="0"/>
        <v>0</v>
      </c>
      <c r="K56" s="65">
        <f t="shared" si="3"/>
        <v>0</v>
      </c>
    </row>
    <row r="57" spans="1:11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'[3]CUENTA T FONDO 100'!V288</f>
        <v>0</v>
      </c>
      <c r="H57" s="64">
        <f>'[3]CUENTA T VS'!V81</f>
        <v>0</v>
      </c>
      <c r="I57" s="64">
        <f>'[3]CUENTA T NOMINA SNS'!V58</f>
        <v>0</v>
      </c>
      <c r="J57" s="64">
        <f t="shared" si="0"/>
        <v>0</v>
      </c>
      <c r="K57" s="65">
        <f t="shared" si="3"/>
        <v>0</v>
      </c>
    </row>
    <row r="58" spans="1:11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'[3]CUENTA T FONDO 100'!W288</f>
        <v>45000</v>
      </c>
      <c r="H58" s="64">
        <f>'[3]CUENTA T VS'!W81</f>
        <v>0</v>
      </c>
      <c r="I58" s="64">
        <f>'[3]CUENTA T NOMINA SNS'!W58</f>
        <v>0</v>
      </c>
      <c r="J58" s="64">
        <f t="shared" si="0"/>
        <v>45000</v>
      </c>
      <c r="K58" s="65">
        <f t="shared" si="3"/>
        <v>5.8530328723061886E-4</v>
      </c>
    </row>
    <row r="59" spans="1:11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'[3]CUENTA T FONDO 100'!X288</f>
        <v>0</v>
      </c>
      <c r="H59" s="64">
        <f>'[3]CUENTA T VS'!X81</f>
        <v>0</v>
      </c>
      <c r="I59" s="64">
        <f>'[3]CUENTA T NOMINA SNS'!X58</f>
        <v>0</v>
      </c>
      <c r="J59" s="64">
        <f t="shared" si="0"/>
        <v>0</v>
      </c>
      <c r="K59" s="65">
        <f t="shared" si="3"/>
        <v>0</v>
      </c>
    </row>
    <row r="60" spans="1:11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'[3]CUENTA T FONDO 100'!Y288</f>
        <v>0</v>
      </c>
      <c r="H60" s="64">
        <f>'[3]CUENTA T VS'!Y81</f>
        <v>0</v>
      </c>
      <c r="I60" s="64">
        <f>'[3]CUENTA T NOMINA SNS'!Y58</f>
        <v>0</v>
      </c>
      <c r="J60" s="64">
        <f t="shared" si="0"/>
        <v>0</v>
      </c>
      <c r="K60" s="65">
        <f t="shared" si="3"/>
        <v>0</v>
      </c>
    </row>
    <row r="61" spans="1:11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'[3]CUENTA T FONDO 100'!Z288</f>
        <v>330200</v>
      </c>
      <c r="H61" s="64">
        <f>'[3]CUENTA T VS'!Z81</f>
        <v>0</v>
      </c>
      <c r="I61" s="64">
        <f>'[3]CUENTA T NOMINA SNS'!Z58</f>
        <v>0</v>
      </c>
      <c r="J61" s="64">
        <f t="shared" si="0"/>
        <v>330200</v>
      </c>
      <c r="K61" s="65">
        <f t="shared" si="3"/>
        <v>4.2948254543011188E-3</v>
      </c>
    </row>
    <row r="62" spans="1:11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'[3]CUENTA T FONDO 100'!AA288</f>
        <v>0</v>
      </c>
      <c r="H62" s="64">
        <f>'[3]CUENTA T VS'!AA81</f>
        <v>0</v>
      </c>
      <c r="I62" s="64">
        <f>'[3]CUENTA T NOMINA SNS'!AA58</f>
        <v>0</v>
      </c>
      <c r="J62" s="64">
        <f t="shared" si="0"/>
        <v>0</v>
      </c>
      <c r="K62" s="65">
        <f t="shared" si="3"/>
        <v>0</v>
      </c>
    </row>
    <row r="63" spans="1:11" ht="25.5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70" t="s">
        <v>75</v>
      </c>
      <c r="G63" s="64">
        <f>'[3]CUENTA T FONDO 100'!AB288</f>
        <v>69663.099999999991</v>
      </c>
      <c r="H63" s="64">
        <f>'[3]CUENTA T VS'!AB81</f>
        <v>0</v>
      </c>
      <c r="I63" s="64">
        <f>'[3]CUENTA T NOMINA SNS'!AB58</f>
        <v>0</v>
      </c>
      <c r="J63" s="64">
        <f t="shared" si="0"/>
        <v>69663.099999999991</v>
      </c>
      <c r="K63" s="65">
        <f t="shared" si="3"/>
        <v>9.0608980952611813E-4</v>
      </c>
    </row>
    <row r="64" spans="1:11" x14ac:dyDescent="0.2">
      <c r="A64" s="71">
        <v>2</v>
      </c>
      <c r="B64" s="55">
        <v>1</v>
      </c>
      <c r="C64" s="55">
        <v>3</v>
      </c>
      <c r="D64" s="55"/>
      <c r="E64" s="55"/>
      <c r="F64" s="72" t="s">
        <v>76</v>
      </c>
      <c r="G64" s="56">
        <f>+G65+G68</f>
        <v>0</v>
      </c>
      <c r="H64" s="56">
        <f>+H65+H68</f>
        <v>0</v>
      </c>
      <c r="I64" s="56">
        <f>+I65+I68</f>
        <v>0</v>
      </c>
      <c r="J64" s="56">
        <f t="shared" si="0"/>
        <v>0</v>
      </c>
      <c r="K64" s="53"/>
    </row>
    <row r="65" spans="1:11" x14ac:dyDescent="0.2">
      <c r="A65" s="73">
        <v>2</v>
      </c>
      <c r="B65" s="58">
        <v>1</v>
      </c>
      <c r="C65" s="58">
        <v>3</v>
      </c>
      <c r="D65" s="58">
        <v>1</v>
      </c>
      <c r="E65" s="58"/>
      <c r="F65" s="74" t="s">
        <v>77</v>
      </c>
      <c r="G65" s="59">
        <f>SUM(G66:G67)</f>
        <v>0</v>
      </c>
      <c r="H65" s="59">
        <f>SUM(H66:H67)</f>
        <v>0</v>
      </c>
      <c r="I65" s="59">
        <f>SUM(I66:I67)</f>
        <v>0</v>
      </c>
      <c r="J65" s="59">
        <f t="shared" si="0"/>
        <v>0</v>
      </c>
      <c r="K65" s="68"/>
    </row>
    <row r="66" spans="1:11" x14ac:dyDescent="0.2">
      <c r="A66" s="75">
        <v>2</v>
      </c>
      <c r="B66" s="62">
        <v>1</v>
      </c>
      <c r="C66" s="62">
        <v>3</v>
      </c>
      <c r="D66" s="62">
        <v>1</v>
      </c>
      <c r="E66" s="63" t="s">
        <v>35</v>
      </c>
      <c r="F66" s="76" t="s">
        <v>78</v>
      </c>
      <c r="G66" s="64">
        <f>'[3]CUENTA T FONDO 100'!AC288</f>
        <v>0</v>
      </c>
      <c r="H66" s="64">
        <f>'[3]CUENTA T VS'!AC81</f>
        <v>0</v>
      </c>
      <c r="I66" s="64">
        <f>'[3]CUENTA T NOMINA SNS'!AC58</f>
        <v>0</v>
      </c>
      <c r="J66" s="64">
        <f t="shared" si="0"/>
        <v>0</v>
      </c>
      <c r="K66" s="65">
        <f>J66/$J$25</f>
        <v>0</v>
      </c>
    </row>
    <row r="67" spans="1:11" x14ac:dyDescent="0.2">
      <c r="A67" s="75">
        <v>2</v>
      </c>
      <c r="B67" s="62">
        <v>1</v>
      </c>
      <c r="C67" s="62">
        <v>3</v>
      </c>
      <c r="D67" s="62">
        <v>1</v>
      </c>
      <c r="E67" s="63" t="s">
        <v>37</v>
      </c>
      <c r="F67" s="76" t="s">
        <v>79</v>
      </c>
      <c r="G67" s="64">
        <f>'[3]CUENTA T FONDO 100'!AD288</f>
        <v>0</v>
      </c>
      <c r="H67" s="64">
        <f>'[3]CUENTA T VS'!AD81</f>
        <v>0</v>
      </c>
      <c r="I67" s="64">
        <f>'[3]CUENTA T NOMINA SNS'!AD58</f>
        <v>0</v>
      </c>
      <c r="J67" s="64">
        <f t="shared" si="0"/>
        <v>0</v>
      </c>
      <c r="K67" s="65">
        <f>J67/$J$25</f>
        <v>0</v>
      </c>
    </row>
    <row r="68" spans="1:11" x14ac:dyDescent="0.2">
      <c r="A68" s="73">
        <v>2</v>
      </c>
      <c r="B68" s="58">
        <v>1</v>
      </c>
      <c r="C68" s="58">
        <v>3</v>
      </c>
      <c r="D68" s="58">
        <v>2</v>
      </c>
      <c r="E68" s="58"/>
      <c r="F68" s="74" t="s">
        <v>80</v>
      </c>
      <c r="G68" s="59">
        <f>SUM(G69:G70)</f>
        <v>0</v>
      </c>
      <c r="H68" s="59">
        <f>SUM(H69:H70)</f>
        <v>0</v>
      </c>
      <c r="I68" s="59">
        <f>SUM(I69:I70)</f>
        <v>0</v>
      </c>
      <c r="J68" s="59">
        <f t="shared" si="0"/>
        <v>0</v>
      </c>
      <c r="K68" s="68"/>
    </row>
    <row r="69" spans="1:11" x14ac:dyDescent="0.2">
      <c r="A69" s="75">
        <v>2</v>
      </c>
      <c r="B69" s="62">
        <v>1</v>
      </c>
      <c r="C69" s="62">
        <v>3</v>
      </c>
      <c r="D69" s="62">
        <v>2</v>
      </c>
      <c r="E69" s="63" t="s">
        <v>35</v>
      </c>
      <c r="F69" s="76" t="s">
        <v>81</v>
      </c>
      <c r="G69" s="64">
        <f>'[3]CUENTA T FONDO 100'!AE288</f>
        <v>0</v>
      </c>
      <c r="H69" s="64">
        <f>'[3]CUENTA T VS'!AE81</f>
        <v>0</v>
      </c>
      <c r="I69" s="64">
        <f>'[3]CUENTA T NOMINA SNS'!AE58</f>
        <v>0</v>
      </c>
      <c r="J69" s="64">
        <f t="shared" si="0"/>
        <v>0</v>
      </c>
      <c r="K69" s="65">
        <f>J69/$J$25</f>
        <v>0</v>
      </c>
    </row>
    <row r="70" spans="1:11" x14ac:dyDescent="0.2">
      <c r="A70" s="75">
        <v>2</v>
      </c>
      <c r="B70" s="62">
        <v>1</v>
      </c>
      <c r="C70" s="62">
        <v>3</v>
      </c>
      <c r="D70" s="62">
        <v>2</v>
      </c>
      <c r="E70" s="63" t="s">
        <v>37</v>
      </c>
      <c r="F70" s="76" t="s">
        <v>82</v>
      </c>
      <c r="G70" s="64">
        <f>'[3]CUENTA T FONDO 100'!AF288</f>
        <v>0</v>
      </c>
      <c r="H70" s="64">
        <f>'[3]CUENTA T VS'!AF81</f>
        <v>0</v>
      </c>
      <c r="I70" s="64">
        <f>'[3]CUENTA T NOMINA SNS'!AF58</f>
        <v>0</v>
      </c>
      <c r="J70" s="64">
        <f t="shared" si="0"/>
        <v>0</v>
      </c>
      <c r="K70" s="65">
        <f>J70/$J$25</f>
        <v>0</v>
      </c>
    </row>
    <row r="71" spans="1:11" x14ac:dyDescent="0.2">
      <c r="A71" s="71">
        <v>2</v>
      </c>
      <c r="B71" s="55">
        <v>1</v>
      </c>
      <c r="C71" s="55">
        <v>4</v>
      </c>
      <c r="D71" s="55"/>
      <c r="E71" s="55"/>
      <c r="F71" s="72" t="s">
        <v>83</v>
      </c>
      <c r="G71" s="56">
        <f>+G72+G74</f>
        <v>0</v>
      </c>
      <c r="H71" s="56">
        <f>+H72+H74</f>
        <v>0</v>
      </c>
      <c r="I71" s="56">
        <f>+I72+I74</f>
        <v>0</v>
      </c>
      <c r="J71" s="56">
        <f t="shared" si="0"/>
        <v>0</v>
      </c>
      <c r="K71" s="53"/>
    </row>
    <row r="72" spans="1:11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>SUM(I73)</f>
        <v>0</v>
      </c>
      <c r="J72" s="59">
        <f t="shared" si="0"/>
        <v>0</v>
      </c>
      <c r="K72" s="68"/>
    </row>
    <row r="73" spans="1:11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'[3]CUENTA T FONDO 100'!AG288</f>
        <v>0</v>
      </c>
      <c r="H73" s="64">
        <f>'[3]CUENTA T VS'!AG81</f>
        <v>0</v>
      </c>
      <c r="I73" s="64">
        <f>'[3]CUENTA T NOMINA SNS'!AG58</f>
        <v>0</v>
      </c>
      <c r="J73" s="64">
        <f t="shared" si="0"/>
        <v>0</v>
      </c>
      <c r="K73" s="65">
        <f>J73/$J$25</f>
        <v>0</v>
      </c>
    </row>
    <row r="74" spans="1:11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>SUM(I75:I77)</f>
        <v>0</v>
      </c>
      <c r="J74" s="59">
        <f t="shared" si="0"/>
        <v>0</v>
      </c>
      <c r="K74" s="68"/>
    </row>
    <row r="75" spans="1:11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'[3]CUENTA T FONDO 100'!AH288</f>
        <v>0</v>
      </c>
      <c r="H75" s="64">
        <f>'[3]CUENTA T VS'!AH81</f>
        <v>0</v>
      </c>
      <c r="I75" s="64">
        <f>'[3]CUENTA T NOMINA SNS'!AH58</f>
        <v>0</v>
      </c>
      <c r="J75" s="64">
        <f t="shared" si="0"/>
        <v>0</v>
      </c>
      <c r="K75" s="65">
        <f>J75/$J$25</f>
        <v>0</v>
      </c>
    </row>
    <row r="76" spans="1:11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'[3]CUENTA T FONDO 100'!AI288</f>
        <v>0</v>
      </c>
      <c r="H76" s="64">
        <f>'[3]CUENTA T VS'!AI81</f>
        <v>0</v>
      </c>
      <c r="I76" s="64">
        <f>'[3]CUENTA T NOMINA SNS'!AI58</f>
        <v>0</v>
      </c>
      <c r="J76" s="64">
        <f t="shared" si="0"/>
        <v>0</v>
      </c>
      <c r="K76" s="65">
        <f>J76/$J$25</f>
        <v>0</v>
      </c>
    </row>
    <row r="77" spans="1:11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'[3]CUENTA T FONDO 100'!AJ288</f>
        <v>0</v>
      </c>
      <c r="H77" s="64">
        <f>'[3]CUENTA T VS'!AJ81</f>
        <v>0</v>
      </c>
      <c r="I77" s="64">
        <f>'[3]CUENTA T NOMINA SNS'!AJ58</f>
        <v>0</v>
      </c>
      <c r="J77" s="64">
        <f t="shared" si="0"/>
        <v>0</v>
      </c>
      <c r="K77" s="65">
        <f>J77/$J$25</f>
        <v>0</v>
      </c>
    </row>
    <row r="78" spans="1:11" x14ac:dyDescent="0.2">
      <c r="A78" s="71">
        <v>2</v>
      </c>
      <c r="B78" s="55">
        <v>1</v>
      </c>
      <c r="C78" s="55">
        <v>5</v>
      </c>
      <c r="D78" s="55"/>
      <c r="E78" s="55"/>
      <c r="F78" s="72" t="s">
        <v>89</v>
      </c>
      <c r="G78" s="56">
        <f>+G79+G81+G83+G85</f>
        <v>8253841.6100000003</v>
      </c>
      <c r="H78" s="56">
        <f>+H79+H81+H83+H85</f>
        <v>0</v>
      </c>
      <c r="I78" s="56">
        <f>+I79+I81+I83+I85</f>
        <v>0</v>
      </c>
      <c r="J78" s="56">
        <f t="shared" si="0"/>
        <v>8253841.6100000003</v>
      </c>
      <c r="K78" s="53"/>
    </row>
    <row r="79" spans="1:11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3803102.29</v>
      </c>
      <c r="H79" s="59">
        <f>SUM(H80)</f>
        <v>0</v>
      </c>
      <c r="I79" s="59">
        <f>SUM(I80)</f>
        <v>0</v>
      </c>
      <c r="J79" s="59">
        <f t="shared" si="0"/>
        <v>3803102.29</v>
      </c>
      <c r="K79" s="68"/>
    </row>
    <row r="80" spans="1:11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'[3]CUENTA T FONDO 100'!AK288</f>
        <v>3803102.29</v>
      </c>
      <c r="H80" s="64">
        <f>'[3]CUENTA T VS'!AK81</f>
        <v>0</v>
      </c>
      <c r="I80" s="64">
        <f>'[3]CUENTA T NOMINA SNS'!AK58</f>
        <v>0</v>
      </c>
      <c r="J80" s="64">
        <f t="shared" si="0"/>
        <v>3803102.29</v>
      </c>
      <c r="K80" s="65">
        <f>J80/$J$25</f>
        <v>4.9465961600250984E-2</v>
      </c>
    </row>
    <row r="81" spans="1:11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3808464.5</v>
      </c>
      <c r="H81" s="59">
        <f>SUM(H82)</f>
        <v>0</v>
      </c>
      <c r="I81" s="59">
        <f>SUM(I82)</f>
        <v>0</v>
      </c>
      <c r="J81" s="59">
        <f t="shared" si="0"/>
        <v>3808464.5</v>
      </c>
      <c r="K81" s="68"/>
    </row>
    <row r="82" spans="1:11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'[3]CUENTA T FONDO 100'!AL288</f>
        <v>3808464.5</v>
      </c>
      <c r="H82" s="64">
        <f>'[3]CUENTA T VS'!AL81</f>
        <v>0</v>
      </c>
      <c r="I82" s="64">
        <f>'[3]CUENTA T NOMINA SNS'!AL58</f>
        <v>0</v>
      </c>
      <c r="J82" s="64">
        <f t="shared" si="0"/>
        <v>3808464.5</v>
      </c>
      <c r="K82" s="65">
        <f>J82/$J$25</f>
        <v>4.9535706470024782E-2</v>
      </c>
    </row>
    <row r="83" spans="1:11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642274.82000000007</v>
      </c>
      <c r="H83" s="59">
        <f>SUM(H84)</f>
        <v>0</v>
      </c>
      <c r="I83" s="59">
        <f>SUM(I84)</f>
        <v>0</v>
      </c>
      <c r="J83" s="59">
        <f t="shared" si="0"/>
        <v>642274.82000000007</v>
      </c>
      <c r="K83" s="68"/>
    </row>
    <row r="84" spans="1:11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'[3]CUENTA T FONDO 100'!AM288</f>
        <v>642274.82000000007</v>
      </c>
      <c r="H84" s="64">
        <f>'[3]CUENTA T VS'!AM81</f>
        <v>0</v>
      </c>
      <c r="I84" s="64">
        <f>'[3]CUENTA T NOMINA SNS'!AM58</f>
        <v>0</v>
      </c>
      <c r="J84" s="64">
        <f t="shared" si="0"/>
        <v>642274.82000000007</v>
      </c>
      <c r="K84" s="65">
        <f>J84/$J$25</f>
        <v>8.3539014100323123E-3</v>
      </c>
    </row>
    <row r="85" spans="1:11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>SUM(I86)</f>
        <v>0</v>
      </c>
      <c r="J85" s="59">
        <f t="shared" si="0"/>
        <v>0</v>
      </c>
      <c r="K85" s="68"/>
    </row>
    <row r="86" spans="1:11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'[3]CUENTA T FONDO 100'!AN288</f>
        <v>0</v>
      </c>
      <c r="H86" s="64">
        <f>'[3]CUENTA T VS'!AN81</f>
        <v>0</v>
      </c>
      <c r="I86" s="64">
        <f>'[3]CUENTA T NOMINA SNS'!AN58</f>
        <v>0</v>
      </c>
      <c r="J86" s="64">
        <f t="shared" si="0"/>
        <v>0</v>
      </c>
      <c r="K86" s="65">
        <f>J86/$J$25</f>
        <v>0</v>
      </c>
    </row>
    <row r="87" spans="1:11" x14ac:dyDescent="0.2">
      <c r="A87" s="71">
        <v>2</v>
      </c>
      <c r="B87" s="77">
        <v>2</v>
      </c>
      <c r="C87" s="55"/>
      <c r="D87" s="55"/>
      <c r="E87" s="55"/>
      <c r="F87" s="72" t="s">
        <v>94</v>
      </c>
      <c r="G87" s="56">
        <f>G88+G106+G111+G116+G125+G148+G157+G179+G208</f>
        <v>0</v>
      </c>
      <c r="H87" s="56">
        <f>H88+H106+H111+H116+H125+H148+H157+H179+H208</f>
        <v>2733844.2900000005</v>
      </c>
      <c r="I87" s="56">
        <f>I88+I106+I111+I116+I125+I148+I157+I179+I208</f>
        <v>0</v>
      </c>
      <c r="J87" s="56">
        <f t="shared" si="0"/>
        <v>2733844.2900000005</v>
      </c>
      <c r="K87" s="53">
        <f>J87/$J$25</f>
        <v>3.5558401104747943E-2</v>
      </c>
    </row>
    <row r="88" spans="1:11" x14ac:dyDescent="0.2">
      <c r="A88" s="71">
        <v>2</v>
      </c>
      <c r="B88" s="55">
        <v>2</v>
      </c>
      <c r="C88" s="55">
        <v>1</v>
      </c>
      <c r="D88" s="55"/>
      <c r="E88" s="55"/>
      <c r="F88" s="72" t="s">
        <v>95</v>
      </c>
      <c r="G88" s="56">
        <f>+G89+G91+G93+G95+G97+G99+G102+G104</f>
        <v>0</v>
      </c>
      <c r="H88" s="56">
        <f>+H89+H91+H93+H95+H97+H99+H102+H104</f>
        <v>351316.33</v>
      </c>
      <c r="I88" s="56">
        <f>+I89+I91+I93+I95+I97+I99+I102+I104</f>
        <v>0</v>
      </c>
      <c r="J88" s="56">
        <f t="shared" ref="J88:J153" si="4">SUM(G88:I88)</f>
        <v>351316.33</v>
      </c>
      <c r="K88" s="53"/>
    </row>
    <row r="89" spans="1:11" x14ac:dyDescent="0.2">
      <c r="A89" s="73">
        <v>2</v>
      </c>
      <c r="B89" s="58">
        <v>2</v>
      </c>
      <c r="C89" s="58">
        <v>1</v>
      </c>
      <c r="D89" s="58">
        <v>1</v>
      </c>
      <c r="E89" s="58"/>
      <c r="F89" s="74" t="s">
        <v>96</v>
      </c>
      <c r="G89" s="59">
        <f>SUM(G90)</f>
        <v>0</v>
      </c>
      <c r="H89" s="59">
        <f>SUM(H90)</f>
        <v>0</v>
      </c>
      <c r="I89" s="59">
        <f>SUM(I90)</f>
        <v>0</v>
      </c>
      <c r="J89" s="59">
        <f t="shared" si="4"/>
        <v>0</v>
      </c>
      <c r="K89" s="68"/>
    </row>
    <row r="90" spans="1:11" x14ac:dyDescent="0.2">
      <c r="A90" s="75">
        <v>2</v>
      </c>
      <c r="B90" s="62">
        <v>2</v>
      </c>
      <c r="C90" s="62">
        <v>1</v>
      </c>
      <c r="D90" s="62">
        <v>1</v>
      </c>
      <c r="E90" s="63" t="s">
        <v>35</v>
      </c>
      <c r="F90" s="76" t="s">
        <v>96</v>
      </c>
      <c r="G90" s="64">
        <f>'[3]CUENTA T FONDO 100'!AO288</f>
        <v>0</v>
      </c>
      <c r="H90" s="64">
        <f>'[3]CUENTA T VS'!AO81</f>
        <v>0</v>
      </c>
      <c r="I90" s="64"/>
      <c r="J90" s="64">
        <f t="shared" si="4"/>
        <v>0</v>
      </c>
      <c r="K90" s="65">
        <f>J90/$J$25</f>
        <v>0</v>
      </c>
    </row>
    <row r="91" spans="1:11" x14ac:dyDescent="0.2">
      <c r="A91" s="73">
        <v>2</v>
      </c>
      <c r="B91" s="58">
        <v>2</v>
      </c>
      <c r="C91" s="58">
        <v>1</v>
      </c>
      <c r="D91" s="58">
        <v>2</v>
      </c>
      <c r="E91" s="58"/>
      <c r="F91" s="74" t="s">
        <v>97</v>
      </c>
      <c r="G91" s="59">
        <f>SUM(G92)</f>
        <v>0</v>
      </c>
      <c r="H91" s="59">
        <f>SUM(H92)</f>
        <v>0</v>
      </c>
      <c r="I91" s="59">
        <f>SUM(I92)</f>
        <v>0</v>
      </c>
      <c r="J91" s="59">
        <f t="shared" si="4"/>
        <v>0</v>
      </c>
      <c r="K91" s="68"/>
    </row>
    <row r="92" spans="1:11" x14ac:dyDescent="0.2">
      <c r="A92" s="75">
        <v>2</v>
      </c>
      <c r="B92" s="62">
        <v>2</v>
      </c>
      <c r="C92" s="62">
        <v>1</v>
      </c>
      <c r="D92" s="62">
        <v>2</v>
      </c>
      <c r="E92" s="63" t="s">
        <v>35</v>
      </c>
      <c r="F92" s="76" t="s">
        <v>97</v>
      </c>
      <c r="G92" s="64">
        <f>'[3]CUENTA T FONDO 100'!AP288</f>
        <v>0</v>
      </c>
      <c r="H92" s="64">
        <f>'[3]CUENTA T VS'!AP81</f>
        <v>0</v>
      </c>
      <c r="I92" s="64"/>
      <c r="J92" s="64">
        <f t="shared" si="4"/>
        <v>0</v>
      </c>
      <c r="K92" s="65">
        <f>J92/$J$25</f>
        <v>0</v>
      </c>
    </row>
    <row r="93" spans="1:11" x14ac:dyDescent="0.2">
      <c r="A93" s="73">
        <v>2</v>
      </c>
      <c r="B93" s="58">
        <v>2</v>
      </c>
      <c r="C93" s="58">
        <v>1</v>
      </c>
      <c r="D93" s="58">
        <v>3</v>
      </c>
      <c r="E93" s="58"/>
      <c r="F93" s="74" t="s">
        <v>98</v>
      </c>
      <c r="G93" s="59">
        <f>SUM(G94)</f>
        <v>0</v>
      </c>
      <c r="H93" s="59">
        <f>SUM(H94)</f>
        <v>301316.33</v>
      </c>
      <c r="I93" s="59">
        <f>SUM(I94)</f>
        <v>0</v>
      </c>
      <c r="J93" s="59">
        <f t="shared" si="4"/>
        <v>301316.33</v>
      </c>
      <c r="K93" s="68"/>
    </row>
    <row r="94" spans="1:11" x14ac:dyDescent="0.2">
      <c r="A94" s="75">
        <v>2</v>
      </c>
      <c r="B94" s="62">
        <v>2</v>
      </c>
      <c r="C94" s="62">
        <v>1</v>
      </c>
      <c r="D94" s="62">
        <v>3</v>
      </c>
      <c r="E94" s="63" t="s">
        <v>35</v>
      </c>
      <c r="F94" s="76" t="s">
        <v>98</v>
      </c>
      <c r="G94" s="64">
        <f>'[3]CUENTA T FONDO 100'!AQ288</f>
        <v>0</v>
      </c>
      <c r="H94" s="64">
        <f>'[3]CUENTA T VS'!AQ81</f>
        <v>301316.33</v>
      </c>
      <c r="I94" s="64"/>
      <c r="J94" s="64">
        <f t="shared" si="4"/>
        <v>301316.33</v>
      </c>
      <c r="K94" s="65">
        <f>J94/$J$25</f>
        <v>3.9191430765614654E-3</v>
      </c>
    </row>
    <row r="95" spans="1:11" x14ac:dyDescent="0.2">
      <c r="A95" s="73">
        <v>2</v>
      </c>
      <c r="B95" s="58">
        <v>2</v>
      </c>
      <c r="C95" s="58">
        <v>1</v>
      </c>
      <c r="D95" s="58">
        <v>4</v>
      </c>
      <c r="E95" s="58"/>
      <c r="F95" s="74" t="s">
        <v>99</v>
      </c>
      <c r="G95" s="59">
        <f>SUM(G96)</f>
        <v>0</v>
      </c>
      <c r="H95" s="59">
        <f>SUM(H96)</f>
        <v>0</v>
      </c>
      <c r="I95" s="59">
        <f>SUM(I96)</f>
        <v>0</v>
      </c>
      <c r="J95" s="59">
        <f t="shared" si="4"/>
        <v>0</v>
      </c>
      <c r="K95" s="68"/>
    </row>
    <row r="96" spans="1:11" x14ac:dyDescent="0.2">
      <c r="A96" s="75">
        <v>2</v>
      </c>
      <c r="B96" s="62">
        <v>2</v>
      </c>
      <c r="C96" s="62">
        <v>1</v>
      </c>
      <c r="D96" s="62">
        <v>4</v>
      </c>
      <c r="E96" s="63" t="s">
        <v>35</v>
      </c>
      <c r="F96" s="76" t="s">
        <v>99</v>
      </c>
      <c r="G96" s="64">
        <f>'[3]CUENTA T FONDO 100'!AR288</f>
        <v>0</v>
      </c>
      <c r="H96" s="64">
        <f>'[3]CUENTA T VS'!AR81</f>
        <v>0</v>
      </c>
      <c r="I96" s="64"/>
      <c r="J96" s="64">
        <f t="shared" si="4"/>
        <v>0</v>
      </c>
      <c r="K96" s="65">
        <f>J96/$J$25</f>
        <v>0</v>
      </c>
    </row>
    <row r="97" spans="1:11" x14ac:dyDescent="0.2">
      <c r="A97" s="73">
        <v>2</v>
      </c>
      <c r="B97" s="58">
        <v>2</v>
      </c>
      <c r="C97" s="58">
        <v>1</v>
      </c>
      <c r="D97" s="58">
        <v>5</v>
      </c>
      <c r="E97" s="58"/>
      <c r="F97" s="74" t="s">
        <v>100</v>
      </c>
      <c r="G97" s="59">
        <f>SUM(G98)</f>
        <v>0</v>
      </c>
      <c r="H97" s="59">
        <f>SUM(H98)</f>
        <v>0</v>
      </c>
      <c r="I97" s="59">
        <f>SUM(I98)</f>
        <v>0</v>
      </c>
      <c r="J97" s="59">
        <f t="shared" si="4"/>
        <v>0</v>
      </c>
      <c r="K97" s="68"/>
    </row>
    <row r="98" spans="1:11" x14ac:dyDescent="0.2">
      <c r="A98" s="75">
        <v>2</v>
      </c>
      <c r="B98" s="62">
        <v>2</v>
      </c>
      <c r="C98" s="62">
        <v>1</v>
      </c>
      <c r="D98" s="62">
        <v>5</v>
      </c>
      <c r="E98" s="63" t="s">
        <v>35</v>
      </c>
      <c r="F98" s="76" t="s">
        <v>100</v>
      </c>
      <c r="G98" s="64">
        <f>'[3]CUENTA T FONDO 100'!AS288</f>
        <v>0</v>
      </c>
      <c r="H98" s="64">
        <f>'[3]CUENTA T VS'!AS81</f>
        <v>0</v>
      </c>
      <c r="I98" s="64"/>
      <c r="J98" s="64">
        <f t="shared" si="4"/>
        <v>0</v>
      </c>
      <c r="K98" s="65">
        <f>J98/$J$25</f>
        <v>0</v>
      </c>
    </row>
    <row r="99" spans="1:11" x14ac:dyDescent="0.2">
      <c r="A99" s="73">
        <v>2</v>
      </c>
      <c r="B99" s="58">
        <v>2</v>
      </c>
      <c r="C99" s="58">
        <v>1</v>
      </c>
      <c r="D99" s="58">
        <v>6</v>
      </c>
      <c r="E99" s="58"/>
      <c r="F99" s="74" t="s">
        <v>101</v>
      </c>
      <c r="G99" s="59">
        <f>SUM(G100:G101)</f>
        <v>0</v>
      </c>
      <c r="H99" s="59">
        <f>SUM(H100:H101)</f>
        <v>0</v>
      </c>
      <c r="I99" s="59">
        <f>SUM(I100:I101)</f>
        <v>0</v>
      </c>
      <c r="J99" s="59">
        <f t="shared" si="4"/>
        <v>0</v>
      </c>
      <c r="K99" s="68"/>
    </row>
    <row r="100" spans="1:11" x14ac:dyDescent="0.2">
      <c r="A100" s="75">
        <v>2</v>
      </c>
      <c r="B100" s="62">
        <v>2</v>
      </c>
      <c r="C100" s="62">
        <v>1</v>
      </c>
      <c r="D100" s="62">
        <v>6</v>
      </c>
      <c r="E100" s="63" t="s">
        <v>35</v>
      </c>
      <c r="F100" s="76" t="s">
        <v>102</v>
      </c>
      <c r="G100" s="64">
        <f>'[3]CUENTA T FONDO 100'!AT288</f>
        <v>0</v>
      </c>
      <c r="H100" s="64">
        <f>'[3]CUENTA T VS'!AT81</f>
        <v>0</v>
      </c>
      <c r="I100" s="64"/>
      <c r="J100" s="64">
        <f t="shared" si="4"/>
        <v>0</v>
      </c>
      <c r="K100" s="65">
        <f>J100/$J$25</f>
        <v>0</v>
      </c>
    </row>
    <row r="101" spans="1:11" x14ac:dyDescent="0.2">
      <c r="A101" s="75">
        <v>2</v>
      </c>
      <c r="B101" s="62">
        <v>2</v>
      </c>
      <c r="C101" s="62">
        <v>1</v>
      </c>
      <c r="D101" s="62">
        <v>6</v>
      </c>
      <c r="E101" s="63" t="s">
        <v>37</v>
      </c>
      <c r="F101" s="76" t="s">
        <v>103</v>
      </c>
      <c r="G101" s="64">
        <f>'[3]CUENTA T FONDO 100'!AU288</f>
        <v>0</v>
      </c>
      <c r="H101" s="64">
        <f>'[3]CUENTA T VS'!AU81</f>
        <v>0</v>
      </c>
      <c r="I101" s="64"/>
      <c r="J101" s="64">
        <f t="shared" si="4"/>
        <v>0</v>
      </c>
      <c r="K101" s="65">
        <f>J101/$J$25</f>
        <v>0</v>
      </c>
    </row>
    <row r="102" spans="1:11" x14ac:dyDescent="0.2">
      <c r="A102" s="73">
        <v>2</v>
      </c>
      <c r="B102" s="58">
        <v>2</v>
      </c>
      <c r="C102" s="58">
        <v>1</v>
      </c>
      <c r="D102" s="58">
        <v>7</v>
      </c>
      <c r="E102" s="58"/>
      <c r="F102" s="74" t="s">
        <v>104</v>
      </c>
      <c r="G102" s="59">
        <f>SUM(G103)</f>
        <v>0</v>
      </c>
      <c r="H102" s="59">
        <f>SUM(H103)</f>
        <v>0</v>
      </c>
      <c r="I102" s="59">
        <f>SUM(I103)</f>
        <v>0</v>
      </c>
      <c r="J102" s="59">
        <f t="shared" si="4"/>
        <v>0</v>
      </c>
      <c r="K102" s="68"/>
    </row>
    <row r="103" spans="1:11" x14ac:dyDescent="0.2">
      <c r="A103" s="75">
        <v>2</v>
      </c>
      <c r="B103" s="62">
        <v>2</v>
      </c>
      <c r="C103" s="62">
        <v>1</v>
      </c>
      <c r="D103" s="62">
        <v>7</v>
      </c>
      <c r="E103" s="63" t="s">
        <v>35</v>
      </c>
      <c r="F103" s="76" t="s">
        <v>104</v>
      </c>
      <c r="G103" s="64">
        <f>'[3]CUENTA T FONDO 100'!AV288</f>
        <v>0</v>
      </c>
      <c r="H103" s="64">
        <f>'[3]CUENTA T VS'!AV81</f>
        <v>0</v>
      </c>
      <c r="I103" s="64"/>
      <c r="J103" s="64">
        <f t="shared" si="4"/>
        <v>0</v>
      </c>
      <c r="K103" s="65">
        <f>J103/$J$25</f>
        <v>0</v>
      </c>
    </row>
    <row r="104" spans="1:11" x14ac:dyDescent="0.2">
      <c r="A104" s="73">
        <v>2</v>
      </c>
      <c r="B104" s="58">
        <v>2</v>
      </c>
      <c r="C104" s="58">
        <v>1</v>
      </c>
      <c r="D104" s="58">
        <v>8</v>
      </c>
      <c r="E104" s="58"/>
      <c r="F104" s="74" t="s">
        <v>105</v>
      </c>
      <c r="G104" s="59">
        <f>SUM(G105)</f>
        <v>0</v>
      </c>
      <c r="H104" s="59">
        <f>SUM(H105)</f>
        <v>50000</v>
      </c>
      <c r="I104" s="59">
        <f>SUM(I105)</f>
        <v>0</v>
      </c>
      <c r="J104" s="59">
        <f t="shared" si="4"/>
        <v>50000</v>
      </c>
      <c r="K104" s="68"/>
    </row>
    <row r="105" spans="1:11" x14ac:dyDescent="0.2">
      <c r="A105" s="75">
        <v>2</v>
      </c>
      <c r="B105" s="62">
        <v>2</v>
      </c>
      <c r="C105" s="62">
        <v>1</v>
      </c>
      <c r="D105" s="62">
        <v>8</v>
      </c>
      <c r="E105" s="63" t="s">
        <v>35</v>
      </c>
      <c r="F105" s="76" t="s">
        <v>105</v>
      </c>
      <c r="G105" s="64">
        <f>'[3]CUENTA T FONDO 100'!AW288</f>
        <v>0</v>
      </c>
      <c r="H105" s="64">
        <f>'[3]CUENTA T VS'!AW81</f>
        <v>50000</v>
      </c>
      <c r="I105" s="64"/>
      <c r="J105" s="64">
        <f t="shared" si="4"/>
        <v>50000</v>
      </c>
      <c r="K105" s="65">
        <f>J105/$J$25</f>
        <v>6.5033698581179868E-4</v>
      </c>
    </row>
    <row r="106" spans="1:11" x14ac:dyDescent="0.2">
      <c r="A106" s="71">
        <v>2</v>
      </c>
      <c r="B106" s="55">
        <v>2</v>
      </c>
      <c r="C106" s="55">
        <v>2</v>
      </c>
      <c r="D106" s="55"/>
      <c r="E106" s="55"/>
      <c r="F106" s="72" t="s">
        <v>106</v>
      </c>
      <c r="G106" s="56">
        <f>+G107+G109</f>
        <v>0</v>
      </c>
      <c r="H106" s="56">
        <f>+H107+H109</f>
        <v>0</v>
      </c>
      <c r="I106" s="56">
        <f>+I107+I109</f>
        <v>0</v>
      </c>
      <c r="J106" s="56">
        <f t="shared" si="4"/>
        <v>0</v>
      </c>
      <c r="K106" s="53"/>
    </row>
    <row r="107" spans="1:11" x14ac:dyDescent="0.2">
      <c r="A107" s="73">
        <v>2</v>
      </c>
      <c r="B107" s="58">
        <v>2</v>
      </c>
      <c r="C107" s="58">
        <v>2</v>
      </c>
      <c r="D107" s="58">
        <v>1</v>
      </c>
      <c r="E107" s="58"/>
      <c r="F107" s="74" t="s">
        <v>107</v>
      </c>
      <c r="G107" s="59">
        <f>SUM(G108)</f>
        <v>0</v>
      </c>
      <c r="H107" s="59">
        <f>SUM(H108)</f>
        <v>0</v>
      </c>
      <c r="I107" s="59">
        <f>SUM(I108)</f>
        <v>0</v>
      </c>
      <c r="J107" s="59">
        <f t="shared" si="4"/>
        <v>0</v>
      </c>
      <c r="K107" s="68"/>
    </row>
    <row r="108" spans="1:11" x14ac:dyDescent="0.2">
      <c r="A108" s="75">
        <v>2</v>
      </c>
      <c r="B108" s="62">
        <v>2</v>
      </c>
      <c r="C108" s="62">
        <v>2</v>
      </c>
      <c r="D108" s="62">
        <v>1</v>
      </c>
      <c r="E108" s="63" t="s">
        <v>35</v>
      </c>
      <c r="F108" s="76" t="s">
        <v>107</v>
      </c>
      <c r="G108" s="64">
        <f>'[3]CUENTA T FONDO 100'!AX288</f>
        <v>0</v>
      </c>
      <c r="H108" s="64">
        <f>'[3]CUENTA T VS'!AX81</f>
        <v>0</v>
      </c>
      <c r="I108" s="64"/>
      <c r="J108" s="64">
        <f t="shared" si="4"/>
        <v>0</v>
      </c>
      <c r="K108" s="65">
        <f>J108/$J$25</f>
        <v>0</v>
      </c>
    </row>
    <row r="109" spans="1:11" x14ac:dyDescent="0.2">
      <c r="A109" s="73">
        <v>2</v>
      </c>
      <c r="B109" s="58">
        <v>2</v>
      </c>
      <c r="C109" s="58">
        <v>2</v>
      </c>
      <c r="D109" s="58">
        <v>2</v>
      </c>
      <c r="E109" s="58"/>
      <c r="F109" s="74" t="s">
        <v>108</v>
      </c>
      <c r="G109" s="59">
        <f>SUM(G110)</f>
        <v>0</v>
      </c>
      <c r="H109" s="59">
        <f>SUM(H110)</f>
        <v>0</v>
      </c>
      <c r="I109" s="59">
        <f>SUM(I110)</f>
        <v>0</v>
      </c>
      <c r="J109" s="59">
        <f t="shared" si="4"/>
        <v>0</v>
      </c>
      <c r="K109" s="68"/>
    </row>
    <row r="110" spans="1:11" x14ac:dyDescent="0.2">
      <c r="A110" s="75">
        <v>2</v>
      </c>
      <c r="B110" s="62">
        <v>2</v>
      </c>
      <c r="C110" s="62">
        <v>2</v>
      </c>
      <c r="D110" s="62">
        <v>2</v>
      </c>
      <c r="E110" s="63" t="s">
        <v>35</v>
      </c>
      <c r="F110" s="76" t="s">
        <v>108</v>
      </c>
      <c r="G110" s="64">
        <f>'[3]CUENTA T FONDO 100'!AY288</f>
        <v>0</v>
      </c>
      <c r="H110" s="64">
        <f>'[3]CUENTA T VS'!AY81</f>
        <v>0</v>
      </c>
      <c r="I110" s="64"/>
      <c r="J110" s="64">
        <f t="shared" si="4"/>
        <v>0</v>
      </c>
      <c r="K110" s="65">
        <f>J110/$J$25</f>
        <v>0</v>
      </c>
    </row>
    <row r="111" spans="1:11" x14ac:dyDescent="0.2">
      <c r="A111" s="71">
        <v>2</v>
      </c>
      <c r="B111" s="55">
        <v>2</v>
      </c>
      <c r="C111" s="55">
        <v>3</v>
      </c>
      <c r="D111" s="55"/>
      <c r="E111" s="55"/>
      <c r="F111" s="72" t="s">
        <v>109</v>
      </c>
      <c r="G111" s="56">
        <f>+G112+G114</f>
        <v>0</v>
      </c>
      <c r="H111" s="56">
        <f>+H112+H114</f>
        <v>0</v>
      </c>
      <c r="I111" s="56">
        <f>+I112+I114</f>
        <v>0</v>
      </c>
      <c r="J111" s="56">
        <f t="shared" si="4"/>
        <v>0</v>
      </c>
      <c r="K111" s="53"/>
    </row>
    <row r="112" spans="1:11" x14ac:dyDescent="0.2">
      <c r="A112" s="73">
        <v>2</v>
      </c>
      <c r="B112" s="58">
        <v>2</v>
      </c>
      <c r="C112" s="58">
        <v>3</v>
      </c>
      <c r="D112" s="58">
        <v>1</v>
      </c>
      <c r="E112" s="58"/>
      <c r="F112" s="74" t="s">
        <v>110</v>
      </c>
      <c r="G112" s="59">
        <f>SUM(G113)</f>
        <v>0</v>
      </c>
      <c r="H112" s="59">
        <f>SUM(H113)</f>
        <v>0</v>
      </c>
      <c r="I112" s="59">
        <f>SUM(I113)</f>
        <v>0</v>
      </c>
      <c r="J112" s="59">
        <f t="shared" si="4"/>
        <v>0</v>
      </c>
      <c r="K112" s="68"/>
    </row>
    <row r="113" spans="1:11" x14ac:dyDescent="0.2">
      <c r="A113" s="75">
        <v>2</v>
      </c>
      <c r="B113" s="62">
        <v>2</v>
      </c>
      <c r="C113" s="62">
        <v>3</v>
      </c>
      <c r="D113" s="62">
        <v>1</v>
      </c>
      <c r="E113" s="63" t="s">
        <v>35</v>
      </c>
      <c r="F113" s="76" t="s">
        <v>110</v>
      </c>
      <c r="G113" s="64">
        <f>'[3]CUENTA T FONDO 100'!AZ288</f>
        <v>0</v>
      </c>
      <c r="H113" s="64">
        <f>'[3]CUENTA T VS'!AZ81</f>
        <v>0</v>
      </c>
      <c r="I113" s="64"/>
      <c r="J113" s="64">
        <f t="shared" si="4"/>
        <v>0</v>
      </c>
      <c r="K113" s="65">
        <f>J113/$J$25</f>
        <v>0</v>
      </c>
    </row>
    <row r="114" spans="1:11" x14ac:dyDescent="0.2">
      <c r="A114" s="73">
        <v>2</v>
      </c>
      <c r="B114" s="58">
        <v>2</v>
      </c>
      <c r="C114" s="58">
        <v>3</v>
      </c>
      <c r="D114" s="58">
        <v>2</v>
      </c>
      <c r="E114" s="58"/>
      <c r="F114" s="74" t="s">
        <v>111</v>
      </c>
      <c r="G114" s="59">
        <f>SUM(G115)</f>
        <v>0</v>
      </c>
      <c r="H114" s="59">
        <f>SUM(H115)</f>
        <v>0</v>
      </c>
      <c r="I114" s="59">
        <f>SUM(I115)</f>
        <v>0</v>
      </c>
      <c r="J114" s="59">
        <f t="shared" si="4"/>
        <v>0</v>
      </c>
      <c r="K114" s="68"/>
    </row>
    <row r="115" spans="1:11" x14ac:dyDescent="0.2">
      <c r="A115" s="75">
        <v>2</v>
      </c>
      <c r="B115" s="62">
        <v>2</v>
      </c>
      <c r="C115" s="62">
        <v>3</v>
      </c>
      <c r="D115" s="62">
        <v>2</v>
      </c>
      <c r="E115" s="63" t="s">
        <v>35</v>
      </c>
      <c r="F115" s="76" t="s">
        <v>111</v>
      </c>
      <c r="G115" s="64">
        <f>'[3]CUENTA T FONDO 100'!BA288</f>
        <v>0</v>
      </c>
      <c r="H115" s="64">
        <f>'[3]CUENTA T VS'!BA81</f>
        <v>0</v>
      </c>
      <c r="I115" s="64"/>
      <c r="J115" s="64">
        <f t="shared" si="4"/>
        <v>0</v>
      </c>
      <c r="K115" s="65">
        <f>J115/$J$25</f>
        <v>0</v>
      </c>
    </row>
    <row r="116" spans="1:11" x14ac:dyDescent="0.2">
      <c r="A116" s="71">
        <v>2</v>
      </c>
      <c r="B116" s="55">
        <v>2</v>
      </c>
      <c r="C116" s="55">
        <v>4</v>
      </c>
      <c r="D116" s="55"/>
      <c r="E116" s="55"/>
      <c r="F116" s="72" t="s">
        <v>112</v>
      </c>
      <c r="G116" s="56">
        <f>+G117+G119+G121+G123</f>
        <v>0</v>
      </c>
      <c r="H116" s="56">
        <f>+H117+H119+H121+H123</f>
        <v>0</v>
      </c>
      <c r="I116" s="56">
        <f>+I117+I119+I121+I123</f>
        <v>0</v>
      </c>
      <c r="J116" s="56">
        <f t="shared" si="4"/>
        <v>0</v>
      </c>
      <c r="K116" s="53"/>
    </row>
    <row r="117" spans="1:11" x14ac:dyDescent="0.2">
      <c r="A117" s="73">
        <v>2</v>
      </c>
      <c r="B117" s="58">
        <v>2</v>
      </c>
      <c r="C117" s="58">
        <v>4</v>
      </c>
      <c r="D117" s="58">
        <v>1</v>
      </c>
      <c r="E117" s="58"/>
      <c r="F117" s="74" t="s">
        <v>113</v>
      </c>
      <c r="G117" s="59">
        <f>SUM(G118)</f>
        <v>0</v>
      </c>
      <c r="H117" s="59">
        <f>SUM(H118)</f>
        <v>0</v>
      </c>
      <c r="I117" s="59">
        <f>SUM(I118)</f>
        <v>0</v>
      </c>
      <c r="J117" s="59">
        <f t="shared" si="4"/>
        <v>0</v>
      </c>
      <c r="K117" s="68"/>
    </row>
    <row r="118" spans="1:11" x14ac:dyDescent="0.2">
      <c r="A118" s="75">
        <v>2</v>
      </c>
      <c r="B118" s="62">
        <v>2</v>
      </c>
      <c r="C118" s="62">
        <v>4</v>
      </c>
      <c r="D118" s="62">
        <v>1</v>
      </c>
      <c r="E118" s="63" t="s">
        <v>35</v>
      </c>
      <c r="F118" s="76" t="s">
        <v>113</v>
      </c>
      <c r="G118" s="64">
        <f>'[3]CUENTA T FONDO 100'!BB288</f>
        <v>0</v>
      </c>
      <c r="H118" s="64">
        <f>'[3]CUENTA T VS'!BB81</f>
        <v>0</v>
      </c>
      <c r="I118" s="64"/>
      <c r="J118" s="64">
        <f t="shared" si="4"/>
        <v>0</v>
      </c>
      <c r="K118" s="65">
        <f>J118/$J$25</f>
        <v>0</v>
      </c>
    </row>
    <row r="119" spans="1:11" x14ac:dyDescent="0.2">
      <c r="A119" s="73">
        <v>2</v>
      </c>
      <c r="B119" s="58">
        <v>2</v>
      </c>
      <c r="C119" s="58">
        <v>4</v>
      </c>
      <c r="D119" s="58">
        <v>2</v>
      </c>
      <c r="E119" s="58"/>
      <c r="F119" s="74" t="s">
        <v>114</v>
      </c>
      <c r="G119" s="59">
        <f>SUM(G120)</f>
        <v>0</v>
      </c>
      <c r="H119" s="59">
        <f>SUM(H120)</f>
        <v>0</v>
      </c>
      <c r="I119" s="59">
        <f>SUM(I120)</f>
        <v>0</v>
      </c>
      <c r="J119" s="59">
        <f t="shared" si="4"/>
        <v>0</v>
      </c>
      <c r="K119" s="68"/>
    </row>
    <row r="120" spans="1:11" x14ac:dyDescent="0.2">
      <c r="A120" s="75">
        <v>2</v>
      </c>
      <c r="B120" s="62">
        <v>2</v>
      </c>
      <c r="C120" s="62">
        <v>4</v>
      </c>
      <c r="D120" s="62">
        <v>2</v>
      </c>
      <c r="E120" s="63" t="s">
        <v>35</v>
      </c>
      <c r="F120" s="76" t="s">
        <v>114</v>
      </c>
      <c r="G120" s="64">
        <f>'[3]CUENTA T FONDO 100'!BC288</f>
        <v>0</v>
      </c>
      <c r="H120" s="64">
        <f>'[3]CUENTA T VS'!BC81</f>
        <v>0</v>
      </c>
      <c r="I120" s="64"/>
      <c r="J120" s="64">
        <f t="shared" si="4"/>
        <v>0</v>
      </c>
      <c r="K120" s="65">
        <f>J120/$J$25</f>
        <v>0</v>
      </c>
    </row>
    <row r="121" spans="1:11" x14ac:dyDescent="0.2">
      <c r="A121" s="73">
        <v>2</v>
      </c>
      <c r="B121" s="58">
        <v>2</v>
      </c>
      <c r="C121" s="58">
        <v>4</v>
      </c>
      <c r="D121" s="58">
        <v>3</v>
      </c>
      <c r="E121" s="58"/>
      <c r="F121" s="74" t="s">
        <v>115</v>
      </c>
      <c r="G121" s="59">
        <f>SUM(G122)</f>
        <v>0</v>
      </c>
      <c r="H121" s="59">
        <f>SUM(H122)</f>
        <v>0</v>
      </c>
      <c r="I121" s="59">
        <f>SUM(I122)</f>
        <v>0</v>
      </c>
      <c r="J121" s="59">
        <f t="shared" si="4"/>
        <v>0</v>
      </c>
      <c r="K121" s="68"/>
    </row>
    <row r="122" spans="1:11" x14ac:dyDescent="0.2">
      <c r="A122" s="75">
        <v>2</v>
      </c>
      <c r="B122" s="62">
        <v>2</v>
      </c>
      <c r="C122" s="62">
        <v>4</v>
      </c>
      <c r="D122" s="62">
        <v>3</v>
      </c>
      <c r="E122" s="63" t="s">
        <v>35</v>
      </c>
      <c r="F122" s="76" t="s">
        <v>115</v>
      </c>
      <c r="G122" s="64">
        <f>'[3]CUENTA T FONDO 100'!BD288</f>
        <v>0</v>
      </c>
      <c r="H122" s="64">
        <f>'[3]CUENTA T VS'!BD81</f>
        <v>0</v>
      </c>
      <c r="I122" s="64"/>
      <c r="J122" s="64">
        <f t="shared" si="4"/>
        <v>0</v>
      </c>
      <c r="K122" s="65">
        <f>J122/$J$25</f>
        <v>0</v>
      </c>
    </row>
    <row r="123" spans="1:11" x14ac:dyDescent="0.2">
      <c r="A123" s="73">
        <v>2</v>
      </c>
      <c r="B123" s="58">
        <v>2</v>
      </c>
      <c r="C123" s="58">
        <v>4</v>
      </c>
      <c r="D123" s="58">
        <v>4</v>
      </c>
      <c r="E123" s="58"/>
      <c r="F123" s="74" t="s">
        <v>116</v>
      </c>
      <c r="G123" s="59">
        <f>SUM(G124)</f>
        <v>0</v>
      </c>
      <c r="H123" s="59">
        <f>SUM(H124)</f>
        <v>0</v>
      </c>
      <c r="I123" s="59">
        <f>SUM(I124)</f>
        <v>0</v>
      </c>
      <c r="J123" s="59">
        <f t="shared" si="4"/>
        <v>0</v>
      </c>
      <c r="K123" s="68"/>
    </row>
    <row r="124" spans="1:11" x14ac:dyDescent="0.2">
      <c r="A124" s="75">
        <v>2</v>
      </c>
      <c r="B124" s="62">
        <v>2</v>
      </c>
      <c r="C124" s="62">
        <v>4</v>
      </c>
      <c r="D124" s="62">
        <v>4</v>
      </c>
      <c r="E124" s="63" t="s">
        <v>35</v>
      </c>
      <c r="F124" s="76" t="s">
        <v>116</v>
      </c>
      <c r="G124" s="64">
        <f>'[3]CUENTA T FONDO 100'!BE288</f>
        <v>0</v>
      </c>
      <c r="H124" s="64">
        <f>'[3]CUENTA T VS'!BE81</f>
        <v>0</v>
      </c>
      <c r="I124" s="64"/>
      <c r="J124" s="64">
        <f t="shared" si="4"/>
        <v>0</v>
      </c>
      <c r="K124" s="65">
        <f>J124/$J$25</f>
        <v>0</v>
      </c>
    </row>
    <row r="125" spans="1:11" x14ac:dyDescent="0.2">
      <c r="A125" s="54">
        <v>2</v>
      </c>
      <c r="B125" s="55">
        <v>2</v>
      </c>
      <c r="C125" s="55">
        <v>5</v>
      </c>
      <c r="D125" s="55"/>
      <c r="E125" s="55"/>
      <c r="F125" s="72" t="s">
        <v>117</v>
      </c>
      <c r="G125" s="56">
        <f>+G126+G128+G130+G136+G138+G140+G142+G144+G146</f>
        <v>0</v>
      </c>
      <c r="H125" s="56">
        <f>+H126+H128+H130+H136+H138+H140+H142+H144+H146</f>
        <v>266664.26</v>
      </c>
      <c r="I125" s="56">
        <f>+I126+I128+I130+I136+I138+I140+I142+I144+I146</f>
        <v>0</v>
      </c>
      <c r="J125" s="56">
        <f>SUM(G125:I125)</f>
        <v>266664.26</v>
      </c>
      <c r="K125" s="53"/>
    </row>
    <row r="126" spans="1:11" x14ac:dyDescent="0.2">
      <c r="A126" s="73">
        <v>2</v>
      </c>
      <c r="B126" s="58">
        <v>2</v>
      </c>
      <c r="C126" s="58">
        <v>5</v>
      </c>
      <c r="D126" s="58">
        <v>1</v>
      </c>
      <c r="E126" s="78"/>
      <c r="F126" s="74" t="s">
        <v>118</v>
      </c>
      <c r="G126" s="59">
        <f>SUM(G127)</f>
        <v>0</v>
      </c>
      <c r="H126" s="59">
        <f>SUM(H127)</f>
        <v>0</v>
      </c>
      <c r="I126" s="59">
        <f>SUM(I127)</f>
        <v>0</v>
      </c>
      <c r="J126" s="59">
        <f t="shared" si="4"/>
        <v>0</v>
      </c>
      <c r="K126" s="68"/>
    </row>
    <row r="127" spans="1:11" x14ac:dyDescent="0.2">
      <c r="A127" s="75">
        <v>2</v>
      </c>
      <c r="B127" s="62">
        <v>2</v>
      </c>
      <c r="C127" s="62">
        <v>5</v>
      </c>
      <c r="D127" s="62">
        <v>1</v>
      </c>
      <c r="E127" s="63" t="s">
        <v>35</v>
      </c>
      <c r="F127" s="76" t="s">
        <v>118</v>
      </c>
      <c r="G127" s="64">
        <f>'[3]CUENTA T FONDO 100'!BF288</f>
        <v>0</v>
      </c>
      <c r="H127" s="64">
        <f>'[3]CUENTA T VS'!BF81</f>
        <v>0</v>
      </c>
      <c r="I127" s="101"/>
      <c r="J127" s="64">
        <f t="shared" si="4"/>
        <v>0</v>
      </c>
      <c r="K127" s="65">
        <f>J127/$J$25</f>
        <v>0</v>
      </c>
    </row>
    <row r="128" spans="1:11" x14ac:dyDescent="0.2">
      <c r="A128" s="73">
        <v>2</v>
      </c>
      <c r="B128" s="58">
        <v>2</v>
      </c>
      <c r="C128" s="58">
        <v>5</v>
      </c>
      <c r="D128" s="58">
        <v>2</v>
      </c>
      <c r="E128" s="78"/>
      <c r="F128" s="74" t="s">
        <v>119</v>
      </c>
      <c r="G128" s="59">
        <f>SUM(G129)</f>
        <v>0</v>
      </c>
      <c r="H128" s="59">
        <f>SUM(H129)</f>
        <v>0</v>
      </c>
      <c r="I128" s="59">
        <f>SUM(I129)</f>
        <v>0</v>
      </c>
      <c r="J128" s="59">
        <f t="shared" si="4"/>
        <v>0</v>
      </c>
      <c r="K128" s="68"/>
    </row>
    <row r="129" spans="1:11" x14ac:dyDescent="0.2">
      <c r="A129" s="75">
        <v>2</v>
      </c>
      <c r="B129" s="62">
        <v>2</v>
      </c>
      <c r="C129" s="62">
        <v>5</v>
      </c>
      <c r="D129" s="62">
        <v>2</v>
      </c>
      <c r="E129" s="63" t="s">
        <v>35</v>
      </c>
      <c r="F129" s="76" t="s">
        <v>120</v>
      </c>
      <c r="G129" s="64">
        <f>'[3]CUENTA T FONDO 100'!BG288</f>
        <v>0</v>
      </c>
      <c r="H129" s="64">
        <f>'[3]CUENTA T VS'!BG81</f>
        <v>0</v>
      </c>
      <c r="I129" s="101"/>
      <c r="J129" s="64">
        <f t="shared" si="4"/>
        <v>0</v>
      </c>
      <c r="K129" s="65">
        <f>J129/$J$25</f>
        <v>0</v>
      </c>
    </row>
    <row r="130" spans="1:11" x14ac:dyDescent="0.2">
      <c r="A130" s="73">
        <v>2</v>
      </c>
      <c r="B130" s="58">
        <v>2</v>
      </c>
      <c r="C130" s="58">
        <v>5</v>
      </c>
      <c r="D130" s="58">
        <v>3</v>
      </c>
      <c r="E130" s="78"/>
      <c r="F130" s="74" t="s">
        <v>121</v>
      </c>
      <c r="G130" s="59">
        <f>SUM(G131:G135)</f>
        <v>0</v>
      </c>
      <c r="H130" s="59">
        <f>SUM(H131:H135)</f>
        <v>266664.26</v>
      </c>
      <c r="I130" s="59">
        <f>SUM(I131:I135)</f>
        <v>0</v>
      </c>
      <c r="J130" s="59">
        <f t="shared" si="4"/>
        <v>266664.26</v>
      </c>
      <c r="K130" s="68"/>
    </row>
    <row r="131" spans="1:11" x14ac:dyDescent="0.2">
      <c r="A131" s="75">
        <v>2</v>
      </c>
      <c r="B131" s="62">
        <v>2</v>
      </c>
      <c r="C131" s="62">
        <v>5</v>
      </c>
      <c r="D131" s="62">
        <v>3</v>
      </c>
      <c r="E131" s="63" t="s">
        <v>35</v>
      </c>
      <c r="F131" s="76" t="s">
        <v>122</v>
      </c>
      <c r="G131" s="64">
        <f>'[3]CUENTA T FONDO 100'!BH288</f>
        <v>0</v>
      </c>
      <c r="H131" s="64">
        <f>'[3]CUENTA T VS'!BH81</f>
        <v>0</v>
      </c>
      <c r="I131" s="101"/>
      <c r="J131" s="64">
        <f t="shared" si="4"/>
        <v>0</v>
      </c>
      <c r="K131" s="65">
        <f>J131/$J$25</f>
        <v>0</v>
      </c>
    </row>
    <row r="132" spans="1:11" x14ac:dyDescent="0.2">
      <c r="A132" s="75">
        <v>2</v>
      </c>
      <c r="B132" s="62">
        <v>2</v>
      </c>
      <c r="C132" s="62">
        <v>5</v>
      </c>
      <c r="D132" s="62">
        <v>3</v>
      </c>
      <c r="E132" s="63" t="s">
        <v>37</v>
      </c>
      <c r="F132" s="76" t="s">
        <v>123</v>
      </c>
      <c r="G132" s="64">
        <f>'[3]CUENTA T FONDO 100'!BI288</f>
        <v>0</v>
      </c>
      <c r="H132" s="64">
        <f>'[3]CUENTA T VS'!BI81</f>
        <v>266664.26</v>
      </c>
      <c r="I132" s="101"/>
      <c r="J132" s="64">
        <f t="shared" si="4"/>
        <v>266664.26</v>
      </c>
      <c r="K132" s="65">
        <f>J132/$J$25</f>
        <v>3.468432621442676E-3</v>
      </c>
    </row>
    <row r="133" spans="1:11" x14ac:dyDescent="0.2">
      <c r="A133" s="75">
        <v>2</v>
      </c>
      <c r="B133" s="62">
        <v>2</v>
      </c>
      <c r="C133" s="62">
        <v>5</v>
      </c>
      <c r="D133" s="62">
        <v>3</v>
      </c>
      <c r="E133" s="63" t="s">
        <v>39</v>
      </c>
      <c r="F133" s="76" t="s">
        <v>124</v>
      </c>
      <c r="G133" s="64">
        <f>'[3]CUENTA T FONDO 100'!BJ288</f>
        <v>0</v>
      </c>
      <c r="H133" s="64">
        <f>'[3]CUENTA T VS'!BJ81</f>
        <v>0</v>
      </c>
      <c r="I133" s="101"/>
      <c r="J133" s="64">
        <f t="shared" si="4"/>
        <v>0</v>
      </c>
      <c r="K133" s="65">
        <f>J133/$J$25</f>
        <v>0</v>
      </c>
    </row>
    <row r="134" spans="1:11" x14ac:dyDescent="0.2">
      <c r="A134" s="75">
        <v>2</v>
      </c>
      <c r="B134" s="62">
        <v>2</v>
      </c>
      <c r="C134" s="62">
        <v>5</v>
      </c>
      <c r="D134" s="62">
        <v>3</v>
      </c>
      <c r="E134" s="63" t="s">
        <v>41</v>
      </c>
      <c r="F134" s="76" t="s">
        <v>125</v>
      </c>
      <c r="G134" s="64">
        <f>'[3]CUENTA T FONDO 100'!BK288</f>
        <v>0</v>
      </c>
      <c r="H134" s="64">
        <f>'[3]CUENTA T VS'!BK81</f>
        <v>0</v>
      </c>
      <c r="I134" s="101"/>
      <c r="J134" s="64">
        <f t="shared" si="4"/>
        <v>0</v>
      </c>
      <c r="K134" s="65">
        <f>J134/$J$25</f>
        <v>0</v>
      </c>
    </row>
    <row r="135" spans="1:11" x14ac:dyDescent="0.2">
      <c r="A135" s="75">
        <v>2</v>
      </c>
      <c r="B135" s="62">
        <v>2</v>
      </c>
      <c r="C135" s="62">
        <v>5</v>
      </c>
      <c r="D135" s="62">
        <v>3</v>
      </c>
      <c r="E135" s="63" t="s">
        <v>43</v>
      </c>
      <c r="F135" s="76" t="s">
        <v>126</v>
      </c>
      <c r="G135" s="64">
        <f>'[3]CUENTA T FONDO 100'!BL288</f>
        <v>0</v>
      </c>
      <c r="H135" s="64">
        <f>'[3]CUENTA T VS'!BL81</f>
        <v>0</v>
      </c>
      <c r="I135" s="101"/>
      <c r="J135" s="64">
        <f t="shared" si="4"/>
        <v>0</v>
      </c>
      <c r="K135" s="65">
        <f>J135/$J$25</f>
        <v>0</v>
      </c>
    </row>
    <row r="136" spans="1:11" x14ac:dyDescent="0.2">
      <c r="A136" s="73">
        <v>2</v>
      </c>
      <c r="B136" s="58">
        <v>2</v>
      </c>
      <c r="C136" s="58">
        <v>5</v>
      </c>
      <c r="D136" s="58">
        <v>4</v>
      </c>
      <c r="E136" s="78"/>
      <c r="F136" s="74" t="s">
        <v>127</v>
      </c>
      <c r="G136" s="59">
        <f>SUM(G137)</f>
        <v>0</v>
      </c>
      <c r="H136" s="59">
        <f>SUM(H137)</f>
        <v>0</v>
      </c>
      <c r="I136" s="59">
        <f>SUM(I137)</f>
        <v>0</v>
      </c>
      <c r="J136" s="59">
        <f t="shared" si="4"/>
        <v>0</v>
      </c>
      <c r="K136" s="68"/>
    </row>
    <row r="137" spans="1:11" x14ac:dyDescent="0.2">
      <c r="A137" s="75">
        <v>2</v>
      </c>
      <c r="B137" s="62">
        <v>2</v>
      </c>
      <c r="C137" s="62">
        <v>5</v>
      </c>
      <c r="D137" s="62">
        <v>4</v>
      </c>
      <c r="E137" s="63" t="s">
        <v>35</v>
      </c>
      <c r="F137" s="76" t="s">
        <v>127</v>
      </c>
      <c r="G137" s="64">
        <f>'[3]CUENTA T FONDO 100'!BM288</f>
        <v>0</v>
      </c>
      <c r="H137" s="64">
        <f>'[3]CUENTA T VS'!BM81</f>
        <v>0</v>
      </c>
      <c r="I137" s="101"/>
      <c r="J137" s="64">
        <f t="shared" si="4"/>
        <v>0</v>
      </c>
      <c r="K137" s="65">
        <f>J137/$J$25</f>
        <v>0</v>
      </c>
    </row>
    <row r="138" spans="1:11" x14ac:dyDescent="0.2">
      <c r="A138" s="73">
        <v>2</v>
      </c>
      <c r="B138" s="58">
        <v>2</v>
      </c>
      <c r="C138" s="58">
        <v>5</v>
      </c>
      <c r="D138" s="58">
        <v>5</v>
      </c>
      <c r="E138" s="78"/>
      <c r="F138" s="74" t="s">
        <v>128</v>
      </c>
      <c r="G138" s="59">
        <f>SUM(G139)</f>
        <v>0</v>
      </c>
      <c r="H138" s="59">
        <f>SUM(H139)</f>
        <v>0</v>
      </c>
      <c r="I138" s="59">
        <f>SUM(I139)</f>
        <v>0</v>
      </c>
      <c r="J138" s="59">
        <f t="shared" si="4"/>
        <v>0</v>
      </c>
      <c r="K138" s="68"/>
    </row>
    <row r="139" spans="1:11" x14ac:dyDescent="0.2">
      <c r="A139" s="75">
        <v>2</v>
      </c>
      <c r="B139" s="62">
        <v>2</v>
      </c>
      <c r="C139" s="62">
        <v>5</v>
      </c>
      <c r="D139" s="62">
        <v>5</v>
      </c>
      <c r="E139" s="63" t="s">
        <v>35</v>
      </c>
      <c r="F139" s="76" t="s">
        <v>128</v>
      </c>
      <c r="G139" s="64">
        <f>'[3]CUENTA T FONDO 100'!BN288</f>
        <v>0</v>
      </c>
      <c r="H139" s="64">
        <f>'[3]CUENTA T VS'!BN81</f>
        <v>0</v>
      </c>
      <c r="I139" s="101"/>
      <c r="J139" s="64">
        <f t="shared" si="4"/>
        <v>0</v>
      </c>
      <c r="K139" s="65">
        <f>J139/$J$25</f>
        <v>0</v>
      </c>
    </row>
    <row r="140" spans="1:11" x14ac:dyDescent="0.2">
      <c r="A140" s="73">
        <v>2</v>
      </c>
      <c r="B140" s="58">
        <v>2</v>
      </c>
      <c r="C140" s="58">
        <v>5</v>
      </c>
      <c r="D140" s="58">
        <v>6</v>
      </c>
      <c r="E140" s="78"/>
      <c r="F140" s="74" t="s">
        <v>129</v>
      </c>
      <c r="G140" s="59">
        <f>SUM(G141)</f>
        <v>0</v>
      </c>
      <c r="H140" s="59">
        <f>SUM(H141)</f>
        <v>0</v>
      </c>
      <c r="I140" s="59">
        <f>SUM(I141)</f>
        <v>0</v>
      </c>
      <c r="J140" s="59">
        <f t="shared" si="4"/>
        <v>0</v>
      </c>
      <c r="K140" s="68"/>
    </row>
    <row r="141" spans="1:11" x14ac:dyDescent="0.2">
      <c r="A141" s="75">
        <v>2</v>
      </c>
      <c r="B141" s="62">
        <v>2</v>
      </c>
      <c r="C141" s="62">
        <v>5</v>
      </c>
      <c r="D141" s="62">
        <v>6</v>
      </c>
      <c r="E141" s="63" t="s">
        <v>35</v>
      </c>
      <c r="F141" s="76" t="s">
        <v>129</v>
      </c>
      <c r="G141" s="64">
        <f>'[3]CUENTA T FONDO 100'!BO288</f>
        <v>0</v>
      </c>
      <c r="H141" s="64">
        <f>'[3]CUENTA T VS'!BO81</f>
        <v>0</v>
      </c>
      <c r="I141" s="101"/>
      <c r="J141" s="64">
        <f t="shared" si="4"/>
        <v>0</v>
      </c>
      <c r="K141" s="65">
        <f>J141/$J$25</f>
        <v>0</v>
      </c>
    </row>
    <row r="142" spans="1:11" x14ac:dyDescent="0.2">
      <c r="A142" s="73">
        <v>2</v>
      </c>
      <c r="B142" s="58">
        <v>2</v>
      </c>
      <c r="C142" s="58">
        <v>5</v>
      </c>
      <c r="D142" s="58">
        <v>7</v>
      </c>
      <c r="E142" s="78"/>
      <c r="F142" s="74" t="s">
        <v>130</v>
      </c>
      <c r="G142" s="59">
        <f>SUM(G143)</f>
        <v>0</v>
      </c>
      <c r="H142" s="59">
        <f>SUM(H143)</f>
        <v>0</v>
      </c>
      <c r="I142" s="59">
        <f>SUM(I143)</f>
        <v>0</v>
      </c>
      <c r="J142" s="59">
        <f t="shared" si="4"/>
        <v>0</v>
      </c>
      <c r="K142" s="68"/>
    </row>
    <row r="143" spans="1:11" x14ac:dyDescent="0.2">
      <c r="A143" s="75">
        <v>2</v>
      </c>
      <c r="B143" s="62">
        <v>2</v>
      </c>
      <c r="C143" s="62">
        <v>5</v>
      </c>
      <c r="D143" s="62">
        <v>7</v>
      </c>
      <c r="E143" s="63" t="s">
        <v>35</v>
      </c>
      <c r="F143" s="76" t="s">
        <v>130</v>
      </c>
      <c r="G143" s="64">
        <f>'[3]CUENTA T FONDO 100'!BP288</f>
        <v>0</v>
      </c>
      <c r="H143" s="64">
        <f>'[3]CUENTA T VS'!BP81</f>
        <v>0</v>
      </c>
      <c r="I143" s="101"/>
      <c r="J143" s="64">
        <f t="shared" si="4"/>
        <v>0</v>
      </c>
      <c r="K143" s="65">
        <f>J143/$J$25</f>
        <v>0</v>
      </c>
    </row>
    <row r="144" spans="1:11" x14ac:dyDescent="0.2">
      <c r="A144" s="73">
        <v>2</v>
      </c>
      <c r="B144" s="58">
        <v>2</v>
      </c>
      <c r="C144" s="58">
        <v>5</v>
      </c>
      <c r="D144" s="58">
        <v>8</v>
      </c>
      <c r="E144" s="78"/>
      <c r="F144" s="74" t="s">
        <v>131</v>
      </c>
      <c r="G144" s="59">
        <f>SUM(G145)</f>
        <v>0</v>
      </c>
      <c r="H144" s="59">
        <f>SUM(H145)</f>
        <v>0</v>
      </c>
      <c r="I144" s="59">
        <f>SUM(I145)</f>
        <v>0</v>
      </c>
      <c r="J144" s="59">
        <f t="shared" si="4"/>
        <v>0</v>
      </c>
      <c r="K144" s="68"/>
    </row>
    <row r="145" spans="1:11" x14ac:dyDescent="0.2">
      <c r="A145" s="75">
        <v>2</v>
      </c>
      <c r="B145" s="62">
        <v>2</v>
      </c>
      <c r="C145" s="62">
        <v>5</v>
      </c>
      <c r="D145" s="62">
        <v>8</v>
      </c>
      <c r="E145" s="63" t="s">
        <v>35</v>
      </c>
      <c r="F145" s="76" t="s">
        <v>131</v>
      </c>
      <c r="G145" s="64">
        <f>'[3]CUENTA T FONDO 100'!BQ288</f>
        <v>0</v>
      </c>
      <c r="H145" s="64">
        <f>'[3]CUENTA T VS'!BQ81</f>
        <v>0</v>
      </c>
      <c r="I145" s="101"/>
      <c r="J145" s="64">
        <f>SUM(G145:I145)</f>
        <v>0</v>
      </c>
      <c r="K145" s="65">
        <f>J145/$J$25</f>
        <v>0</v>
      </c>
    </row>
    <row r="146" spans="1:11" x14ac:dyDescent="0.2">
      <c r="A146" s="73">
        <v>2</v>
      </c>
      <c r="B146" s="58">
        <v>2</v>
      </c>
      <c r="C146" s="58">
        <v>5</v>
      </c>
      <c r="D146" s="58">
        <v>9</v>
      </c>
      <c r="E146" s="78"/>
      <c r="F146" s="74" t="s">
        <v>132</v>
      </c>
      <c r="G146" s="59">
        <f>SUM(G147)</f>
        <v>0</v>
      </c>
      <c r="H146" s="59">
        <f>SUM(H147)</f>
        <v>0</v>
      </c>
      <c r="I146" s="59">
        <f>SUM(I147)</f>
        <v>0</v>
      </c>
      <c r="J146" s="59">
        <f>SUM(G146:I146)</f>
        <v>0</v>
      </c>
      <c r="K146" s="68"/>
    </row>
    <row r="147" spans="1:11" x14ac:dyDescent="0.2">
      <c r="A147" s="75">
        <v>2</v>
      </c>
      <c r="B147" s="62">
        <v>2</v>
      </c>
      <c r="C147" s="62">
        <v>5</v>
      </c>
      <c r="D147" s="62">
        <v>9</v>
      </c>
      <c r="E147" s="63" t="s">
        <v>35</v>
      </c>
      <c r="F147" s="76" t="s">
        <v>133</v>
      </c>
      <c r="G147" s="64">
        <f>'[3]CUENTA T FONDO 100'!BR288</f>
        <v>0</v>
      </c>
      <c r="H147" s="64">
        <f>'[3]CUENTA T VS'!BR81</f>
        <v>0</v>
      </c>
      <c r="I147" s="101"/>
      <c r="J147" s="64">
        <f>SUM(G147:I147)</f>
        <v>0</v>
      </c>
      <c r="K147" s="65">
        <f>J147/$J$25</f>
        <v>0</v>
      </c>
    </row>
    <row r="148" spans="1:11" x14ac:dyDescent="0.2">
      <c r="A148" s="54">
        <v>2</v>
      </c>
      <c r="B148" s="55">
        <v>2</v>
      </c>
      <c r="C148" s="55">
        <v>6</v>
      </c>
      <c r="D148" s="55"/>
      <c r="E148" s="55"/>
      <c r="F148" s="72" t="s">
        <v>134</v>
      </c>
      <c r="G148" s="56">
        <f>+G149+G151+G153+G155</f>
        <v>0</v>
      </c>
      <c r="H148" s="56">
        <f>+H149+H151+H153+H155</f>
        <v>0</v>
      </c>
      <c r="I148" s="56">
        <f>+I149+I151+I153+I155</f>
        <v>0</v>
      </c>
      <c r="J148" s="56">
        <f t="shared" si="4"/>
        <v>0</v>
      </c>
      <c r="K148" s="53"/>
    </row>
    <row r="149" spans="1:11" x14ac:dyDescent="0.2">
      <c r="A149" s="73">
        <v>2</v>
      </c>
      <c r="B149" s="58">
        <v>2</v>
      </c>
      <c r="C149" s="58">
        <v>6</v>
      </c>
      <c r="D149" s="58">
        <v>1</v>
      </c>
      <c r="E149" s="78"/>
      <c r="F149" s="74" t="s">
        <v>135</v>
      </c>
      <c r="G149" s="59">
        <f>SUM(G150)</f>
        <v>0</v>
      </c>
      <c r="H149" s="59">
        <f>SUM(H150)</f>
        <v>0</v>
      </c>
      <c r="I149" s="59">
        <f>SUM(I150)</f>
        <v>0</v>
      </c>
      <c r="J149" s="59">
        <f t="shared" si="4"/>
        <v>0</v>
      </c>
      <c r="K149" s="68"/>
    </row>
    <row r="150" spans="1:11" x14ac:dyDescent="0.2">
      <c r="A150" s="75">
        <v>2</v>
      </c>
      <c r="B150" s="62">
        <v>2</v>
      </c>
      <c r="C150" s="62">
        <v>6</v>
      </c>
      <c r="D150" s="62">
        <v>1</v>
      </c>
      <c r="E150" s="63" t="s">
        <v>35</v>
      </c>
      <c r="F150" s="76" t="s">
        <v>135</v>
      </c>
      <c r="G150" s="64">
        <f>'[3]CUENTA T FONDO 100'!BS288</f>
        <v>0</v>
      </c>
      <c r="H150" s="64">
        <f>'[3]CUENTA T VS'!BS81</f>
        <v>0</v>
      </c>
      <c r="I150" s="101"/>
      <c r="J150" s="64">
        <f t="shared" si="4"/>
        <v>0</v>
      </c>
      <c r="K150" s="65">
        <f>J150/$J$25</f>
        <v>0</v>
      </c>
    </row>
    <row r="151" spans="1:11" x14ac:dyDescent="0.2">
      <c r="A151" s="73">
        <v>2</v>
      </c>
      <c r="B151" s="58">
        <v>2</v>
      </c>
      <c r="C151" s="58">
        <v>6</v>
      </c>
      <c r="D151" s="58">
        <v>2</v>
      </c>
      <c r="E151" s="58"/>
      <c r="F151" s="74" t="s">
        <v>136</v>
      </c>
      <c r="G151" s="59">
        <f>SUM(G152)</f>
        <v>0</v>
      </c>
      <c r="H151" s="59">
        <f>SUM(H152)</f>
        <v>0</v>
      </c>
      <c r="I151" s="59">
        <f>SUM(I152)</f>
        <v>0</v>
      </c>
      <c r="J151" s="59">
        <f t="shared" si="4"/>
        <v>0</v>
      </c>
      <c r="K151" s="68"/>
    </row>
    <row r="152" spans="1:11" x14ac:dyDescent="0.2">
      <c r="A152" s="75">
        <v>2</v>
      </c>
      <c r="B152" s="62">
        <v>2</v>
      </c>
      <c r="C152" s="62">
        <v>6</v>
      </c>
      <c r="D152" s="62">
        <v>2</v>
      </c>
      <c r="E152" s="63" t="s">
        <v>35</v>
      </c>
      <c r="F152" s="76" t="s">
        <v>136</v>
      </c>
      <c r="G152" s="64">
        <f>'[3]CUENTA T FONDO 100'!BT288</f>
        <v>0</v>
      </c>
      <c r="H152" s="64">
        <f>'[3]CUENTA T VS'!BT81</f>
        <v>0</v>
      </c>
      <c r="I152" s="101"/>
      <c r="J152" s="64">
        <f t="shared" si="4"/>
        <v>0</v>
      </c>
      <c r="K152" s="65">
        <f>J152/$J$25</f>
        <v>0</v>
      </c>
    </row>
    <row r="153" spans="1:11" x14ac:dyDescent="0.2">
      <c r="A153" s="73">
        <v>2</v>
      </c>
      <c r="B153" s="58">
        <v>2</v>
      </c>
      <c r="C153" s="58">
        <v>6</v>
      </c>
      <c r="D153" s="58">
        <v>3</v>
      </c>
      <c r="E153" s="58"/>
      <c r="F153" s="74" t="s">
        <v>137</v>
      </c>
      <c r="G153" s="59">
        <f>SUM(G154)</f>
        <v>0</v>
      </c>
      <c r="H153" s="59">
        <f>SUM(H154)</f>
        <v>0</v>
      </c>
      <c r="I153" s="59">
        <f>SUM(I154)</f>
        <v>0</v>
      </c>
      <c r="J153" s="59">
        <f t="shared" si="4"/>
        <v>0</v>
      </c>
      <c r="K153" s="68"/>
    </row>
    <row r="154" spans="1:11" x14ac:dyDescent="0.2">
      <c r="A154" s="75">
        <v>2</v>
      </c>
      <c r="B154" s="62">
        <v>2</v>
      </c>
      <c r="C154" s="62">
        <v>6</v>
      </c>
      <c r="D154" s="62">
        <v>3</v>
      </c>
      <c r="E154" s="63" t="s">
        <v>35</v>
      </c>
      <c r="F154" s="76" t="s">
        <v>137</v>
      </c>
      <c r="G154" s="64">
        <f>'[3]CUENTA T FONDO 100'!BU288</f>
        <v>0</v>
      </c>
      <c r="H154" s="64">
        <f>'[3]CUENTA T VS'!BU81</f>
        <v>0</v>
      </c>
      <c r="I154" s="101"/>
      <c r="J154" s="64">
        <f t="shared" ref="J154:J218" si="5">SUM(G154:I154)</f>
        <v>0</v>
      </c>
      <c r="K154" s="65">
        <f>J154/$J$25</f>
        <v>0</v>
      </c>
    </row>
    <row r="155" spans="1:11" x14ac:dyDescent="0.2">
      <c r="A155" s="73">
        <v>2</v>
      </c>
      <c r="B155" s="58">
        <v>2</v>
      </c>
      <c r="C155" s="58">
        <v>6</v>
      </c>
      <c r="D155" s="58">
        <v>4</v>
      </c>
      <c r="E155" s="58"/>
      <c r="F155" s="74" t="s">
        <v>138</v>
      </c>
      <c r="G155" s="59">
        <f>SUM(G156)</f>
        <v>0</v>
      </c>
      <c r="H155" s="59">
        <f>SUM(H156)</f>
        <v>0</v>
      </c>
      <c r="I155" s="59">
        <f>SUM(I156)</f>
        <v>0</v>
      </c>
      <c r="J155" s="59">
        <f t="shared" si="5"/>
        <v>0</v>
      </c>
      <c r="K155" s="68"/>
    </row>
    <row r="156" spans="1:11" x14ac:dyDescent="0.2">
      <c r="A156" s="75">
        <v>2</v>
      </c>
      <c r="B156" s="62">
        <v>2</v>
      </c>
      <c r="C156" s="62">
        <v>6</v>
      </c>
      <c r="D156" s="62">
        <v>4</v>
      </c>
      <c r="E156" s="63" t="s">
        <v>35</v>
      </c>
      <c r="F156" s="76" t="s">
        <v>138</v>
      </c>
      <c r="G156" s="64">
        <f>'[3]CUENTA T FONDO 100'!BV288</f>
        <v>0</v>
      </c>
      <c r="H156" s="64">
        <f>'[3]CUENTA T VS'!BV81</f>
        <v>0</v>
      </c>
      <c r="I156" s="101"/>
      <c r="J156" s="64">
        <f t="shared" si="5"/>
        <v>0</v>
      </c>
      <c r="K156" s="65">
        <f>J156/$J$25</f>
        <v>0</v>
      </c>
    </row>
    <row r="157" spans="1:11" ht="38.25" x14ac:dyDescent="0.2">
      <c r="A157" s="54">
        <v>2</v>
      </c>
      <c r="B157" s="55">
        <v>2</v>
      </c>
      <c r="C157" s="55">
        <v>7</v>
      </c>
      <c r="D157" s="55"/>
      <c r="E157" s="79"/>
      <c r="F157" s="80" t="s">
        <v>139</v>
      </c>
      <c r="G157" s="56">
        <f>+G158+G167+G177</f>
        <v>0</v>
      </c>
      <c r="H157" s="56">
        <f>+H158+H167+H177</f>
        <v>2064518.35</v>
      </c>
      <c r="I157" s="56">
        <f>+I158+I167+I177</f>
        <v>0</v>
      </c>
      <c r="J157" s="56">
        <f t="shared" si="5"/>
        <v>2064518.35</v>
      </c>
      <c r="K157" s="53"/>
    </row>
    <row r="158" spans="1:11" x14ac:dyDescent="0.2">
      <c r="A158" s="73">
        <v>2</v>
      </c>
      <c r="B158" s="58">
        <v>2</v>
      </c>
      <c r="C158" s="58">
        <v>7</v>
      </c>
      <c r="D158" s="58">
        <v>1</v>
      </c>
      <c r="E158" s="58"/>
      <c r="F158" s="74" t="s">
        <v>140</v>
      </c>
      <c r="G158" s="59">
        <f>SUM(G159:G166)</f>
        <v>0</v>
      </c>
      <c r="H158" s="59">
        <f>SUM(H159:H166)</f>
        <v>152918.35</v>
      </c>
      <c r="I158" s="59">
        <f>SUM(I159:I166)</f>
        <v>0</v>
      </c>
      <c r="J158" s="59">
        <f t="shared" si="5"/>
        <v>152918.35</v>
      </c>
      <c r="K158" s="68"/>
    </row>
    <row r="159" spans="1:11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1" t="s">
        <v>141</v>
      </c>
      <c r="G159" s="64">
        <f>'[3]CUENTA T FONDO 100'!BW288</f>
        <v>0</v>
      </c>
      <c r="H159" s="64">
        <f>'[3]CUENTA T VS'!BW81</f>
        <v>21673.46</v>
      </c>
      <c r="I159" s="101"/>
      <c r="J159" s="64">
        <f t="shared" si="5"/>
        <v>21673.46</v>
      </c>
      <c r="K159" s="65">
        <f t="shared" ref="K159:K166" si="6">J159/$J$25</f>
        <v>2.819010529702517E-4</v>
      </c>
    </row>
    <row r="160" spans="1:11" ht="25.5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1" t="s">
        <v>142</v>
      </c>
      <c r="G160" s="64">
        <f>'[3]CUENTA T FONDO 100'!BX288</f>
        <v>0</v>
      </c>
      <c r="H160" s="64">
        <f>'[3]CUENTA T VS'!BX81</f>
        <v>131244.89000000001</v>
      </c>
      <c r="I160" s="101"/>
      <c r="J160" s="64">
        <f t="shared" si="5"/>
        <v>131244.89000000001</v>
      </c>
      <c r="K160" s="65">
        <f t="shared" si="6"/>
        <v>1.7070681233160218E-3</v>
      </c>
    </row>
    <row r="161" spans="1:11" ht="25.5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1" t="s">
        <v>143</v>
      </c>
      <c r="G161" s="64">
        <f>'[3]CUENTA T FONDO 100'!BY288</f>
        <v>0</v>
      </c>
      <c r="H161" s="64">
        <f>'[3]CUENTA T VS'!BY81</f>
        <v>0</v>
      </c>
      <c r="I161" s="101"/>
      <c r="J161" s="64">
        <f t="shared" si="5"/>
        <v>0</v>
      </c>
      <c r="K161" s="65">
        <f t="shared" si="6"/>
        <v>0</v>
      </c>
    </row>
    <row r="162" spans="1:11" ht="38.2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1" t="s">
        <v>144</v>
      </c>
      <c r="G162" s="64">
        <f>'[3]CUENTA T FONDO 100'!BZ288</f>
        <v>0</v>
      </c>
      <c r="H162" s="64">
        <f>'[3]CUENTA T VS'!BZ81</f>
        <v>0</v>
      </c>
      <c r="I162" s="101"/>
      <c r="J162" s="64">
        <f t="shared" si="5"/>
        <v>0</v>
      </c>
      <c r="K162" s="65">
        <f t="shared" si="6"/>
        <v>0</v>
      </c>
    </row>
    <row r="163" spans="1:11" ht="25.5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1" t="s">
        <v>145</v>
      </c>
      <c r="G163" s="64">
        <f>'[3]CUENTA T FONDO 100'!CA288</f>
        <v>0</v>
      </c>
      <c r="H163" s="64">
        <f>'[3]CUENTA T VS'!CA81</f>
        <v>0</v>
      </c>
      <c r="I163" s="101"/>
      <c r="J163" s="64">
        <f t="shared" si="5"/>
        <v>0</v>
      </c>
      <c r="K163" s="65">
        <f t="shared" si="6"/>
        <v>0</v>
      </c>
    </row>
    <row r="164" spans="1:11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1" t="s">
        <v>146</v>
      </c>
      <c r="G164" s="64">
        <f>'[3]CUENTA T FONDO 100'!CB288</f>
        <v>0</v>
      </c>
      <c r="H164" s="64">
        <f>'[3]CUENTA T VS'!CB81</f>
        <v>0</v>
      </c>
      <c r="I164" s="101"/>
      <c r="J164" s="64">
        <f t="shared" si="5"/>
        <v>0</v>
      </c>
      <c r="K164" s="65">
        <f t="shared" si="6"/>
        <v>0</v>
      </c>
    </row>
    <row r="165" spans="1:11" ht="38.2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1" t="s">
        <v>147</v>
      </c>
      <c r="G165" s="64">
        <f>'[3]CUENTA T FONDO 100'!CC288</f>
        <v>0</v>
      </c>
      <c r="H165" s="64">
        <f>'[3]CUENTA T VS'!CC81</f>
        <v>0</v>
      </c>
      <c r="I165" s="101"/>
      <c r="J165" s="64">
        <f t="shared" si="5"/>
        <v>0</v>
      </c>
      <c r="K165" s="65">
        <f t="shared" si="6"/>
        <v>0</v>
      </c>
    </row>
    <row r="166" spans="1:11" ht="38.2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1" t="s">
        <v>149</v>
      </c>
      <c r="G166" s="64">
        <f>'[3]CUENTA T FONDO 100'!CD288</f>
        <v>0</v>
      </c>
      <c r="H166" s="64">
        <f>'[3]CUENTA T VS'!CD81</f>
        <v>0</v>
      </c>
      <c r="I166" s="101"/>
      <c r="J166" s="64">
        <f t="shared" si="5"/>
        <v>0</v>
      </c>
      <c r="K166" s="65">
        <f t="shared" si="6"/>
        <v>0</v>
      </c>
    </row>
    <row r="167" spans="1:11" x14ac:dyDescent="0.2">
      <c r="A167" s="73">
        <v>2</v>
      </c>
      <c r="B167" s="58">
        <v>2</v>
      </c>
      <c r="C167" s="58">
        <v>7</v>
      </c>
      <c r="D167" s="58">
        <v>2</v>
      </c>
      <c r="E167" s="58"/>
      <c r="F167" s="74" t="s">
        <v>150</v>
      </c>
      <c r="G167" s="59">
        <f>SUM(G168:G176)</f>
        <v>0</v>
      </c>
      <c r="H167" s="59">
        <f>SUM(H168:H176)</f>
        <v>1911600</v>
      </c>
      <c r="I167" s="59">
        <f>SUM(I168:I176)</f>
        <v>0</v>
      </c>
      <c r="J167" s="59">
        <f t="shared" si="5"/>
        <v>1911600</v>
      </c>
      <c r="K167" s="68"/>
    </row>
    <row r="168" spans="1:11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1" t="s">
        <v>151</v>
      </c>
      <c r="G168" s="64">
        <f>'[3]CUENTA T FONDO 100'!CE288</f>
        <v>0</v>
      </c>
      <c r="H168" s="64">
        <f>'[3]CUENTA T VS'!CE81</f>
        <v>0</v>
      </c>
      <c r="I168" s="101"/>
      <c r="J168" s="64">
        <f t="shared" si="5"/>
        <v>0</v>
      </c>
      <c r="K168" s="65">
        <f t="shared" ref="K168:K176" si="7">J168/$J$25</f>
        <v>0</v>
      </c>
    </row>
    <row r="169" spans="1:11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1" t="s">
        <v>152</v>
      </c>
      <c r="G169" s="64">
        <f>'[3]CUENTA T FONDO 100'!CF288</f>
        <v>0</v>
      </c>
      <c r="H169" s="64">
        <f>'[3]CUENTA T VS'!CF81</f>
        <v>0</v>
      </c>
      <c r="I169" s="101"/>
      <c r="J169" s="64">
        <f t="shared" si="5"/>
        <v>0</v>
      </c>
      <c r="K169" s="65">
        <f t="shared" si="7"/>
        <v>0</v>
      </c>
    </row>
    <row r="170" spans="1:11" ht="25.5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1" t="s">
        <v>153</v>
      </c>
      <c r="G170" s="64">
        <f>'[3]CUENTA T FONDO 100'!CG288</f>
        <v>0</v>
      </c>
      <c r="H170" s="64">
        <f>'[3]CUENTA T VS'!CG81</f>
        <v>0</v>
      </c>
      <c r="I170" s="101"/>
      <c r="J170" s="64">
        <f t="shared" si="5"/>
        <v>0</v>
      </c>
      <c r="K170" s="65">
        <f t="shared" si="7"/>
        <v>0</v>
      </c>
    </row>
    <row r="171" spans="1:11" ht="38.2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1" t="s">
        <v>154</v>
      </c>
      <c r="G171" s="64">
        <f>'[3]CUENTA T FONDO 100'!CH288</f>
        <v>0</v>
      </c>
      <c r="H171" s="64">
        <f>'[3]CUENTA T VS'!CH81</f>
        <v>1888000</v>
      </c>
      <c r="I171" s="101"/>
      <c r="J171" s="64">
        <f t="shared" si="5"/>
        <v>1888000</v>
      </c>
      <c r="K171" s="65">
        <f t="shared" si="7"/>
        <v>2.4556724584253519E-2</v>
      </c>
    </row>
    <row r="172" spans="1:11" ht="25.5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1" t="s">
        <v>155</v>
      </c>
      <c r="G172" s="64">
        <f>'[3]CUENTA T FONDO 100'!CI288</f>
        <v>0</v>
      </c>
      <c r="H172" s="64">
        <f>'[3]CUENTA T VS'!CI81</f>
        <v>0</v>
      </c>
      <c r="I172" s="101"/>
      <c r="J172" s="64">
        <f t="shared" si="5"/>
        <v>0</v>
      </c>
      <c r="K172" s="65">
        <f t="shared" si="7"/>
        <v>0</v>
      </c>
    </row>
    <row r="173" spans="1:11" ht="38.2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2" t="s">
        <v>156</v>
      </c>
      <c r="G173" s="64">
        <f>'[3]CUENTA T FONDO 100'!CJ288</f>
        <v>0</v>
      </c>
      <c r="H173" s="64">
        <f>'[3]CUENTA T VS'!CJ81</f>
        <v>23600</v>
      </c>
      <c r="I173" s="64"/>
      <c r="J173" s="64">
        <f t="shared" si="5"/>
        <v>23600</v>
      </c>
      <c r="K173" s="65">
        <f t="shared" si="7"/>
        <v>3.0695905730316898E-4</v>
      </c>
    </row>
    <row r="174" spans="1:11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2" t="s">
        <v>157</v>
      </c>
      <c r="G174" s="64">
        <f>'[3]CUENTA T FONDO 100'!CK288</f>
        <v>0</v>
      </c>
      <c r="H174" s="64">
        <f>'[3]CUENTA T VS'!CK81</f>
        <v>0</v>
      </c>
      <c r="I174" s="64"/>
      <c r="J174" s="64">
        <f t="shared" si="5"/>
        <v>0</v>
      </c>
      <c r="K174" s="65">
        <f t="shared" si="7"/>
        <v>0</v>
      </c>
    </row>
    <row r="175" spans="1:11" ht="25.5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2" t="s">
        <v>158</v>
      </c>
      <c r="G175" s="64">
        <f>'[3]CUENTA T FONDO 100'!CL288</f>
        <v>0</v>
      </c>
      <c r="H175" s="64">
        <f>'[3]CUENTA T VS'!CL81</f>
        <v>0</v>
      </c>
      <c r="I175" s="64"/>
      <c r="J175" s="64">
        <f t="shared" si="5"/>
        <v>0</v>
      </c>
      <c r="K175" s="65">
        <f t="shared" si="7"/>
        <v>0</v>
      </c>
    </row>
    <row r="176" spans="1:11" ht="51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2" t="s">
        <v>159</v>
      </c>
      <c r="G176" s="64">
        <f>'[3]CUENTA T FONDO 100'!CM288</f>
        <v>0</v>
      </c>
      <c r="H176" s="64">
        <f>'[3]CUENTA T VS'!CM81</f>
        <v>0</v>
      </c>
      <c r="I176" s="64"/>
      <c r="J176" s="64">
        <f t="shared" si="5"/>
        <v>0</v>
      </c>
      <c r="K176" s="65">
        <f t="shared" si="7"/>
        <v>0</v>
      </c>
    </row>
    <row r="177" spans="1:12" x14ac:dyDescent="0.2">
      <c r="A177" s="57">
        <v>2</v>
      </c>
      <c r="B177" s="58">
        <v>2</v>
      </c>
      <c r="C177" s="58">
        <v>7</v>
      </c>
      <c r="D177" s="58">
        <v>3</v>
      </c>
      <c r="E177" s="78"/>
      <c r="F177" s="57" t="s">
        <v>160</v>
      </c>
      <c r="G177" s="59">
        <f>SUM(G178)</f>
        <v>0</v>
      </c>
      <c r="H177" s="59">
        <f>SUM(H178)</f>
        <v>0</v>
      </c>
      <c r="I177" s="59">
        <f>SUM(I178)</f>
        <v>0</v>
      </c>
      <c r="J177" s="59">
        <f t="shared" si="5"/>
        <v>0</v>
      </c>
      <c r="K177" s="68"/>
    </row>
    <row r="178" spans="1:12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'[3]CUENTA T FONDO 100'!CN288</f>
        <v>0</v>
      </c>
      <c r="H178" s="64">
        <f>'[3]CUENTA T VS'!CN81</f>
        <v>0</v>
      </c>
      <c r="I178" s="101"/>
      <c r="J178" s="64">
        <f t="shared" si="5"/>
        <v>0</v>
      </c>
      <c r="K178" s="65">
        <f>J178/$J$25</f>
        <v>0</v>
      </c>
    </row>
    <row r="179" spans="1:12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0</v>
      </c>
      <c r="H179" s="56">
        <f>+H180+H182+H184+H186+H188+H192+H197+H204</f>
        <v>51345.35</v>
      </c>
      <c r="I179" s="56">
        <f>+I180+I182+I184+I186+I188+I192+I197+I204</f>
        <v>0</v>
      </c>
      <c r="J179" s="56">
        <f t="shared" si="5"/>
        <v>51345.35</v>
      </c>
      <c r="K179" s="53"/>
    </row>
    <row r="180" spans="1:12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>SUM(I181)</f>
        <v>0</v>
      </c>
      <c r="J180" s="59">
        <f t="shared" si="5"/>
        <v>0</v>
      </c>
      <c r="K180" s="68"/>
    </row>
    <row r="181" spans="1:12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'[3]CUENTA T FONDO 100'!CO288</f>
        <v>0</v>
      </c>
      <c r="H181" s="64">
        <f>'[3]CUENTA T VS'!CO81</f>
        <v>0</v>
      </c>
      <c r="I181" s="64"/>
      <c r="J181" s="64">
        <f t="shared" si="5"/>
        <v>0</v>
      </c>
      <c r="K181" s="65">
        <f>J181/$J$25</f>
        <v>0</v>
      </c>
    </row>
    <row r="182" spans="1:12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13357.35</v>
      </c>
      <c r="I182" s="59">
        <f>SUM(I183)</f>
        <v>0</v>
      </c>
      <c r="J182" s="59">
        <f t="shared" si="5"/>
        <v>13357.35</v>
      </c>
      <c r="K182" s="68"/>
    </row>
    <row r="183" spans="1:12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'[3]CUENTA T FONDO 100'!CP288</f>
        <v>0</v>
      </c>
      <c r="H183" s="64">
        <f>'[3]CUENTA T VS'!CP81</f>
        <v>13357.35</v>
      </c>
      <c r="I183" s="64"/>
      <c r="J183" s="64">
        <f t="shared" si="5"/>
        <v>13357.35</v>
      </c>
      <c r="K183" s="65">
        <f>J183/$J$25</f>
        <v>1.737355747486646E-4</v>
      </c>
      <c r="L183" s="27"/>
    </row>
    <row r="184" spans="1:12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0</v>
      </c>
      <c r="I184" s="59">
        <f>SUM(I185)</f>
        <v>0</v>
      </c>
      <c r="J184" s="59">
        <f t="shared" si="5"/>
        <v>0</v>
      </c>
      <c r="K184" s="68"/>
    </row>
    <row r="185" spans="1:12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'[3]CUENTA T FONDO 100'!CQ288</f>
        <v>0</v>
      </c>
      <c r="H185" s="64">
        <f>'[3]CUENTA T VS'!CQ81</f>
        <v>0</v>
      </c>
      <c r="I185" s="64"/>
      <c r="J185" s="64">
        <f t="shared" si="5"/>
        <v>0</v>
      </c>
      <c r="K185" s="65">
        <f>J185/$J$25</f>
        <v>0</v>
      </c>
    </row>
    <row r="186" spans="1:12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>SUM(I187)</f>
        <v>0</v>
      </c>
      <c r="J186" s="59">
        <f t="shared" si="5"/>
        <v>0</v>
      </c>
      <c r="K186" s="68"/>
    </row>
    <row r="187" spans="1:12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'[3]CUENTA T FONDO 100'!CR288</f>
        <v>0</v>
      </c>
      <c r="H187" s="64">
        <f>'[3]CUENTA T VS'!CR81</f>
        <v>0</v>
      </c>
      <c r="I187" s="64"/>
      <c r="J187" s="64">
        <f t="shared" si="5"/>
        <v>0</v>
      </c>
      <c r="K187" s="65">
        <f>J187/$J$25</f>
        <v>0</v>
      </c>
    </row>
    <row r="188" spans="1:12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10148</v>
      </c>
      <c r="I188" s="59">
        <f>SUM(I189:I191)</f>
        <v>0</v>
      </c>
      <c r="J188" s="59">
        <f t="shared" si="5"/>
        <v>10148</v>
      </c>
      <c r="K188" s="68"/>
    </row>
    <row r="189" spans="1:12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'[3]CUENTA T FONDO 100'!CS288</f>
        <v>0</v>
      </c>
      <c r="H189" s="64">
        <f>'[3]CUENTA T VS'!CS81</f>
        <v>0</v>
      </c>
      <c r="I189" s="64"/>
      <c r="J189" s="64">
        <f t="shared" si="5"/>
        <v>0</v>
      </c>
      <c r="K189" s="65">
        <f>J189/$J$25</f>
        <v>0</v>
      </c>
    </row>
    <row r="190" spans="1:12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'[3]CUENTA T FONDO 100'!CT288</f>
        <v>0</v>
      </c>
      <c r="H190" s="64">
        <f>'[3]CUENTA T VS'!CT81</f>
        <v>0</v>
      </c>
      <c r="I190" s="64"/>
      <c r="J190" s="64">
        <f t="shared" si="5"/>
        <v>0</v>
      </c>
      <c r="K190" s="65">
        <f>J190/$J$25</f>
        <v>0</v>
      </c>
    </row>
    <row r="191" spans="1:12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'[3]CUENTA T FONDO 100'!CU288</f>
        <v>0</v>
      </c>
      <c r="H191" s="64">
        <f>'[3]CUENTA T VS'!CU81</f>
        <v>10148</v>
      </c>
      <c r="I191" s="64"/>
      <c r="J191" s="64">
        <f t="shared" si="5"/>
        <v>10148</v>
      </c>
      <c r="K191" s="65">
        <f>J191/$J$25</f>
        <v>1.3199239464036267E-4</v>
      </c>
    </row>
    <row r="192" spans="1:12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>SUM(I193:I196)</f>
        <v>0</v>
      </c>
      <c r="J192" s="59">
        <f t="shared" si="5"/>
        <v>0</v>
      </c>
      <c r="K192" s="68"/>
    </row>
    <row r="193" spans="1:11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'[3]CUENTA T FONDO 100'!CV288</f>
        <v>0</v>
      </c>
      <c r="H193" s="64">
        <f>'[3]CUENTA T VS'!CV81</f>
        <v>0</v>
      </c>
      <c r="I193" s="64"/>
      <c r="J193" s="64">
        <f t="shared" si="5"/>
        <v>0</v>
      </c>
      <c r="K193" s="65">
        <f>J193/$J$25</f>
        <v>0</v>
      </c>
    </row>
    <row r="194" spans="1:11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'[3]CUENTA T FONDO 100'!CW288</f>
        <v>0</v>
      </c>
      <c r="H194" s="64">
        <f>'[3]CUENTA T VS'!CW81</f>
        <v>0</v>
      </c>
      <c r="I194" s="64"/>
      <c r="J194" s="64">
        <f t="shared" si="5"/>
        <v>0</v>
      </c>
      <c r="K194" s="65">
        <f>J194/$J$25</f>
        <v>0</v>
      </c>
    </row>
    <row r="195" spans="1:11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'[3]CUENTA T FONDO 100'!CX288</f>
        <v>0</v>
      </c>
      <c r="H195" s="64">
        <f>'[3]CUENTA T VS'!CX81</f>
        <v>0</v>
      </c>
      <c r="I195" s="64"/>
      <c r="J195" s="64">
        <f t="shared" si="5"/>
        <v>0</v>
      </c>
      <c r="K195" s="65">
        <f>J195/$J$25</f>
        <v>0</v>
      </c>
    </row>
    <row r="196" spans="1:11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'[3]CUENTA T FONDO 100'!CY288</f>
        <v>0</v>
      </c>
      <c r="H196" s="64">
        <f>'[3]CUENTA T VS'!CY81</f>
        <v>0</v>
      </c>
      <c r="I196" s="64"/>
      <c r="J196" s="64">
        <f t="shared" si="5"/>
        <v>0</v>
      </c>
      <c r="K196" s="65">
        <f>J196/$J$25</f>
        <v>0</v>
      </c>
    </row>
    <row r="197" spans="1:11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0</v>
      </c>
      <c r="H197" s="59">
        <f>SUM(H198:H203)</f>
        <v>27840</v>
      </c>
      <c r="I197" s="59">
        <f>SUM(I198:I203)</f>
        <v>0</v>
      </c>
      <c r="J197" s="59">
        <f t="shared" si="5"/>
        <v>27840</v>
      </c>
      <c r="K197" s="68"/>
    </row>
    <row r="198" spans="1:11" ht="25.5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2" t="s">
        <v>176</v>
      </c>
      <c r="G198" s="64">
        <f>'[3]CUENTA T FONDO 100'!CZ288</f>
        <v>0</v>
      </c>
      <c r="H198" s="64">
        <f>'[3]CUENTA T VS'!CZ81</f>
        <v>0</v>
      </c>
      <c r="I198" s="64"/>
      <c r="J198" s="64">
        <f t="shared" si="5"/>
        <v>0</v>
      </c>
      <c r="K198" s="65">
        <f t="shared" ref="K198:K203" si="8">J198/$J$25</f>
        <v>0</v>
      </c>
    </row>
    <row r="199" spans="1:11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2" t="s">
        <v>177</v>
      </c>
      <c r="G199" s="64">
        <f>'[3]CUENTA T FONDO 100'!DA288</f>
        <v>0</v>
      </c>
      <c r="H199" s="64">
        <f>'[3]CUENTA T VS'!DA81</f>
        <v>0</v>
      </c>
      <c r="I199" s="64"/>
      <c r="J199" s="64">
        <f t="shared" si="5"/>
        <v>0</v>
      </c>
      <c r="K199" s="65">
        <f t="shared" si="8"/>
        <v>0</v>
      </c>
    </row>
    <row r="200" spans="1:11" ht="25.5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2" t="s">
        <v>178</v>
      </c>
      <c r="G200" s="64">
        <f>'[3]CUENTA T FONDO 100'!DB288</f>
        <v>0</v>
      </c>
      <c r="H200" s="64">
        <f>'[3]CUENTA T VS'!DB81</f>
        <v>0</v>
      </c>
      <c r="I200" s="64"/>
      <c r="J200" s="64">
        <f t="shared" si="5"/>
        <v>0</v>
      </c>
      <c r="K200" s="65">
        <f t="shared" si="8"/>
        <v>0</v>
      </c>
    </row>
    <row r="201" spans="1:11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2" t="s">
        <v>179</v>
      </c>
      <c r="G201" s="64">
        <f>'[3]CUENTA T FONDO 100'!DC288</f>
        <v>0</v>
      </c>
      <c r="H201" s="64">
        <f>'[3]CUENTA T VS'!DC81</f>
        <v>0</v>
      </c>
      <c r="I201" s="64"/>
      <c r="J201" s="64">
        <f t="shared" si="5"/>
        <v>0</v>
      </c>
      <c r="K201" s="65">
        <f t="shared" si="8"/>
        <v>0</v>
      </c>
    </row>
    <row r="202" spans="1:11" ht="25.5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2" t="s">
        <v>180</v>
      </c>
      <c r="G202" s="64">
        <f>'[3]CUENTA T FONDO 100'!DD288</f>
        <v>0</v>
      </c>
      <c r="H202" s="64">
        <f>'[3]CUENTA T VS'!DD81</f>
        <v>0</v>
      </c>
      <c r="I202" s="64"/>
      <c r="J202" s="64">
        <f t="shared" si="5"/>
        <v>0</v>
      </c>
      <c r="K202" s="65">
        <f t="shared" si="8"/>
        <v>0</v>
      </c>
    </row>
    <row r="203" spans="1:11" ht="25.5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2" t="s">
        <v>181</v>
      </c>
      <c r="G203" s="64">
        <f>'[3]CUENTA T FONDO 100'!DE288</f>
        <v>0</v>
      </c>
      <c r="H203" s="64">
        <f>'[3]CUENTA T VS'!DE81</f>
        <v>27840</v>
      </c>
      <c r="I203" s="64"/>
      <c r="J203" s="64">
        <f t="shared" si="5"/>
        <v>27840</v>
      </c>
      <c r="K203" s="65">
        <f t="shared" si="8"/>
        <v>3.6210763370000948E-4</v>
      </c>
    </row>
    <row r="204" spans="1:11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3" t="s">
        <v>182</v>
      </c>
      <c r="G204" s="59">
        <f>SUM(G205:G207)</f>
        <v>0</v>
      </c>
      <c r="H204" s="59">
        <f>SUM(H205:H207)</f>
        <v>0</v>
      </c>
      <c r="I204" s="59">
        <f>SUM(I205:I207)</f>
        <v>0</v>
      </c>
      <c r="J204" s="59">
        <f t="shared" si="5"/>
        <v>0</v>
      </c>
      <c r="K204" s="68"/>
    </row>
    <row r="205" spans="1:11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2" t="s">
        <v>183</v>
      </c>
      <c r="G205" s="64">
        <f>'[3]CUENTA T FONDO 100'!DF288</f>
        <v>0</v>
      </c>
      <c r="H205" s="64">
        <f>'[3]CUENTA T VS'!DF81</f>
        <v>0</v>
      </c>
      <c r="I205" s="64"/>
      <c r="J205" s="64">
        <f t="shared" si="5"/>
        <v>0</v>
      </c>
      <c r="K205" s="65">
        <f>J205/$J$25</f>
        <v>0</v>
      </c>
    </row>
    <row r="206" spans="1:11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2" t="s">
        <v>184</v>
      </c>
      <c r="G206" s="64">
        <f>'[3]CUENTA T FONDO 100'!DG288</f>
        <v>0</v>
      </c>
      <c r="H206" s="64">
        <f>'[3]CUENTA T VS'!DG81</f>
        <v>0</v>
      </c>
      <c r="I206" s="64"/>
      <c r="J206" s="64">
        <f t="shared" si="5"/>
        <v>0</v>
      </c>
      <c r="K206" s="65">
        <f>J206/$J$25</f>
        <v>0</v>
      </c>
    </row>
    <row r="207" spans="1:11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2" t="s">
        <v>185</v>
      </c>
      <c r="G207" s="64">
        <f>'[3]CUENTA T FONDO 100'!DH288</f>
        <v>0</v>
      </c>
      <c r="H207" s="64">
        <f>'[3]CUENTA T VS'!DH81</f>
        <v>0</v>
      </c>
      <c r="I207" s="64"/>
      <c r="J207" s="64">
        <f t="shared" si="5"/>
        <v>0</v>
      </c>
      <c r="K207" s="65">
        <f>J207/$J$25</f>
        <v>0</v>
      </c>
    </row>
    <row r="208" spans="1:11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+G209</f>
        <v>0</v>
      </c>
      <c r="H208" s="56">
        <f>+H209</f>
        <v>0</v>
      </c>
      <c r="I208" s="56">
        <f>+I209</f>
        <v>0</v>
      </c>
      <c r="J208" s="56">
        <f t="shared" si="5"/>
        <v>0</v>
      </c>
      <c r="K208" s="53"/>
    </row>
    <row r="209" spans="1:11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>H210+H211</f>
        <v>0</v>
      </c>
      <c r="I209" s="59">
        <f>I210+I211</f>
        <v>0</v>
      </c>
      <c r="J209" s="59">
        <f t="shared" si="5"/>
        <v>0</v>
      </c>
      <c r="K209" s="68"/>
    </row>
    <row r="210" spans="1:11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2" t="s">
        <v>188</v>
      </c>
      <c r="G210" s="64">
        <f>'[3]CUENTA T FONDO 100'!DI288</f>
        <v>0</v>
      </c>
      <c r="H210" s="64">
        <f>'[3]CUENTA T VS'!DI81</f>
        <v>0</v>
      </c>
      <c r="I210" s="64"/>
      <c r="J210" s="64">
        <f t="shared" si="5"/>
        <v>0</v>
      </c>
      <c r="K210" s="65">
        <f>J210/$J$25</f>
        <v>0</v>
      </c>
    </row>
    <row r="211" spans="1:11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2" t="s">
        <v>189</v>
      </c>
      <c r="G211" s="64">
        <f>'[3]CUENTA T FONDO 100'!DJ288</f>
        <v>0</v>
      </c>
      <c r="H211" s="64">
        <f>'[3]CUENTA T VS'!DJ81</f>
        <v>0</v>
      </c>
      <c r="I211" s="64"/>
      <c r="J211" s="64">
        <f t="shared" si="5"/>
        <v>0</v>
      </c>
      <c r="K211" s="65">
        <f>J211/$J$25</f>
        <v>0</v>
      </c>
    </row>
    <row r="212" spans="1:11" x14ac:dyDescent="0.2">
      <c r="A212" s="71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4970601.1899999995</v>
      </c>
      <c r="H212" s="56">
        <f>H213+H225+H232+H245+H250+H261+H286+H303+H308</f>
        <v>3062630.67</v>
      </c>
      <c r="I212" s="56">
        <f>I213+I225+I232+I245+I250+I261+I286+I303+I308</f>
        <v>0</v>
      </c>
      <c r="J212" s="56">
        <f t="shared" si="5"/>
        <v>8033231.8599999994</v>
      </c>
      <c r="K212" s="53">
        <f>J212/$J$25</f>
        <v>0.10448615588319417</v>
      </c>
    </row>
    <row r="213" spans="1:11" x14ac:dyDescent="0.2">
      <c r="A213" s="71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0</v>
      </c>
      <c r="H213" s="56">
        <f>+H214+H217+H219+H223</f>
        <v>541265</v>
      </c>
      <c r="I213" s="56">
        <f>+I214+I217+I219+I223</f>
        <v>0</v>
      </c>
      <c r="J213" s="56">
        <f t="shared" si="5"/>
        <v>541265</v>
      </c>
      <c r="K213" s="53"/>
    </row>
    <row r="214" spans="1:11" x14ac:dyDescent="0.2">
      <c r="A214" s="73">
        <v>2</v>
      </c>
      <c r="B214" s="58">
        <v>3</v>
      </c>
      <c r="C214" s="58">
        <v>1</v>
      </c>
      <c r="D214" s="58">
        <v>1</v>
      </c>
      <c r="E214" s="78"/>
      <c r="F214" s="57" t="s">
        <v>192</v>
      </c>
      <c r="G214" s="59">
        <f>SUM(G215:G216)</f>
        <v>0</v>
      </c>
      <c r="H214" s="59">
        <f>SUM(H215:H216)</f>
        <v>541265</v>
      </c>
      <c r="I214" s="59">
        <f>SUM(I215:I216)</f>
        <v>0</v>
      </c>
      <c r="J214" s="59">
        <f t="shared" si="5"/>
        <v>541265</v>
      </c>
      <c r="K214" s="68"/>
    </row>
    <row r="215" spans="1:11" x14ac:dyDescent="0.2">
      <c r="A215" s="75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'[3]CUENTA T FONDO 100'!DK288</f>
        <v>0</v>
      </c>
      <c r="H215" s="64">
        <f>'[3]CUENTA T VS'!DK81</f>
        <v>541265</v>
      </c>
      <c r="I215" s="101"/>
      <c r="J215" s="64">
        <f t="shared" si="5"/>
        <v>541265</v>
      </c>
      <c r="K215" s="65">
        <f>J215/$J$25</f>
        <v>7.0400929725084639E-3</v>
      </c>
    </row>
    <row r="216" spans="1:11" x14ac:dyDescent="0.2">
      <c r="A216" s="75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'[3]CUENTA T FONDO 100'!DL288</f>
        <v>0</v>
      </c>
      <c r="H216" s="64">
        <f>'[3]CUENTA T VS'!DL81</f>
        <v>0</v>
      </c>
      <c r="I216" s="101"/>
      <c r="J216" s="64">
        <f t="shared" si="5"/>
        <v>0</v>
      </c>
      <c r="K216" s="65">
        <f>J216/$J$25</f>
        <v>0</v>
      </c>
    </row>
    <row r="217" spans="1:11" x14ac:dyDescent="0.2">
      <c r="A217" s="73">
        <v>2</v>
      </c>
      <c r="B217" s="58">
        <v>3</v>
      </c>
      <c r="C217" s="58">
        <v>1</v>
      </c>
      <c r="D217" s="58">
        <v>2</v>
      </c>
      <c r="E217" s="78"/>
      <c r="F217" s="57" t="s">
        <v>194</v>
      </c>
      <c r="G217" s="59">
        <f>SUM(G218)</f>
        <v>0</v>
      </c>
      <c r="H217" s="59">
        <f>SUM(H218)</f>
        <v>0</v>
      </c>
      <c r="I217" s="59">
        <f>SUM(I218)</f>
        <v>0</v>
      </c>
      <c r="J217" s="59">
        <f t="shared" si="5"/>
        <v>0</v>
      </c>
      <c r="K217" s="68"/>
    </row>
    <row r="218" spans="1:11" x14ac:dyDescent="0.2">
      <c r="A218" s="75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'[3]CUENTA T FONDO 100'!DM288</f>
        <v>0</v>
      </c>
      <c r="H218" s="64">
        <f>'[3]CUENTA T VS'!DM81</f>
        <v>0</v>
      </c>
      <c r="I218" s="101"/>
      <c r="J218" s="64">
        <f t="shared" si="5"/>
        <v>0</v>
      </c>
      <c r="K218" s="65">
        <f>J218/$J$25</f>
        <v>0</v>
      </c>
    </row>
    <row r="219" spans="1:11" x14ac:dyDescent="0.2">
      <c r="A219" s="73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>SUM(I220:I222)</f>
        <v>0</v>
      </c>
      <c r="J219" s="59">
        <f t="shared" ref="J219:J282" si="9">SUM(G219:I219)</f>
        <v>0</v>
      </c>
      <c r="K219" s="68"/>
    </row>
    <row r="220" spans="1:11" x14ac:dyDescent="0.2">
      <c r="A220" s="75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'[3]CUENTA T FONDO 100'!DN288</f>
        <v>0</v>
      </c>
      <c r="H220" s="64">
        <f>'[3]CUENTA T VS'!DN81</f>
        <v>0</v>
      </c>
      <c r="I220" s="101"/>
      <c r="J220" s="64">
        <f t="shared" si="9"/>
        <v>0</v>
      </c>
      <c r="K220" s="65">
        <f>J220/$J$25</f>
        <v>0</v>
      </c>
    </row>
    <row r="221" spans="1:11" x14ac:dyDescent="0.2">
      <c r="A221" s="75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'[3]CUENTA T FONDO 100'!DO288</f>
        <v>0</v>
      </c>
      <c r="H221" s="64">
        <f>'[3]CUENTA T VS'!DO81</f>
        <v>0</v>
      </c>
      <c r="I221" s="101"/>
      <c r="J221" s="64">
        <f t="shared" si="9"/>
        <v>0</v>
      </c>
      <c r="K221" s="65">
        <f>J221/$J$25</f>
        <v>0</v>
      </c>
    </row>
    <row r="222" spans="1:11" x14ac:dyDescent="0.2">
      <c r="A222" s="75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'[3]CUENTA T FONDO 100'!DP288</f>
        <v>0</v>
      </c>
      <c r="H222" s="64">
        <f>'[3]CUENTA T VS'!DP81</f>
        <v>0</v>
      </c>
      <c r="I222" s="101"/>
      <c r="J222" s="64">
        <f t="shared" si="9"/>
        <v>0</v>
      </c>
      <c r="K222" s="65">
        <f>J222/$J$25</f>
        <v>0</v>
      </c>
    </row>
    <row r="223" spans="1:11" x14ac:dyDescent="0.2">
      <c r="A223" s="73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>SUM(I224)</f>
        <v>0</v>
      </c>
      <c r="J223" s="59">
        <f t="shared" si="9"/>
        <v>0</v>
      </c>
      <c r="K223" s="68"/>
    </row>
    <row r="224" spans="1:11" x14ac:dyDescent="0.2">
      <c r="A224" s="75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'[3]CUENTA T FONDO 100'!DQ288</f>
        <v>0</v>
      </c>
      <c r="H224" s="64">
        <f>'[3]CUENTA T VS'!DQ81</f>
        <v>0</v>
      </c>
      <c r="I224" s="64"/>
      <c r="J224" s="64">
        <f t="shared" si="9"/>
        <v>0</v>
      </c>
      <c r="K224" s="65">
        <f>J224/$J$25</f>
        <v>0</v>
      </c>
    </row>
    <row r="225" spans="1:11" x14ac:dyDescent="0.2">
      <c r="A225" s="71">
        <v>2</v>
      </c>
      <c r="B225" s="55">
        <v>3</v>
      </c>
      <c r="C225" s="55">
        <v>2</v>
      </c>
      <c r="D225" s="55"/>
      <c r="E225" s="79"/>
      <c r="F225" s="54" t="s">
        <v>200</v>
      </c>
      <c r="G225" s="56">
        <f>+G226+G228+G230</f>
        <v>0</v>
      </c>
      <c r="H225" s="56">
        <f>+H226+H228+H230</f>
        <v>0</v>
      </c>
      <c r="I225" s="56">
        <f>+I226+I228+I230</f>
        <v>0</v>
      </c>
      <c r="J225" s="56">
        <f t="shared" si="9"/>
        <v>0</v>
      </c>
      <c r="K225" s="53"/>
    </row>
    <row r="226" spans="1:11" x14ac:dyDescent="0.2">
      <c r="A226" s="73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>SUM(I227)</f>
        <v>0</v>
      </c>
      <c r="J226" s="59">
        <f t="shared" si="9"/>
        <v>0</v>
      </c>
      <c r="K226" s="68"/>
    </row>
    <row r="227" spans="1:11" x14ac:dyDescent="0.2">
      <c r="A227" s="75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'[3]CUENTA T FONDO 100'!DR288</f>
        <v>0</v>
      </c>
      <c r="H227" s="64">
        <f>'[3]CUENTA T VS'!DR81</f>
        <v>0</v>
      </c>
      <c r="I227" s="64"/>
      <c r="J227" s="64">
        <f t="shared" si="9"/>
        <v>0</v>
      </c>
      <c r="K227" s="65">
        <f>J227/$J$25</f>
        <v>0</v>
      </c>
    </row>
    <row r="228" spans="1:11" x14ac:dyDescent="0.2">
      <c r="A228" s="73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0</v>
      </c>
      <c r="H228" s="59">
        <f>SUM(H229)</f>
        <v>0</v>
      </c>
      <c r="I228" s="59">
        <f>SUM(I229)</f>
        <v>0</v>
      </c>
      <c r="J228" s="59">
        <f t="shared" si="9"/>
        <v>0</v>
      </c>
      <c r="K228" s="68"/>
    </row>
    <row r="229" spans="1:11" x14ac:dyDescent="0.2">
      <c r="A229" s="75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'[3]CUENTA T FONDO 100'!DS288</f>
        <v>0</v>
      </c>
      <c r="H229" s="64">
        <f>'[3]CUENTA T VS'!DS81</f>
        <v>0</v>
      </c>
      <c r="I229" s="101"/>
      <c r="J229" s="64">
        <f t="shared" si="9"/>
        <v>0</v>
      </c>
      <c r="K229" s="65">
        <f>J229/$J$25</f>
        <v>0</v>
      </c>
    </row>
    <row r="230" spans="1:11" x14ac:dyDescent="0.2">
      <c r="A230" s="73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SUM(H231)</f>
        <v>0</v>
      </c>
      <c r="I230" s="59">
        <f>SUM(I231)</f>
        <v>0</v>
      </c>
      <c r="J230" s="59">
        <f t="shared" si="9"/>
        <v>0</v>
      </c>
      <c r="K230" s="68"/>
    </row>
    <row r="231" spans="1:11" x14ac:dyDescent="0.2">
      <c r="A231" s="75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'[3]CUENTA T FONDO 100'!DT288</f>
        <v>0</v>
      </c>
      <c r="H231" s="64">
        <f>'[3]CUENTA T VS'!DT81</f>
        <v>0</v>
      </c>
      <c r="I231" s="101"/>
      <c r="J231" s="64">
        <f t="shared" si="9"/>
        <v>0</v>
      </c>
      <c r="K231" s="65">
        <f>J231/$J$25</f>
        <v>0</v>
      </c>
    </row>
    <row r="232" spans="1:11" x14ac:dyDescent="0.2">
      <c r="A232" s="71">
        <v>2</v>
      </c>
      <c r="B232" s="55">
        <v>3</v>
      </c>
      <c r="C232" s="55">
        <v>3</v>
      </c>
      <c r="D232" s="55"/>
      <c r="E232" s="79"/>
      <c r="F232" s="54" t="s">
        <v>204</v>
      </c>
      <c r="G232" s="56">
        <f>+G233+G235+G237+G239+G241+G243</f>
        <v>0</v>
      </c>
      <c r="H232" s="56">
        <f>+H233+H235+H237+H239+H241+H243</f>
        <v>85550</v>
      </c>
      <c r="I232" s="56">
        <f>+I233+I235+I237+I239+I241+I243</f>
        <v>0</v>
      </c>
      <c r="J232" s="56">
        <f t="shared" si="9"/>
        <v>85550</v>
      </c>
      <c r="K232" s="53"/>
    </row>
    <row r="233" spans="1:11" x14ac:dyDescent="0.2">
      <c r="A233" s="73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0</v>
      </c>
      <c r="H233" s="59">
        <f>SUM(H234)</f>
        <v>0</v>
      </c>
      <c r="I233" s="59">
        <f>SUM(I234)</f>
        <v>0</v>
      </c>
      <c r="J233" s="59">
        <f t="shared" si="9"/>
        <v>0</v>
      </c>
      <c r="K233" s="68"/>
    </row>
    <row r="234" spans="1:11" x14ac:dyDescent="0.2">
      <c r="A234" s="75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'[3]CUENTA T FONDO 100'!DU288</f>
        <v>0</v>
      </c>
      <c r="H234" s="64">
        <f>'[3]CUENTA T VS'!DU81</f>
        <v>0</v>
      </c>
      <c r="I234" s="101"/>
      <c r="J234" s="64">
        <f t="shared" si="9"/>
        <v>0</v>
      </c>
      <c r="K234" s="65">
        <f>J234/$J$25</f>
        <v>0</v>
      </c>
    </row>
    <row r="235" spans="1:11" x14ac:dyDescent="0.2">
      <c r="A235" s="73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0</v>
      </c>
      <c r="H235" s="59">
        <f>SUM(H236)</f>
        <v>0</v>
      </c>
      <c r="I235" s="59">
        <f>SUM(I236)</f>
        <v>0</v>
      </c>
      <c r="J235" s="59">
        <f t="shared" si="9"/>
        <v>0</v>
      </c>
      <c r="K235" s="68"/>
    </row>
    <row r="236" spans="1:11" x14ac:dyDescent="0.2">
      <c r="A236" s="75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'[3]CUENTA T FONDO 100'!DV288</f>
        <v>0</v>
      </c>
      <c r="H236" s="64">
        <f>'[3]CUENTA T VS'!DV81</f>
        <v>0</v>
      </c>
      <c r="I236" s="64"/>
      <c r="J236" s="64">
        <f t="shared" si="9"/>
        <v>0</v>
      </c>
      <c r="K236" s="65">
        <f>J236/$J$25</f>
        <v>0</v>
      </c>
    </row>
    <row r="237" spans="1:11" x14ac:dyDescent="0.2">
      <c r="A237" s="73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0</v>
      </c>
      <c r="H237" s="59">
        <f>SUM(H238)</f>
        <v>85550</v>
      </c>
      <c r="I237" s="59">
        <f>SUM(I238)</f>
        <v>0</v>
      </c>
      <c r="J237" s="59">
        <f t="shared" si="9"/>
        <v>85550</v>
      </c>
      <c r="K237" s="68"/>
    </row>
    <row r="238" spans="1:11" x14ac:dyDescent="0.2">
      <c r="A238" s="75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'[3]CUENTA T FONDO 100'!DW288</f>
        <v>0</v>
      </c>
      <c r="H238" s="64">
        <f>'[3]CUENTA T VS'!DW81</f>
        <v>85550</v>
      </c>
      <c r="I238" s="64"/>
      <c r="J238" s="64">
        <f t="shared" si="9"/>
        <v>85550</v>
      </c>
      <c r="K238" s="65">
        <f>J238/$J$25</f>
        <v>1.1127265827239876E-3</v>
      </c>
    </row>
    <row r="239" spans="1:11" x14ac:dyDescent="0.2">
      <c r="A239" s="73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>SUM(I240)</f>
        <v>0</v>
      </c>
      <c r="J239" s="59">
        <f t="shared" si="9"/>
        <v>0</v>
      </c>
      <c r="K239" s="68"/>
    </row>
    <row r="240" spans="1:11" x14ac:dyDescent="0.2">
      <c r="A240" s="75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'[3]CUENTA T FONDO 100'!DX288</f>
        <v>0</v>
      </c>
      <c r="H240" s="64">
        <f>'[3]CUENTA T VS'!DX81</f>
        <v>0</v>
      </c>
      <c r="I240" s="64"/>
      <c r="J240" s="64">
        <f t="shared" si="9"/>
        <v>0</v>
      </c>
      <c r="K240" s="65">
        <f>J240/$J$25</f>
        <v>0</v>
      </c>
    </row>
    <row r="241" spans="1:11" x14ac:dyDescent="0.2">
      <c r="A241" s="73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>SUM(I242)</f>
        <v>0</v>
      </c>
      <c r="J241" s="59">
        <f t="shared" si="9"/>
        <v>0</v>
      </c>
      <c r="K241" s="68"/>
    </row>
    <row r="242" spans="1:11" x14ac:dyDescent="0.2">
      <c r="A242" s="75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'[3]CUENTA T FONDO 100'!DY288</f>
        <v>0</v>
      </c>
      <c r="H242" s="64">
        <f>'[3]CUENTA T VS'!DY81</f>
        <v>0</v>
      </c>
      <c r="I242" s="64"/>
      <c r="J242" s="64">
        <f t="shared" si="9"/>
        <v>0</v>
      </c>
      <c r="K242" s="65">
        <f>J242/$J$25</f>
        <v>0</v>
      </c>
    </row>
    <row r="243" spans="1:11" x14ac:dyDescent="0.2">
      <c r="A243" s="73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>SUM(I244)</f>
        <v>0</v>
      </c>
      <c r="J243" s="59">
        <f t="shared" si="9"/>
        <v>0</v>
      </c>
      <c r="K243" s="68"/>
    </row>
    <row r="244" spans="1:11" x14ac:dyDescent="0.2">
      <c r="A244" s="75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'[3]CUENTA T FONDO 100'!DZ288</f>
        <v>0</v>
      </c>
      <c r="H244" s="64">
        <f>'[3]CUENTA T VS'!DZ81</f>
        <v>0</v>
      </c>
      <c r="I244" s="64"/>
      <c r="J244" s="64">
        <f t="shared" si="9"/>
        <v>0</v>
      </c>
      <c r="K244" s="65">
        <f>J244/$J$25</f>
        <v>0</v>
      </c>
    </row>
    <row r="245" spans="1:11" x14ac:dyDescent="0.2">
      <c r="A245" s="71">
        <v>2</v>
      </c>
      <c r="B245" s="55">
        <v>3</v>
      </c>
      <c r="C245" s="55">
        <v>4</v>
      </c>
      <c r="D245" s="55"/>
      <c r="E245" s="79"/>
      <c r="F245" s="54" t="s">
        <v>211</v>
      </c>
      <c r="G245" s="56">
        <f>+G246+G248</f>
        <v>1862880.8</v>
      </c>
      <c r="H245" s="56">
        <f>+H246+H248</f>
        <v>308000</v>
      </c>
      <c r="I245" s="56">
        <f>+I246+I248</f>
        <v>0</v>
      </c>
      <c r="J245" s="56">
        <f t="shared" si="9"/>
        <v>2170880.7999999998</v>
      </c>
      <c r="K245" s="53"/>
    </row>
    <row r="246" spans="1:11" x14ac:dyDescent="0.2">
      <c r="A246" s="73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1862880.8</v>
      </c>
      <c r="H246" s="59">
        <f>SUM(H247)</f>
        <v>308000</v>
      </c>
      <c r="I246" s="59">
        <f>SUM(I247)</f>
        <v>0</v>
      </c>
      <c r="J246" s="59">
        <f t="shared" si="9"/>
        <v>2170880.7999999998</v>
      </c>
      <c r="K246" s="68"/>
    </row>
    <row r="247" spans="1:11" x14ac:dyDescent="0.2">
      <c r="A247" s="75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'[3]CUENTA T FONDO 100'!EA288</f>
        <v>1862880.8</v>
      </c>
      <c r="H247" s="64">
        <f>'[3]CUENTA T VS'!EA81</f>
        <v>308000</v>
      </c>
      <c r="I247" s="64"/>
      <c r="J247" s="64">
        <f t="shared" si="9"/>
        <v>2170880.7999999998</v>
      </c>
      <c r="K247" s="65">
        <f>J247/$J$25</f>
        <v>2.8236081520574122E-2</v>
      </c>
    </row>
    <row r="248" spans="1:11" x14ac:dyDescent="0.2">
      <c r="A248" s="73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>SUM(I249)</f>
        <v>0</v>
      </c>
      <c r="J248" s="59">
        <f t="shared" si="9"/>
        <v>0</v>
      </c>
      <c r="K248" s="68"/>
    </row>
    <row r="249" spans="1:11" x14ac:dyDescent="0.2">
      <c r="A249" s="75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'[3]CUENTA T FONDO 100'!EB288</f>
        <v>0</v>
      </c>
      <c r="H249" s="64">
        <f>'[3]CUENTA T VS'!EB81</f>
        <v>0</v>
      </c>
      <c r="I249" s="64"/>
      <c r="J249" s="64">
        <f t="shared" si="9"/>
        <v>0</v>
      </c>
      <c r="K249" s="65">
        <f>J249/$J$25</f>
        <v>0</v>
      </c>
    </row>
    <row r="250" spans="1:11" x14ac:dyDescent="0.2">
      <c r="A250" s="71">
        <v>2</v>
      </c>
      <c r="B250" s="55">
        <v>3</v>
      </c>
      <c r="C250" s="55">
        <v>5</v>
      </c>
      <c r="D250" s="55"/>
      <c r="E250" s="79"/>
      <c r="F250" s="54" t="s">
        <v>214</v>
      </c>
      <c r="G250" s="56">
        <f>+G251+G253+G255+G257+G259</f>
        <v>0</v>
      </c>
      <c r="H250" s="56">
        <f>+H251+H253+H255+H257+H259</f>
        <v>0</v>
      </c>
      <c r="I250" s="56">
        <f>+I251+I253+I255+I257+I259</f>
        <v>0</v>
      </c>
      <c r="J250" s="56">
        <f t="shared" si="9"/>
        <v>0</v>
      </c>
      <c r="K250" s="53"/>
    </row>
    <row r="251" spans="1:11" x14ac:dyDescent="0.2">
      <c r="A251" s="73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>SUM(I252)</f>
        <v>0</v>
      </c>
      <c r="J251" s="59">
        <f t="shared" si="9"/>
        <v>0</v>
      </c>
      <c r="K251" s="68"/>
    </row>
    <row r="252" spans="1:11" x14ac:dyDescent="0.2">
      <c r="A252" s="75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'[3]CUENTA T FONDO 100'!EC288</f>
        <v>0</v>
      </c>
      <c r="H252" s="64">
        <f>'[3]CUENTA T VS'!EC81</f>
        <v>0</v>
      </c>
      <c r="I252" s="64"/>
      <c r="J252" s="64">
        <f t="shared" si="9"/>
        <v>0</v>
      </c>
      <c r="K252" s="65">
        <f>J252/$J$25</f>
        <v>0</v>
      </c>
    </row>
    <row r="253" spans="1:11" x14ac:dyDescent="0.2">
      <c r="A253" s="73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>SUM(I254)</f>
        <v>0</v>
      </c>
      <c r="J253" s="59">
        <f t="shared" si="9"/>
        <v>0</v>
      </c>
      <c r="K253" s="68"/>
    </row>
    <row r="254" spans="1:11" x14ac:dyDescent="0.2">
      <c r="A254" s="75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'[3]CUENTA T FONDO 100'!ED288</f>
        <v>0</v>
      </c>
      <c r="H254" s="64">
        <f>'[3]CUENTA T VS'!ED81</f>
        <v>0</v>
      </c>
      <c r="I254" s="64"/>
      <c r="J254" s="64">
        <f t="shared" si="9"/>
        <v>0</v>
      </c>
      <c r="K254" s="65">
        <f>J254/$J$25</f>
        <v>0</v>
      </c>
    </row>
    <row r="255" spans="1:11" x14ac:dyDescent="0.2">
      <c r="A255" s="73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>SUM(I256)</f>
        <v>0</v>
      </c>
      <c r="J255" s="59">
        <f t="shared" si="9"/>
        <v>0</v>
      </c>
      <c r="K255" s="68"/>
    </row>
    <row r="256" spans="1:11" x14ac:dyDescent="0.2">
      <c r="A256" s="75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'[3]CUENTA T FONDO 100'!EE288</f>
        <v>0</v>
      </c>
      <c r="H256" s="64">
        <f>'[3]CUENTA T VS'!EE81</f>
        <v>0</v>
      </c>
      <c r="I256" s="64"/>
      <c r="J256" s="64">
        <f t="shared" si="9"/>
        <v>0</v>
      </c>
      <c r="K256" s="65">
        <f>J256/$J$25</f>
        <v>0</v>
      </c>
    </row>
    <row r="257" spans="1:11" x14ac:dyDescent="0.2">
      <c r="A257" s="73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0</v>
      </c>
      <c r="H257" s="59">
        <f>SUM(H258)</f>
        <v>0</v>
      </c>
      <c r="I257" s="59">
        <f>SUM(I258)</f>
        <v>0</v>
      </c>
      <c r="J257" s="59">
        <f t="shared" si="9"/>
        <v>0</v>
      </c>
      <c r="K257" s="68"/>
    </row>
    <row r="258" spans="1:11" x14ac:dyDescent="0.2">
      <c r="A258" s="75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'[3]CUENTA T FONDO 100'!EF288</f>
        <v>0</v>
      </c>
      <c r="H258" s="64">
        <f>'[3]CUENTA T VS'!EF81</f>
        <v>0</v>
      </c>
      <c r="I258" s="64"/>
      <c r="J258" s="64">
        <f t="shared" si="9"/>
        <v>0</v>
      </c>
      <c r="K258" s="65">
        <f>J258/$J$25</f>
        <v>0</v>
      </c>
    </row>
    <row r="259" spans="1:11" x14ac:dyDescent="0.2">
      <c r="A259" s="73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0</v>
      </c>
      <c r="H259" s="59">
        <f>SUM(H260)</f>
        <v>0</v>
      </c>
      <c r="I259" s="59">
        <f>SUM(I260)</f>
        <v>0</v>
      </c>
      <c r="J259" s="59">
        <f t="shared" si="9"/>
        <v>0</v>
      </c>
      <c r="K259" s="68"/>
    </row>
    <row r="260" spans="1:11" x14ac:dyDescent="0.2">
      <c r="A260" s="75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'[3]CUENTA T FONDO 100'!EG288</f>
        <v>0</v>
      </c>
      <c r="H260" s="64">
        <f>'[3]CUENTA T VS'!EG81</f>
        <v>0</v>
      </c>
      <c r="I260" s="64"/>
      <c r="J260" s="64">
        <f t="shared" si="9"/>
        <v>0</v>
      </c>
      <c r="K260" s="65">
        <f>J260/$J$25</f>
        <v>0</v>
      </c>
    </row>
    <row r="261" spans="1:11" x14ac:dyDescent="0.2">
      <c r="A261" s="71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0</v>
      </c>
      <c r="H261" s="56">
        <f>+H262+H268+H272+H276+H284</f>
        <v>0</v>
      </c>
      <c r="I261" s="56">
        <f>+I262+I268+I272+I276+I284</f>
        <v>0</v>
      </c>
      <c r="J261" s="56">
        <f t="shared" si="9"/>
        <v>0</v>
      </c>
      <c r="K261" s="53"/>
    </row>
    <row r="262" spans="1:11" x14ac:dyDescent="0.2">
      <c r="A262" s="73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>SUM(I263:I267)</f>
        <v>0</v>
      </c>
      <c r="J262" s="59">
        <f t="shared" si="9"/>
        <v>0</v>
      </c>
      <c r="K262" s="68"/>
    </row>
    <row r="263" spans="1:11" x14ac:dyDescent="0.2">
      <c r="A263" s="75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'[3]CUENTA T FONDO 100'!EH288</f>
        <v>0</v>
      </c>
      <c r="H263" s="64">
        <f>'[3]CUENTA T VS'!EH81</f>
        <v>0</v>
      </c>
      <c r="I263" s="64"/>
      <c r="J263" s="64">
        <f t="shared" si="9"/>
        <v>0</v>
      </c>
      <c r="K263" s="65">
        <f>J263/$J$25</f>
        <v>0</v>
      </c>
    </row>
    <row r="264" spans="1:11" x14ac:dyDescent="0.2">
      <c r="A264" s="75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'[3]CUENTA T FONDO 100'!EI288</f>
        <v>0</v>
      </c>
      <c r="H264" s="64">
        <f>'[3]CUENTA T VS'!EI81</f>
        <v>0</v>
      </c>
      <c r="I264" s="64"/>
      <c r="J264" s="64">
        <f t="shared" si="9"/>
        <v>0</v>
      </c>
      <c r="K264" s="65">
        <f>J264/$J$25</f>
        <v>0</v>
      </c>
    </row>
    <row r="265" spans="1:11" x14ac:dyDescent="0.2">
      <c r="A265" s="75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'[3]CUENTA T FONDO 100'!EJ288</f>
        <v>0</v>
      </c>
      <c r="H265" s="64">
        <f>'[3]CUENTA T VS'!EJ81</f>
        <v>0</v>
      </c>
      <c r="I265" s="64"/>
      <c r="J265" s="64">
        <f t="shared" si="9"/>
        <v>0</v>
      </c>
      <c r="K265" s="65">
        <f>J265/$J$25</f>
        <v>0</v>
      </c>
    </row>
    <row r="266" spans="1:11" x14ac:dyDescent="0.2">
      <c r="A266" s="75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'[3]CUENTA T FONDO 100'!EK288</f>
        <v>0</v>
      </c>
      <c r="H266" s="64">
        <f>'[3]CUENTA T VS'!EK81</f>
        <v>0</v>
      </c>
      <c r="I266" s="64"/>
      <c r="J266" s="64">
        <f t="shared" si="9"/>
        <v>0</v>
      </c>
      <c r="K266" s="65">
        <f>J266/$J$25</f>
        <v>0</v>
      </c>
    </row>
    <row r="267" spans="1:11" x14ac:dyDescent="0.2">
      <c r="A267" s="75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'[3]CUENTA T FONDO 100'!EL288</f>
        <v>0</v>
      </c>
      <c r="H267" s="64">
        <f>'[3]CUENTA T VS'!EL81</f>
        <v>0</v>
      </c>
      <c r="I267" s="64"/>
      <c r="J267" s="64">
        <f t="shared" si="9"/>
        <v>0</v>
      </c>
      <c r="K267" s="65">
        <f>J267/$J$25</f>
        <v>0</v>
      </c>
    </row>
    <row r="268" spans="1:11" x14ac:dyDescent="0.2">
      <c r="A268" s="73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0</v>
      </c>
      <c r="H268" s="59">
        <f>SUM(H269:H271)</f>
        <v>0</v>
      </c>
      <c r="I268" s="59">
        <f>SUM(I269:I271)</f>
        <v>0</v>
      </c>
      <c r="J268" s="59">
        <f t="shared" si="9"/>
        <v>0</v>
      </c>
      <c r="K268" s="68"/>
    </row>
    <row r="269" spans="1:11" x14ac:dyDescent="0.2">
      <c r="A269" s="75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'[3]CUENTA T FONDO 100'!EM288</f>
        <v>0</v>
      </c>
      <c r="H269" s="64">
        <f>'[3]CUENTA T VS'!EM81</f>
        <v>0</v>
      </c>
      <c r="I269" s="64"/>
      <c r="J269" s="64">
        <f t="shared" si="9"/>
        <v>0</v>
      </c>
      <c r="K269" s="65">
        <f>J269/$J$25</f>
        <v>0</v>
      </c>
    </row>
    <row r="270" spans="1:11" x14ac:dyDescent="0.2">
      <c r="A270" s="75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'[3]CUENTA T FONDO 100'!EN288</f>
        <v>0</v>
      </c>
      <c r="H270" s="64">
        <f>'[3]CUENTA T VS'!EN81</f>
        <v>0</v>
      </c>
      <c r="I270" s="64"/>
      <c r="J270" s="64">
        <f t="shared" si="9"/>
        <v>0</v>
      </c>
      <c r="K270" s="65">
        <f>J270/$J$25</f>
        <v>0</v>
      </c>
    </row>
    <row r="271" spans="1:11" x14ac:dyDescent="0.2">
      <c r="A271" s="75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'[3]CUENTA T FONDO 100'!EO288</f>
        <v>0</v>
      </c>
      <c r="H271" s="64">
        <f>'[3]CUENTA T VS'!EO81</f>
        <v>0</v>
      </c>
      <c r="I271" s="64"/>
      <c r="J271" s="64">
        <f t="shared" si="9"/>
        <v>0</v>
      </c>
      <c r="K271" s="65">
        <f>J271/$J$25</f>
        <v>0</v>
      </c>
    </row>
    <row r="272" spans="1:11" x14ac:dyDescent="0.2">
      <c r="A272" s="73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0</v>
      </c>
      <c r="H272" s="59">
        <f>SUM(H273:H275)</f>
        <v>0</v>
      </c>
      <c r="I272" s="59">
        <f>SUM(I273:I275)</f>
        <v>0</v>
      </c>
      <c r="J272" s="59">
        <f t="shared" si="9"/>
        <v>0</v>
      </c>
      <c r="K272" s="68"/>
    </row>
    <row r="273" spans="1:11" x14ac:dyDescent="0.2">
      <c r="A273" s="75">
        <v>2</v>
      </c>
      <c r="B273" s="62">
        <v>3</v>
      </c>
      <c r="C273" s="62">
        <v>6</v>
      </c>
      <c r="D273" s="62">
        <v>3</v>
      </c>
      <c r="E273" s="63" t="s">
        <v>41</v>
      </c>
      <c r="F273" s="82" t="s">
        <v>232</v>
      </c>
      <c r="G273" s="64">
        <f>'[3]CUENTA T FONDO 100'!EP288</f>
        <v>0</v>
      </c>
      <c r="H273" s="64">
        <f>'[3]CUENTA T VS'!EP81</f>
        <v>0</v>
      </c>
      <c r="I273" s="64"/>
      <c r="J273" s="64">
        <f t="shared" si="9"/>
        <v>0</v>
      </c>
      <c r="K273" s="65">
        <f>J273/$J$25</f>
        <v>0</v>
      </c>
    </row>
    <row r="274" spans="1:11" x14ac:dyDescent="0.2">
      <c r="A274" s="75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'[3]CUENTA T FONDO 100'!EQ288</f>
        <v>0</v>
      </c>
      <c r="H274" s="64">
        <f>'[3]CUENTA T VS'!EQ81</f>
        <v>0</v>
      </c>
      <c r="I274" s="64"/>
      <c r="J274" s="64">
        <f t="shared" si="9"/>
        <v>0</v>
      </c>
      <c r="K274" s="65">
        <f>J274/$J$25</f>
        <v>0</v>
      </c>
    </row>
    <row r="275" spans="1:11" x14ac:dyDescent="0.2">
      <c r="A275" s="75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'[3]CUENTA T FONDO 100'!ER288</f>
        <v>0</v>
      </c>
      <c r="H275" s="64">
        <f>'[3]CUENTA T VS'!ER81</f>
        <v>0</v>
      </c>
      <c r="I275" s="64"/>
      <c r="J275" s="64">
        <f t="shared" si="9"/>
        <v>0</v>
      </c>
      <c r="K275" s="65">
        <f>J275/$J$25</f>
        <v>0</v>
      </c>
    </row>
    <row r="276" spans="1:11" x14ac:dyDescent="0.2">
      <c r="A276" s="73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>SUM(I277:I283)</f>
        <v>0</v>
      </c>
      <c r="J276" s="59">
        <f t="shared" si="9"/>
        <v>0</v>
      </c>
      <c r="K276" s="68"/>
    </row>
    <row r="277" spans="1:11" x14ac:dyDescent="0.2">
      <c r="A277" s="75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'[3]CUENTA T FONDO 100'!ES288</f>
        <v>0</v>
      </c>
      <c r="H277" s="64">
        <f>'[3]CUENTA T VS'!ES81</f>
        <v>0</v>
      </c>
      <c r="I277" s="101"/>
      <c r="J277" s="64">
        <f t="shared" si="9"/>
        <v>0</v>
      </c>
      <c r="K277" s="65">
        <f t="shared" ref="K277:K283" si="10">J277/$J$25</f>
        <v>0</v>
      </c>
    </row>
    <row r="278" spans="1:11" x14ac:dyDescent="0.2">
      <c r="A278" s="75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'[3]CUENTA T FONDO 100'!ET288</f>
        <v>0</v>
      </c>
      <c r="H278" s="64">
        <f>'[3]CUENTA T VS'!ET81</f>
        <v>0</v>
      </c>
      <c r="I278" s="101"/>
      <c r="J278" s="64">
        <f t="shared" si="9"/>
        <v>0</v>
      </c>
      <c r="K278" s="65">
        <f t="shared" si="10"/>
        <v>0</v>
      </c>
    </row>
    <row r="279" spans="1:11" x14ac:dyDescent="0.2">
      <c r="A279" s="75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'[3]CUENTA T FONDO 100'!EU288</f>
        <v>0</v>
      </c>
      <c r="H279" s="64">
        <f>'[3]CUENTA T VS'!EU81</f>
        <v>0</v>
      </c>
      <c r="I279" s="101"/>
      <c r="J279" s="64">
        <f t="shared" si="9"/>
        <v>0</v>
      </c>
      <c r="K279" s="65">
        <f t="shared" si="10"/>
        <v>0</v>
      </c>
    </row>
    <row r="280" spans="1:11" x14ac:dyDescent="0.2">
      <c r="A280" s="75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'[3]CUENTA T FONDO 100'!EV288</f>
        <v>0</v>
      </c>
      <c r="H280" s="64">
        <f>'[3]CUENTA T VS'!EV81</f>
        <v>0</v>
      </c>
      <c r="I280" s="101"/>
      <c r="J280" s="64">
        <f t="shared" si="9"/>
        <v>0</v>
      </c>
      <c r="K280" s="65">
        <f t="shared" si="10"/>
        <v>0</v>
      </c>
    </row>
    <row r="281" spans="1:11" x14ac:dyDescent="0.2">
      <c r="A281" s="75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'[3]CUENTA T FONDO 100'!EW288</f>
        <v>0</v>
      </c>
      <c r="H281" s="64">
        <f>'[3]CUENTA T VS'!EW81</f>
        <v>0</v>
      </c>
      <c r="I281" s="101"/>
      <c r="J281" s="64">
        <f t="shared" si="9"/>
        <v>0</v>
      </c>
      <c r="K281" s="65">
        <f t="shared" si="10"/>
        <v>0</v>
      </c>
    </row>
    <row r="282" spans="1:11" x14ac:dyDescent="0.2">
      <c r="A282" s="75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'[3]CUENTA T FONDO 100'!EX288</f>
        <v>0</v>
      </c>
      <c r="H282" s="64">
        <f>'[3]CUENTA T VS'!EX81</f>
        <v>0</v>
      </c>
      <c r="I282" s="101"/>
      <c r="J282" s="64">
        <f t="shared" si="9"/>
        <v>0</v>
      </c>
      <c r="K282" s="65">
        <f t="shared" si="10"/>
        <v>0</v>
      </c>
    </row>
    <row r="283" spans="1:11" x14ac:dyDescent="0.2">
      <c r="A283" s="75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'[3]CUENTA T FONDO 100'!EY288</f>
        <v>0</v>
      </c>
      <c r="H283" s="64">
        <f>'[3]CUENTA T VS'!EY81</f>
        <v>0</v>
      </c>
      <c r="I283" s="101"/>
      <c r="J283" s="64">
        <f t="shared" ref="J283:J348" si="11">SUM(G283:I283)</f>
        <v>0</v>
      </c>
      <c r="K283" s="65">
        <f t="shared" si="10"/>
        <v>0</v>
      </c>
    </row>
    <row r="284" spans="1:11" x14ac:dyDescent="0.2">
      <c r="A284" s="73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>SUM(I285)</f>
        <v>0</v>
      </c>
      <c r="J284" s="59">
        <f t="shared" si="11"/>
        <v>0</v>
      </c>
      <c r="K284" s="68"/>
    </row>
    <row r="285" spans="1:11" x14ac:dyDescent="0.2">
      <c r="A285" s="75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'[3]CUENTA T FONDO 100'!EZ288</f>
        <v>0</v>
      </c>
      <c r="H285" s="64">
        <f>'[3]CUENTA T VS'!EZ81</f>
        <v>0</v>
      </c>
      <c r="I285" s="64"/>
      <c r="J285" s="64">
        <f t="shared" si="11"/>
        <v>0</v>
      </c>
      <c r="K285" s="65">
        <f>J285/$J$25</f>
        <v>0</v>
      </c>
    </row>
    <row r="286" spans="1:11" ht="25.5" x14ac:dyDescent="0.2">
      <c r="A286" s="54">
        <v>2</v>
      </c>
      <c r="B286" s="55">
        <v>3</v>
      </c>
      <c r="C286" s="55">
        <v>7</v>
      </c>
      <c r="D286" s="55"/>
      <c r="E286" s="55"/>
      <c r="F286" s="84" t="s">
        <v>245</v>
      </c>
      <c r="G286" s="56">
        <f>G287+G295</f>
        <v>1844663.41</v>
      </c>
      <c r="H286" s="56">
        <f>H287+H295</f>
        <v>228412.84</v>
      </c>
      <c r="I286" s="56">
        <f>I287+I295</f>
        <v>0</v>
      </c>
      <c r="J286" s="56">
        <f t="shared" si="11"/>
        <v>2073076.25</v>
      </c>
      <c r="K286" s="53"/>
    </row>
    <row r="287" spans="1:11" x14ac:dyDescent="0.2">
      <c r="A287" s="73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0</v>
      </c>
      <c r="H287" s="59">
        <f>SUM(H288:H294)</f>
        <v>221512.84</v>
      </c>
      <c r="I287" s="59">
        <f>SUM(I288:I294)</f>
        <v>0</v>
      </c>
      <c r="J287" s="59">
        <f t="shared" si="11"/>
        <v>221512.84</v>
      </c>
      <c r="K287" s="68"/>
    </row>
    <row r="288" spans="1:11" x14ac:dyDescent="0.2">
      <c r="A288" s="75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'[3]CUENTA T FONDO 100'!FA288</f>
        <v>0</v>
      </c>
      <c r="H288" s="64">
        <f>'[3]CUENTA T VS'!FA81</f>
        <v>172000</v>
      </c>
      <c r="I288" s="64"/>
      <c r="J288" s="64">
        <f t="shared" si="11"/>
        <v>172000</v>
      </c>
      <c r="K288" s="65">
        <f t="shared" ref="K288:K294" si="12">J288/$J$25</f>
        <v>2.2371592311925875E-3</v>
      </c>
    </row>
    <row r="289" spans="1:11" x14ac:dyDescent="0.2">
      <c r="A289" s="75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'[3]CUENTA T FONDO 100'!FB288</f>
        <v>0</v>
      </c>
      <c r="H289" s="64">
        <f>'[3]CUENTA T VS'!FB81</f>
        <v>0</v>
      </c>
      <c r="I289" s="64"/>
      <c r="J289" s="64">
        <f t="shared" si="11"/>
        <v>0</v>
      </c>
      <c r="K289" s="65">
        <f t="shared" si="12"/>
        <v>0</v>
      </c>
    </row>
    <row r="290" spans="1:11" x14ac:dyDescent="0.2">
      <c r="A290" s="75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'[3]CUENTA T FONDO 100'!FC288</f>
        <v>0</v>
      </c>
      <c r="H290" s="64">
        <f>'[3]CUENTA T VS'!FC81</f>
        <v>0</v>
      </c>
      <c r="I290" s="64"/>
      <c r="J290" s="64">
        <f t="shared" si="11"/>
        <v>0</v>
      </c>
      <c r="K290" s="65">
        <f t="shared" si="12"/>
        <v>0</v>
      </c>
    </row>
    <row r="291" spans="1:11" x14ac:dyDescent="0.2">
      <c r="A291" s="75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'[3]CUENTA T FONDO 100'!FD288</f>
        <v>0</v>
      </c>
      <c r="H291" s="64">
        <f>'[3]CUENTA T VS'!FD81</f>
        <v>49512.84</v>
      </c>
      <c r="I291" s="64"/>
      <c r="J291" s="64">
        <f t="shared" si="11"/>
        <v>49512.84</v>
      </c>
      <c r="K291" s="65">
        <f t="shared" si="12"/>
        <v>6.4400062249163716E-4</v>
      </c>
    </row>
    <row r="292" spans="1:11" x14ac:dyDescent="0.2">
      <c r="A292" s="75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'[3]CUENTA T FONDO 100'!FE288</f>
        <v>0</v>
      </c>
      <c r="H292" s="64">
        <f>'[3]CUENTA T VS'!FE81</f>
        <v>0</v>
      </c>
      <c r="I292" s="64"/>
      <c r="J292" s="64">
        <f t="shared" si="11"/>
        <v>0</v>
      </c>
      <c r="K292" s="65">
        <f t="shared" si="12"/>
        <v>0</v>
      </c>
    </row>
    <row r="293" spans="1:11" x14ac:dyDescent="0.2">
      <c r="A293" s="75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'[3]CUENTA T FONDO 100'!FF288</f>
        <v>0</v>
      </c>
      <c r="H293" s="64">
        <f>'[3]CUENTA T VS'!FF81</f>
        <v>0</v>
      </c>
      <c r="I293" s="64"/>
      <c r="J293" s="64">
        <f t="shared" si="11"/>
        <v>0</v>
      </c>
      <c r="K293" s="65">
        <f t="shared" si="12"/>
        <v>0</v>
      </c>
    </row>
    <row r="294" spans="1:11" x14ac:dyDescent="0.2">
      <c r="A294" s="75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'[3]CUENTA T FONDO 100'!FG288</f>
        <v>0</v>
      </c>
      <c r="H294" s="64">
        <f>'[3]CUENTA T VS'!FG81</f>
        <v>0</v>
      </c>
      <c r="I294" s="101"/>
      <c r="J294" s="64">
        <f t="shared" si="11"/>
        <v>0</v>
      </c>
      <c r="K294" s="65">
        <f t="shared" si="12"/>
        <v>0</v>
      </c>
    </row>
    <row r="295" spans="1:11" x14ac:dyDescent="0.2">
      <c r="A295" s="73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1844663.41</v>
      </c>
      <c r="H295" s="59">
        <f>SUM(H296:H302)</f>
        <v>6900</v>
      </c>
      <c r="I295" s="59">
        <f>SUM(I296:I302)</f>
        <v>0</v>
      </c>
      <c r="J295" s="59">
        <f t="shared" si="11"/>
        <v>1851563.41</v>
      </c>
      <c r="K295" s="68"/>
    </row>
    <row r="296" spans="1:11" x14ac:dyDescent="0.2">
      <c r="A296" s="75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'[3]CUENTA T FONDO 100'!FH288</f>
        <v>0</v>
      </c>
      <c r="H296" s="64">
        <f>'[3]CUENTA T VS'!FH81</f>
        <v>0</v>
      </c>
      <c r="I296" s="64"/>
      <c r="J296" s="64">
        <f t="shared" si="11"/>
        <v>0</v>
      </c>
      <c r="K296" s="65">
        <f t="shared" ref="K296:K302" si="13">J296/$J$25</f>
        <v>0</v>
      </c>
    </row>
    <row r="297" spans="1:11" x14ac:dyDescent="0.2">
      <c r="A297" s="75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'[3]CUENTA T FONDO 100'!FI288</f>
        <v>0</v>
      </c>
      <c r="H297" s="64">
        <f>'[3]CUENTA T VS'!FI81</f>
        <v>0</v>
      </c>
      <c r="I297" s="64"/>
      <c r="J297" s="64">
        <f t="shared" si="11"/>
        <v>0</v>
      </c>
      <c r="K297" s="65">
        <f t="shared" si="13"/>
        <v>0</v>
      </c>
    </row>
    <row r="298" spans="1:11" x14ac:dyDescent="0.2">
      <c r="A298" s="75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'[3]CUENTA T FONDO 100'!FJ288</f>
        <v>1844663.41</v>
      </c>
      <c r="H298" s="64">
        <f>'[3]CUENTA T VS'!FJ81</f>
        <v>6900</v>
      </c>
      <c r="I298" s="64"/>
      <c r="J298" s="64">
        <f t="shared" si="11"/>
        <v>1851563.41</v>
      </c>
      <c r="K298" s="65">
        <f t="shared" si="13"/>
        <v>2.4082803341976312E-2</v>
      </c>
    </row>
    <row r="299" spans="1:11" x14ac:dyDescent="0.2">
      <c r="A299" s="75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'[3]CUENTA T FONDO 100'!FK288</f>
        <v>0</v>
      </c>
      <c r="H299" s="64">
        <f>'[3]CUENTA T VS'!FK81</f>
        <v>0</v>
      </c>
      <c r="I299" s="64"/>
      <c r="J299" s="64">
        <f t="shared" si="11"/>
        <v>0</v>
      </c>
      <c r="K299" s="65">
        <f t="shared" si="13"/>
        <v>0</v>
      </c>
    </row>
    <row r="300" spans="1:11" x14ac:dyDescent="0.2">
      <c r="A300" s="75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'[3]CUENTA T FONDO 100'!FL288</f>
        <v>0</v>
      </c>
      <c r="H300" s="64">
        <f>'[3]CUENTA T VS'!FL81</f>
        <v>0</v>
      </c>
      <c r="I300" s="64"/>
      <c r="J300" s="64">
        <f t="shared" si="11"/>
        <v>0</v>
      </c>
      <c r="K300" s="65">
        <f t="shared" si="13"/>
        <v>0</v>
      </c>
    </row>
    <row r="301" spans="1:11" ht="38.2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5" t="s">
        <v>260</v>
      </c>
      <c r="G301" s="64">
        <f>'[3]CUENTA T FONDO 100'!FM288</f>
        <v>0</v>
      </c>
      <c r="H301" s="64">
        <f>'[3]CUENTA T VS'!FM81</f>
        <v>0</v>
      </c>
      <c r="I301" s="64"/>
      <c r="J301" s="64">
        <f t="shared" si="11"/>
        <v>0</v>
      </c>
      <c r="K301" s="65">
        <f t="shared" si="13"/>
        <v>0</v>
      </c>
    </row>
    <row r="302" spans="1:11" ht="25.5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5" t="s">
        <v>261</v>
      </c>
      <c r="G302" s="64">
        <f>'[3]CUENTA T FONDO 100'!FN288</f>
        <v>0</v>
      </c>
      <c r="H302" s="64">
        <f>'[3]CUENTA T VS'!FN81</f>
        <v>0</v>
      </c>
      <c r="I302" s="64"/>
      <c r="J302" s="64">
        <f t="shared" si="11"/>
        <v>0</v>
      </c>
      <c r="K302" s="65">
        <f t="shared" si="13"/>
        <v>0</v>
      </c>
    </row>
    <row r="303" spans="1:11" ht="25.5" x14ac:dyDescent="0.2">
      <c r="A303" s="54">
        <v>2</v>
      </c>
      <c r="B303" s="55">
        <v>3</v>
      </c>
      <c r="C303" s="55">
        <v>8</v>
      </c>
      <c r="D303" s="55"/>
      <c r="E303" s="55"/>
      <c r="F303" s="84" t="s">
        <v>262</v>
      </c>
      <c r="G303" s="56">
        <f>+G304+G306</f>
        <v>0</v>
      </c>
      <c r="H303" s="56">
        <f>+H304+H306</f>
        <v>0</v>
      </c>
      <c r="I303" s="56">
        <f>+I304+I306</f>
        <v>0</v>
      </c>
      <c r="J303" s="56">
        <f t="shared" si="11"/>
        <v>0</v>
      </c>
      <c r="K303" s="53"/>
    </row>
    <row r="304" spans="1:11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>SUM(I305)</f>
        <v>0</v>
      </c>
      <c r="J304" s="59">
        <f t="shared" si="11"/>
        <v>0</v>
      </c>
      <c r="K304" s="68"/>
    </row>
    <row r="305" spans="1:11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'[3]CUENTA T FONDO 100'!FO288</f>
        <v>0</v>
      </c>
      <c r="H305" s="64">
        <f>'[3]CUENTA T VS'!FO81</f>
        <v>0</v>
      </c>
      <c r="I305" s="64"/>
      <c r="J305" s="64">
        <f t="shared" si="11"/>
        <v>0</v>
      </c>
      <c r="K305" s="65">
        <f>J305/$J$25</f>
        <v>0</v>
      </c>
    </row>
    <row r="306" spans="1:11" ht="38.2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3" t="s">
        <v>264</v>
      </c>
      <c r="G306" s="59">
        <f>SUM(G307)</f>
        <v>0</v>
      </c>
      <c r="H306" s="59">
        <f>SUM(H307)</f>
        <v>0</v>
      </c>
      <c r="I306" s="59">
        <f>SUM(I307)</f>
        <v>0</v>
      </c>
      <c r="J306" s="59">
        <f t="shared" si="11"/>
        <v>0</v>
      </c>
      <c r="K306" s="68"/>
    </row>
    <row r="307" spans="1:11" ht="38.2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2" t="s">
        <v>264</v>
      </c>
      <c r="G307" s="64">
        <f>'[3]CUENTA T FONDO 100'!FP288</f>
        <v>0</v>
      </c>
      <c r="H307" s="64">
        <f>'[3]CUENTA T VS'!FP81</f>
        <v>0</v>
      </c>
      <c r="I307" s="64"/>
      <c r="J307" s="64">
        <f t="shared" si="11"/>
        <v>0</v>
      </c>
      <c r="K307" s="65">
        <f>J307/$J$25</f>
        <v>0</v>
      </c>
    </row>
    <row r="308" spans="1:11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1263056.98</v>
      </c>
      <c r="H308" s="56">
        <f>+H309+H312+H314+H316+H318+H320+H322+H324+H327</f>
        <v>1899402.83</v>
      </c>
      <c r="I308" s="56">
        <f>+I309+I312+I314+I316+I318+I320+I322+I324+I327</f>
        <v>0</v>
      </c>
      <c r="J308" s="56">
        <f t="shared" si="11"/>
        <v>3162459.81</v>
      </c>
      <c r="K308" s="53"/>
    </row>
    <row r="309" spans="1:11" x14ac:dyDescent="0.2">
      <c r="A309" s="73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0</v>
      </c>
      <c r="H309" s="59">
        <f>SUM(H310:H311)</f>
        <v>0</v>
      </c>
      <c r="I309" s="59">
        <f>SUM(I310:I311)</f>
        <v>0</v>
      </c>
      <c r="J309" s="59">
        <f>SUM(G309:I309)</f>
        <v>0</v>
      </c>
      <c r="K309" s="68"/>
    </row>
    <row r="310" spans="1:11" x14ac:dyDescent="0.2">
      <c r="A310" s="75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'[3]CUENTA T FONDO 100'!FQ288</f>
        <v>0</v>
      </c>
      <c r="H310" s="64">
        <f>'[3]CUENTA T VS'!FQ81</f>
        <v>0</v>
      </c>
      <c r="I310" s="64"/>
      <c r="J310" s="64">
        <f t="shared" si="11"/>
        <v>0</v>
      </c>
      <c r="K310" s="65">
        <f>J310/$J$25</f>
        <v>0</v>
      </c>
    </row>
    <row r="311" spans="1:11" x14ac:dyDescent="0.2">
      <c r="A311" s="75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'[3]CUENTA T FONDO 100'!FR288</f>
        <v>0</v>
      </c>
      <c r="H311" s="64">
        <f>'[3]CUENTA T VS'!FR81</f>
        <v>0</v>
      </c>
      <c r="I311" s="64"/>
      <c r="J311" s="64">
        <f t="shared" si="11"/>
        <v>0</v>
      </c>
      <c r="K311" s="65">
        <f>J311/$J$25</f>
        <v>0</v>
      </c>
    </row>
    <row r="312" spans="1:11" x14ac:dyDescent="0.2">
      <c r="A312" s="73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0</v>
      </c>
      <c r="H312" s="59">
        <f>SUM(H313)</f>
        <v>0</v>
      </c>
      <c r="I312" s="59">
        <f>SUM(I313)</f>
        <v>0</v>
      </c>
      <c r="J312" s="59">
        <f t="shared" si="11"/>
        <v>0</v>
      </c>
      <c r="K312" s="68"/>
    </row>
    <row r="313" spans="1:11" x14ac:dyDescent="0.2">
      <c r="A313" s="75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'[3]CUENTA T FONDO 100'!FS288</f>
        <v>0</v>
      </c>
      <c r="H313" s="64">
        <f>'[3]CUENTA T VS'!FS81</f>
        <v>0</v>
      </c>
      <c r="I313" s="64"/>
      <c r="J313" s="64">
        <f t="shared" si="11"/>
        <v>0</v>
      </c>
      <c r="K313" s="65">
        <f>J313/$J$25</f>
        <v>0</v>
      </c>
    </row>
    <row r="314" spans="1:11" x14ac:dyDescent="0.2">
      <c r="A314" s="73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1263056.98</v>
      </c>
      <c r="H314" s="59">
        <f>SUM(H315)</f>
        <v>1799341.1300000001</v>
      </c>
      <c r="I314" s="59">
        <f>SUM(I315)</f>
        <v>0</v>
      </c>
      <c r="J314" s="59">
        <f t="shared" si="11"/>
        <v>3062398.1100000003</v>
      </c>
      <c r="K314" s="68"/>
    </row>
    <row r="315" spans="1:11" x14ac:dyDescent="0.2">
      <c r="A315" s="75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'[3]CUENTA T FONDO 100'!FT288</f>
        <v>1263056.98</v>
      </c>
      <c r="H315" s="64">
        <f>'[3]CUENTA T VS'!FT81</f>
        <v>1799341.1300000001</v>
      </c>
      <c r="I315" s="64"/>
      <c r="J315" s="64">
        <f t="shared" si="11"/>
        <v>3062398.1100000003</v>
      </c>
      <c r="K315" s="65">
        <f>J315/$J$25</f>
        <v>3.9831815124262988E-2</v>
      </c>
    </row>
    <row r="316" spans="1:11" x14ac:dyDescent="0.2">
      <c r="A316" s="73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>SUM(I317)</f>
        <v>0</v>
      </c>
      <c r="J316" s="59">
        <f t="shared" si="11"/>
        <v>0</v>
      </c>
      <c r="K316" s="68"/>
    </row>
    <row r="317" spans="1:11" x14ac:dyDescent="0.2">
      <c r="A317" s="75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'[3]CUENTA T FONDO 100'!FU288</f>
        <v>0</v>
      </c>
      <c r="H317" s="64">
        <f>'[3]CUENTA T VS'!FU81</f>
        <v>0</v>
      </c>
      <c r="I317" s="64"/>
      <c r="J317" s="64">
        <f t="shared" si="11"/>
        <v>0</v>
      </c>
      <c r="K317" s="65">
        <f>J317/$J$25</f>
        <v>0</v>
      </c>
    </row>
    <row r="318" spans="1:11" x14ac:dyDescent="0.2">
      <c r="A318" s="73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SUM(H319)</f>
        <v>0</v>
      </c>
      <c r="I318" s="59">
        <f>SUM(I319)</f>
        <v>0</v>
      </c>
      <c r="J318" s="59">
        <f t="shared" si="11"/>
        <v>0</v>
      </c>
      <c r="K318" s="68"/>
    </row>
    <row r="319" spans="1:11" x14ac:dyDescent="0.2">
      <c r="A319" s="75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'[3]CUENTA T FONDO 100'!FV288</f>
        <v>0</v>
      </c>
      <c r="H319" s="64">
        <f>'[3]CUENTA T VS'!FV81</f>
        <v>0</v>
      </c>
      <c r="I319" s="64"/>
      <c r="J319" s="64">
        <f t="shared" si="11"/>
        <v>0</v>
      </c>
      <c r="K319" s="65">
        <f>J319/$J$25</f>
        <v>0</v>
      </c>
    </row>
    <row r="320" spans="1:11" x14ac:dyDescent="0.2">
      <c r="A320" s="73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0</v>
      </c>
      <c r="H320" s="59">
        <f>SUM(H321)</f>
        <v>0</v>
      </c>
      <c r="I320" s="59">
        <f>SUM(I321)</f>
        <v>0</v>
      </c>
      <c r="J320" s="59">
        <f t="shared" si="11"/>
        <v>0</v>
      </c>
      <c r="K320" s="68"/>
    </row>
    <row r="321" spans="1:11" x14ac:dyDescent="0.2">
      <c r="A321" s="75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'[3]CUENTA T FONDO 100'!FW288</f>
        <v>0</v>
      </c>
      <c r="H321" s="64">
        <f>'[3]CUENTA T VS'!FW81</f>
        <v>0</v>
      </c>
      <c r="I321" s="64"/>
      <c r="J321" s="64">
        <f t="shared" si="11"/>
        <v>0</v>
      </c>
      <c r="K321" s="65">
        <f>J321/$J$25</f>
        <v>0</v>
      </c>
    </row>
    <row r="322" spans="1:11" x14ac:dyDescent="0.2">
      <c r="A322" s="73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>SUM(I323)</f>
        <v>0</v>
      </c>
      <c r="J322" s="59">
        <f t="shared" si="11"/>
        <v>0</v>
      </c>
      <c r="K322" s="68"/>
    </row>
    <row r="323" spans="1:11" x14ac:dyDescent="0.2">
      <c r="A323" s="75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'[3]CUENTA T FONDO 100'!FX288</f>
        <v>0</v>
      </c>
      <c r="H323" s="64">
        <f>'[3]CUENTA T VS'!FX81</f>
        <v>0</v>
      </c>
      <c r="I323" s="64"/>
      <c r="J323" s="64">
        <f t="shared" si="11"/>
        <v>0</v>
      </c>
      <c r="K323" s="65">
        <f>J323/$J$25</f>
        <v>0</v>
      </c>
    </row>
    <row r="324" spans="1:11" x14ac:dyDescent="0.2">
      <c r="A324" s="73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0</v>
      </c>
      <c r="H324" s="59">
        <f>SUM(H325:H326)</f>
        <v>0</v>
      </c>
      <c r="I324" s="59">
        <f>SUM(I325:I326)</f>
        <v>0</v>
      </c>
      <c r="J324" s="59">
        <f t="shared" si="11"/>
        <v>0</v>
      </c>
      <c r="K324" s="68"/>
    </row>
    <row r="325" spans="1:11" x14ac:dyDescent="0.2">
      <c r="A325" s="75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'[3]CUENTA T FONDO 100'!FY288</f>
        <v>0</v>
      </c>
      <c r="H325" s="64">
        <f>'[3]CUENTA T VS'!FY81</f>
        <v>0</v>
      </c>
      <c r="I325" s="64"/>
      <c r="J325" s="64">
        <f t="shared" si="11"/>
        <v>0</v>
      </c>
      <c r="K325" s="65">
        <f>J325/$J$25</f>
        <v>0</v>
      </c>
    </row>
    <row r="326" spans="1:11" x14ac:dyDescent="0.2">
      <c r="A326" s="75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'[3]CUENTA T FONDO 100'!FZ288</f>
        <v>0</v>
      </c>
      <c r="H326" s="64">
        <f>'[3]CUENTA T VS'!FZ81</f>
        <v>0</v>
      </c>
      <c r="I326" s="64"/>
      <c r="J326" s="64">
        <f t="shared" si="11"/>
        <v>0</v>
      </c>
      <c r="K326" s="65">
        <f>J326/$J$25</f>
        <v>0</v>
      </c>
    </row>
    <row r="327" spans="1:11" x14ac:dyDescent="0.2">
      <c r="A327" s="73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0</v>
      </c>
      <c r="H327" s="59">
        <f>SUM(H328:H329)</f>
        <v>100061.7</v>
      </c>
      <c r="I327" s="59">
        <f>SUM(I328)</f>
        <v>0</v>
      </c>
      <c r="J327" s="59">
        <f t="shared" si="11"/>
        <v>100061.7</v>
      </c>
      <c r="K327" s="68"/>
    </row>
    <row r="328" spans="1:11" x14ac:dyDescent="0.2">
      <c r="A328" s="75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'[3]CUENTA T FONDO 100'!GA288</f>
        <v>0</v>
      </c>
      <c r="H328" s="64">
        <f>'[3]CUENTA T VS'!GA81</f>
        <v>100061.7</v>
      </c>
      <c r="I328" s="64"/>
      <c r="J328" s="64">
        <f t="shared" si="11"/>
        <v>100061.7</v>
      </c>
      <c r="K328" s="65">
        <f>J328/$J$25</f>
        <v>1.301476487464089E-3</v>
      </c>
    </row>
    <row r="329" spans="1:11" x14ac:dyDescent="0.2">
      <c r="A329" s="75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'[3]CUENTA T FONDO 100'!GB288</f>
        <v>0</v>
      </c>
      <c r="H329" s="64">
        <f>'[3]CUENTA T VS'!GB81</f>
        <v>0</v>
      </c>
      <c r="I329" s="64"/>
      <c r="J329" s="64">
        <f>SUM(G329:I329)</f>
        <v>0</v>
      </c>
      <c r="K329" s="65">
        <f>J329/$J$25</f>
        <v>0</v>
      </c>
    </row>
    <row r="330" spans="1:11" x14ac:dyDescent="0.2">
      <c r="A330" s="71">
        <v>2</v>
      </c>
      <c r="B330" s="55">
        <v>4</v>
      </c>
      <c r="C330" s="55">
        <v>1</v>
      </c>
      <c r="D330" s="55">
        <v>2</v>
      </c>
      <c r="E330" s="55"/>
      <c r="F330" s="86" t="s">
        <v>281</v>
      </c>
      <c r="G330" s="56">
        <f>G331+G332+G333+G334+G335</f>
        <v>0</v>
      </c>
      <c r="H330" s="56">
        <f>H331+H332+H333+H334+H335</f>
        <v>136966.70000000001</v>
      </c>
      <c r="I330" s="56">
        <f>I331+I332+I333+I334+I335</f>
        <v>0</v>
      </c>
      <c r="J330" s="56">
        <f t="shared" si="11"/>
        <v>136966.70000000001</v>
      </c>
      <c r="K330" s="53">
        <f>+J330/J25</f>
        <v>1.781490216691778E-3</v>
      </c>
    </row>
    <row r="331" spans="1:11" x14ac:dyDescent="0.2">
      <c r="A331" s="75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'[3]CUENTA T FONDO 100'!GC288</f>
        <v>0</v>
      </c>
      <c r="H331" s="64">
        <f>'[3]CUENTA T VS'!GC81</f>
        <v>6800</v>
      </c>
      <c r="I331" s="64"/>
      <c r="J331" s="64">
        <f t="shared" si="11"/>
        <v>6800</v>
      </c>
      <c r="K331" s="65">
        <f t="shared" ref="K331:K336" si="14">J331/$J$25</f>
        <v>8.8445830070404621E-5</v>
      </c>
    </row>
    <row r="332" spans="1:11" x14ac:dyDescent="0.2">
      <c r="A332" s="75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'[3]CUENTA T FONDO 100'!GD288</f>
        <v>0</v>
      </c>
      <c r="H332" s="64">
        <f>'[3]CUENTA T VS'!GD81</f>
        <v>130166.7</v>
      </c>
      <c r="I332" s="64"/>
      <c r="J332" s="64">
        <f t="shared" si="11"/>
        <v>130166.7</v>
      </c>
      <c r="K332" s="65">
        <f t="shared" si="14"/>
        <v>1.693044386621373E-3</v>
      </c>
    </row>
    <row r="333" spans="1:11" x14ac:dyDescent="0.2">
      <c r="A333" s="75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'[3]CUENTA T FONDO 100'!GE288</f>
        <v>0</v>
      </c>
      <c r="H333" s="64">
        <f>'[3]CUENTA T VS'!GE81</f>
        <v>0</v>
      </c>
      <c r="I333" s="64"/>
      <c r="J333" s="64">
        <f t="shared" si="11"/>
        <v>0</v>
      </c>
      <c r="K333" s="65">
        <f t="shared" si="14"/>
        <v>0</v>
      </c>
    </row>
    <row r="334" spans="1:11" x14ac:dyDescent="0.2">
      <c r="A334" s="75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'[3]CUENTA T FONDO 100'!GF288</f>
        <v>0</v>
      </c>
      <c r="H334" s="64">
        <f>'[3]CUENTA T VS'!GF81</f>
        <v>0</v>
      </c>
      <c r="I334" s="64"/>
      <c r="J334" s="64">
        <f t="shared" si="11"/>
        <v>0</v>
      </c>
      <c r="K334" s="65">
        <f t="shared" si="14"/>
        <v>0</v>
      </c>
    </row>
    <row r="335" spans="1:11" x14ac:dyDescent="0.2">
      <c r="A335" s="75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'[3]CUENTA T FONDO 100'!GG288</f>
        <v>0</v>
      </c>
      <c r="H335" s="64">
        <f>'[3]CUENTA T VS'!GG81</f>
        <v>0</v>
      </c>
      <c r="I335" s="64"/>
      <c r="J335" s="64">
        <f t="shared" si="11"/>
        <v>0</v>
      </c>
      <c r="K335" s="65">
        <f t="shared" si="14"/>
        <v>0</v>
      </c>
    </row>
    <row r="336" spans="1:11" ht="25.5" x14ac:dyDescent="0.2">
      <c r="A336" s="71">
        <v>2</v>
      </c>
      <c r="B336" s="55">
        <v>6</v>
      </c>
      <c r="C336" s="55"/>
      <c r="D336" s="55"/>
      <c r="E336" s="55"/>
      <c r="F336" s="86" t="s">
        <v>287</v>
      </c>
      <c r="G336" s="56">
        <f>G337+G348+G357+G366+G383+G400+G405+G424+G446</f>
        <v>0</v>
      </c>
      <c r="H336" s="56">
        <f>H337+H348+H357+H366+H383+H400+H405+H424+H446</f>
        <v>887994.84</v>
      </c>
      <c r="I336" s="56">
        <f>I337+I348+I357+I366+I383+I400+I405+I424+I446</f>
        <v>0</v>
      </c>
      <c r="J336" s="56">
        <f t="shared" si="11"/>
        <v>887994.84</v>
      </c>
      <c r="K336" s="53">
        <f t="shared" si="14"/>
        <v>1.1549917753240609E-2</v>
      </c>
    </row>
    <row r="337" spans="1:11" x14ac:dyDescent="0.2">
      <c r="A337" s="54">
        <v>2</v>
      </c>
      <c r="B337" s="55">
        <v>6</v>
      </c>
      <c r="C337" s="55">
        <v>1</v>
      </c>
      <c r="D337" s="55"/>
      <c r="E337" s="55"/>
      <c r="F337" s="86" t="s">
        <v>288</v>
      </c>
      <c r="G337" s="56">
        <f>+G338+G340+G342+G344+G346</f>
        <v>0</v>
      </c>
      <c r="H337" s="56">
        <f>+H338+H340+H342+H344+H346</f>
        <v>0</v>
      </c>
      <c r="I337" s="56">
        <f>+I338+I340+I342+I344+I346</f>
        <v>0</v>
      </c>
      <c r="J337" s="56">
        <f t="shared" si="11"/>
        <v>0</v>
      </c>
      <c r="K337" s="53"/>
    </row>
    <row r="338" spans="1:11" ht="25.5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7" t="s">
        <v>289</v>
      </c>
      <c r="G338" s="59">
        <f>SUM(G339)</f>
        <v>0</v>
      </c>
      <c r="H338" s="59">
        <f>SUM(H339)</f>
        <v>0</v>
      </c>
      <c r="I338" s="59">
        <f>SUM(I339)</f>
        <v>0</v>
      </c>
      <c r="J338" s="59">
        <f t="shared" si="11"/>
        <v>0</v>
      </c>
      <c r="K338" s="68"/>
    </row>
    <row r="339" spans="1:11" ht="25.5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70" t="s">
        <v>289</v>
      </c>
      <c r="G339" s="64">
        <f>'[3]CUENTA T FONDO 100'!GH288</f>
        <v>0</v>
      </c>
      <c r="H339" s="64">
        <f>'[3]CUENTA T VS'!GH81</f>
        <v>0</v>
      </c>
      <c r="I339" s="101"/>
      <c r="J339" s="64">
        <f t="shared" si="11"/>
        <v>0</v>
      </c>
      <c r="K339" s="65">
        <f>J339/$J$25</f>
        <v>0</v>
      </c>
    </row>
    <row r="340" spans="1:11" ht="25.5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7" t="s">
        <v>290</v>
      </c>
      <c r="G340" s="59">
        <f>SUM(G341)</f>
        <v>0</v>
      </c>
      <c r="H340" s="59">
        <f>SUM(H341)</f>
        <v>0</v>
      </c>
      <c r="I340" s="59">
        <f>SUM(I341)</f>
        <v>0</v>
      </c>
      <c r="J340" s="59">
        <f t="shared" si="11"/>
        <v>0</v>
      </c>
      <c r="K340" s="68"/>
    </row>
    <row r="341" spans="1:11" ht="25.5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70" t="s">
        <v>290</v>
      </c>
      <c r="G341" s="64">
        <f>'[3]CUENTA T FONDO 100'!GI288</f>
        <v>0</v>
      </c>
      <c r="H341" s="64">
        <f>'[3]CUENTA T VS'!GI81</f>
        <v>0</v>
      </c>
      <c r="I341" s="101"/>
      <c r="J341" s="64">
        <f t="shared" si="11"/>
        <v>0</v>
      </c>
      <c r="K341" s="65">
        <f>J341/$J$25</f>
        <v>0</v>
      </c>
    </row>
    <row r="342" spans="1:11" ht="25.5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7" t="s">
        <v>291</v>
      </c>
      <c r="G342" s="59">
        <f>SUM(G343)</f>
        <v>0</v>
      </c>
      <c r="H342" s="59">
        <f>SUM(H343)</f>
        <v>0</v>
      </c>
      <c r="I342" s="59">
        <f>SUM(I343)</f>
        <v>0</v>
      </c>
      <c r="J342" s="59">
        <f t="shared" si="11"/>
        <v>0</v>
      </c>
      <c r="K342" s="68"/>
    </row>
    <row r="343" spans="1:11" ht="25.5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70" t="s">
        <v>291</v>
      </c>
      <c r="G343" s="64">
        <f>'[3]CUENTA T FONDO 100'!GJ288</f>
        <v>0</v>
      </c>
      <c r="H343" s="64">
        <f>'[3]CUENTA T VS'!GJ81</f>
        <v>0</v>
      </c>
      <c r="I343" s="101"/>
      <c r="J343" s="64">
        <f t="shared" si="11"/>
        <v>0</v>
      </c>
      <c r="K343" s="65">
        <f>J343/$J$25</f>
        <v>0</v>
      </c>
    </row>
    <row r="344" spans="1:11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7" t="s">
        <v>292</v>
      </c>
      <c r="G344" s="59">
        <f>SUM(G345)</f>
        <v>0</v>
      </c>
      <c r="H344" s="59">
        <f>SUM(H345)</f>
        <v>0</v>
      </c>
      <c r="I344" s="59">
        <f>SUM(I345)</f>
        <v>0</v>
      </c>
      <c r="J344" s="59">
        <f t="shared" si="11"/>
        <v>0</v>
      </c>
      <c r="K344" s="68"/>
    </row>
    <row r="345" spans="1:11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70" t="s">
        <v>292</v>
      </c>
      <c r="G345" s="64">
        <f>'[3]CUENTA T FONDO 100'!GK288</f>
        <v>0</v>
      </c>
      <c r="H345" s="64">
        <f>'[3]CUENTA T VS'!GK81</f>
        <v>0</v>
      </c>
      <c r="I345" s="101"/>
      <c r="J345" s="64">
        <f t="shared" si="11"/>
        <v>0</v>
      </c>
      <c r="K345" s="65">
        <f>J345/$J$25</f>
        <v>0</v>
      </c>
    </row>
    <row r="346" spans="1:11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7" t="s">
        <v>293</v>
      </c>
      <c r="G346" s="59">
        <f>SUM(G347)</f>
        <v>0</v>
      </c>
      <c r="H346" s="59">
        <f>SUM(H347)</f>
        <v>0</v>
      </c>
      <c r="I346" s="59">
        <f>SUM(I347)</f>
        <v>0</v>
      </c>
      <c r="J346" s="59">
        <f t="shared" si="11"/>
        <v>0</v>
      </c>
      <c r="K346" s="68"/>
    </row>
    <row r="347" spans="1:11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70" t="s">
        <v>293</v>
      </c>
      <c r="G347" s="64">
        <f>'[3]CUENTA T FONDO 100'!GL288</f>
        <v>0</v>
      </c>
      <c r="H347" s="64">
        <f>'[3]CUENTA T VS'!GL81</f>
        <v>0</v>
      </c>
      <c r="I347" s="101"/>
      <c r="J347" s="64">
        <f t="shared" si="11"/>
        <v>0</v>
      </c>
      <c r="K347" s="65">
        <f>J347/$J$25</f>
        <v>0</v>
      </c>
    </row>
    <row r="348" spans="1:11" x14ac:dyDescent="0.2">
      <c r="A348" s="88">
        <v>2</v>
      </c>
      <c r="B348" s="88">
        <v>6</v>
      </c>
      <c r="C348" s="88">
        <v>2</v>
      </c>
      <c r="D348" s="88"/>
      <c r="E348" s="88"/>
      <c r="F348" s="89" t="s">
        <v>294</v>
      </c>
      <c r="G348" s="56">
        <f>+G349+G351+G353+G355</f>
        <v>0</v>
      </c>
      <c r="H348" s="56">
        <f>+H349+H351+H353+H355</f>
        <v>0</v>
      </c>
      <c r="I348" s="56">
        <f>+I349+I351+I353+I355</f>
        <v>0</v>
      </c>
      <c r="J348" s="56">
        <f t="shared" si="11"/>
        <v>0</v>
      </c>
      <c r="K348" s="53"/>
    </row>
    <row r="349" spans="1:11" x14ac:dyDescent="0.2">
      <c r="A349" s="73">
        <v>2</v>
      </c>
      <c r="B349" s="58">
        <v>6</v>
      </c>
      <c r="C349" s="58">
        <v>2</v>
      </c>
      <c r="D349" s="58">
        <v>1</v>
      </c>
      <c r="E349" s="78"/>
      <c r="F349" s="87" t="s">
        <v>295</v>
      </c>
      <c r="G349" s="59">
        <f>SUM(G350)</f>
        <v>0</v>
      </c>
      <c r="H349" s="59">
        <f>SUM(H350)</f>
        <v>0</v>
      </c>
      <c r="I349" s="59">
        <f>SUM(I350)</f>
        <v>0</v>
      </c>
      <c r="J349" s="59">
        <f t="shared" ref="J349:J412" si="15">SUM(G349:I349)</f>
        <v>0</v>
      </c>
      <c r="K349" s="68"/>
    </row>
    <row r="350" spans="1:11" x14ac:dyDescent="0.2">
      <c r="A350" s="75">
        <v>2</v>
      </c>
      <c r="B350" s="62">
        <v>6</v>
      </c>
      <c r="C350" s="62">
        <v>2</v>
      </c>
      <c r="D350" s="62">
        <v>1</v>
      </c>
      <c r="E350" s="63" t="s">
        <v>35</v>
      </c>
      <c r="F350" s="70" t="s">
        <v>295</v>
      </c>
      <c r="G350" s="64">
        <f>'[3]CUENTA T FONDO 100'!GM288</f>
        <v>0</v>
      </c>
      <c r="H350" s="64">
        <f>'[3]CUENTA T VS'!GM81</f>
        <v>0</v>
      </c>
      <c r="I350" s="101"/>
      <c r="J350" s="64">
        <f t="shared" si="15"/>
        <v>0</v>
      </c>
      <c r="K350" s="65">
        <f>J350/$J$25</f>
        <v>0</v>
      </c>
    </row>
    <row r="351" spans="1:11" x14ac:dyDescent="0.2">
      <c r="A351" s="73">
        <v>2</v>
      </c>
      <c r="B351" s="58">
        <v>6</v>
      </c>
      <c r="C351" s="58">
        <v>2</v>
      </c>
      <c r="D351" s="58">
        <v>2</v>
      </c>
      <c r="E351" s="78"/>
      <c r="F351" s="87" t="s">
        <v>296</v>
      </c>
      <c r="G351" s="59">
        <f>SUM(G352)</f>
        <v>0</v>
      </c>
      <c r="H351" s="59">
        <f>SUM(H352)</f>
        <v>0</v>
      </c>
      <c r="I351" s="59">
        <f>SUM(I352)</f>
        <v>0</v>
      </c>
      <c r="J351" s="59">
        <f t="shared" si="15"/>
        <v>0</v>
      </c>
      <c r="K351" s="68"/>
    </row>
    <row r="352" spans="1:11" x14ac:dyDescent="0.2">
      <c r="A352" s="75">
        <v>2</v>
      </c>
      <c r="B352" s="62">
        <v>6</v>
      </c>
      <c r="C352" s="62">
        <v>2</v>
      </c>
      <c r="D352" s="62">
        <v>2</v>
      </c>
      <c r="E352" s="63" t="s">
        <v>35</v>
      </c>
      <c r="F352" s="70" t="s">
        <v>296</v>
      </c>
      <c r="G352" s="64">
        <f>'[3]CUENTA T FONDO 100'!GN288</f>
        <v>0</v>
      </c>
      <c r="H352" s="64">
        <f>'[3]CUENTA T VS'!GN81</f>
        <v>0</v>
      </c>
      <c r="I352" s="101"/>
      <c r="J352" s="64">
        <f t="shared" si="15"/>
        <v>0</v>
      </c>
      <c r="K352" s="65">
        <f>J352/$J$25</f>
        <v>0</v>
      </c>
    </row>
    <row r="353" spans="1:11" x14ac:dyDescent="0.2">
      <c r="A353" s="73">
        <v>2</v>
      </c>
      <c r="B353" s="58">
        <v>6</v>
      </c>
      <c r="C353" s="58">
        <v>2</v>
      </c>
      <c r="D353" s="58">
        <v>3</v>
      </c>
      <c r="E353" s="78"/>
      <c r="F353" s="87" t="s">
        <v>297</v>
      </c>
      <c r="G353" s="59">
        <f>SUM(G354)</f>
        <v>0</v>
      </c>
      <c r="H353" s="59">
        <f>SUM(H354)</f>
        <v>0</v>
      </c>
      <c r="I353" s="59">
        <f>SUM(I354)</f>
        <v>0</v>
      </c>
      <c r="J353" s="59">
        <f t="shared" si="15"/>
        <v>0</v>
      </c>
      <c r="K353" s="68"/>
    </row>
    <row r="354" spans="1:11" x14ac:dyDescent="0.2">
      <c r="A354" s="75">
        <v>2</v>
      </c>
      <c r="B354" s="62">
        <v>6</v>
      </c>
      <c r="C354" s="62">
        <v>2</v>
      </c>
      <c r="D354" s="62">
        <v>3</v>
      </c>
      <c r="E354" s="63" t="s">
        <v>35</v>
      </c>
      <c r="F354" s="70" t="s">
        <v>297</v>
      </c>
      <c r="G354" s="64">
        <f>'[3]CUENTA T FONDO 100'!GO288</f>
        <v>0</v>
      </c>
      <c r="H354" s="64">
        <f>'[3]CUENTA T VS'!GO81</f>
        <v>0</v>
      </c>
      <c r="I354" s="101"/>
      <c r="J354" s="64">
        <f t="shared" si="15"/>
        <v>0</v>
      </c>
      <c r="K354" s="65">
        <f>J354/$J$25</f>
        <v>0</v>
      </c>
    </row>
    <row r="355" spans="1:11" ht="25.5" x14ac:dyDescent="0.2">
      <c r="A355" s="73">
        <v>2</v>
      </c>
      <c r="B355" s="58">
        <v>6</v>
      </c>
      <c r="C355" s="58">
        <v>2</v>
      </c>
      <c r="D355" s="58">
        <v>4</v>
      </c>
      <c r="E355" s="78"/>
      <c r="F355" s="87" t="s">
        <v>298</v>
      </c>
      <c r="G355" s="59">
        <f>SUM(G356)</f>
        <v>0</v>
      </c>
      <c r="H355" s="59">
        <f>SUM(H356)</f>
        <v>0</v>
      </c>
      <c r="I355" s="59">
        <f>SUM(I356)</f>
        <v>0</v>
      </c>
      <c r="J355" s="59">
        <f t="shared" si="15"/>
        <v>0</v>
      </c>
      <c r="K355" s="68"/>
    </row>
    <row r="356" spans="1:11" ht="25.5" x14ac:dyDescent="0.2">
      <c r="A356" s="75">
        <v>2</v>
      </c>
      <c r="B356" s="62">
        <v>6</v>
      </c>
      <c r="C356" s="62">
        <v>2</v>
      </c>
      <c r="D356" s="62">
        <v>4</v>
      </c>
      <c r="E356" s="63" t="s">
        <v>35</v>
      </c>
      <c r="F356" s="70" t="s">
        <v>298</v>
      </c>
      <c r="G356" s="64">
        <f>'[3]CUENTA T FONDO 100'!GP288</f>
        <v>0</v>
      </c>
      <c r="H356" s="64">
        <f>'[3]CUENTA T VS'!GP81</f>
        <v>0</v>
      </c>
      <c r="I356" s="101"/>
      <c r="J356" s="64">
        <f t="shared" si="15"/>
        <v>0</v>
      </c>
      <c r="K356" s="65">
        <f>J356/$J$25</f>
        <v>0</v>
      </c>
    </row>
    <row r="357" spans="1:11" x14ac:dyDescent="0.2">
      <c r="A357" s="88">
        <v>2</v>
      </c>
      <c r="B357" s="88">
        <v>6</v>
      </c>
      <c r="C357" s="88">
        <v>3</v>
      </c>
      <c r="D357" s="88"/>
      <c r="E357" s="88"/>
      <c r="F357" s="89" t="s">
        <v>299</v>
      </c>
      <c r="G357" s="56">
        <f>+G358+G360+G362+G364</f>
        <v>0</v>
      </c>
      <c r="H357" s="56">
        <f>+H358+H360+H362+H364</f>
        <v>887994.84</v>
      </c>
      <c r="I357" s="56">
        <f>+I358+I360+I362+I364</f>
        <v>0</v>
      </c>
      <c r="J357" s="56">
        <f t="shared" si="15"/>
        <v>887994.84</v>
      </c>
      <c r="K357" s="53"/>
    </row>
    <row r="358" spans="1:11" x14ac:dyDescent="0.2">
      <c r="A358" s="73">
        <v>2</v>
      </c>
      <c r="B358" s="58">
        <v>6</v>
      </c>
      <c r="C358" s="58">
        <v>3</v>
      </c>
      <c r="D358" s="58">
        <v>1</v>
      </c>
      <c r="E358" s="78"/>
      <c r="F358" s="87" t="s">
        <v>300</v>
      </c>
      <c r="G358" s="59">
        <f>SUM(G359)</f>
        <v>0</v>
      </c>
      <c r="H358" s="59">
        <f>SUM(H359)</f>
        <v>887994.84</v>
      </c>
      <c r="I358" s="59">
        <f>SUM(I359)</f>
        <v>0</v>
      </c>
      <c r="J358" s="59">
        <f t="shared" si="15"/>
        <v>887994.84</v>
      </c>
      <c r="K358" s="68"/>
    </row>
    <row r="359" spans="1:11" x14ac:dyDescent="0.2">
      <c r="A359" s="75">
        <v>2</v>
      </c>
      <c r="B359" s="62">
        <v>6</v>
      </c>
      <c r="C359" s="62">
        <v>3</v>
      </c>
      <c r="D359" s="62">
        <v>1</v>
      </c>
      <c r="E359" s="63" t="s">
        <v>35</v>
      </c>
      <c r="F359" s="70" t="s">
        <v>300</v>
      </c>
      <c r="G359" s="64">
        <f>'[3]CUENTA T FONDO 100'!GQ288</f>
        <v>0</v>
      </c>
      <c r="H359" s="64">
        <f>'[3]CUENTA T VS'!GQ81</f>
        <v>887994.84</v>
      </c>
      <c r="I359" s="101"/>
      <c r="J359" s="64">
        <f t="shared" si="15"/>
        <v>887994.84</v>
      </c>
      <c r="K359" s="65">
        <f>J359/$J$25</f>
        <v>1.1549917753240609E-2</v>
      </c>
    </row>
    <row r="360" spans="1:11" ht="25.5" x14ac:dyDescent="0.2">
      <c r="A360" s="73">
        <v>2</v>
      </c>
      <c r="B360" s="58">
        <v>6</v>
      </c>
      <c r="C360" s="58">
        <v>3</v>
      </c>
      <c r="D360" s="58">
        <v>2</v>
      </c>
      <c r="E360" s="78"/>
      <c r="F360" s="87" t="s">
        <v>301</v>
      </c>
      <c r="G360" s="59">
        <f>SUM(G361)</f>
        <v>0</v>
      </c>
      <c r="H360" s="59">
        <f>SUM(H361)</f>
        <v>0</v>
      </c>
      <c r="I360" s="59">
        <f>SUM(I361)</f>
        <v>0</v>
      </c>
      <c r="J360" s="59">
        <f t="shared" si="15"/>
        <v>0</v>
      </c>
      <c r="K360" s="68"/>
    </row>
    <row r="361" spans="1:11" ht="25.5" x14ac:dyDescent="0.2">
      <c r="A361" s="75">
        <v>2</v>
      </c>
      <c r="B361" s="62">
        <v>6</v>
      </c>
      <c r="C361" s="62">
        <v>3</v>
      </c>
      <c r="D361" s="62">
        <v>2</v>
      </c>
      <c r="E361" s="63" t="s">
        <v>35</v>
      </c>
      <c r="F361" s="70" t="s">
        <v>301</v>
      </c>
      <c r="G361" s="64">
        <f>'[3]CUENTA T FONDO 100'!GR288</f>
        <v>0</v>
      </c>
      <c r="H361" s="64">
        <f>'[3]CUENTA T VS'!GR81</f>
        <v>0</v>
      </c>
      <c r="I361" s="101"/>
      <c r="J361" s="64">
        <f t="shared" si="15"/>
        <v>0</v>
      </c>
      <c r="K361" s="65">
        <f>J361/$J$25</f>
        <v>0</v>
      </c>
    </row>
    <row r="362" spans="1:11" x14ac:dyDescent="0.2">
      <c r="A362" s="73">
        <v>2</v>
      </c>
      <c r="B362" s="58">
        <v>6</v>
      </c>
      <c r="C362" s="58">
        <v>3</v>
      </c>
      <c r="D362" s="58">
        <v>3</v>
      </c>
      <c r="E362" s="78"/>
      <c r="F362" s="87" t="s">
        <v>302</v>
      </c>
      <c r="G362" s="59">
        <f>SUM(G363)</f>
        <v>0</v>
      </c>
      <c r="H362" s="59">
        <f>SUM(H363)</f>
        <v>0</v>
      </c>
      <c r="I362" s="59">
        <f>SUM(I363)</f>
        <v>0</v>
      </c>
      <c r="J362" s="59">
        <f t="shared" si="15"/>
        <v>0</v>
      </c>
      <c r="K362" s="68"/>
    </row>
    <row r="363" spans="1:11" x14ac:dyDescent="0.2">
      <c r="A363" s="75">
        <v>2</v>
      </c>
      <c r="B363" s="62">
        <v>6</v>
      </c>
      <c r="C363" s="62">
        <v>3</v>
      </c>
      <c r="D363" s="62">
        <v>3</v>
      </c>
      <c r="E363" s="63" t="s">
        <v>35</v>
      </c>
      <c r="F363" s="70" t="s">
        <v>302</v>
      </c>
      <c r="G363" s="64">
        <f>'[3]CUENTA T FONDO 100'!GS288</f>
        <v>0</v>
      </c>
      <c r="H363" s="64">
        <f>'[3]CUENTA T VS'!GS81</f>
        <v>0</v>
      </c>
      <c r="I363" s="101"/>
      <c r="J363" s="64">
        <f t="shared" si="15"/>
        <v>0</v>
      </c>
      <c r="K363" s="65">
        <f>J363/$J$25</f>
        <v>0</v>
      </c>
    </row>
    <row r="364" spans="1:11" ht="25.5" x14ac:dyDescent="0.2">
      <c r="A364" s="73">
        <v>2</v>
      </c>
      <c r="B364" s="58">
        <v>6</v>
      </c>
      <c r="C364" s="58">
        <v>3</v>
      </c>
      <c r="D364" s="58">
        <v>4</v>
      </c>
      <c r="E364" s="58"/>
      <c r="F364" s="87" t="s">
        <v>303</v>
      </c>
      <c r="G364" s="59">
        <f>+G365</f>
        <v>0</v>
      </c>
      <c r="H364" s="59">
        <f>+H365</f>
        <v>0</v>
      </c>
      <c r="I364" s="59">
        <f>+I365</f>
        <v>0</v>
      </c>
      <c r="J364" s="59">
        <f t="shared" si="15"/>
        <v>0</v>
      </c>
      <c r="K364" s="68"/>
    </row>
    <row r="365" spans="1:11" ht="25.5" x14ac:dyDescent="0.2">
      <c r="A365" s="75">
        <v>2</v>
      </c>
      <c r="B365" s="62">
        <v>6</v>
      </c>
      <c r="C365" s="62">
        <v>3</v>
      </c>
      <c r="D365" s="62">
        <v>4</v>
      </c>
      <c r="E365" s="63" t="s">
        <v>35</v>
      </c>
      <c r="F365" s="70" t="s">
        <v>303</v>
      </c>
      <c r="G365" s="64">
        <f>'[3]CUENTA T FONDO 100'!GT288</f>
        <v>0</v>
      </c>
      <c r="H365" s="64">
        <f>'[3]CUENTA T VS'!GT81</f>
        <v>0</v>
      </c>
      <c r="I365" s="101"/>
      <c r="J365" s="64">
        <f t="shared" si="15"/>
        <v>0</v>
      </c>
      <c r="K365" s="65">
        <f>J365/$J$25</f>
        <v>0</v>
      </c>
    </row>
    <row r="366" spans="1:11" ht="25.5" x14ac:dyDescent="0.2">
      <c r="A366" s="54">
        <v>2</v>
      </c>
      <c r="B366" s="55">
        <v>6</v>
      </c>
      <c r="C366" s="55">
        <v>4</v>
      </c>
      <c r="D366" s="55"/>
      <c r="E366" s="79"/>
      <c r="F366" s="86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>+I367+I369+I371+I373+I375+I377+I379+I381</f>
        <v>0</v>
      </c>
      <c r="J366" s="56">
        <f t="shared" si="15"/>
        <v>0</v>
      </c>
      <c r="K366" s="53"/>
    </row>
    <row r="367" spans="1:11" x14ac:dyDescent="0.2">
      <c r="A367" s="73">
        <v>2</v>
      </c>
      <c r="B367" s="58">
        <v>6</v>
      </c>
      <c r="C367" s="58">
        <v>4</v>
      </c>
      <c r="D367" s="58">
        <v>1</v>
      </c>
      <c r="E367" s="58"/>
      <c r="F367" s="87" t="s">
        <v>305</v>
      </c>
      <c r="G367" s="59">
        <f>SUM(G368)</f>
        <v>0</v>
      </c>
      <c r="H367" s="59">
        <f>SUM(H368)</f>
        <v>0</v>
      </c>
      <c r="I367" s="59">
        <f>SUM(I368)</f>
        <v>0</v>
      </c>
      <c r="J367" s="59">
        <f t="shared" si="15"/>
        <v>0</v>
      </c>
      <c r="K367" s="68"/>
    </row>
    <row r="368" spans="1:11" x14ac:dyDescent="0.2">
      <c r="A368" s="75">
        <v>2</v>
      </c>
      <c r="B368" s="62">
        <v>6</v>
      </c>
      <c r="C368" s="62">
        <v>4</v>
      </c>
      <c r="D368" s="62">
        <v>1</v>
      </c>
      <c r="E368" s="63" t="s">
        <v>35</v>
      </c>
      <c r="F368" s="70" t="s">
        <v>305</v>
      </c>
      <c r="G368" s="64">
        <f>'[3]CUENTA T FONDO 100'!GU288</f>
        <v>0</v>
      </c>
      <c r="H368" s="64">
        <f>'[3]CUENTA T VS'!GU81</f>
        <v>0</v>
      </c>
      <c r="I368" s="101"/>
      <c r="J368" s="64">
        <f t="shared" si="15"/>
        <v>0</v>
      </c>
      <c r="K368" s="65">
        <f>J368/$J$25</f>
        <v>0</v>
      </c>
    </row>
    <row r="369" spans="1:11" x14ac:dyDescent="0.2">
      <c r="A369" s="73">
        <v>2</v>
      </c>
      <c r="B369" s="58">
        <v>6</v>
      </c>
      <c r="C369" s="58">
        <v>4</v>
      </c>
      <c r="D369" s="58">
        <v>2</v>
      </c>
      <c r="E369" s="58"/>
      <c r="F369" s="87" t="s">
        <v>306</v>
      </c>
      <c r="G369" s="59">
        <f>SUM(G370)</f>
        <v>0</v>
      </c>
      <c r="H369" s="59">
        <f>SUM(H370)</f>
        <v>0</v>
      </c>
      <c r="I369" s="59">
        <f>SUM(I370)</f>
        <v>0</v>
      </c>
      <c r="J369" s="59">
        <f t="shared" si="15"/>
        <v>0</v>
      </c>
      <c r="K369" s="68"/>
    </row>
    <row r="370" spans="1:11" x14ac:dyDescent="0.2">
      <c r="A370" s="75">
        <v>2</v>
      </c>
      <c r="B370" s="62">
        <v>6</v>
      </c>
      <c r="C370" s="62">
        <v>4</v>
      </c>
      <c r="D370" s="62">
        <v>2</v>
      </c>
      <c r="E370" s="63" t="s">
        <v>35</v>
      </c>
      <c r="F370" s="70" t="s">
        <v>306</v>
      </c>
      <c r="G370" s="64">
        <f>'[3]CUENTA T FONDO 100'!GV288</f>
        <v>0</v>
      </c>
      <c r="H370" s="64">
        <f>'[3]CUENTA T VS'!GV81</f>
        <v>0</v>
      </c>
      <c r="I370" s="101"/>
      <c r="J370" s="64">
        <f t="shared" si="15"/>
        <v>0</v>
      </c>
      <c r="K370" s="65">
        <f>J370/$J$25</f>
        <v>0</v>
      </c>
    </row>
    <row r="371" spans="1:11" x14ac:dyDescent="0.2">
      <c r="A371" s="73">
        <v>2</v>
      </c>
      <c r="B371" s="58">
        <v>6</v>
      </c>
      <c r="C371" s="58">
        <v>4</v>
      </c>
      <c r="D371" s="58">
        <v>3</v>
      </c>
      <c r="E371" s="58"/>
      <c r="F371" s="87" t="s">
        <v>307</v>
      </c>
      <c r="G371" s="59">
        <f>SUM(G372)</f>
        <v>0</v>
      </c>
      <c r="H371" s="59">
        <f>SUM(H372)</f>
        <v>0</v>
      </c>
      <c r="I371" s="59">
        <f>SUM(I372)</f>
        <v>0</v>
      </c>
      <c r="J371" s="59">
        <f t="shared" si="15"/>
        <v>0</v>
      </c>
      <c r="K371" s="68"/>
    </row>
    <row r="372" spans="1:11" x14ac:dyDescent="0.2">
      <c r="A372" s="75">
        <v>2</v>
      </c>
      <c r="B372" s="62">
        <v>6</v>
      </c>
      <c r="C372" s="62">
        <v>4</v>
      </c>
      <c r="D372" s="62">
        <v>3</v>
      </c>
      <c r="E372" s="63" t="s">
        <v>35</v>
      </c>
      <c r="F372" s="70" t="s">
        <v>307</v>
      </c>
      <c r="G372" s="64">
        <f>'[3]CUENTA T FONDO 100'!GW288</f>
        <v>0</v>
      </c>
      <c r="H372" s="64">
        <f>'[3]CUENTA T VS'!GX81</f>
        <v>0</v>
      </c>
      <c r="I372" s="101"/>
      <c r="J372" s="64">
        <f t="shared" si="15"/>
        <v>0</v>
      </c>
      <c r="K372" s="65">
        <f>J372/$J$25</f>
        <v>0</v>
      </c>
    </row>
    <row r="373" spans="1:11" x14ac:dyDescent="0.2">
      <c r="A373" s="73">
        <v>2</v>
      </c>
      <c r="B373" s="58">
        <v>6</v>
      </c>
      <c r="C373" s="58">
        <v>4</v>
      </c>
      <c r="D373" s="58">
        <v>4</v>
      </c>
      <c r="E373" s="58"/>
      <c r="F373" s="87" t="s">
        <v>308</v>
      </c>
      <c r="G373" s="59">
        <f>SUM(G374)</f>
        <v>0</v>
      </c>
      <c r="H373" s="59">
        <f>SUM(H374)</f>
        <v>0</v>
      </c>
      <c r="I373" s="59">
        <f>SUM(I374)</f>
        <v>0</v>
      </c>
      <c r="J373" s="59">
        <f t="shared" si="15"/>
        <v>0</v>
      </c>
      <c r="K373" s="68"/>
    </row>
    <row r="374" spans="1:11" x14ac:dyDescent="0.2">
      <c r="A374" s="75">
        <v>2</v>
      </c>
      <c r="B374" s="62">
        <v>6</v>
      </c>
      <c r="C374" s="62">
        <v>4</v>
      </c>
      <c r="D374" s="62">
        <v>4</v>
      </c>
      <c r="E374" s="63" t="s">
        <v>35</v>
      </c>
      <c r="F374" s="70" t="s">
        <v>308</v>
      </c>
      <c r="G374" s="64">
        <f>'[3]CUENTA T FONDO 100'!GX288</f>
        <v>0</v>
      </c>
      <c r="H374" s="64">
        <f>'[3]CUENTA T VS'!GX81</f>
        <v>0</v>
      </c>
      <c r="I374" s="101"/>
      <c r="J374" s="64">
        <f t="shared" si="15"/>
        <v>0</v>
      </c>
      <c r="K374" s="65">
        <f>J374/$J$25</f>
        <v>0</v>
      </c>
    </row>
    <row r="375" spans="1:11" x14ac:dyDescent="0.2">
      <c r="A375" s="73">
        <v>2</v>
      </c>
      <c r="B375" s="58">
        <v>6</v>
      </c>
      <c r="C375" s="58">
        <v>4</v>
      </c>
      <c r="D375" s="58">
        <v>5</v>
      </c>
      <c r="E375" s="58"/>
      <c r="F375" s="87" t="s">
        <v>309</v>
      </c>
      <c r="G375" s="59">
        <f>SUM(G376)</f>
        <v>0</v>
      </c>
      <c r="H375" s="59">
        <f>SUM(H376)</f>
        <v>0</v>
      </c>
      <c r="I375" s="59">
        <f>SUM(I376)</f>
        <v>0</v>
      </c>
      <c r="J375" s="59">
        <f t="shared" si="15"/>
        <v>0</v>
      </c>
      <c r="K375" s="68"/>
    </row>
    <row r="376" spans="1:11" x14ac:dyDescent="0.2">
      <c r="A376" s="75">
        <v>2</v>
      </c>
      <c r="B376" s="62">
        <v>6</v>
      </c>
      <c r="C376" s="62">
        <v>4</v>
      </c>
      <c r="D376" s="62">
        <v>5</v>
      </c>
      <c r="E376" s="63" t="s">
        <v>35</v>
      </c>
      <c r="F376" s="70" t="s">
        <v>309</v>
      </c>
      <c r="G376" s="64">
        <f>'[3]CUENTA T FONDO 100'!GY288</f>
        <v>0</v>
      </c>
      <c r="H376" s="64">
        <f>'[3]CUENTA T VS'!GY81</f>
        <v>0</v>
      </c>
      <c r="I376" s="101"/>
      <c r="J376" s="64">
        <f t="shared" si="15"/>
        <v>0</v>
      </c>
      <c r="K376" s="65">
        <f>J376/$J$25</f>
        <v>0</v>
      </c>
    </row>
    <row r="377" spans="1:11" x14ac:dyDescent="0.2">
      <c r="A377" s="73">
        <v>2</v>
      </c>
      <c r="B377" s="58">
        <v>6</v>
      </c>
      <c r="C377" s="58">
        <v>4</v>
      </c>
      <c r="D377" s="58">
        <v>6</v>
      </c>
      <c r="E377" s="58"/>
      <c r="F377" s="87" t="s">
        <v>310</v>
      </c>
      <c r="G377" s="59">
        <f>SUM(G378)</f>
        <v>0</v>
      </c>
      <c r="H377" s="59">
        <f>SUM(H378)</f>
        <v>0</v>
      </c>
      <c r="I377" s="59">
        <f>SUM(I378)</f>
        <v>0</v>
      </c>
      <c r="J377" s="59">
        <f t="shared" si="15"/>
        <v>0</v>
      </c>
      <c r="K377" s="68"/>
    </row>
    <row r="378" spans="1:11" x14ac:dyDescent="0.2">
      <c r="A378" s="75">
        <v>2</v>
      </c>
      <c r="B378" s="62">
        <v>6</v>
      </c>
      <c r="C378" s="62">
        <v>4</v>
      </c>
      <c r="D378" s="62">
        <v>6</v>
      </c>
      <c r="E378" s="63" t="s">
        <v>35</v>
      </c>
      <c r="F378" s="70" t="s">
        <v>310</v>
      </c>
      <c r="G378" s="64">
        <f>'[3]CUENTA T FONDO 100'!GZ288</f>
        <v>0</v>
      </c>
      <c r="H378" s="64">
        <f>'[3]CUENTA T VS'!GZ81</f>
        <v>0</v>
      </c>
      <c r="I378" s="101"/>
      <c r="J378" s="64">
        <f t="shared" si="15"/>
        <v>0</v>
      </c>
      <c r="K378" s="65">
        <f>J378/$J$25</f>
        <v>0</v>
      </c>
    </row>
    <row r="379" spans="1:11" x14ac:dyDescent="0.2">
      <c r="A379" s="73">
        <v>2</v>
      </c>
      <c r="B379" s="58">
        <v>6</v>
      </c>
      <c r="C379" s="58">
        <v>4</v>
      </c>
      <c r="D379" s="58">
        <v>7</v>
      </c>
      <c r="E379" s="58"/>
      <c r="F379" s="87" t="s">
        <v>311</v>
      </c>
      <c r="G379" s="59">
        <f>SUM(G380)</f>
        <v>0</v>
      </c>
      <c r="H379" s="59">
        <f>SUM(H380)</f>
        <v>0</v>
      </c>
      <c r="I379" s="59">
        <f>SUM(I380)</f>
        <v>0</v>
      </c>
      <c r="J379" s="59">
        <f t="shared" si="15"/>
        <v>0</v>
      </c>
      <c r="K379" s="68"/>
    </row>
    <row r="380" spans="1:11" x14ac:dyDescent="0.2">
      <c r="A380" s="75">
        <v>2</v>
      </c>
      <c r="B380" s="62">
        <v>6</v>
      </c>
      <c r="C380" s="62">
        <v>4</v>
      </c>
      <c r="D380" s="62">
        <v>7</v>
      </c>
      <c r="E380" s="63" t="s">
        <v>35</v>
      </c>
      <c r="F380" s="70" t="s">
        <v>311</v>
      </c>
      <c r="G380" s="64">
        <f>'[3]CUENTA T FONDO 100'!HA288</f>
        <v>0</v>
      </c>
      <c r="H380" s="64">
        <f>'[3]CUENTA T VS'!HA81</f>
        <v>0</v>
      </c>
      <c r="I380" s="101"/>
      <c r="J380" s="64">
        <f t="shared" si="15"/>
        <v>0</v>
      </c>
      <c r="K380" s="65">
        <f>J380/$J$25</f>
        <v>0</v>
      </c>
    </row>
    <row r="381" spans="1:11" x14ac:dyDescent="0.2">
      <c r="A381" s="73">
        <v>2</v>
      </c>
      <c r="B381" s="58">
        <v>6</v>
      </c>
      <c r="C381" s="58">
        <v>4</v>
      </c>
      <c r="D381" s="58">
        <v>8</v>
      </c>
      <c r="E381" s="58"/>
      <c r="F381" s="87" t="s">
        <v>312</v>
      </c>
      <c r="G381" s="59">
        <f>SUM(G382)</f>
        <v>0</v>
      </c>
      <c r="H381" s="59">
        <f>SUM(H382)</f>
        <v>0</v>
      </c>
      <c r="I381" s="59">
        <f>SUM(I382)</f>
        <v>0</v>
      </c>
      <c r="J381" s="59">
        <f t="shared" si="15"/>
        <v>0</v>
      </c>
      <c r="K381" s="68"/>
    </row>
    <row r="382" spans="1:11" x14ac:dyDescent="0.2">
      <c r="A382" s="75">
        <v>2</v>
      </c>
      <c r="B382" s="62">
        <v>6</v>
      </c>
      <c r="C382" s="62">
        <v>4</v>
      </c>
      <c r="D382" s="62">
        <v>8</v>
      </c>
      <c r="E382" s="63" t="s">
        <v>35</v>
      </c>
      <c r="F382" s="70" t="s">
        <v>312</v>
      </c>
      <c r="G382" s="64">
        <f>'[3]CUENTA T FONDO 100'!HB288</f>
        <v>0</v>
      </c>
      <c r="H382" s="64">
        <f>'[3]CUENTA T VS'!HB81</f>
        <v>0</v>
      </c>
      <c r="I382" s="101"/>
      <c r="J382" s="64">
        <f t="shared" si="15"/>
        <v>0</v>
      </c>
      <c r="K382" s="65">
        <f>J382/$J$25</f>
        <v>0</v>
      </c>
    </row>
    <row r="383" spans="1:11" ht="25.5" x14ac:dyDescent="0.2">
      <c r="A383" s="54">
        <v>2</v>
      </c>
      <c r="B383" s="55">
        <v>6</v>
      </c>
      <c r="C383" s="55">
        <v>5</v>
      </c>
      <c r="D383" s="55"/>
      <c r="E383" s="79"/>
      <c r="F383" s="86" t="s">
        <v>313</v>
      </c>
      <c r="G383" s="56">
        <f>+G384+G386+G388+G390+G392+G394+G396+G398</f>
        <v>0</v>
      </c>
      <c r="H383" s="56">
        <f>+H384+H386+H388+H390+H392+H394+H396+H398</f>
        <v>0</v>
      </c>
      <c r="I383" s="56">
        <f>+I384+I386+I388+I390+I392+I394+I396+I398</f>
        <v>0</v>
      </c>
      <c r="J383" s="56">
        <f t="shared" si="15"/>
        <v>0</v>
      </c>
      <c r="K383" s="53"/>
    </row>
    <row r="384" spans="1:11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7" t="s">
        <v>314</v>
      </c>
      <c r="G384" s="59">
        <f>SUM(G385)</f>
        <v>0</v>
      </c>
      <c r="H384" s="59">
        <f>SUM(H385)</f>
        <v>0</v>
      </c>
      <c r="I384" s="59">
        <f>SUM(I385)</f>
        <v>0</v>
      </c>
      <c r="J384" s="59">
        <f t="shared" si="15"/>
        <v>0</v>
      </c>
      <c r="K384" s="68"/>
    </row>
    <row r="385" spans="1:11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70" t="s">
        <v>314</v>
      </c>
      <c r="G385" s="64">
        <f>'[3]CUENTA T FONDO 100'!HC288</f>
        <v>0</v>
      </c>
      <c r="H385" s="64">
        <f>'[3]CUENTA T VS'!HC81</f>
        <v>0</v>
      </c>
      <c r="I385" s="101"/>
      <c r="J385" s="64">
        <f t="shared" si="15"/>
        <v>0</v>
      </c>
      <c r="K385" s="65">
        <f>J385/$J$25</f>
        <v>0</v>
      </c>
    </row>
    <row r="386" spans="1:11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7" t="s">
        <v>315</v>
      </c>
      <c r="G386" s="59">
        <f>SUM(G387)</f>
        <v>0</v>
      </c>
      <c r="H386" s="59">
        <f>SUM(H387)</f>
        <v>0</v>
      </c>
      <c r="I386" s="59">
        <f>SUM(I387)</f>
        <v>0</v>
      </c>
      <c r="J386" s="59">
        <f t="shared" si="15"/>
        <v>0</v>
      </c>
      <c r="K386" s="68"/>
    </row>
    <row r="387" spans="1:11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70" t="s">
        <v>315</v>
      </c>
      <c r="G387" s="64">
        <f>'[3]CUENTA T FONDO 100'!HD288</f>
        <v>0</v>
      </c>
      <c r="H387" s="64">
        <f>'[3]CUENTA T VS'!HD81</f>
        <v>0</v>
      </c>
      <c r="I387" s="101"/>
      <c r="J387" s="64">
        <f t="shared" si="15"/>
        <v>0</v>
      </c>
      <c r="K387" s="65">
        <f>J387/$J$25</f>
        <v>0</v>
      </c>
    </row>
    <row r="388" spans="1:11" ht="25.5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7" t="s">
        <v>316</v>
      </c>
      <c r="G388" s="59">
        <f>SUM(G389)</f>
        <v>0</v>
      </c>
      <c r="H388" s="59">
        <f>SUM(H389)</f>
        <v>0</v>
      </c>
      <c r="I388" s="59">
        <f>SUM(I389)</f>
        <v>0</v>
      </c>
      <c r="J388" s="59">
        <f t="shared" si="15"/>
        <v>0</v>
      </c>
      <c r="K388" s="68"/>
    </row>
    <row r="389" spans="1:11" ht="25.5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70" t="s">
        <v>316</v>
      </c>
      <c r="G389" s="64">
        <f>'[3]CUENTA T FONDO 100'!HE288</f>
        <v>0</v>
      </c>
      <c r="H389" s="64">
        <f>'[3]CUENTA T VS'!HE81</f>
        <v>0</v>
      </c>
      <c r="I389" s="101"/>
      <c r="J389" s="64">
        <f t="shared" si="15"/>
        <v>0</v>
      </c>
      <c r="K389" s="65">
        <f>J389/$J$25</f>
        <v>0</v>
      </c>
    </row>
    <row r="390" spans="1:11" ht="25.5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7" t="s">
        <v>317</v>
      </c>
      <c r="G390" s="59">
        <f>SUM(G391)</f>
        <v>0</v>
      </c>
      <c r="H390" s="59">
        <f>SUM(H391)</f>
        <v>0</v>
      </c>
      <c r="I390" s="59">
        <f>SUM(I391)</f>
        <v>0</v>
      </c>
      <c r="J390" s="59">
        <f t="shared" si="15"/>
        <v>0</v>
      </c>
      <c r="K390" s="68"/>
    </row>
    <row r="391" spans="1:11" ht="25.5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70" t="s">
        <v>317</v>
      </c>
      <c r="G391" s="64">
        <f>'[3]CUENTA T FONDO 100'!HF288</f>
        <v>0</v>
      </c>
      <c r="H391" s="64">
        <f>'[3]CUENTA T VS'!HF81</f>
        <v>0</v>
      </c>
      <c r="I391" s="101"/>
      <c r="J391" s="64">
        <f t="shared" si="15"/>
        <v>0</v>
      </c>
      <c r="K391" s="65">
        <f>J391/$J$25</f>
        <v>0</v>
      </c>
    </row>
    <row r="392" spans="1:11" ht="38.2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7" t="s">
        <v>318</v>
      </c>
      <c r="G392" s="59">
        <f>SUM(G393)</f>
        <v>0</v>
      </c>
      <c r="H392" s="59">
        <f>SUM(H393)</f>
        <v>0</v>
      </c>
      <c r="I392" s="59">
        <f>SUM(I393)</f>
        <v>0</v>
      </c>
      <c r="J392" s="59">
        <f t="shared" si="15"/>
        <v>0</v>
      </c>
      <c r="K392" s="68"/>
    </row>
    <row r="393" spans="1:11" ht="38.2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70" t="s">
        <v>318</v>
      </c>
      <c r="G393" s="64">
        <f>'[3]CUENTA T FONDO 100'!HG288</f>
        <v>0</v>
      </c>
      <c r="H393" s="64">
        <f>'[3]CUENTA T VS'!HG81</f>
        <v>0</v>
      </c>
      <c r="I393" s="101"/>
      <c r="J393" s="64">
        <f t="shared" si="15"/>
        <v>0</v>
      </c>
      <c r="K393" s="65">
        <f>J393/$J$25</f>
        <v>0</v>
      </c>
    </row>
    <row r="394" spans="1:11" ht="25.5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7" t="s">
        <v>319</v>
      </c>
      <c r="G394" s="59">
        <f>SUM(G395)</f>
        <v>0</v>
      </c>
      <c r="H394" s="59">
        <f>SUM(H395)</f>
        <v>0</v>
      </c>
      <c r="I394" s="59">
        <f>SUM(I395)</f>
        <v>0</v>
      </c>
      <c r="J394" s="59">
        <f t="shared" si="15"/>
        <v>0</v>
      </c>
      <c r="K394" s="68"/>
    </row>
    <row r="395" spans="1:11" ht="25.5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70" t="s">
        <v>319</v>
      </c>
      <c r="G395" s="64">
        <f>'[3]CUENTA T FONDO 100'!HH288</f>
        <v>0</v>
      </c>
      <c r="H395" s="64">
        <f>'[3]CUENTA T VS'!HH81</f>
        <v>0</v>
      </c>
      <c r="I395" s="101"/>
      <c r="J395" s="64">
        <f t="shared" si="15"/>
        <v>0</v>
      </c>
      <c r="K395" s="65">
        <f>J395/$J$25</f>
        <v>0</v>
      </c>
    </row>
    <row r="396" spans="1:11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7" t="s">
        <v>320</v>
      </c>
      <c r="G396" s="59">
        <f>SUM(G397)</f>
        <v>0</v>
      </c>
      <c r="H396" s="59">
        <f>SUM(H397)</f>
        <v>0</v>
      </c>
      <c r="I396" s="59">
        <f>SUM(I397)</f>
        <v>0</v>
      </c>
      <c r="J396" s="59">
        <f t="shared" si="15"/>
        <v>0</v>
      </c>
      <c r="K396" s="68"/>
    </row>
    <row r="397" spans="1:11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70" t="s">
        <v>320</v>
      </c>
      <c r="G397" s="64">
        <f>'[3]CUENTA T FONDO 100'!HI288</f>
        <v>0</v>
      </c>
      <c r="H397" s="64">
        <f>'[3]CUENTA T VS'!HI81</f>
        <v>0</v>
      </c>
      <c r="I397" s="101"/>
      <c r="J397" s="64">
        <f t="shared" si="15"/>
        <v>0</v>
      </c>
      <c r="K397" s="65">
        <f>J397/$J$25</f>
        <v>0</v>
      </c>
    </row>
    <row r="398" spans="1:11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7" t="s">
        <v>321</v>
      </c>
      <c r="G398" s="59">
        <f>SUM(G399)</f>
        <v>0</v>
      </c>
      <c r="H398" s="59">
        <f>SUM(H399)</f>
        <v>0</v>
      </c>
      <c r="I398" s="59">
        <f>SUM(I399)</f>
        <v>0</v>
      </c>
      <c r="J398" s="59">
        <f t="shared" si="15"/>
        <v>0</v>
      </c>
      <c r="K398" s="68"/>
    </row>
    <row r="399" spans="1:11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70" t="s">
        <v>321</v>
      </c>
      <c r="G399" s="64">
        <f>'[3]CUENTA T FONDO 100'!HJ288</f>
        <v>0</v>
      </c>
      <c r="H399" s="64">
        <f>'[3]CUENTA T VS'!HJ81</f>
        <v>0</v>
      </c>
      <c r="I399" s="101"/>
      <c r="J399" s="64">
        <f t="shared" si="15"/>
        <v>0</v>
      </c>
      <c r="K399" s="65">
        <f>J399/$J$25</f>
        <v>0</v>
      </c>
    </row>
    <row r="400" spans="1:11" x14ac:dyDescent="0.2">
      <c r="A400" s="71">
        <v>2</v>
      </c>
      <c r="B400" s="55">
        <v>6</v>
      </c>
      <c r="C400" s="55">
        <v>6</v>
      </c>
      <c r="D400" s="55"/>
      <c r="E400" s="55"/>
      <c r="F400" s="86" t="s">
        <v>322</v>
      </c>
      <c r="G400" s="56">
        <f>+G401+G403</f>
        <v>0</v>
      </c>
      <c r="H400" s="56">
        <f>+H401+H403</f>
        <v>0</v>
      </c>
      <c r="I400" s="56">
        <f>+I401+I403</f>
        <v>0</v>
      </c>
      <c r="J400" s="56">
        <f t="shared" si="15"/>
        <v>0</v>
      </c>
      <c r="K400" s="53">
        <f>J400/$J$25</f>
        <v>0</v>
      </c>
    </row>
    <row r="401" spans="1:11" x14ac:dyDescent="0.2">
      <c r="A401" s="73">
        <v>2</v>
      </c>
      <c r="B401" s="58">
        <v>6</v>
      </c>
      <c r="C401" s="58">
        <v>6</v>
      </c>
      <c r="D401" s="58">
        <v>1</v>
      </c>
      <c r="E401" s="78"/>
      <c r="F401" s="87" t="s">
        <v>323</v>
      </c>
      <c r="G401" s="59">
        <f>+G402</f>
        <v>0</v>
      </c>
      <c r="H401" s="59">
        <f>+H402</f>
        <v>0</v>
      </c>
      <c r="I401" s="59">
        <f>+I402</f>
        <v>0</v>
      </c>
      <c r="J401" s="59">
        <f t="shared" si="15"/>
        <v>0</v>
      </c>
      <c r="K401" s="68"/>
    </row>
    <row r="402" spans="1:11" x14ac:dyDescent="0.2">
      <c r="A402" s="75">
        <v>2</v>
      </c>
      <c r="B402" s="62">
        <v>6</v>
      </c>
      <c r="C402" s="62">
        <v>6</v>
      </c>
      <c r="D402" s="62">
        <v>1</v>
      </c>
      <c r="E402" s="62" t="s">
        <v>324</v>
      </c>
      <c r="F402" s="70" t="s">
        <v>323</v>
      </c>
      <c r="G402" s="64">
        <f>'[3]CUENTA T FONDO 100'!HK288</f>
        <v>0</v>
      </c>
      <c r="H402" s="64">
        <f>'[3]CUENTA T VS'!HK81</f>
        <v>0</v>
      </c>
      <c r="I402" s="101"/>
      <c r="J402" s="64">
        <f t="shared" si="15"/>
        <v>0</v>
      </c>
      <c r="K402" s="65">
        <f>J402/$J$25</f>
        <v>0</v>
      </c>
    </row>
    <row r="403" spans="1:11" x14ac:dyDescent="0.2">
      <c r="A403" s="73">
        <v>2</v>
      </c>
      <c r="B403" s="58">
        <v>6</v>
      </c>
      <c r="C403" s="58">
        <v>6</v>
      </c>
      <c r="D403" s="58">
        <v>2</v>
      </c>
      <c r="E403" s="78"/>
      <c r="F403" s="87" t="s">
        <v>325</v>
      </c>
      <c r="G403" s="59">
        <f>+G404</f>
        <v>0</v>
      </c>
      <c r="H403" s="59">
        <f>+H404</f>
        <v>0</v>
      </c>
      <c r="I403" s="59">
        <f>+I404</f>
        <v>0</v>
      </c>
      <c r="J403" s="59">
        <f t="shared" si="15"/>
        <v>0</v>
      </c>
      <c r="K403" s="68"/>
    </row>
    <row r="404" spans="1:11" x14ac:dyDescent="0.2">
      <c r="A404" s="75">
        <v>2</v>
      </c>
      <c r="B404" s="62">
        <v>6</v>
      </c>
      <c r="C404" s="62">
        <v>6</v>
      </c>
      <c r="D404" s="62">
        <v>2</v>
      </c>
      <c r="E404" s="62" t="s">
        <v>324</v>
      </c>
      <c r="F404" s="70" t="s">
        <v>325</v>
      </c>
      <c r="G404" s="64">
        <f>'[3]CUENTA T FONDO 100'!HL288</f>
        <v>0</v>
      </c>
      <c r="H404" s="64">
        <f>'[3]CUENTA T VS'!HL81</f>
        <v>0</v>
      </c>
      <c r="I404" s="101"/>
      <c r="J404" s="64">
        <f t="shared" si="15"/>
        <v>0</v>
      </c>
      <c r="K404" s="65">
        <f>J404/$J$25</f>
        <v>0</v>
      </c>
    </row>
    <row r="405" spans="1:11" x14ac:dyDescent="0.2">
      <c r="A405" s="54">
        <v>2</v>
      </c>
      <c r="B405" s="55">
        <v>6</v>
      </c>
      <c r="C405" s="55">
        <v>7</v>
      </c>
      <c r="D405" s="55"/>
      <c r="E405" s="79"/>
      <c r="F405" s="86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>+I406+I408+I410+I412+I414+I416+I418+I420+I422</f>
        <v>0</v>
      </c>
      <c r="J405" s="56">
        <f t="shared" si="15"/>
        <v>0</v>
      </c>
      <c r="K405" s="53"/>
    </row>
    <row r="406" spans="1:11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7" t="s">
        <v>327</v>
      </c>
      <c r="G406" s="59">
        <f>SUM(G407)</f>
        <v>0</v>
      </c>
      <c r="H406" s="59">
        <f>SUM(H407)</f>
        <v>0</v>
      </c>
      <c r="I406" s="59">
        <f>SUM(I407)</f>
        <v>0</v>
      </c>
      <c r="J406" s="59">
        <f t="shared" si="15"/>
        <v>0</v>
      </c>
      <c r="K406" s="68"/>
    </row>
    <row r="407" spans="1:11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70" t="s">
        <v>327</v>
      </c>
      <c r="G407" s="64">
        <f>'[3]CUENTA T FONDO 100'!HM288</f>
        <v>0</v>
      </c>
      <c r="H407" s="64">
        <f>'[3]CUENTA T VS'!HM81</f>
        <v>0</v>
      </c>
      <c r="I407" s="101"/>
      <c r="J407" s="64">
        <f t="shared" si="15"/>
        <v>0</v>
      </c>
      <c r="K407" s="65">
        <f>J407/$J$25</f>
        <v>0</v>
      </c>
    </row>
    <row r="408" spans="1:11" x14ac:dyDescent="0.2">
      <c r="A408" s="73">
        <v>2</v>
      </c>
      <c r="B408" s="58">
        <v>6</v>
      </c>
      <c r="C408" s="58">
        <v>7</v>
      </c>
      <c r="D408" s="58">
        <v>2</v>
      </c>
      <c r="E408" s="58"/>
      <c r="F408" s="87" t="s">
        <v>328</v>
      </c>
      <c r="G408" s="59">
        <f>SUM(G409)</f>
        <v>0</v>
      </c>
      <c r="H408" s="59">
        <f>SUM(H409)</f>
        <v>0</v>
      </c>
      <c r="I408" s="59">
        <f>SUM(I409)</f>
        <v>0</v>
      </c>
      <c r="J408" s="59">
        <f t="shared" si="15"/>
        <v>0</v>
      </c>
      <c r="K408" s="68"/>
    </row>
    <row r="409" spans="1:11" x14ac:dyDescent="0.2">
      <c r="A409" s="75">
        <v>2</v>
      </c>
      <c r="B409" s="62">
        <v>6</v>
      </c>
      <c r="C409" s="62">
        <v>7</v>
      </c>
      <c r="D409" s="62">
        <v>2</v>
      </c>
      <c r="E409" s="63" t="s">
        <v>35</v>
      </c>
      <c r="F409" s="70" t="s">
        <v>328</v>
      </c>
      <c r="G409" s="64">
        <f>'[3]CUENTA T FONDO 100'!HN288</f>
        <v>0</v>
      </c>
      <c r="H409" s="64">
        <f>'[3]CUENTA T VS'!HN81</f>
        <v>0</v>
      </c>
      <c r="I409" s="101"/>
      <c r="J409" s="64">
        <f t="shared" si="15"/>
        <v>0</v>
      </c>
      <c r="K409" s="65">
        <f>J409/$J$25</f>
        <v>0</v>
      </c>
    </row>
    <row r="410" spans="1:11" x14ac:dyDescent="0.2">
      <c r="A410" s="73">
        <v>2</v>
      </c>
      <c r="B410" s="58">
        <v>6</v>
      </c>
      <c r="C410" s="58">
        <v>7</v>
      </c>
      <c r="D410" s="58">
        <v>3</v>
      </c>
      <c r="E410" s="58"/>
      <c r="F410" s="87" t="s">
        <v>329</v>
      </c>
      <c r="G410" s="59">
        <f>SUM(G411)</f>
        <v>0</v>
      </c>
      <c r="H410" s="59">
        <f>SUM(H411)</f>
        <v>0</v>
      </c>
      <c r="I410" s="59">
        <f>SUM(I411)</f>
        <v>0</v>
      </c>
      <c r="J410" s="59">
        <f t="shared" si="15"/>
        <v>0</v>
      </c>
      <c r="K410" s="68"/>
    </row>
    <row r="411" spans="1:11" x14ac:dyDescent="0.2">
      <c r="A411" s="75">
        <v>2</v>
      </c>
      <c r="B411" s="62">
        <v>6</v>
      </c>
      <c r="C411" s="62">
        <v>7</v>
      </c>
      <c r="D411" s="62">
        <v>3</v>
      </c>
      <c r="E411" s="63" t="s">
        <v>35</v>
      </c>
      <c r="F411" s="70" t="s">
        <v>329</v>
      </c>
      <c r="G411" s="64">
        <f>'[3]CUENTA T FONDO 100'!HO288</f>
        <v>0</v>
      </c>
      <c r="H411" s="64">
        <f>'[3]CUENTA T VS'!HO81</f>
        <v>0</v>
      </c>
      <c r="I411" s="101"/>
      <c r="J411" s="64">
        <f t="shared" si="15"/>
        <v>0</v>
      </c>
      <c r="K411" s="65">
        <f>J411/$J$25</f>
        <v>0</v>
      </c>
    </row>
    <row r="412" spans="1:11" x14ac:dyDescent="0.2">
      <c r="A412" s="73">
        <v>2</v>
      </c>
      <c r="B412" s="58">
        <v>6</v>
      </c>
      <c r="C412" s="58">
        <v>7</v>
      </c>
      <c r="D412" s="58">
        <v>4</v>
      </c>
      <c r="E412" s="58"/>
      <c r="F412" s="87" t="s">
        <v>330</v>
      </c>
      <c r="G412" s="59">
        <f>SUM(G413)</f>
        <v>0</v>
      </c>
      <c r="H412" s="59">
        <f>SUM(H413)</f>
        <v>0</v>
      </c>
      <c r="I412" s="59">
        <f>SUM(I413)</f>
        <v>0</v>
      </c>
      <c r="J412" s="59">
        <f t="shared" si="15"/>
        <v>0</v>
      </c>
      <c r="K412" s="68"/>
    </row>
    <row r="413" spans="1:11" x14ac:dyDescent="0.2">
      <c r="A413" s="75">
        <v>2</v>
      </c>
      <c r="B413" s="62">
        <v>6</v>
      </c>
      <c r="C413" s="62">
        <v>7</v>
      </c>
      <c r="D413" s="62">
        <v>4</v>
      </c>
      <c r="E413" s="63" t="s">
        <v>35</v>
      </c>
      <c r="F413" s="70" t="s">
        <v>330</v>
      </c>
      <c r="G413" s="64">
        <f>'[3]CUENTA T FONDO 100'!HP288</f>
        <v>0</v>
      </c>
      <c r="H413" s="64">
        <f>'[3]CUENTA T VS'!HP81</f>
        <v>0</v>
      </c>
      <c r="I413" s="101"/>
      <c r="J413" s="64">
        <f t="shared" ref="J413:J477" si="16">SUM(G413:I413)</f>
        <v>0</v>
      </c>
      <c r="K413" s="65">
        <f>J413/$J$25</f>
        <v>0</v>
      </c>
    </row>
    <row r="414" spans="1:11" x14ac:dyDescent="0.2">
      <c r="A414" s="73">
        <v>2</v>
      </c>
      <c r="B414" s="58">
        <v>6</v>
      </c>
      <c r="C414" s="58">
        <v>7</v>
      </c>
      <c r="D414" s="58">
        <v>5</v>
      </c>
      <c r="E414" s="58"/>
      <c r="F414" s="87" t="s">
        <v>331</v>
      </c>
      <c r="G414" s="59">
        <f>SUM(G415)</f>
        <v>0</v>
      </c>
      <c r="H414" s="59">
        <f>SUM(H415)</f>
        <v>0</v>
      </c>
      <c r="I414" s="59">
        <f>SUM(I415)</f>
        <v>0</v>
      </c>
      <c r="J414" s="59">
        <f t="shared" si="16"/>
        <v>0</v>
      </c>
      <c r="K414" s="68"/>
    </row>
    <row r="415" spans="1:11" x14ac:dyDescent="0.2">
      <c r="A415" s="75">
        <v>2</v>
      </c>
      <c r="B415" s="62">
        <v>6</v>
      </c>
      <c r="C415" s="62">
        <v>7</v>
      </c>
      <c r="D415" s="62">
        <v>5</v>
      </c>
      <c r="E415" s="63" t="s">
        <v>35</v>
      </c>
      <c r="F415" s="70" t="s">
        <v>331</v>
      </c>
      <c r="G415" s="64">
        <f>'[3]CUENTA T FONDO 100'!HQ288</f>
        <v>0</v>
      </c>
      <c r="H415" s="64">
        <f>'[3]CUENTA T VS'!HQ81</f>
        <v>0</v>
      </c>
      <c r="I415" s="101"/>
      <c r="J415" s="64">
        <f t="shared" si="16"/>
        <v>0</v>
      </c>
      <c r="K415" s="65">
        <f>J415/$J$25</f>
        <v>0</v>
      </c>
    </row>
    <row r="416" spans="1:11" x14ac:dyDescent="0.2">
      <c r="A416" s="73">
        <v>2</v>
      </c>
      <c r="B416" s="58">
        <v>6</v>
      </c>
      <c r="C416" s="58">
        <v>7</v>
      </c>
      <c r="D416" s="58">
        <v>6</v>
      </c>
      <c r="E416" s="58"/>
      <c r="F416" s="87" t="s">
        <v>332</v>
      </c>
      <c r="G416" s="59">
        <f>SUM(G417)</f>
        <v>0</v>
      </c>
      <c r="H416" s="59">
        <f>SUM(H417)</f>
        <v>0</v>
      </c>
      <c r="I416" s="59">
        <f>SUM(I417)</f>
        <v>0</v>
      </c>
      <c r="J416" s="59">
        <f t="shared" si="16"/>
        <v>0</v>
      </c>
      <c r="K416" s="68"/>
    </row>
    <row r="417" spans="1:11" x14ac:dyDescent="0.2">
      <c r="A417" s="75">
        <v>2</v>
      </c>
      <c r="B417" s="62">
        <v>6</v>
      </c>
      <c r="C417" s="62">
        <v>7</v>
      </c>
      <c r="D417" s="62">
        <v>6</v>
      </c>
      <c r="E417" s="63" t="s">
        <v>35</v>
      </c>
      <c r="F417" s="70" t="s">
        <v>332</v>
      </c>
      <c r="G417" s="64">
        <f>'[3]CUENTA T FONDO 100'!HR288</f>
        <v>0</v>
      </c>
      <c r="H417" s="64">
        <f>'[3]CUENTA T VS'!HR81</f>
        <v>0</v>
      </c>
      <c r="I417" s="101"/>
      <c r="J417" s="64">
        <f t="shared" si="16"/>
        <v>0</v>
      </c>
      <c r="K417" s="65">
        <f>J417/$J$25</f>
        <v>0</v>
      </c>
    </row>
    <row r="418" spans="1:11" x14ac:dyDescent="0.2">
      <c r="A418" s="73">
        <v>2</v>
      </c>
      <c r="B418" s="58">
        <v>6</v>
      </c>
      <c r="C418" s="58">
        <v>7</v>
      </c>
      <c r="D418" s="58">
        <v>7</v>
      </c>
      <c r="E418" s="58"/>
      <c r="F418" s="87" t="s">
        <v>333</v>
      </c>
      <c r="G418" s="59">
        <f>SUM(G419)</f>
        <v>0</v>
      </c>
      <c r="H418" s="59">
        <f>SUM(H419)</f>
        <v>0</v>
      </c>
      <c r="I418" s="59">
        <f>SUM(I419)</f>
        <v>0</v>
      </c>
      <c r="J418" s="59">
        <f t="shared" si="16"/>
        <v>0</v>
      </c>
      <c r="K418" s="68"/>
    </row>
    <row r="419" spans="1:11" x14ac:dyDescent="0.2">
      <c r="A419" s="75">
        <v>2</v>
      </c>
      <c r="B419" s="62">
        <v>6</v>
      </c>
      <c r="C419" s="62">
        <v>7</v>
      </c>
      <c r="D419" s="62">
        <v>7</v>
      </c>
      <c r="E419" s="63" t="s">
        <v>35</v>
      </c>
      <c r="F419" s="70" t="s">
        <v>333</v>
      </c>
      <c r="G419" s="64">
        <f>'[3]CUENTA T FONDO 100'!HS288</f>
        <v>0</v>
      </c>
      <c r="H419" s="64">
        <f>'[3]CUENTA T VS'!HS81</f>
        <v>0</v>
      </c>
      <c r="I419" s="101"/>
      <c r="J419" s="64">
        <f t="shared" si="16"/>
        <v>0</v>
      </c>
      <c r="K419" s="65">
        <f>J419/$J$25</f>
        <v>0</v>
      </c>
    </row>
    <row r="420" spans="1:11" ht="25.5" x14ac:dyDescent="0.2">
      <c r="A420" s="73">
        <v>2</v>
      </c>
      <c r="B420" s="58">
        <v>6</v>
      </c>
      <c r="C420" s="58">
        <v>7</v>
      </c>
      <c r="D420" s="58">
        <v>8</v>
      </c>
      <c r="E420" s="58"/>
      <c r="F420" s="87" t="s">
        <v>334</v>
      </c>
      <c r="G420" s="59">
        <f>SUM(G421)</f>
        <v>0</v>
      </c>
      <c r="H420" s="59">
        <f>SUM(H421)</f>
        <v>0</v>
      </c>
      <c r="I420" s="59">
        <f>SUM(I421)</f>
        <v>0</v>
      </c>
      <c r="J420" s="59">
        <f t="shared" si="16"/>
        <v>0</v>
      </c>
      <c r="K420" s="68"/>
    </row>
    <row r="421" spans="1:11" ht="25.5" x14ac:dyDescent="0.2">
      <c r="A421" s="75">
        <v>2</v>
      </c>
      <c r="B421" s="62">
        <v>6</v>
      </c>
      <c r="C421" s="62">
        <v>7</v>
      </c>
      <c r="D421" s="62">
        <v>8</v>
      </c>
      <c r="E421" s="63" t="s">
        <v>35</v>
      </c>
      <c r="F421" s="70" t="s">
        <v>334</v>
      </c>
      <c r="G421" s="64">
        <f>'[3]CUENTA T FONDO 100'!HT288</f>
        <v>0</v>
      </c>
      <c r="H421" s="64">
        <f>'[3]CUENTA T VS'!HT81</f>
        <v>0</v>
      </c>
      <c r="I421" s="101"/>
      <c r="J421" s="64">
        <f t="shared" si="16"/>
        <v>0</v>
      </c>
      <c r="K421" s="65">
        <f>J421/$J$25</f>
        <v>0</v>
      </c>
    </row>
    <row r="422" spans="1:11" ht="25.5" x14ac:dyDescent="0.2">
      <c r="A422" s="73">
        <v>2</v>
      </c>
      <c r="B422" s="58">
        <v>6</v>
      </c>
      <c r="C422" s="58">
        <v>7</v>
      </c>
      <c r="D422" s="58">
        <v>9</v>
      </c>
      <c r="E422" s="58"/>
      <c r="F422" s="87" t="s">
        <v>335</v>
      </c>
      <c r="G422" s="59">
        <f>SUM(G423)</f>
        <v>0</v>
      </c>
      <c r="H422" s="59">
        <f>SUM(H423)</f>
        <v>0</v>
      </c>
      <c r="I422" s="59">
        <f>SUM(I423)</f>
        <v>0</v>
      </c>
      <c r="J422" s="59">
        <f t="shared" si="16"/>
        <v>0</v>
      </c>
      <c r="K422" s="68"/>
    </row>
    <row r="423" spans="1:11" ht="25.5" x14ac:dyDescent="0.2">
      <c r="A423" s="75">
        <v>2</v>
      </c>
      <c r="B423" s="62">
        <v>6</v>
      </c>
      <c r="C423" s="62">
        <v>7</v>
      </c>
      <c r="D423" s="62">
        <v>9</v>
      </c>
      <c r="E423" s="63" t="s">
        <v>35</v>
      </c>
      <c r="F423" s="70" t="s">
        <v>335</v>
      </c>
      <c r="G423" s="64">
        <f>'[3]CUENTA T FONDO 100'!HU288</f>
        <v>0</v>
      </c>
      <c r="H423" s="64">
        <f>'[3]CUENTA T VS'!HU81</f>
        <v>0</v>
      </c>
      <c r="I423" s="101"/>
      <c r="J423" s="64">
        <f t="shared" si="16"/>
        <v>0</v>
      </c>
      <c r="K423" s="65">
        <f>J423/$J$25</f>
        <v>0</v>
      </c>
    </row>
    <row r="424" spans="1:11" x14ac:dyDescent="0.2">
      <c r="A424" s="71">
        <v>2</v>
      </c>
      <c r="B424" s="55">
        <v>6</v>
      </c>
      <c r="C424" s="55">
        <v>8</v>
      </c>
      <c r="D424" s="55"/>
      <c r="E424" s="55"/>
      <c r="F424" s="86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>I425+I427+I429+I432+I434+I436+I438+I440+I444</f>
        <v>0</v>
      </c>
      <c r="J424" s="56">
        <f t="shared" si="16"/>
        <v>0</v>
      </c>
      <c r="K424" s="53"/>
    </row>
    <row r="425" spans="1:11" x14ac:dyDescent="0.2">
      <c r="A425" s="73">
        <v>2</v>
      </c>
      <c r="B425" s="58">
        <v>6</v>
      </c>
      <c r="C425" s="58">
        <v>8</v>
      </c>
      <c r="D425" s="58">
        <v>1</v>
      </c>
      <c r="E425" s="58"/>
      <c r="F425" s="87" t="s">
        <v>337</v>
      </c>
      <c r="G425" s="59">
        <f>+G426</f>
        <v>0</v>
      </c>
      <c r="H425" s="59">
        <f>+H426</f>
        <v>0</v>
      </c>
      <c r="I425" s="59">
        <f>+I426</f>
        <v>0</v>
      </c>
      <c r="J425" s="59">
        <f t="shared" si="16"/>
        <v>0</v>
      </c>
      <c r="K425" s="68"/>
    </row>
    <row r="426" spans="1:11" x14ac:dyDescent="0.2">
      <c r="A426" s="75">
        <v>2</v>
      </c>
      <c r="B426" s="62">
        <v>6</v>
      </c>
      <c r="C426" s="62">
        <v>8</v>
      </c>
      <c r="D426" s="62">
        <v>1</v>
      </c>
      <c r="E426" s="63" t="s">
        <v>35</v>
      </c>
      <c r="F426" s="70" t="s">
        <v>337</v>
      </c>
      <c r="G426" s="64">
        <f>'[3]CUENTA T FONDO 100'!HV288</f>
        <v>0</v>
      </c>
      <c r="H426" s="64">
        <f>'[3]CUENTA T VS'!HV81</f>
        <v>0</v>
      </c>
      <c r="I426" s="101"/>
      <c r="J426" s="64">
        <f t="shared" si="16"/>
        <v>0</v>
      </c>
      <c r="K426" s="65">
        <f>J426/$J$25</f>
        <v>0</v>
      </c>
    </row>
    <row r="427" spans="1:11" x14ac:dyDescent="0.2">
      <c r="A427" s="73">
        <v>2</v>
      </c>
      <c r="B427" s="58">
        <v>6</v>
      </c>
      <c r="C427" s="58">
        <v>8</v>
      </c>
      <c r="D427" s="58">
        <v>2</v>
      </c>
      <c r="E427" s="58"/>
      <c r="F427" s="87" t="s">
        <v>338</v>
      </c>
      <c r="G427" s="59">
        <f>+G428</f>
        <v>0</v>
      </c>
      <c r="H427" s="59">
        <f>+H428</f>
        <v>0</v>
      </c>
      <c r="I427" s="59">
        <f>+I428</f>
        <v>0</v>
      </c>
      <c r="J427" s="59">
        <f t="shared" si="16"/>
        <v>0</v>
      </c>
      <c r="K427" s="68"/>
    </row>
    <row r="428" spans="1:11" x14ac:dyDescent="0.2">
      <c r="A428" s="75">
        <v>2</v>
      </c>
      <c r="B428" s="62">
        <v>6</v>
      </c>
      <c r="C428" s="62">
        <v>8</v>
      </c>
      <c r="D428" s="62">
        <v>2</v>
      </c>
      <c r="E428" s="63" t="s">
        <v>35</v>
      </c>
      <c r="F428" s="70" t="s">
        <v>338</v>
      </c>
      <c r="G428" s="64">
        <f>'[3]CUENTA T FONDO 100'!HW288</f>
        <v>0</v>
      </c>
      <c r="H428" s="64">
        <f>'[3]CUENTA T VS'!HW81</f>
        <v>0</v>
      </c>
      <c r="I428" s="101"/>
      <c r="J428" s="64">
        <f t="shared" si="16"/>
        <v>0</v>
      </c>
      <c r="K428" s="65">
        <f>J428/$J$25</f>
        <v>0</v>
      </c>
    </row>
    <row r="429" spans="1:11" ht="25.5" x14ac:dyDescent="0.2">
      <c r="A429" s="73">
        <v>2</v>
      </c>
      <c r="B429" s="58">
        <v>6</v>
      </c>
      <c r="C429" s="58">
        <v>8</v>
      </c>
      <c r="D429" s="58">
        <v>3</v>
      </c>
      <c r="E429" s="58"/>
      <c r="F429" s="87" t="s">
        <v>339</v>
      </c>
      <c r="G429" s="59">
        <f>SUM(G430:G431)</f>
        <v>0</v>
      </c>
      <c r="H429" s="59">
        <f>SUM(H430:H431)</f>
        <v>0</v>
      </c>
      <c r="I429" s="59">
        <f>SUM(I430:I431)</f>
        <v>0</v>
      </c>
      <c r="J429" s="59">
        <f t="shared" si="16"/>
        <v>0</v>
      </c>
      <c r="K429" s="68"/>
    </row>
    <row r="430" spans="1:11" x14ac:dyDescent="0.2">
      <c r="A430" s="75">
        <v>2</v>
      </c>
      <c r="B430" s="62">
        <v>6</v>
      </c>
      <c r="C430" s="62">
        <v>8</v>
      </c>
      <c r="D430" s="62">
        <v>3</v>
      </c>
      <c r="E430" s="63" t="s">
        <v>35</v>
      </c>
      <c r="F430" s="70" t="s">
        <v>340</v>
      </c>
      <c r="G430" s="64">
        <f>'[3]CUENTA T FONDO 100'!HX288</f>
        <v>0</v>
      </c>
      <c r="H430" s="64">
        <f>'[3]CUENTA T VS'!HX81</f>
        <v>0</v>
      </c>
      <c r="I430" s="101"/>
      <c r="J430" s="64">
        <f t="shared" si="16"/>
        <v>0</v>
      </c>
      <c r="K430" s="65">
        <f>J430/$J$25</f>
        <v>0</v>
      </c>
    </row>
    <row r="431" spans="1:11" x14ac:dyDescent="0.2">
      <c r="A431" s="75">
        <v>2</v>
      </c>
      <c r="B431" s="62">
        <v>6</v>
      </c>
      <c r="C431" s="62">
        <v>8</v>
      </c>
      <c r="D431" s="62">
        <v>3</v>
      </c>
      <c r="E431" s="63" t="s">
        <v>37</v>
      </c>
      <c r="F431" s="70" t="s">
        <v>341</v>
      </c>
      <c r="G431" s="64">
        <f>'[3]CUENTA T FONDO 100'!HY288</f>
        <v>0</v>
      </c>
      <c r="H431" s="64">
        <f>'[3]CUENTA T VS'!HY81</f>
        <v>0</v>
      </c>
      <c r="I431" s="101"/>
      <c r="J431" s="64">
        <f t="shared" si="16"/>
        <v>0</v>
      </c>
      <c r="K431" s="65">
        <f>J431/$J$25</f>
        <v>0</v>
      </c>
    </row>
    <row r="432" spans="1:11" ht="25.5" x14ac:dyDescent="0.2">
      <c r="A432" s="73">
        <v>2</v>
      </c>
      <c r="B432" s="58">
        <v>6</v>
      </c>
      <c r="C432" s="58">
        <v>8</v>
      </c>
      <c r="D432" s="58">
        <v>4</v>
      </c>
      <c r="E432" s="58"/>
      <c r="F432" s="87" t="s">
        <v>342</v>
      </c>
      <c r="G432" s="59">
        <f>+G433</f>
        <v>0</v>
      </c>
      <c r="H432" s="59">
        <f>+H433</f>
        <v>0</v>
      </c>
      <c r="I432" s="59">
        <f>+I433</f>
        <v>0</v>
      </c>
      <c r="J432" s="59">
        <f t="shared" si="16"/>
        <v>0</v>
      </c>
      <c r="K432" s="68"/>
    </row>
    <row r="433" spans="1:11" ht="25.5" x14ac:dyDescent="0.2">
      <c r="A433" s="75">
        <v>2</v>
      </c>
      <c r="B433" s="62">
        <v>6</v>
      </c>
      <c r="C433" s="62">
        <v>8</v>
      </c>
      <c r="D433" s="62">
        <v>4</v>
      </c>
      <c r="E433" s="63" t="s">
        <v>35</v>
      </c>
      <c r="F433" s="70" t="s">
        <v>342</v>
      </c>
      <c r="G433" s="64">
        <f>'[3]CUENTA T FONDO 100'!HZ288</f>
        <v>0</v>
      </c>
      <c r="H433" s="64">
        <f>'[3]CUENTA T VS'!HZ81</f>
        <v>0</v>
      </c>
      <c r="I433" s="101"/>
      <c r="J433" s="64">
        <f t="shared" si="16"/>
        <v>0</v>
      </c>
      <c r="K433" s="65">
        <f>J433/$J$25</f>
        <v>0</v>
      </c>
    </row>
    <row r="434" spans="1:11" x14ac:dyDescent="0.2">
      <c r="A434" s="73">
        <v>2</v>
      </c>
      <c r="B434" s="58">
        <v>6</v>
      </c>
      <c r="C434" s="58">
        <v>8</v>
      </c>
      <c r="D434" s="58">
        <v>5</v>
      </c>
      <c r="E434" s="58"/>
      <c r="F434" s="87" t="s">
        <v>343</v>
      </c>
      <c r="G434" s="59">
        <f>+G435</f>
        <v>0</v>
      </c>
      <c r="H434" s="59">
        <f>+H435</f>
        <v>0</v>
      </c>
      <c r="I434" s="59">
        <f>+I435</f>
        <v>0</v>
      </c>
      <c r="J434" s="59">
        <f t="shared" si="16"/>
        <v>0</v>
      </c>
      <c r="K434" s="68"/>
    </row>
    <row r="435" spans="1:11" x14ac:dyDescent="0.2">
      <c r="A435" s="75">
        <v>2</v>
      </c>
      <c r="B435" s="62">
        <v>6</v>
      </c>
      <c r="C435" s="62">
        <v>8</v>
      </c>
      <c r="D435" s="62">
        <v>5</v>
      </c>
      <c r="E435" s="63" t="s">
        <v>35</v>
      </c>
      <c r="F435" s="70" t="s">
        <v>343</v>
      </c>
      <c r="G435" s="64">
        <f>'[3]CUENTA T FONDO 100'!IA288</f>
        <v>0</v>
      </c>
      <c r="H435" s="64">
        <f>'[3]CUENTA T VS'!IA81</f>
        <v>0</v>
      </c>
      <c r="I435" s="101"/>
      <c r="J435" s="64">
        <f t="shared" si="16"/>
        <v>0</v>
      </c>
      <c r="K435" s="65">
        <f>J435/$J$25</f>
        <v>0</v>
      </c>
    </row>
    <row r="436" spans="1:11" x14ac:dyDescent="0.2">
      <c r="A436" s="73">
        <v>2</v>
      </c>
      <c r="B436" s="58">
        <v>6</v>
      </c>
      <c r="C436" s="58">
        <v>8</v>
      </c>
      <c r="D436" s="58">
        <v>6</v>
      </c>
      <c r="E436" s="58"/>
      <c r="F436" s="87" t="s">
        <v>344</v>
      </c>
      <c r="G436" s="59">
        <f>+G437</f>
        <v>0</v>
      </c>
      <c r="H436" s="59">
        <f>+H437</f>
        <v>0</v>
      </c>
      <c r="I436" s="59">
        <f>+I437</f>
        <v>0</v>
      </c>
      <c r="J436" s="59">
        <f t="shared" si="16"/>
        <v>0</v>
      </c>
      <c r="K436" s="68"/>
    </row>
    <row r="437" spans="1:11" x14ac:dyDescent="0.2">
      <c r="A437" s="75">
        <v>2</v>
      </c>
      <c r="B437" s="62">
        <v>6</v>
      </c>
      <c r="C437" s="62">
        <v>8</v>
      </c>
      <c r="D437" s="62">
        <v>6</v>
      </c>
      <c r="E437" s="63" t="s">
        <v>35</v>
      </c>
      <c r="F437" s="70" t="s">
        <v>344</v>
      </c>
      <c r="G437" s="64">
        <f>'[3]CUENTA T FONDO 100'!IB288</f>
        <v>0</v>
      </c>
      <c r="H437" s="64">
        <f>'[3]CUENTA T VS'!IB81</f>
        <v>0</v>
      </c>
      <c r="I437" s="101"/>
      <c r="J437" s="64">
        <f t="shared" si="16"/>
        <v>0</v>
      </c>
      <c r="K437" s="65">
        <f>J437/$J$25</f>
        <v>0</v>
      </c>
    </row>
    <row r="438" spans="1:11" x14ac:dyDescent="0.2">
      <c r="A438" s="73">
        <v>2</v>
      </c>
      <c r="B438" s="58">
        <v>6</v>
      </c>
      <c r="C438" s="58">
        <v>8</v>
      </c>
      <c r="D438" s="58">
        <v>7</v>
      </c>
      <c r="E438" s="58"/>
      <c r="F438" s="87" t="s">
        <v>345</v>
      </c>
      <c r="G438" s="59">
        <f>+G439</f>
        <v>0</v>
      </c>
      <c r="H438" s="59">
        <f>+H439</f>
        <v>0</v>
      </c>
      <c r="I438" s="59">
        <f>+I439</f>
        <v>0</v>
      </c>
      <c r="J438" s="59">
        <f t="shared" si="16"/>
        <v>0</v>
      </c>
      <c r="K438" s="68"/>
    </row>
    <row r="439" spans="1:11" x14ac:dyDescent="0.2">
      <c r="A439" s="75">
        <v>2</v>
      </c>
      <c r="B439" s="62">
        <v>6</v>
      </c>
      <c r="C439" s="62">
        <v>8</v>
      </c>
      <c r="D439" s="62">
        <v>7</v>
      </c>
      <c r="E439" s="63" t="s">
        <v>35</v>
      </c>
      <c r="F439" s="70" t="s">
        <v>345</v>
      </c>
      <c r="G439" s="64">
        <f>'[3]CUENTA T FONDO 100'!IC288</f>
        <v>0</v>
      </c>
      <c r="H439" s="64">
        <f>'[3]CUENTA T VS'!IC81</f>
        <v>0</v>
      </c>
      <c r="I439" s="101"/>
      <c r="J439" s="64">
        <f t="shared" si="16"/>
        <v>0</v>
      </c>
      <c r="K439" s="65">
        <f>J439/$J$25</f>
        <v>0</v>
      </c>
    </row>
    <row r="440" spans="1:11" ht="25.5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7" t="s">
        <v>346</v>
      </c>
      <c r="G440" s="59">
        <f>SUM(G441:G443)</f>
        <v>0</v>
      </c>
      <c r="H440" s="59">
        <f>SUM(H441:H443)</f>
        <v>0</v>
      </c>
      <c r="I440" s="59">
        <f>SUM(I441:I443)</f>
        <v>0</v>
      </c>
      <c r="J440" s="59">
        <f t="shared" si="16"/>
        <v>0</v>
      </c>
      <c r="K440" s="68"/>
    </row>
    <row r="441" spans="1:11" x14ac:dyDescent="0.2">
      <c r="A441" s="75">
        <v>2</v>
      </c>
      <c r="B441" s="62">
        <v>6</v>
      </c>
      <c r="C441" s="62">
        <v>8</v>
      </c>
      <c r="D441" s="62">
        <v>8</v>
      </c>
      <c r="E441" s="62" t="s">
        <v>347</v>
      </c>
      <c r="F441" s="70" t="s">
        <v>348</v>
      </c>
      <c r="G441" s="64">
        <f>'[3]CUENTA T FONDO 100'!ID288</f>
        <v>0</v>
      </c>
      <c r="H441" s="64">
        <f>'[3]CUENTA T VS'!ID81</f>
        <v>0</v>
      </c>
      <c r="I441" s="64"/>
      <c r="J441" s="64">
        <f t="shared" si="16"/>
        <v>0</v>
      </c>
      <c r="K441" s="65">
        <f>J441/$J$25</f>
        <v>0</v>
      </c>
    </row>
    <row r="442" spans="1:11" x14ac:dyDescent="0.2">
      <c r="A442" s="75">
        <v>2</v>
      </c>
      <c r="B442" s="62">
        <v>6</v>
      </c>
      <c r="C442" s="62">
        <v>8</v>
      </c>
      <c r="D442" s="62">
        <v>8</v>
      </c>
      <c r="E442" s="62" t="s">
        <v>349</v>
      </c>
      <c r="F442" s="70" t="s">
        <v>350</v>
      </c>
      <c r="G442" s="64">
        <f>'[3]CUENTA T FONDO 100'!IE288</f>
        <v>0</v>
      </c>
      <c r="H442" s="64">
        <f>'[3]CUENTA T VS'!IE81</f>
        <v>0</v>
      </c>
      <c r="I442" s="64"/>
      <c r="J442" s="64">
        <f t="shared" si="16"/>
        <v>0</v>
      </c>
      <c r="K442" s="65">
        <f>J442/$J$25</f>
        <v>0</v>
      </c>
    </row>
    <row r="443" spans="1:11" x14ac:dyDescent="0.2">
      <c r="A443" s="75">
        <v>2</v>
      </c>
      <c r="B443" s="62">
        <v>6</v>
      </c>
      <c r="C443" s="62">
        <v>8</v>
      </c>
      <c r="D443" s="62">
        <v>8</v>
      </c>
      <c r="E443" s="62" t="s">
        <v>351</v>
      </c>
      <c r="F443" s="70" t="s">
        <v>352</v>
      </c>
      <c r="G443" s="64">
        <f>'[3]CUENTA T FONDO 100'!IF288</f>
        <v>0</v>
      </c>
      <c r="H443" s="64">
        <f>'[3]CUENTA T VS'!IF81</f>
        <v>0</v>
      </c>
      <c r="I443" s="64"/>
      <c r="J443" s="64">
        <f t="shared" si="16"/>
        <v>0</v>
      </c>
      <c r="K443" s="65">
        <f>J443/$J$25</f>
        <v>0</v>
      </c>
    </row>
    <row r="444" spans="1:11" x14ac:dyDescent="0.2">
      <c r="A444" s="73">
        <v>2</v>
      </c>
      <c r="B444" s="58">
        <v>6</v>
      </c>
      <c r="C444" s="58">
        <v>8</v>
      </c>
      <c r="D444" s="58">
        <v>9</v>
      </c>
      <c r="E444" s="58"/>
      <c r="F444" s="87" t="s">
        <v>353</v>
      </c>
      <c r="G444" s="59">
        <f>+G445</f>
        <v>0</v>
      </c>
      <c r="H444" s="59">
        <f>+H445</f>
        <v>0</v>
      </c>
      <c r="I444" s="59">
        <f>+I445</f>
        <v>0</v>
      </c>
      <c r="J444" s="59">
        <f t="shared" si="16"/>
        <v>0</v>
      </c>
      <c r="K444" s="68"/>
    </row>
    <row r="445" spans="1:11" x14ac:dyDescent="0.2">
      <c r="A445" s="75">
        <v>2</v>
      </c>
      <c r="B445" s="62">
        <v>6</v>
      </c>
      <c r="C445" s="62">
        <v>8</v>
      </c>
      <c r="D445" s="62">
        <v>9</v>
      </c>
      <c r="E445" s="62" t="s">
        <v>324</v>
      </c>
      <c r="F445" s="70" t="s">
        <v>353</v>
      </c>
      <c r="G445" s="64">
        <f>'[3]CUENTA T FONDO 100'!IG288</f>
        <v>0</v>
      </c>
      <c r="H445" s="64">
        <f>'[3]CUENTA T VS'!IG81</f>
        <v>0</v>
      </c>
      <c r="I445" s="64"/>
      <c r="J445" s="64">
        <f t="shared" si="16"/>
        <v>0</v>
      </c>
      <c r="K445" s="65">
        <f>J445/$J$25</f>
        <v>0</v>
      </c>
    </row>
    <row r="446" spans="1:11" x14ac:dyDescent="0.2">
      <c r="A446" s="54">
        <v>2</v>
      </c>
      <c r="B446" s="55">
        <v>6</v>
      </c>
      <c r="C446" s="55">
        <v>9</v>
      </c>
      <c r="D446" s="55"/>
      <c r="E446" s="79"/>
      <c r="F446" s="86" t="s">
        <v>354</v>
      </c>
      <c r="G446" s="56">
        <f>+G447+G450+G453+G455+G457+G461</f>
        <v>0</v>
      </c>
      <c r="H446" s="56">
        <f>+H447+H450+H453+H455+H457+H461</f>
        <v>0</v>
      </c>
      <c r="I446" s="56">
        <f>+I447+I450+I453+I455+I457+I461</f>
        <v>0</v>
      </c>
      <c r="J446" s="56">
        <f t="shared" si="16"/>
        <v>0</v>
      </c>
      <c r="K446" s="53"/>
    </row>
    <row r="447" spans="1:11" x14ac:dyDescent="0.2">
      <c r="A447" s="73">
        <v>2</v>
      </c>
      <c r="B447" s="58">
        <v>6</v>
      </c>
      <c r="C447" s="58">
        <v>9</v>
      </c>
      <c r="D447" s="58">
        <v>1</v>
      </c>
      <c r="E447" s="58"/>
      <c r="F447" s="87" t="s">
        <v>355</v>
      </c>
      <c r="G447" s="59">
        <f>+G448+G449</f>
        <v>0</v>
      </c>
      <c r="H447" s="59">
        <f>+H448+H449</f>
        <v>0</v>
      </c>
      <c r="I447" s="59">
        <f>+I448+I449</f>
        <v>0</v>
      </c>
      <c r="J447" s="59">
        <f t="shared" si="16"/>
        <v>0</v>
      </c>
      <c r="K447" s="59"/>
    </row>
    <row r="448" spans="1:11" x14ac:dyDescent="0.2">
      <c r="A448" s="90">
        <v>2</v>
      </c>
      <c r="B448" s="91">
        <v>6</v>
      </c>
      <c r="C448" s="91">
        <v>9</v>
      </c>
      <c r="D448" s="91">
        <v>1</v>
      </c>
      <c r="E448" s="91" t="s">
        <v>35</v>
      </c>
      <c r="F448" s="92" t="s">
        <v>355</v>
      </c>
      <c r="G448" s="64">
        <f>'[3]CUENTA T FONDO 100'!IH288</f>
        <v>0</v>
      </c>
      <c r="H448" s="93">
        <f>'[3]CUENTA T VS'!IH81</f>
        <v>0</v>
      </c>
      <c r="I448" s="93"/>
      <c r="J448" s="93">
        <f t="shared" si="16"/>
        <v>0</v>
      </c>
      <c r="K448" s="65">
        <f>J448/$J$25</f>
        <v>0</v>
      </c>
    </row>
    <row r="449" spans="1:11" ht="25.5" x14ac:dyDescent="0.2">
      <c r="A449" s="90">
        <v>2</v>
      </c>
      <c r="B449" s="91">
        <v>6</v>
      </c>
      <c r="C449" s="91">
        <v>9</v>
      </c>
      <c r="D449" s="91">
        <v>1</v>
      </c>
      <c r="E449" s="91" t="s">
        <v>37</v>
      </c>
      <c r="F449" s="92" t="s">
        <v>356</v>
      </c>
      <c r="G449" s="64">
        <f>'[3]CUENTA T FONDO 100'!II288</f>
        <v>0</v>
      </c>
      <c r="H449" s="93">
        <f>'[3]CUENTA T VS'!II81</f>
        <v>0</v>
      </c>
      <c r="I449" s="93"/>
      <c r="J449" s="93">
        <f t="shared" si="16"/>
        <v>0</v>
      </c>
      <c r="K449" s="65">
        <f>J449/$J$25</f>
        <v>0</v>
      </c>
    </row>
    <row r="450" spans="1:11" x14ac:dyDescent="0.2">
      <c r="A450" s="73">
        <v>2</v>
      </c>
      <c r="B450" s="58">
        <v>6</v>
      </c>
      <c r="C450" s="58">
        <v>9</v>
      </c>
      <c r="D450" s="58">
        <v>2</v>
      </c>
      <c r="E450" s="58"/>
      <c r="F450" s="87" t="s">
        <v>357</v>
      </c>
      <c r="G450" s="59">
        <f>SUM(G451:G452)</f>
        <v>0</v>
      </c>
      <c r="H450" s="59">
        <f>SUM(H451:H452)</f>
        <v>0</v>
      </c>
      <c r="I450" s="59">
        <f>SUM(I451:I452)</f>
        <v>0</v>
      </c>
      <c r="J450" s="59">
        <f t="shared" si="16"/>
        <v>0</v>
      </c>
      <c r="K450" s="68"/>
    </row>
    <row r="451" spans="1:11" x14ac:dyDescent="0.2">
      <c r="A451" s="75">
        <v>2</v>
      </c>
      <c r="B451" s="62">
        <v>6</v>
      </c>
      <c r="C451" s="62">
        <v>9</v>
      </c>
      <c r="D451" s="62">
        <v>2</v>
      </c>
      <c r="E451" s="63" t="s">
        <v>35</v>
      </c>
      <c r="F451" s="70" t="s">
        <v>357</v>
      </c>
      <c r="G451" s="64">
        <f>'[3]CUENTA T FONDO 100'!IJ288</f>
        <v>0</v>
      </c>
      <c r="H451" s="64">
        <f>'[3]CUENTA T VS'!IJ81</f>
        <v>0</v>
      </c>
      <c r="I451" s="101"/>
      <c r="J451" s="64">
        <f t="shared" si="16"/>
        <v>0</v>
      </c>
      <c r="K451" s="65">
        <f>J451/$J$25</f>
        <v>0</v>
      </c>
    </row>
    <row r="452" spans="1:11" ht="25.5" x14ac:dyDescent="0.2">
      <c r="A452" s="75">
        <v>2</v>
      </c>
      <c r="B452" s="62">
        <v>6</v>
      </c>
      <c r="C452" s="62">
        <v>9</v>
      </c>
      <c r="D452" s="62">
        <v>2</v>
      </c>
      <c r="E452" s="63" t="s">
        <v>37</v>
      </c>
      <c r="F452" s="70" t="s">
        <v>358</v>
      </c>
      <c r="G452" s="64">
        <f>'[3]CUENTA T FONDO 100'!IK288</f>
        <v>0</v>
      </c>
      <c r="H452" s="64">
        <f>'[3]CUENTA T VS'!IK81</f>
        <v>0</v>
      </c>
      <c r="I452" s="101"/>
      <c r="J452" s="64">
        <f t="shared" si="16"/>
        <v>0</v>
      </c>
      <c r="K452" s="65">
        <f>J452/$J$25</f>
        <v>0</v>
      </c>
    </row>
    <row r="453" spans="1:11" x14ac:dyDescent="0.2">
      <c r="A453" s="73">
        <v>2</v>
      </c>
      <c r="B453" s="58">
        <v>6</v>
      </c>
      <c r="C453" s="58">
        <v>9</v>
      </c>
      <c r="D453" s="58">
        <v>3</v>
      </c>
      <c r="E453" s="58"/>
      <c r="F453" s="87" t="s">
        <v>359</v>
      </c>
      <c r="G453" s="59">
        <f>SUM(G454)</f>
        <v>0</v>
      </c>
      <c r="H453" s="59">
        <f>SUM(H454)</f>
        <v>0</v>
      </c>
      <c r="I453" s="59">
        <f>SUM(I454)</f>
        <v>0</v>
      </c>
      <c r="J453" s="59">
        <f t="shared" si="16"/>
        <v>0</v>
      </c>
      <c r="K453" s="59"/>
    </row>
    <row r="454" spans="1:11" x14ac:dyDescent="0.2">
      <c r="A454" s="75">
        <v>2</v>
      </c>
      <c r="B454" s="62">
        <v>6</v>
      </c>
      <c r="C454" s="62">
        <v>9</v>
      </c>
      <c r="D454" s="62">
        <v>3</v>
      </c>
      <c r="E454" s="63" t="s">
        <v>35</v>
      </c>
      <c r="F454" s="70" t="s">
        <v>359</v>
      </c>
      <c r="G454" s="64">
        <f>'[3]CUENTA T FONDO 100'!IL288</f>
        <v>0</v>
      </c>
      <c r="H454" s="64">
        <f>'[3]CUENTA T VS'!IL81</f>
        <v>0</v>
      </c>
      <c r="I454" s="101"/>
      <c r="J454" s="64">
        <f t="shared" si="16"/>
        <v>0</v>
      </c>
      <c r="K454" s="65">
        <f>J454/$J$25</f>
        <v>0</v>
      </c>
    </row>
    <row r="455" spans="1:11" x14ac:dyDescent="0.2">
      <c r="A455" s="73">
        <v>2</v>
      </c>
      <c r="B455" s="58">
        <v>6</v>
      </c>
      <c r="C455" s="58">
        <v>9</v>
      </c>
      <c r="D455" s="58">
        <v>4</v>
      </c>
      <c r="E455" s="58"/>
      <c r="F455" s="87" t="s">
        <v>360</v>
      </c>
      <c r="G455" s="59">
        <f>SUM(G456)</f>
        <v>0</v>
      </c>
      <c r="H455" s="59">
        <f>SUM(H456)</f>
        <v>0</v>
      </c>
      <c r="I455" s="59">
        <f>SUM(I456)</f>
        <v>0</v>
      </c>
      <c r="J455" s="59">
        <f t="shared" si="16"/>
        <v>0</v>
      </c>
      <c r="K455" s="68"/>
    </row>
    <row r="456" spans="1:11" x14ac:dyDescent="0.2">
      <c r="A456" s="75">
        <v>2</v>
      </c>
      <c r="B456" s="62">
        <v>6</v>
      </c>
      <c r="C456" s="62">
        <v>9</v>
      </c>
      <c r="D456" s="62">
        <v>4</v>
      </c>
      <c r="E456" s="63" t="s">
        <v>35</v>
      </c>
      <c r="F456" s="70" t="s">
        <v>360</v>
      </c>
      <c r="G456" s="64">
        <f>'[3]CUENTA T FONDO 100'!IM288</f>
        <v>0</v>
      </c>
      <c r="H456" s="64">
        <f>'[3]CUENTA T VS'!IM81</f>
        <v>0</v>
      </c>
      <c r="I456" s="101"/>
      <c r="J456" s="64">
        <f t="shared" si="16"/>
        <v>0</v>
      </c>
      <c r="K456" s="65">
        <f>J456/$J$25</f>
        <v>0</v>
      </c>
    </row>
    <row r="457" spans="1:11" x14ac:dyDescent="0.2">
      <c r="A457" s="73">
        <v>2</v>
      </c>
      <c r="B457" s="58">
        <v>6</v>
      </c>
      <c r="C457" s="58">
        <v>9</v>
      </c>
      <c r="D457" s="58">
        <v>5</v>
      </c>
      <c r="E457" s="58"/>
      <c r="F457" s="87" t="s">
        <v>361</v>
      </c>
      <c r="G457" s="59">
        <f>SUM(G458:G460)</f>
        <v>0</v>
      </c>
      <c r="H457" s="59">
        <f>SUM(H458:H460)</f>
        <v>0</v>
      </c>
      <c r="I457" s="59">
        <f>SUM(I458:I460)</f>
        <v>0</v>
      </c>
      <c r="J457" s="59">
        <f t="shared" si="16"/>
        <v>0</v>
      </c>
      <c r="K457" s="68"/>
    </row>
    <row r="458" spans="1:11" x14ac:dyDescent="0.2">
      <c r="A458" s="75">
        <v>2</v>
      </c>
      <c r="B458" s="62">
        <v>6</v>
      </c>
      <c r="C458" s="62">
        <v>9</v>
      </c>
      <c r="D458" s="62">
        <v>5</v>
      </c>
      <c r="E458" s="63" t="s">
        <v>35</v>
      </c>
      <c r="F458" s="70" t="s">
        <v>362</v>
      </c>
      <c r="G458" s="64">
        <f>'[3]CUENTA T FONDO 100'!IN288</f>
        <v>0</v>
      </c>
      <c r="H458" s="64">
        <f>'[3]CUENTA T VS'!IN81</f>
        <v>0</v>
      </c>
      <c r="I458" s="101"/>
      <c r="J458" s="64">
        <f t="shared" si="16"/>
        <v>0</v>
      </c>
      <c r="K458" s="65">
        <f>J458/$J$25</f>
        <v>0</v>
      </c>
    </row>
    <row r="459" spans="1:11" ht="25.5" x14ac:dyDescent="0.2">
      <c r="A459" s="75">
        <v>2</v>
      </c>
      <c r="B459" s="62">
        <v>6</v>
      </c>
      <c r="C459" s="62">
        <v>9</v>
      </c>
      <c r="D459" s="62">
        <v>5</v>
      </c>
      <c r="E459" s="63" t="s">
        <v>37</v>
      </c>
      <c r="F459" s="70" t="s">
        <v>363</v>
      </c>
      <c r="G459" s="64">
        <f>'[3]CUENTA T FONDO 100'!IO288</f>
        <v>0</v>
      </c>
      <c r="H459" s="64">
        <f>'[3]CUENTA T VS'!IO81</f>
        <v>0</v>
      </c>
      <c r="I459" s="101"/>
      <c r="J459" s="64">
        <f t="shared" si="16"/>
        <v>0</v>
      </c>
      <c r="K459" s="65">
        <f>J459/$J$25</f>
        <v>0</v>
      </c>
    </row>
    <row r="460" spans="1:11" x14ac:dyDescent="0.2">
      <c r="A460" s="75">
        <v>2</v>
      </c>
      <c r="B460" s="62">
        <v>6</v>
      </c>
      <c r="C460" s="62">
        <v>9</v>
      </c>
      <c r="D460" s="62">
        <v>5</v>
      </c>
      <c r="E460" s="63" t="s">
        <v>39</v>
      </c>
      <c r="F460" s="70" t="s">
        <v>364</v>
      </c>
      <c r="G460" s="64">
        <f>'[3]CUENTA T FONDO 100'!IP288</f>
        <v>0</v>
      </c>
      <c r="H460" s="64">
        <f>'[3]CUENTA T VS'!IP81</f>
        <v>0</v>
      </c>
      <c r="I460" s="101"/>
      <c r="J460" s="64">
        <f t="shared" si="16"/>
        <v>0</v>
      </c>
      <c r="K460" s="65">
        <f>J460/$J$25</f>
        <v>0</v>
      </c>
    </row>
    <row r="461" spans="1:11" x14ac:dyDescent="0.2">
      <c r="A461" s="73">
        <v>2</v>
      </c>
      <c r="B461" s="58">
        <v>6</v>
      </c>
      <c r="C461" s="58">
        <v>9</v>
      </c>
      <c r="D461" s="58">
        <v>9</v>
      </c>
      <c r="E461" s="58"/>
      <c r="F461" s="87" t="s">
        <v>365</v>
      </c>
      <c r="G461" s="59">
        <f>SUM(G462)</f>
        <v>0</v>
      </c>
      <c r="H461" s="59">
        <f>SUM(H462)</f>
        <v>0</v>
      </c>
      <c r="I461" s="59">
        <f>SUM(I462)</f>
        <v>0</v>
      </c>
      <c r="J461" s="59">
        <f t="shared" si="16"/>
        <v>0</v>
      </c>
      <c r="K461" s="68"/>
    </row>
    <row r="462" spans="1:11" x14ac:dyDescent="0.2">
      <c r="A462" s="75">
        <v>2</v>
      </c>
      <c r="B462" s="62">
        <v>6</v>
      </c>
      <c r="C462" s="62">
        <v>9</v>
      </c>
      <c r="D462" s="62">
        <v>9</v>
      </c>
      <c r="E462" s="63" t="s">
        <v>35</v>
      </c>
      <c r="F462" s="70" t="s">
        <v>365</v>
      </c>
      <c r="G462" s="64">
        <f>'[3]CUENTA T FONDO 100'!IQ288</f>
        <v>0</v>
      </c>
      <c r="H462" s="64">
        <f>'[3]CUENTA T VS'!IQ81</f>
        <v>0</v>
      </c>
      <c r="I462" s="101"/>
      <c r="J462" s="64">
        <f t="shared" si="16"/>
        <v>0</v>
      </c>
      <c r="K462" s="65">
        <f>J462/$J$25</f>
        <v>0</v>
      </c>
    </row>
    <row r="463" spans="1:11" x14ac:dyDescent="0.2">
      <c r="A463" s="71">
        <v>2</v>
      </c>
      <c r="B463" s="55">
        <v>7</v>
      </c>
      <c r="C463" s="55"/>
      <c r="D463" s="55"/>
      <c r="E463" s="55"/>
      <c r="F463" s="86" t="s">
        <v>366</v>
      </c>
      <c r="G463" s="56">
        <f>G464+G473+G492+G497</f>
        <v>0</v>
      </c>
      <c r="H463" s="56">
        <f>H464+H473+H492+H497</f>
        <v>0</v>
      </c>
      <c r="I463" s="56">
        <f>I464+I473+I492+I497</f>
        <v>0</v>
      </c>
      <c r="J463" s="56">
        <f t="shared" si="16"/>
        <v>0</v>
      </c>
      <c r="K463" s="53">
        <f>J463/$J$25</f>
        <v>0</v>
      </c>
    </row>
    <row r="464" spans="1:11" x14ac:dyDescent="0.2">
      <c r="A464" s="71">
        <v>2</v>
      </c>
      <c r="B464" s="55">
        <v>7</v>
      </c>
      <c r="C464" s="55">
        <v>1</v>
      </c>
      <c r="D464" s="55"/>
      <c r="E464" s="55"/>
      <c r="F464" s="86" t="s">
        <v>367</v>
      </c>
      <c r="G464" s="56">
        <f>+G465+G467+G469+G471</f>
        <v>0</v>
      </c>
      <c r="H464" s="56">
        <f>+H465+H467+H469+H471</f>
        <v>0</v>
      </c>
      <c r="I464" s="56">
        <f>+I465+I467+I469+I471</f>
        <v>0</v>
      </c>
      <c r="J464" s="56">
        <f t="shared" si="16"/>
        <v>0</v>
      </c>
      <c r="K464" s="53"/>
    </row>
    <row r="465" spans="1:11" ht="25.5" x14ac:dyDescent="0.2">
      <c r="A465" s="73">
        <v>2</v>
      </c>
      <c r="B465" s="58">
        <v>7</v>
      </c>
      <c r="C465" s="58">
        <v>1</v>
      </c>
      <c r="D465" s="58">
        <v>1</v>
      </c>
      <c r="E465" s="78"/>
      <c r="F465" s="87" t="s">
        <v>368</v>
      </c>
      <c r="G465" s="59">
        <f>+G466</f>
        <v>0</v>
      </c>
      <c r="H465" s="59">
        <f>+H466</f>
        <v>0</v>
      </c>
      <c r="I465" s="59">
        <f>+I466</f>
        <v>0</v>
      </c>
      <c r="J465" s="59">
        <f t="shared" si="16"/>
        <v>0</v>
      </c>
      <c r="K465" s="68"/>
    </row>
    <row r="466" spans="1:11" ht="25.5" x14ac:dyDescent="0.2">
      <c r="A466" s="75">
        <v>2</v>
      </c>
      <c r="B466" s="62">
        <v>7</v>
      </c>
      <c r="C466" s="62">
        <v>1</v>
      </c>
      <c r="D466" s="62">
        <v>1</v>
      </c>
      <c r="E466" s="62" t="s">
        <v>324</v>
      </c>
      <c r="F466" s="70" t="s">
        <v>368</v>
      </c>
      <c r="G466" s="64">
        <f>'[3]CUENTA T FONDO 100'!IR288</f>
        <v>0</v>
      </c>
      <c r="H466" s="64">
        <f>'[3]CUENTA T VS'!IR81</f>
        <v>0</v>
      </c>
      <c r="I466" s="101"/>
      <c r="J466" s="64">
        <f t="shared" si="16"/>
        <v>0</v>
      </c>
      <c r="K466" s="65">
        <f>J466/$J$25</f>
        <v>0</v>
      </c>
    </row>
    <row r="467" spans="1:11" ht="25.5" x14ac:dyDescent="0.2">
      <c r="A467" s="73">
        <v>2</v>
      </c>
      <c r="B467" s="58">
        <v>7</v>
      </c>
      <c r="C467" s="58">
        <v>1</v>
      </c>
      <c r="D467" s="58">
        <v>2</v>
      </c>
      <c r="E467" s="78"/>
      <c r="F467" s="87" t="s">
        <v>369</v>
      </c>
      <c r="G467" s="59">
        <f>+G468</f>
        <v>0</v>
      </c>
      <c r="H467" s="59">
        <f>+H468</f>
        <v>0</v>
      </c>
      <c r="I467" s="59">
        <f>+I468</f>
        <v>0</v>
      </c>
      <c r="J467" s="59">
        <f t="shared" si="16"/>
        <v>0</v>
      </c>
      <c r="K467" s="68"/>
    </row>
    <row r="468" spans="1:11" ht="25.5" x14ac:dyDescent="0.2">
      <c r="A468" s="75">
        <v>2</v>
      </c>
      <c r="B468" s="62">
        <v>7</v>
      </c>
      <c r="C468" s="62">
        <v>1</v>
      </c>
      <c r="D468" s="62">
        <v>2</v>
      </c>
      <c r="E468" s="62" t="s">
        <v>324</v>
      </c>
      <c r="F468" s="70" t="s">
        <v>369</v>
      </c>
      <c r="G468" s="64">
        <f>'[3]CUENTA T FONDO 100'!IS288</f>
        <v>0</v>
      </c>
      <c r="H468" s="64">
        <f>'[3]CUENTA T VS'!IS81</f>
        <v>0</v>
      </c>
      <c r="I468" s="101"/>
      <c r="J468" s="64">
        <f t="shared" si="16"/>
        <v>0</v>
      </c>
      <c r="K468" s="65">
        <f>J468/$J$25</f>
        <v>0</v>
      </c>
    </row>
    <row r="469" spans="1:11" ht="25.5" x14ac:dyDescent="0.2">
      <c r="A469" s="73">
        <v>2</v>
      </c>
      <c r="B469" s="58">
        <v>7</v>
      </c>
      <c r="C469" s="58">
        <v>1</v>
      </c>
      <c r="D469" s="58">
        <v>3</v>
      </c>
      <c r="E469" s="78"/>
      <c r="F469" s="87" t="s">
        <v>370</v>
      </c>
      <c r="G469" s="59">
        <f>+G470</f>
        <v>0</v>
      </c>
      <c r="H469" s="59">
        <f>+H470</f>
        <v>0</v>
      </c>
      <c r="I469" s="59">
        <f>+I470</f>
        <v>0</v>
      </c>
      <c r="J469" s="59">
        <f t="shared" si="16"/>
        <v>0</v>
      </c>
      <c r="K469" s="68"/>
    </row>
    <row r="470" spans="1:11" ht="25.5" x14ac:dyDescent="0.2">
      <c r="A470" s="75">
        <v>2</v>
      </c>
      <c r="B470" s="62">
        <v>7</v>
      </c>
      <c r="C470" s="62">
        <v>1</v>
      </c>
      <c r="D470" s="62">
        <v>3</v>
      </c>
      <c r="E470" s="62" t="s">
        <v>324</v>
      </c>
      <c r="F470" s="70" t="s">
        <v>370</v>
      </c>
      <c r="G470" s="64">
        <f>'[3]CUENTA T FONDO 100'!IT288</f>
        <v>0</v>
      </c>
      <c r="H470" s="64">
        <f>'[3]CUENTA T VS'!IT81</f>
        <v>0</v>
      </c>
      <c r="I470" s="101"/>
      <c r="J470" s="64">
        <f t="shared" si="16"/>
        <v>0</v>
      </c>
      <c r="K470" s="65">
        <f>J470/$J$25</f>
        <v>0</v>
      </c>
    </row>
    <row r="471" spans="1:11" x14ac:dyDescent="0.2">
      <c r="A471" s="73">
        <v>2</v>
      </c>
      <c r="B471" s="58">
        <v>7</v>
      </c>
      <c r="C471" s="58">
        <v>1</v>
      </c>
      <c r="D471" s="58">
        <v>4</v>
      </c>
      <c r="E471" s="78"/>
      <c r="F471" s="87" t="s">
        <v>371</v>
      </c>
      <c r="G471" s="59">
        <f>+G472</f>
        <v>0</v>
      </c>
      <c r="H471" s="59">
        <f>+H472</f>
        <v>0</v>
      </c>
      <c r="I471" s="59">
        <f>+I472</f>
        <v>0</v>
      </c>
      <c r="J471" s="59">
        <f t="shared" si="16"/>
        <v>0</v>
      </c>
      <c r="K471" s="68"/>
    </row>
    <row r="472" spans="1:11" x14ac:dyDescent="0.2">
      <c r="A472" s="75">
        <v>2</v>
      </c>
      <c r="B472" s="62">
        <v>7</v>
      </c>
      <c r="C472" s="62">
        <v>1</v>
      </c>
      <c r="D472" s="62">
        <v>4</v>
      </c>
      <c r="E472" s="62" t="s">
        <v>324</v>
      </c>
      <c r="F472" s="70" t="s">
        <v>371</v>
      </c>
      <c r="G472" s="64">
        <f>'[3]CUENTA T FONDO 100'!IU288</f>
        <v>0</v>
      </c>
      <c r="H472" s="64">
        <f>'[3]CUENTA T VS'!IU81</f>
        <v>0</v>
      </c>
      <c r="I472" s="101"/>
      <c r="J472" s="64">
        <f t="shared" si="16"/>
        <v>0</v>
      </c>
      <c r="K472" s="65">
        <f>J472/$J$25</f>
        <v>0</v>
      </c>
    </row>
    <row r="473" spans="1:11" x14ac:dyDescent="0.2">
      <c r="A473" s="71">
        <v>2</v>
      </c>
      <c r="B473" s="55">
        <v>7</v>
      </c>
      <c r="C473" s="55">
        <v>2</v>
      </c>
      <c r="D473" s="55"/>
      <c r="E473" s="55"/>
      <c r="F473" s="86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>+I474+I476+I478+I480+I482+I484+I486+I488+I490</f>
        <v>0</v>
      </c>
      <c r="J473" s="56">
        <f t="shared" si="16"/>
        <v>0</v>
      </c>
      <c r="K473" s="53"/>
    </row>
    <row r="474" spans="1:11" x14ac:dyDescent="0.2">
      <c r="A474" s="73">
        <v>2</v>
      </c>
      <c r="B474" s="58">
        <v>7</v>
      </c>
      <c r="C474" s="58">
        <v>2</v>
      </c>
      <c r="D474" s="58">
        <v>1</v>
      </c>
      <c r="E474" s="78"/>
      <c r="F474" s="87" t="s">
        <v>373</v>
      </c>
      <c r="G474" s="59">
        <f>+G475</f>
        <v>0</v>
      </c>
      <c r="H474" s="59">
        <f>+H475</f>
        <v>0</v>
      </c>
      <c r="I474" s="59">
        <f>+I475</f>
        <v>0</v>
      </c>
      <c r="J474" s="59">
        <f t="shared" si="16"/>
        <v>0</v>
      </c>
      <c r="K474" s="68"/>
    </row>
    <row r="475" spans="1:11" x14ac:dyDescent="0.2">
      <c r="A475" s="75">
        <v>2</v>
      </c>
      <c r="B475" s="62">
        <v>7</v>
      </c>
      <c r="C475" s="62">
        <v>2</v>
      </c>
      <c r="D475" s="62">
        <v>1</v>
      </c>
      <c r="E475" s="62" t="s">
        <v>324</v>
      </c>
      <c r="F475" s="70" t="s">
        <v>373</v>
      </c>
      <c r="G475" s="64">
        <f>'[3]CUENTA T FONDO 100'!IV288</f>
        <v>0</v>
      </c>
      <c r="H475" s="64">
        <f>'[3]CUENTA T VS'!IV81</f>
        <v>0</v>
      </c>
      <c r="I475" s="64"/>
      <c r="J475" s="64">
        <f t="shared" si="16"/>
        <v>0</v>
      </c>
      <c r="K475" s="65">
        <f>J475/$J$25</f>
        <v>0</v>
      </c>
    </row>
    <row r="476" spans="1:11" x14ac:dyDescent="0.2">
      <c r="A476" s="73">
        <v>2</v>
      </c>
      <c r="B476" s="58">
        <v>7</v>
      </c>
      <c r="C476" s="58">
        <v>2</v>
      </c>
      <c r="D476" s="58">
        <v>2</v>
      </c>
      <c r="E476" s="78"/>
      <c r="F476" s="87" t="s">
        <v>374</v>
      </c>
      <c r="G476" s="59">
        <f>+G477</f>
        <v>0</v>
      </c>
      <c r="H476" s="59">
        <f>+H477</f>
        <v>0</v>
      </c>
      <c r="I476" s="59">
        <f>+I477</f>
        <v>0</v>
      </c>
      <c r="J476" s="59">
        <f t="shared" si="16"/>
        <v>0</v>
      </c>
      <c r="K476" s="68"/>
    </row>
    <row r="477" spans="1:11" x14ac:dyDescent="0.2">
      <c r="A477" s="75">
        <v>2</v>
      </c>
      <c r="B477" s="62">
        <v>7</v>
      </c>
      <c r="C477" s="62">
        <v>2</v>
      </c>
      <c r="D477" s="62">
        <v>2</v>
      </c>
      <c r="E477" s="62" t="s">
        <v>324</v>
      </c>
      <c r="F477" s="70" t="s">
        <v>374</v>
      </c>
      <c r="G477" s="64">
        <f>'[3]CUENTA T FONDO 100'!IW288</f>
        <v>0</v>
      </c>
      <c r="H477" s="64">
        <f>'[3]CUENTA T VS'!IW81</f>
        <v>0</v>
      </c>
      <c r="I477" s="64"/>
      <c r="J477" s="64">
        <f t="shared" si="16"/>
        <v>0</v>
      </c>
      <c r="K477" s="65">
        <f>J477/$J$25</f>
        <v>0</v>
      </c>
    </row>
    <row r="478" spans="1:11" x14ac:dyDescent="0.2">
      <c r="A478" s="73">
        <v>2</v>
      </c>
      <c r="B478" s="58">
        <v>7</v>
      </c>
      <c r="C478" s="58">
        <v>2</v>
      </c>
      <c r="D478" s="58">
        <v>3</v>
      </c>
      <c r="E478" s="78"/>
      <c r="F478" s="87" t="s">
        <v>375</v>
      </c>
      <c r="G478" s="59">
        <f>+G479</f>
        <v>0</v>
      </c>
      <c r="H478" s="59">
        <f>+H479</f>
        <v>0</v>
      </c>
      <c r="I478" s="59">
        <f>+I479</f>
        <v>0</v>
      </c>
      <c r="J478" s="59">
        <f t="shared" ref="J478:J501" si="17">SUM(G478:I478)</f>
        <v>0</v>
      </c>
      <c r="K478" s="68"/>
    </row>
    <row r="479" spans="1:11" x14ac:dyDescent="0.2">
      <c r="A479" s="75">
        <v>2</v>
      </c>
      <c r="B479" s="62">
        <v>7</v>
      </c>
      <c r="C479" s="62">
        <v>2</v>
      </c>
      <c r="D479" s="62">
        <v>3</v>
      </c>
      <c r="E479" s="62" t="s">
        <v>324</v>
      </c>
      <c r="F479" s="70" t="s">
        <v>375</v>
      </c>
      <c r="G479" s="64">
        <f>'[3]CUENTA T FONDO 100'!IX288</f>
        <v>0</v>
      </c>
      <c r="H479" s="64">
        <f>'[3]CUENTA T VS'!IX81</f>
        <v>0</v>
      </c>
      <c r="I479" s="64"/>
      <c r="J479" s="64">
        <f t="shared" si="17"/>
        <v>0</v>
      </c>
      <c r="K479" s="65">
        <f>J479/$J$25</f>
        <v>0</v>
      </c>
    </row>
    <row r="480" spans="1:11" ht="25.5" x14ac:dyDescent="0.2">
      <c r="A480" s="73">
        <v>2</v>
      </c>
      <c r="B480" s="58">
        <v>7</v>
      </c>
      <c r="C480" s="58">
        <v>2</v>
      </c>
      <c r="D480" s="58">
        <v>4</v>
      </c>
      <c r="E480" s="78"/>
      <c r="F480" s="87" t="s">
        <v>376</v>
      </c>
      <c r="G480" s="59">
        <f>+G481</f>
        <v>0</v>
      </c>
      <c r="H480" s="59">
        <f>+H481</f>
        <v>0</v>
      </c>
      <c r="I480" s="59">
        <f>+I481</f>
        <v>0</v>
      </c>
      <c r="J480" s="59">
        <f t="shared" si="17"/>
        <v>0</v>
      </c>
      <c r="K480" s="68"/>
    </row>
    <row r="481" spans="1:11" ht="25.5" x14ac:dyDescent="0.2">
      <c r="A481" s="75">
        <v>2</v>
      </c>
      <c r="B481" s="62">
        <v>7</v>
      </c>
      <c r="C481" s="62">
        <v>2</v>
      </c>
      <c r="D481" s="62">
        <v>4</v>
      </c>
      <c r="E481" s="62" t="s">
        <v>324</v>
      </c>
      <c r="F481" s="70" t="s">
        <v>376</v>
      </c>
      <c r="G481" s="64">
        <f>'[3]CUENTA T FONDO 100'!IY288</f>
        <v>0</v>
      </c>
      <c r="H481" s="64">
        <f>'[3]CUENTA T VS'!IY81</f>
        <v>0</v>
      </c>
      <c r="I481" s="64"/>
      <c r="J481" s="64">
        <f t="shared" si="17"/>
        <v>0</v>
      </c>
      <c r="K481" s="65">
        <f>J481/$J$25</f>
        <v>0</v>
      </c>
    </row>
    <row r="482" spans="1:11" x14ac:dyDescent="0.2">
      <c r="A482" s="73">
        <v>2</v>
      </c>
      <c r="B482" s="58">
        <v>7</v>
      </c>
      <c r="C482" s="58">
        <v>2</v>
      </c>
      <c r="D482" s="58">
        <v>5</v>
      </c>
      <c r="E482" s="78"/>
      <c r="F482" s="87" t="s">
        <v>377</v>
      </c>
      <c r="G482" s="59">
        <f>+G483</f>
        <v>0</v>
      </c>
      <c r="H482" s="59">
        <f>+H483</f>
        <v>0</v>
      </c>
      <c r="I482" s="59">
        <f>+I483</f>
        <v>0</v>
      </c>
      <c r="J482" s="59">
        <f t="shared" si="17"/>
        <v>0</v>
      </c>
      <c r="K482" s="68"/>
    </row>
    <row r="483" spans="1:11" x14ac:dyDescent="0.2">
      <c r="A483" s="75">
        <v>2</v>
      </c>
      <c r="B483" s="62">
        <v>7</v>
      </c>
      <c r="C483" s="62">
        <v>2</v>
      </c>
      <c r="D483" s="62">
        <v>5</v>
      </c>
      <c r="E483" s="62" t="s">
        <v>324</v>
      </c>
      <c r="F483" s="70" t="s">
        <v>377</v>
      </c>
      <c r="G483" s="64">
        <f>'[3]CUENTA T FONDO 100'!IZ288</f>
        <v>0</v>
      </c>
      <c r="H483" s="64">
        <f>'[3]CUENTA T VS'!IZ81</f>
        <v>0</v>
      </c>
      <c r="I483" s="64"/>
      <c r="J483" s="64">
        <f t="shared" si="17"/>
        <v>0</v>
      </c>
      <c r="K483" s="65">
        <f>J483/$J$25</f>
        <v>0</v>
      </c>
    </row>
    <row r="484" spans="1:11" ht="25.5" x14ac:dyDescent="0.2">
      <c r="A484" s="73">
        <v>2</v>
      </c>
      <c r="B484" s="58">
        <v>7</v>
      </c>
      <c r="C484" s="58">
        <v>2</v>
      </c>
      <c r="D484" s="58">
        <v>6</v>
      </c>
      <c r="E484" s="78"/>
      <c r="F484" s="87" t="s">
        <v>378</v>
      </c>
      <c r="G484" s="59">
        <f>+G485</f>
        <v>0</v>
      </c>
      <c r="H484" s="59">
        <f>+H485</f>
        <v>0</v>
      </c>
      <c r="I484" s="59">
        <f>+I485</f>
        <v>0</v>
      </c>
      <c r="J484" s="59">
        <f t="shared" si="17"/>
        <v>0</v>
      </c>
      <c r="K484" s="68"/>
    </row>
    <row r="485" spans="1:11" ht="25.5" x14ac:dyDescent="0.2">
      <c r="A485" s="75">
        <v>2</v>
      </c>
      <c r="B485" s="62">
        <v>7</v>
      </c>
      <c r="C485" s="62">
        <v>2</v>
      </c>
      <c r="D485" s="62">
        <v>6</v>
      </c>
      <c r="E485" s="62" t="s">
        <v>324</v>
      </c>
      <c r="F485" s="70" t="s">
        <v>378</v>
      </c>
      <c r="G485" s="64">
        <f>'[3]CUENTA T FONDO 100'!JA288</f>
        <v>0</v>
      </c>
      <c r="H485" s="64">
        <f>'[3]CUENTA T VS'!JA81</f>
        <v>0</v>
      </c>
      <c r="I485" s="64"/>
      <c r="J485" s="64">
        <f t="shared" si="17"/>
        <v>0</v>
      </c>
      <c r="K485" s="65">
        <f>J485/$J$25</f>
        <v>0</v>
      </c>
    </row>
    <row r="486" spans="1:11" x14ac:dyDescent="0.2">
      <c r="A486" s="73">
        <v>2</v>
      </c>
      <c r="B486" s="58">
        <v>7</v>
      </c>
      <c r="C486" s="58">
        <v>2</v>
      </c>
      <c r="D486" s="58">
        <v>7</v>
      </c>
      <c r="E486" s="78"/>
      <c r="F486" s="87" t="s">
        <v>379</v>
      </c>
      <c r="G486" s="59">
        <f>+G487</f>
        <v>0</v>
      </c>
      <c r="H486" s="59">
        <f>+H487</f>
        <v>0</v>
      </c>
      <c r="I486" s="59">
        <f>+I487</f>
        <v>0</v>
      </c>
      <c r="J486" s="59">
        <f t="shared" si="17"/>
        <v>0</v>
      </c>
      <c r="K486" s="68"/>
    </row>
    <row r="487" spans="1:11" x14ac:dyDescent="0.2">
      <c r="A487" s="75">
        <v>2</v>
      </c>
      <c r="B487" s="62">
        <v>7</v>
      </c>
      <c r="C487" s="62">
        <v>2</v>
      </c>
      <c r="D487" s="62">
        <v>7</v>
      </c>
      <c r="E487" s="62" t="s">
        <v>324</v>
      </c>
      <c r="F487" s="70" t="s">
        <v>379</v>
      </c>
      <c r="G487" s="64">
        <f>'[3]CUENTA T FONDO 100'!JB288</f>
        <v>0</v>
      </c>
      <c r="H487" s="64">
        <f>'[3]CUENTA T VS'!JB81</f>
        <v>0</v>
      </c>
      <c r="I487" s="64"/>
      <c r="J487" s="64">
        <f t="shared" si="17"/>
        <v>0</v>
      </c>
      <c r="K487" s="65">
        <f>J487/$J$25</f>
        <v>0</v>
      </c>
    </row>
    <row r="488" spans="1:11" x14ac:dyDescent="0.2">
      <c r="A488" s="73">
        <v>2</v>
      </c>
      <c r="B488" s="58">
        <v>7</v>
      </c>
      <c r="C488" s="58">
        <v>2</v>
      </c>
      <c r="D488" s="58">
        <v>8</v>
      </c>
      <c r="E488" s="78"/>
      <c r="F488" s="87" t="s">
        <v>380</v>
      </c>
      <c r="G488" s="59">
        <f>+G489</f>
        <v>0</v>
      </c>
      <c r="H488" s="59">
        <f>+H489</f>
        <v>0</v>
      </c>
      <c r="I488" s="59">
        <f>+I489</f>
        <v>0</v>
      </c>
      <c r="J488" s="59">
        <f t="shared" si="17"/>
        <v>0</v>
      </c>
      <c r="K488" s="68"/>
    </row>
    <row r="489" spans="1:11" x14ac:dyDescent="0.2">
      <c r="A489" s="75">
        <v>2</v>
      </c>
      <c r="B489" s="62">
        <v>7</v>
      </c>
      <c r="C489" s="62">
        <v>2</v>
      </c>
      <c r="D489" s="62">
        <v>8</v>
      </c>
      <c r="E489" s="62" t="s">
        <v>324</v>
      </c>
      <c r="F489" s="70" t="s">
        <v>380</v>
      </c>
      <c r="G489" s="64">
        <f>'[3]CUENTA T FONDO 100'!JC288</f>
        <v>0</v>
      </c>
      <c r="H489" s="64">
        <f>'[3]CUENTA T VS'!JC81</f>
        <v>0</v>
      </c>
      <c r="I489" s="64"/>
      <c r="J489" s="64">
        <f t="shared" si="17"/>
        <v>0</v>
      </c>
      <c r="K489" s="65">
        <f>J489/$J$25</f>
        <v>0</v>
      </c>
    </row>
    <row r="490" spans="1:11" ht="25.5" x14ac:dyDescent="0.2">
      <c r="A490" s="73">
        <v>2</v>
      </c>
      <c r="B490" s="58">
        <v>7</v>
      </c>
      <c r="C490" s="58">
        <v>2</v>
      </c>
      <c r="D490" s="58">
        <v>9</v>
      </c>
      <c r="E490" s="78"/>
      <c r="F490" s="87" t="s">
        <v>381</v>
      </c>
      <c r="G490" s="59">
        <f>+G491</f>
        <v>0</v>
      </c>
      <c r="H490" s="59">
        <f>+H491</f>
        <v>0</v>
      </c>
      <c r="I490" s="59">
        <f>+I491</f>
        <v>0</v>
      </c>
      <c r="J490" s="59">
        <f t="shared" si="17"/>
        <v>0</v>
      </c>
      <c r="K490" s="68"/>
    </row>
    <row r="491" spans="1:11" ht="25.5" x14ac:dyDescent="0.2">
      <c r="A491" s="75">
        <v>2</v>
      </c>
      <c r="B491" s="62">
        <v>7</v>
      </c>
      <c r="C491" s="62">
        <v>2</v>
      </c>
      <c r="D491" s="62">
        <v>9</v>
      </c>
      <c r="E491" s="62" t="s">
        <v>324</v>
      </c>
      <c r="F491" s="70" t="s">
        <v>381</v>
      </c>
      <c r="G491" s="64">
        <f>'[3]CUENTA T FONDO 100'!JD288</f>
        <v>0</v>
      </c>
      <c r="H491" s="64">
        <f>'[3]CUENTA T VS'!JD81</f>
        <v>0</v>
      </c>
      <c r="I491" s="64"/>
      <c r="J491" s="64">
        <f t="shared" si="17"/>
        <v>0</v>
      </c>
      <c r="K491" s="65">
        <f>J491/$J$25</f>
        <v>0</v>
      </c>
    </row>
    <row r="492" spans="1:11" ht="25.5" x14ac:dyDescent="0.2">
      <c r="A492" s="71">
        <v>2</v>
      </c>
      <c r="B492" s="55">
        <v>7</v>
      </c>
      <c r="C492" s="55">
        <v>3</v>
      </c>
      <c r="D492" s="55"/>
      <c r="E492" s="55"/>
      <c r="F492" s="86" t="s">
        <v>382</v>
      </c>
      <c r="G492" s="56">
        <f>+G493+G495</f>
        <v>0</v>
      </c>
      <c r="H492" s="56">
        <f>+H493+H495</f>
        <v>0</v>
      </c>
      <c r="I492" s="56">
        <f>+I493+I495</f>
        <v>0</v>
      </c>
      <c r="J492" s="56">
        <f t="shared" si="17"/>
        <v>0</v>
      </c>
      <c r="K492" s="53"/>
    </row>
    <row r="493" spans="1:11" ht="25.5" x14ac:dyDescent="0.2">
      <c r="A493" s="73">
        <v>2</v>
      </c>
      <c r="B493" s="58">
        <v>7</v>
      </c>
      <c r="C493" s="58">
        <v>3</v>
      </c>
      <c r="D493" s="58">
        <v>1</v>
      </c>
      <c r="E493" s="78"/>
      <c r="F493" s="87" t="s">
        <v>383</v>
      </c>
      <c r="G493" s="59">
        <f>+G494</f>
        <v>0</v>
      </c>
      <c r="H493" s="59">
        <f>+H494</f>
        <v>0</v>
      </c>
      <c r="I493" s="59">
        <f>+I494</f>
        <v>0</v>
      </c>
      <c r="J493" s="59">
        <f t="shared" si="17"/>
        <v>0</v>
      </c>
      <c r="K493" s="68"/>
    </row>
    <row r="494" spans="1:11" ht="25.5" x14ac:dyDescent="0.2">
      <c r="A494" s="75">
        <v>2</v>
      </c>
      <c r="B494" s="62">
        <v>7</v>
      </c>
      <c r="C494" s="62">
        <v>3</v>
      </c>
      <c r="D494" s="62">
        <v>1</v>
      </c>
      <c r="E494" s="62" t="s">
        <v>324</v>
      </c>
      <c r="F494" s="70" t="s">
        <v>383</v>
      </c>
      <c r="G494" s="64">
        <f>'[3]CUENTA T FONDO 100'!JE288</f>
        <v>0</v>
      </c>
      <c r="H494" s="64">
        <f>'[3]CUENTA T VS'!JE81</f>
        <v>0</v>
      </c>
      <c r="I494" s="64"/>
      <c r="J494" s="64">
        <f t="shared" si="17"/>
        <v>0</v>
      </c>
      <c r="K494" s="65">
        <f>J494/$J$25</f>
        <v>0</v>
      </c>
    </row>
    <row r="495" spans="1:11" ht="25.5" x14ac:dyDescent="0.2">
      <c r="A495" s="73">
        <v>2</v>
      </c>
      <c r="B495" s="58">
        <v>7</v>
      </c>
      <c r="C495" s="58">
        <v>3</v>
      </c>
      <c r="D495" s="58">
        <v>2</v>
      </c>
      <c r="E495" s="78"/>
      <c r="F495" s="87" t="s">
        <v>384</v>
      </c>
      <c r="G495" s="59">
        <f>+G496</f>
        <v>0</v>
      </c>
      <c r="H495" s="59">
        <f>+H496</f>
        <v>0</v>
      </c>
      <c r="I495" s="59">
        <f>+I496</f>
        <v>0</v>
      </c>
      <c r="J495" s="59">
        <f t="shared" si="17"/>
        <v>0</v>
      </c>
      <c r="K495" s="68"/>
    </row>
    <row r="496" spans="1:11" ht="25.5" x14ac:dyDescent="0.2">
      <c r="A496" s="75">
        <v>2</v>
      </c>
      <c r="B496" s="62">
        <v>7</v>
      </c>
      <c r="C496" s="62">
        <v>3</v>
      </c>
      <c r="D496" s="62">
        <v>2</v>
      </c>
      <c r="E496" s="62" t="s">
        <v>324</v>
      </c>
      <c r="F496" s="70" t="s">
        <v>384</v>
      </c>
      <c r="G496" s="64">
        <f>'[3]CUENTA T FONDO 100'!JF288</f>
        <v>0</v>
      </c>
      <c r="H496" s="64">
        <f>'[3]CUENTA T VS'!JF81</f>
        <v>0</v>
      </c>
      <c r="I496" s="64"/>
      <c r="J496" s="64">
        <f t="shared" si="17"/>
        <v>0</v>
      </c>
      <c r="K496" s="65">
        <f>J496/$J$25</f>
        <v>0</v>
      </c>
    </row>
    <row r="497" spans="1:11" ht="38.25" x14ac:dyDescent="0.2">
      <c r="A497" s="71">
        <v>2</v>
      </c>
      <c r="B497" s="55">
        <v>7</v>
      </c>
      <c r="C497" s="55">
        <v>4</v>
      </c>
      <c r="D497" s="55"/>
      <c r="E497" s="55"/>
      <c r="F497" s="86" t="s">
        <v>385</v>
      </c>
      <c r="G497" s="56">
        <f>+G498+G500</f>
        <v>0</v>
      </c>
      <c r="H497" s="56">
        <f>+H498+H500</f>
        <v>0</v>
      </c>
      <c r="I497" s="56">
        <f>+I498+I500</f>
        <v>0</v>
      </c>
      <c r="J497" s="56">
        <f t="shared" si="17"/>
        <v>0</v>
      </c>
      <c r="K497" s="53"/>
    </row>
    <row r="498" spans="1:11" ht="25.5" x14ac:dyDescent="0.2">
      <c r="A498" s="73">
        <v>2</v>
      </c>
      <c r="B498" s="58">
        <v>7</v>
      </c>
      <c r="C498" s="58">
        <v>4</v>
      </c>
      <c r="D498" s="58">
        <v>1</v>
      </c>
      <c r="E498" s="78"/>
      <c r="F498" s="87" t="s">
        <v>386</v>
      </c>
      <c r="G498" s="59">
        <f>+G499</f>
        <v>0</v>
      </c>
      <c r="H498" s="59">
        <f>+H499</f>
        <v>0</v>
      </c>
      <c r="I498" s="59">
        <f>+I499</f>
        <v>0</v>
      </c>
      <c r="J498" s="59">
        <f t="shared" si="17"/>
        <v>0</v>
      </c>
      <c r="K498" s="68"/>
    </row>
    <row r="499" spans="1:11" ht="25.5" x14ac:dyDescent="0.2">
      <c r="A499" s="75">
        <v>2</v>
      </c>
      <c r="B499" s="62">
        <v>7</v>
      </c>
      <c r="C499" s="62">
        <v>4</v>
      </c>
      <c r="D499" s="62">
        <v>1</v>
      </c>
      <c r="E499" s="62" t="s">
        <v>324</v>
      </c>
      <c r="F499" s="70" t="s">
        <v>386</v>
      </c>
      <c r="G499" s="64">
        <f>'[3]CUENTA T FONDO 100'!JG288</f>
        <v>0</v>
      </c>
      <c r="H499" s="64">
        <f>'[3]CUENTA T VS'!JG81</f>
        <v>0</v>
      </c>
      <c r="I499" s="64"/>
      <c r="J499" s="64">
        <f t="shared" si="17"/>
        <v>0</v>
      </c>
      <c r="K499" s="65">
        <f>J499/$J$25</f>
        <v>0</v>
      </c>
    </row>
    <row r="500" spans="1:11" ht="38.25" x14ac:dyDescent="0.2">
      <c r="A500" s="57">
        <v>2</v>
      </c>
      <c r="B500" s="58">
        <v>7</v>
      </c>
      <c r="C500" s="58">
        <v>4</v>
      </c>
      <c r="D500" s="58">
        <v>2</v>
      </c>
      <c r="E500" s="78"/>
      <c r="F500" s="87" t="s">
        <v>387</v>
      </c>
      <c r="G500" s="59">
        <f>+G501</f>
        <v>0</v>
      </c>
      <c r="H500" s="59">
        <f>+H501</f>
        <v>0</v>
      </c>
      <c r="I500" s="59">
        <f>+I501</f>
        <v>0</v>
      </c>
      <c r="J500" s="59">
        <f t="shared" si="17"/>
        <v>0</v>
      </c>
      <c r="K500" s="68"/>
    </row>
    <row r="501" spans="1:11" ht="38.2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70" t="s">
        <v>387</v>
      </c>
      <c r="G501" s="64">
        <f>'[3]CUENTA T FONDO 100'!JH288</f>
        <v>0</v>
      </c>
      <c r="H501" s="64">
        <f>'[3]CUENTA T VS'!JH81</f>
        <v>0</v>
      </c>
      <c r="I501" s="101"/>
      <c r="J501" s="64">
        <f t="shared" si="17"/>
        <v>0</v>
      </c>
      <c r="K501" s="65">
        <f>J501/$J$25</f>
        <v>0</v>
      </c>
    </row>
    <row r="502" spans="1:11" ht="15" x14ac:dyDescent="0.25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5"/>
    </row>
    <row r="503" spans="1:11" ht="15" x14ac:dyDescent="0.25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</row>
    <row r="504" spans="1:11" ht="15" x14ac:dyDescent="0.25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</row>
    <row r="505" spans="1:11" ht="15" x14ac:dyDescent="0.2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</row>
    <row r="506" spans="1:11" ht="15" x14ac:dyDescent="0.25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</row>
    <row r="507" spans="1:11" ht="15" x14ac:dyDescent="0.25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</row>
    <row r="508" spans="1:11" ht="15" x14ac:dyDescent="0.25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</row>
    <row r="509" spans="1:11" ht="15" x14ac:dyDescent="0.25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</row>
    <row r="510" spans="1:11" ht="15" x14ac:dyDescent="0.25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</row>
    <row r="511" spans="1:11" ht="15" x14ac:dyDescent="0.25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A7:K7"/>
    <mergeCell ref="A2:I2"/>
    <mergeCell ref="A3:K3"/>
    <mergeCell ref="A4:K4"/>
    <mergeCell ref="A5:K5"/>
    <mergeCell ref="A6:K6"/>
    <mergeCell ref="A21:E21"/>
    <mergeCell ref="G21:I21"/>
    <mergeCell ref="A22:E22"/>
    <mergeCell ref="F22:F24"/>
    <mergeCell ref="G22:I22"/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"/>
  <sheetViews>
    <sheetView tabSelected="1" view="pageBreakPreview" topLeftCell="A10" zoomScale="84" zoomScaleNormal="100" zoomScaleSheetLayoutView="84" workbookViewId="0">
      <selection activeCell="A10" sqref="A1:XFD1048576"/>
    </sheetView>
  </sheetViews>
  <sheetFormatPr baseColWidth="10" defaultColWidth="2.85546875" defaultRowHeight="12.75" x14ac:dyDescent="0.2"/>
  <cols>
    <col min="1" max="5" width="3.28515625" style="5" customWidth="1"/>
    <col min="6" max="6" width="67" style="5" bestFit="1" customWidth="1"/>
    <col min="7" max="7" width="14.42578125" style="5" bestFit="1" customWidth="1"/>
    <col min="8" max="8" width="33.42578125" style="5" bestFit="1" customWidth="1"/>
    <col min="9" max="9" width="20" style="5" bestFit="1" customWidth="1"/>
    <col min="10" max="10" width="14.42578125" style="5" bestFit="1" customWidth="1"/>
    <col min="11" max="11" width="5.7109375" style="5" bestFit="1" customWidth="1"/>
    <col min="12" max="12" width="14.85546875" style="5" bestFit="1" customWidth="1"/>
    <col min="13" max="13" width="14.5703125" style="5" bestFit="1" customWidth="1"/>
    <col min="14" max="14" width="15" style="5" bestFit="1" customWidth="1"/>
    <col min="15" max="16" width="14.5703125" style="5" bestFit="1" customWidth="1"/>
    <col min="17" max="253" width="11.42578125" style="5" customWidth="1"/>
    <col min="254" max="254" width="3.28515625" style="5" customWidth="1"/>
    <col min="255" max="255" width="4.140625" style="5" customWidth="1"/>
    <col min="256" max="16384" width="2.85546875" style="5"/>
  </cols>
  <sheetData>
    <row r="1" spans="1:15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spans="1:15" ht="23.25" x14ac:dyDescent="0.35">
      <c r="A2" s="185"/>
      <c r="B2" s="186"/>
      <c r="C2" s="186"/>
      <c r="D2" s="186"/>
      <c r="E2" s="186"/>
      <c r="F2" s="186"/>
      <c r="G2" s="186"/>
      <c r="H2" s="186"/>
      <c r="I2" s="186"/>
      <c r="J2" s="6"/>
      <c r="K2" s="7"/>
    </row>
    <row r="3" spans="1:15" ht="26.25" x14ac:dyDescent="0.4">
      <c r="A3" s="187" t="s">
        <v>1</v>
      </c>
      <c r="B3" s="188"/>
      <c r="C3" s="188"/>
      <c r="D3" s="188"/>
      <c r="E3" s="188"/>
      <c r="F3" s="188"/>
      <c r="G3" s="188"/>
      <c r="H3" s="188"/>
      <c r="I3" s="188"/>
      <c r="J3" s="188"/>
      <c r="K3" s="189"/>
    </row>
    <row r="4" spans="1:15" ht="18.75" x14ac:dyDescent="0.3">
      <c r="A4" s="190" t="s">
        <v>2</v>
      </c>
      <c r="B4" s="191"/>
      <c r="C4" s="191"/>
      <c r="D4" s="191"/>
      <c r="E4" s="191"/>
      <c r="F4" s="191"/>
      <c r="G4" s="191"/>
      <c r="H4" s="191"/>
      <c r="I4" s="191"/>
      <c r="J4" s="191"/>
      <c r="K4" s="192"/>
    </row>
    <row r="5" spans="1:15" ht="15" x14ac:dyDescent="0.25">
      <c r="A5" s="193" t="s">
        <v>3</v>
      </c>
      <c r="B5" s="194"/>
      <c r="C5" s="194"/>
      <c r="D5" s="194"/>
      <c r="E5" s="194"/>
      <c r="F5" s="194"/>
      <c r="G5" s="194"/>
      <c r="H5" s="194"/>
      <c r="I5" s="194"/>
      <c r="J5" s="194"/>
      <c r="K5" s="195"/>
    </row>
    <row r="6" spans="1:15" ht="15.75" x14ac:dyDescent="0.25">
      <c r="A6" s="196" t="s">
        <v>4</v>
      </c>
      <c r="B6" s="197"/>
      <c r="C6" s="197"/>
      <c r="D6" s="197"/>
      <c r="E6" s="197"/>
      <c r="F6" s="197"/>
      <c r="G6" s="197"/>
      <c r="H6" s="197"/>
      <c r="I6" s="197"/>
      <c r="J6" s="197"/>
      <c r="K6" s="198"/>
    </row>
    <row r="7" spans="1:15" ht="15.75" x14ac:dyDescent="0.25">
      <c r="A7" s="182" t="s">
        <v>390</v>
      </c>
      <c r="B7" s="183"/>
      <c r="C7" s="183"/>
      <c r="D7" s="183"/>
      <c r="E7" s="183"/>
      <c r="F7" s="183"/>
      <c r="G7" s="183"/>
      <c r="H7" s="183"/>
      <c r="I7" s="183"/>
      <c r="J7" s="183"/>
      <c r="K7" s="184"/>
    </row>
    <row r="8" spans="1:15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0"/>
      <c r="K8" s="11"/>
    </row>
    <row r="9" spans="1:15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6"/>
      <c r="K9" s="17"/>
    </row>
    <row r="10" spans="1:15" ht="15.75" x14ac:dyDescent="0.25">
      <c r="A10" s="12"/>
      <c r="B10" s="13"/>
      <c r="C10" s="13"/>
      <c r="D10" s="13"/>
      <c r="E10" s="18" t="s">
        <v>8</v>
      </c>
      <c r="F10" s="15"/>
      <c r="G10" s="19">
        <v>0</v>
      </c>
      <c r="H10" s="20" t="s">
        <v>9</v>
      </c>
      <c r="I10" s="20"/>
      <c r="J10" s="19"/>
      <c r="K10" s="17"/>
      <c r="M10" s="21" t="s">
        <v>10</v>
      </c>
    </row>
    <row r="11" spans="1:15" ht="15.75" x14ac:dyDescent="0.25">
      <c r="A11" s="12"/>
      <c r="B11" s="13"/>
      <c r="C11" s="13"/>
      <c r="D11" s="13"/>
      <c r="E11" s="18" t="s">
        <v>11</v>
      </c>
      <c r="F11" s="15"/>
      <c r="G11" s="19">
        <v>0</v>
      </c>
      <c r="H11" s="22"/>
      <c r="I11" s="20"/>
      <c r="J11" s="23"/>
      <c r="K11" s="17"/>
    </row>
    <row r="12" spans="1:15" ht="15.75" x14ac:dyDescent="0.25">
      <c r="A12" s="12"/>
      <c r="B12" s="13"/>
      <c r="C12" s="13"/>
      <c r="D12" s="13"/>
      <c r="E12" s="18" t="s">
        <v>12</v>
      </c>
      <c r="F12" s="15"/>
      <c r="G12" s="24">
        <f>+'ENERO 2025'!G12</f>
        <v>2244994.14</v>
      </c>
      <c r="H12" s="25"/>
      <c r="I12" s="25"/>
      <c r="J12" s="23"/>
      <c r="K12" s="17"/>
    </row>
    <row r="13" spans="1:15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23"/>
      <c r="K13" s="17"/>
    </row>
    <row r="14" spans="1:15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20"/>
      <c r="J14" s="19"/>
      <c r="K14" s="17"/>
      <c r="M14" s="5" t="s">
        <v>14</v>
      </c>
      <c r="N14" s="5" t="s">
        <v>15</v>
      </c>
      <c r="O14" s="5" t="s">
        <v>16</v>
      </c>
    </row>
    <row r="15" spans="1:15" ht="15.75" x14ac:dyDescent="0.25">
      <c r="A15" s="12"/>
      <c r="B15" s="13"/>
      <c r="C15" s="13"/>
      <c r="D15" s="13"/>
      <c r="E15" s="18" t="s">
        <v>11</v>
      </c>
      <c r="F15" s="15"/>
      <c r="G15" s="24">
        <v>300950385.24000001</v>
      </c>
      <c r="H15" s="25" t="s">
        <v>17</v>
      </c>
      <c r="I15" s="25"/>
      <c r="J15" s="19"/>
      <c r="K15" s="96"/>
      <c r="M15" s="5">
        <v>2.1</v>
      </c>
      <c r="N15" s="27">
        <f>G26</f>
        <v>198560735.68000001</v>
      </c>
      <c r="O15" s="27">
        <f>H26</f>
        <v>5231553.59</v>
      </c>
    </row>
    <row r="16" spans="1:15" ht="15.75" x14ac:dyDescent="0.25">
      <c r="A16" s="12"/>
      <c r="B16" s="13"/>
      <c r="C16" s="13"/>
      <c r="D16" s="13"/>
      <c r="E16" s="18" t="s">
        <v>12</v>
      </c>
      <c r="F16" s="15"/>
      <c r="G16" s="24">
        <v>23630411.48</v>
      </c>
      <c r="H16" s="25"/>
      <c r="I16" s="25"/>
      <c r="J16" s="23"/>
      <c r="K16" s="17"/>
      <c r="M16" s="5">
        <v>2.2000000000000002</v>
      </c>
      <c r="N16" s="27">
        <f>G87</f>
        <v>9308364.8800000008</v>
      </c>
      <c r="O16" s="27">
        <f>H87</f>
        <v>8306683.8600000013</v>
      </c>
    </row>
    <row r="17" spans="1:17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97"/>
      <c r="J17" s="19">
        <f>+G15+G16</f>
        <v>324580796.72000003</v>
      </c>
      <c r="K17" s="17"/>
      <c r="M17" s="5">
        <v>2.2999999999999998</v>
      </c>
      <c r="N17" s="27">
        <f>'[3]CONS. FUENTES FINAN'!G212</f>
        <v>4970601.1899999995</v>
      </c>
      <c r="O17" s="27">
        <f>'[3]CONS. FUENTES FINAN'!H212</f>
        <v>3062630.67</v>
      </c>
    </row>
    <row r="18" spans="1:17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5"/>
      <c r="K18" s="17"/>
      <c r="M18" s="5">
        <v>2.4</v>
      </c>
      <c r="N18" s="27">
        <f>G330</f>
        <v>0</v>
      </c>
      <c r="O18" s="27">
        <f>H330</f>
        <v>287786.7</v>
      </c>
    </row>
    <row r="19" spans="1:17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8"/>
      <c r="K19" s="39"/>
      <c r="M19" s="5">
        <v>2.6</v>
      </c>
      <c r="N19" s="27">
        <f>G336</f>
        <v>17857866.620000001</v>
      </c>
      <c r="O19" s="27">
        <f>H336</f>
        <v>5076044.21</v>
      </c>
    </row>
    <row r="20" spans="1:17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5"/>
      <c r="K20" s="17"/>
      <c r="M20" s="5">
        <v>2.7</v>
      </c>
      <c r="N20" s="27">
        <f>'[3]CONS. FUENTES FINAN'!G463</f>
        <v>0</v>
      </c>
      <c r="O20" s="27">
        <f>'[3]CONS. FUENTES FINAN'!H463</f>
        <v>0</v>
      </c>
    </row>
    <row r="21" spans="1:17" x14ac:dyDescent="0.2">
      <c r="A21" s="174">
        <v>1</v>
      </c>
      <c r="B21" s="174"/>
      <c r="C21" s="174"/>
      <c r="D21" s="174"/>
      <c r="E21" s="174"/>
      <c r="F21" s="41">
        <v>2</v>
      </c>
      <c r="G21" s="175">
        <v>3</v>
      </c>
      <c r="H21" s="176"/>
      <c r="I21" s="176"/>
      <c r="J21" s="42">
        <v>4</v>
      </c>
      <c r="K21" s="42">
        <v>5</v>
      </c>
    </row>
    <row r="22" spans="1:17" ht="12.75" customHeight="1" x14ac:dyDescent="0.2">
      <c r="A22" s="177" t="s">
        <v>19</v>
      </c>
      <c r="B22" s="177"/>
      <c r="C22" s="177"/>
      <c r="D22" s="177"/>
      <c r="E22" s="177"/>
      <c r="F22" s="178" t="s">
        <v>20</v>
      </c>
      <c r="G22" s="160" t="s">
        <v>21</v>
      </c>
      <c r="H22" s="181"/>
      <c r="I22" s="161"/>
      <c r="J22" s="171" t="s">
        <v>22</v>
      </c>
      <c r="K22" s="165" t="s">
        <v>23</v>
      </c>
    </row>
    <row r="23" spans="1:17" ht="12.75" customHeight="1" x14ac:dyDescent="0.2">
      <c r="A23" s="162" t="s">
        <v>24</v>
      </c>
      <c r="B23" s="162" t="s">
        <v>25</v>
      </c>
      <c r="C23" s="162" t="s">
        <v>26</v>
      </c>
      <c r="D23" s="162" t="s">
        <v>27</v>
      </c>
      <c r="E23" s="162" t="s">
        <v>28</v>
      </c>
      <c r="F23" s="179"/>
      <c r="G23" s="155" t="s">
        <v>29</v>
      </c>
      <c r="H23" s="199" t="s">
        <v>30</v>
      </c>
      <c r="I23" s="199" t="s">
        <v>17</v>
      </c>
      <c r="J23" s="172"/>
      <c r="K23" s="166"/>
      <c r="L23" s="98"/>
      <c r="M23" s="164"/>
      <c r="N23" s="164"/>
      <c r="O23" s="164"/>
      <c r="P23" s="164"/>
      <c r="Q23" s="164"/>
    </row>
    <row r="24" spans="1:17" ht="30" customHeight="1" x14ac:dyDescent="0.2">
      <c r="A24" s="163"/>
      <c r="B24" s="163"/>
      <c r="C24" s="163"/>
      <c r="D24" s="163"/>
      <c r="E24" s="163"/>
      <c r="F24" s="180"/>
      <c r="G24" s="156"/>
      <c r="H24" s="170"/>
      <c r="I24" s="170"/>
      <c r="J24" s="173"/>
      <c r="K24" s="167"/>
      <c r="L24" s="98"/>
      <c r="M24" s="99"/>
      <c r="N24" s="99"/>
      <c r="O24" s="99"/>
      <c r="P24" s="99"/>
      <c r="Q24" s="99"/>
    </row>
    <row r="25" spans="1:17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271880251.37</v>
      </c>
      <c r="H25" s="47">
        <f>+H26+H87+H212+H330+H336+H463</f>
        <v>26194615.640000001</v>
      </c>
      <c r="I25" s="47">
        <f>+I26+I87+I212+I330+I336+I463</f>
        <v>0</v>
      </c>
      <c r="J25" s="47">
        <f>SUM(G25:I25)</f>
        <v>298074867.00999999</v>
      </c>
      <c r="K25" s="48">
        <f>+K26+K87+K212+K330+K336+K463</f>
        <v>1</v>
      </c>
      <c r="L25" s="98"/>
      <c r="M25" s="98"/>
      <c r="N25" s="98"/>
      <c r="O25" s="98"/>
      <c r="P25" s="98"/>
      <c r="Q25" s="98"/>
    </row>
    <row r="26" spans="1:17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198560735.68000001</v>
      </c>
      <c r="H26" s="52">
        <f>+H27+H51+H64+H71+H78</f>
        <v>5231553.59</v>
      </c>
      <c r="I26" s="52">
        <f>+I27+I51+I64+I71+I78</f>
        <v>0</v>
      </c>
      <c r="J26" s="52">
        <f t="shared" ref="J26:J87" si="0">SUM(G26:I26)</f>
        <v>203792289.27000001</v>
      </c>
      <c r="K26" s="53">
        <f t="shared" ref="K26:K34" si="1">J26/$J$25</f>
        <v>0.68369497674945889</v>
      </c>
      <c r="L26" s="98"/>
      <c r="M26" s="98"/>
      <c r="N26" s="98"/>
      <c r="O26" s="98"/>
      <c r="P26" s="98"/>
      <c r="Q26" s="98"/>
    </row>
    <row r="27" spans="1:17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163945204.59</v>
      </c>
      <c r="H27" s="56">
        <f>+H28+H35+H42+H44+H46</f>
        <v>0</v>
      </c>
      <c r="I27" s="56">
        <f>+I28+I35+I42+I44+I46</f>
        <v>0</v>
      </c>
      <c r="J27" s="56">
        <f t="shared" si="0"/>
        <v>163945204.59</v>
      </c>
      <c r="K27" s="53">
        <f t="shared" si="1"/>
        <v>0.55001351249281905</v>
      </c>
      <c r="L27" s="98"/>
      <c r="M27" s="98"/>
      <c r="N27" s="98"/>
      <c r="O27" s="98"/>
      <c r="P27" s="98"/>
      <c r="Q27" s="98"/>
    </row>
    <row r="28" spans="1:17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159434491.34999999</v>
      </c>
      <c r="H28" s="59">
        <f>SUM(H29:H34)</f>
        <v>0</v>
      </c>
      <c r="I28" s="59">
        <f>SUM(I29:I34)</f>
        <v>0</v>
      </c>
      <c r="J28" s="59">
        <f>SUM(G28:I28)</f>
        <v>159434491.34999999</v>
      </c>
      <c r="K28" s="60">
        <f t="shared" si="1"/>
        <v>0.53488069272425842</v>
      </c>
    </row>
    <row r="29" spans="1:17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+'MARZO 2025'!G29+'FEBRERO 2025'!G29+'ENERO 2025'!G29</f>
        <v>159434491.34999999</v>
      </c>
      <c r="H29" s="64">
        <f>+'MARZO 2025'!H29+'FEBRERO 2025'!H29+'ENERO 2025'!H29</f>
        <v>0</v>
      </c>
      <c r="I29" s="64">
        <v>0</v>
      </c>
      <c r="J29" s="64">
        <f t="shared" si="0"/>
        <v>159434491.34999999</v>
      </c>
      <c r="K29" s="100">
        <f t="shared" si="1"/>
        <v>0.53488069272425842</v>
      </c>
    </row>
    <row r="30" spans="1:17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+'MARZO 2025'!G30+'FEBRERO 2025'!G30+'ENERO 2025'!G30</f>
        <v>0</v>
      </c>
      <c r="H30" s="64">
        <f>+'MARZO 2025'!H30+'FEBRERO 2025'!H30+'ENERO 2025'!H30</f>
        <v>0</v>
      </c>
      <c r="I30" s="64">
        <v>0</v>
      </c>
      <c r="J30" s="64">
        <f t="shared" si="0"/>
        <v>0</v>
      </c>
      <c r="K30" s="100">
        <f t="shared" si="1"/>
        <v>0</v>
      </c>
    </row>
    <row r="31" spans="1:17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+'MARZO 2025'!G31+'FEBRERO 2025'!G31+'ENERO 2025'!G31</f>
        <v>0</v>
      </c>
      <c r="H31" s="64">
        <f>+'MARZO 2025'!H31+'FEBRERO 2025'!H31+'ENERO 2025'!H31</f>
        <v>0</v>
      </c>
      <c r="I31" s="64">
        <v>0</v>
      </c>
      <c r="J31" s="64">
        <f t="shared" si="0"/>
        <v>0</v>
      </c>
      <c r="K31" s="100">
        <f t="shared" si="1"/>
        <v>0</v>
      </c>
    </row>
    <row r="32" spans="1:17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+'MARZO 2025'!G32+'FEBRERO 2025'!G32+'ENERO 2025'!G32</f>
        <v>0</v>
      </c>
      <c r="H32" s="64">
        <f>+'MARZO 2025'!H32+'FEBRERO 2025'!H32+'ENERO 2025'!H32</f>
        <v>0</v>
      </c>
      <c r="I32" s="64">
        <v>0</v>
      </c>
      <c r="J32" s="64">
        <f t="shared" si="0"/>
        <v>0</v>
      </c>
      <c r="K32" s="65">
        <f t="shared" si="1"/>
        <v>0</v>
      </c>
    </row>
    <row r="33" spans="1:11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+'MARZO 2025'!G33+'FEBRERO 2025'!G33+'ENERO 2025'!G33</f>
        <v>0</v>
      </c>
      <c r="H33" s="64">
        <f>+'MARZO 2025'!H33+'FEBRERO 2025'!H33+'ENERO 2025'!H33</f>
        <v>0</v>
      </c>
      <c r="I33" s="64">
        <v>0</v>
      </c>
      <c r="J33" s="64">
        <f t="shared" si="0"/>
        <v>0</v>
      </c>
      <c r="K33" s="65">
        <f t="shared" si="1"/>
        <v>0</v>
      </c>
    </row>
    <row r="34" spans="1:11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+'MARZO 2025'!G34+'FEBRERO 2025'!G34+'ENERO 2025'!G34</f>
        <v>0</v>
      </c>
      <c r="H34" s="64">
        <f>+'MARZO 2025'!H34+'FEBRERO 2025'!H34+'ENERO 2025'!H34</f>
        <v>0</v>
      </c>
      <c r="I34" s="64">
        <v>0</v>
      </c>
      <c r="J34" s="64">
        <f t="shared" si="0"/>
        <v>0</v>
      </c>
      <c r="K34" s="65">
        <f t="shared" si="1"/>
        <v>0</v>
      </c>
    </row>
    <row r="35" spans="1:11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+'MARZO 2025'!G35+'FEBRERO 2025'!G35+'ENERO 2025'!G35</f>
        <v>3177593.09</v>
      </c>
      <c r="H35" s="59">
        <f>+'MARZO 2025'!H35+'FEBRERO 2025'!H35+'ENERO 2025'!H35</f>
        <v>0</v>
      </c>
      <c r="I35" s="59">
        <v>0</v>
      </c>
      <c r="J35" s="59">
        <f>SUM(G35:I35)</f>
        <v>3177593.09</v>
      </c>
      <c r="K35" s="68"/>
    </row>
    <row r="36" spans="1:11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+'MARZO 2025'!G36+'FEBRERO 2025'!G36+'ENERO 2025'!G36</f>
        <v>0</v>
      </c>
      <c r="H36" s="64">
        <f>+'MARZO 2025'!H36+'FEBRERO 2025'!H36+'ENERO 2025'!H36</f>
        <v>0</v>
      </c>
      <c r="I36" s="64">
        <v>0</v>
      </c>
      <c r="J36" s="64">
        <f t="shared" si="0"/>
        <v>0</v>
      </c>
      <c r="K36" s="65">
        <f t="shared" ref="K36:K41" si="2">J36/$J$25</f>
        <v>0</v>
      </c>
    </row>
    <row r="37" spans="1:11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+'MARZO 2025'!G37+'FEBRERO 2025'!G37+'ENERO 2025'!G37</f>
        <v>0</v>
      </c>
      <c r="H37" s="64">
        <f>+'MARZO 2025'!H37+'FEBRERO 2025'!H37+'ENERO 2025'!H37</f>
        <v>0</v>
      </c>
      <c r="I37" s="64">
        <v>0</v>
      </c>
      <c r="J37" s="64">
        <f t="shared" si="0"/>
        <v>0</v>
      </c>
      <c r="K37" s="65">
        <f t="shared" si="2"/>
        <v>0</v>
      </c>
    </row>
    <row r="38" spans="1:11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+'MARZO 2025'!G38+'FEBRERO 2025'!G38+'ENERO 2025'!G38</f>
        <v>0</v>
      </c>
      <c r="H38" s="64">
        <f>+'MARZO 2025'!H38+'FEBRERO 2025'!H38+'ENERO 2025'!H38</f>
        <v>0</v>
      </c>
      <c r="I38" s="64">
        <v>0</v>
      </c>
      <c r="J38" s="64">
        <f t="shared" si="0"/>
        <v>0</v>
      </c>
      <c r="K38" s="65">
        <f t="shared" si="2"/>
        <v>0</v>
      </c>
    </row>
    <row r="39" spans="1:11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+'MARZO 2025'!G39+'FEBRERO 2025'!G39+'ENERO 2025'!G39</f>
        <v>3177593.09</v>
      </c>
      <c r="H39" s="64">
        <f>+'MARZO 2025'!H39+'FEBRERO 2025'!H39+'ENERO 2025'!H39</f>
        <v>0</v>
      </c>
      <c r="I39" s="64">
        <v>0</v>
      </c>
      <c r="J39" s="64">
        <f t="shared" si="0"/>
        <v>3177593.09</v>
      </c>
      <c r="K39" s="65">
        <f t="shared" si="2"/>
        <v>1.0660385834856033E-2</v>
      </c>
    </row>
    <row r="40" spans="1:11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+'MARZO 2025'!G40+'FEBRERO 2025'!G40+'ENERO 2025'!G40</f>
        <v>0</v>
      </c>
      <c r="H40" s="64">
        <f>+'MARZO 2025'!H40+'FEBRERO 2025'!H40+'ENERO 2025'!H40</f>
        <v>0</v>
      </c>
      <c r="I40" s="64">
        <v>0</v>
      </c>
      <c r="J40" s="64">
        <f t="shared" si="0"/>
        <v>0</v>
      </c>
      <c r="K40" s="65">
        <f t="shared" si="2"/>
        <v>0</v>
      </c>
    </row>
    <row r="41" spans="1:11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+'MARZO 2025'!G41+'FEBRERO 2025'!G41+'ENERO 2025'!G41</f>
        <v>0</v>
      </c>
      <c r="H41" s="64">
        <f>+'MARZO 2025'!H41+'FEBRERO 2025'!H41+'ENERO 2025'!H41</f>
        <v>0</v>
      </c>
      <c r="I41" s="64">
        <v>0</v>
      </c>
      <c r="J41" s="64">
        <f>SUM(G41:I41)</f>
        <v>0</v>
      </c>
      <c r="K41" s="65">
        <f t="shared" si="2"/>
        <v>0</v>
      </c>
    </row>
    <row r="42" spans="1:11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+'MARZO 2025'!G42+'FEBRERO 2025'!G42+'ENERO 2025'!G42</f>
        <v>0</v>
      </c>
      <c r="H42" s="59">
        <f>+'MARZO 2025'!H42+'FEBRERO 2025'!H42+'ENERO 2025'!H42</f>
        <v>0</v>
      </c>
      <c r="I42" s="59">
        <v>0</v>
      </c>
      <c r="J42" s="59">
        <f t="shared" si="0"/>
        <v>0</v>
      </c>
      <c r="K42" s="68"/>
    </row>
    <row r="43" spans="1:11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+'MARZO 2025'!G43+'FEBRERO 2025'!G43+'ENERO 2025'!G43</f>
        <v>0</v>
      </c>
      <c r="H43" s="64">
        <f>+'MARZO 2025'!H43+'FEBRERO 2025'!H43+'ENERO 2025'!H43</f>
        <v>0</v>
      </c>
      <c r="I43" s="64">
        <v>0</v>
      </c>
      <c r="J43" s="64">
        <f t="shared" si="0"/>
        <v>0</v>
      </c>
      <c r="K43" s="65">
        <f>J43/$J$25</f>
        <v>0</v>
      </c>
    </row>
    <row r="44" spans="1:11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+'MARZO 2025'!G44+'FEBRERO 2025'!G44+'ENERO 2025'!G44</f>
        <v>0</v>
      </c>
      <c r="H44" s="59">
        <f>+'MARZO 2025'!H44+'FEBRERO 2025'!H44+'ENERO 2025'!H44</f>
        <v>0</v>
      </c>
      <c r="I44" s="59">
        <v>0</v>
      </c>
      <c r="J44" s="59">
        <f t="shared" si="0"/>
        <v>0</v>
      </c>
      <c r="K44" s="68"/>
    </row>
    <row r="45" spans="1:11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+'MARZO 2025'!G45+'FEBRERO 2025'!G45+'ENERO 2025'!G45</f>
        <v>0</v>
      </c>
      <c r="H45" s="64">
        <f>+'MARZO 2025'!H45+'FEBRERO 2025'!H45+'ENERO 2025'!H45</f>
        <v>0</v>
      </c>
      <c r="I45" s="64">
        <v>0</v>
      </c>
      <c r="J45" s="64">
        <f t="shared" si="0"/>
        <v>0</v>
      </c>
      <c r="K45" s="65">
        <f>J45/$J$25</f>
        <v>0</v>
      </c>
    </row>
    <row r="46" spans="1:11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+'MARZO 2025'!G46+'FEBRERO 2025'!G46+'ENERO 2025'!G46</f>
        <v>1333120.1499999999</v>
      </c>
      <c r="H46" s="59">
        <f>+'MARZO 2025'!H46+'FEBRERO 2025'!H46+'ENERO 2025'!H46</f>
        <v>0</v>
      </c>
      <c r="I46" s="59">
        <v>0</v>
      </c>
      <c r="J46" s="59">
        <f t="shared" si="0"/>
        <v>1333120.1499999999</v>
      </c>
      <c r="K46" s="68"/>
    </row>
    <row r="47" spans="1:11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+'MARZO 2025'!G47+'FEBRERO 2025'!G47+'ENERO 2025'!G47</f>
        <v>815000</v>
      </c>
      <c r="H47" s="64">
        <f>+'MARZO 2025'!H47+'FEBRERO 2025'!H47+'ENERO 2025'!H47</f>
        <v>0</v>
      </c>
      <c r="I47" s="64">
        <v>0</v>
      </c>
      <c r="J47" s="64">
        <f t="shared" si="0"/>
        <v>815000</v>
      </c>
      <c r="K47" s="65">
        <f>J47/$J$25</f>
        <v>2.7342124083633589E-3</v>
      </c>
    </row>
    <row r="48" spans="1:11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+'MARZO 2025'!G48+'FEBRERO 2025'!G48+'ENERO 2025'!G48</f>
        <v>0</v>
      </c>
      <c r="H48" s="64">
        <f>+'MARZO 2025'!H48+'FEBRERO 2025'!H48+'ENERO 2025'!H48</f>
        <v>0</v>
      </c>
      <c r="I48" s="64">
        <v>0</v>
      </c>
      <c r="J48" s="64">
        <f t="shared" si="0"/>
        <v>0</v>
      </c>
      <c r="K48" s="65">
        <f>J48/$J$25</f>
        <v>0</v>
      </c>
    </row>
    <row r="49" spans="1:11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+'MARZO 2025'!G49+'FEBRERO 2025'!G49+'ENERO 2025'!G49</f>
        <v>0</v>
      </c>
      <c r="H49" s="64">
        <f>+'MARZO 2025'!H49+'FEBRERO 2025'!H49+'ENERO 2025'!H49</f>
        <v>0</v>
      </c>
      <c r="I49" s="64">
        <v>0</v>
      </c>
      <c r="J49" s="64">
        <f t="shared" si="0"/>
        <v>0</v>
      </c>
      <c r="K49" s="65">
        <f>J49/$J$25</f>
        <v>0</v>
      </c>
    </row>
    <row r="50" spans="1:11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+'MARZO 2025'!G50+'FEBRERO 2025'!G50+'ENERO 2025'!G50</f>
        <v>518120.15</v>
      </c>
      <c r="H50" s="64">
        <f>+'MARZO 2025'!H50+'FEBRERO 2025'!H50+'ENERO 2025'!H50</f>
        <v>0</v>
      </c>
      <c r="I50" s="64">
        <v>0</v>
      </c>
      <c r="J50" s="64">
        <f t="shared" si="0"/>
        <v>518120.15</v>
      </c>
      <c r="K50" s="65">
        <f>J50/$J$25</f>
        <v>1.7382215253412083E-3</v>
      </c>
    </row>
    <row r="51" spans="1:11" x14ac:dyDescent="0.2">
      <c r="A51" s="54">
        <v>2</v>
      </c>
      <c r="B51" s="55">
        <v>1</v>
      </c>
      <c r="C51" s="55">
        <v>2</v>
      </c>
      <c r="D51" s="55"/>
      <c r="E51" s="55"/>
      <c r="F51" s="69" t="s">
        <v>63</v>
      </c>
      <c r="G51" s="56">
        <f>+'MARZO 2025'!G51+'FEBRERO 2025'!G51+'ENERO 2025'!G51</f>
        <v>9594398.8000000007</v>
      </c>
      <c r="H51" s="56">
        <f>+'MARZO 2025'!H51+'FEBRERO 2025'!H51+'ENERO 2025'!H51</f>
        <v>5231553.59</v>
      </c>
      <c r="I51" s="56">
        <v>0</v>
      </c>
      <c r="J51" s="56">
        <f t="shared" si="0"/>
        <v>14825952.390000001</v>
      </c>
      <c r="K51" s="53"/>
    </row>
    <row r="52" spans="1:11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+'MARZO 2025'!G52+'FEBRERO 2025'!G52+'ENERO 2025'!G52</f>
        <v>8256409.5</v>
      </c>
      <c r="H52" s="59">
        <f>+'MARZO 2025'!H52+'FEBRERO 2025'!H52+'ENERO 2025'!H52</f>
        <v>0</v>
      </c>
      <c r="I52" s="59">
        <v>0</v>
      </c>
      <c r="J52" s="59">
        <f t="shared" si="0"/>
        <v>8256409.5</v>
      </c>
      <c r="K52" s="68"/>
    </row>
    <row r="53" spans="1:11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+'MARZO 2025'!G53+'FEBRERO 2025'!G53+'ENERO 2025'!G53</f>
        <v>8256409.5</v>
      </c>
      <c r="H53" s="64">
        <f>+'MARZO 2025'!H53+'FEBRERO 2025'!H53+'ENERO 2025'!H53</f>
        <v>0</v>
      </c>
      <c r="I53" s="64">
        <v>0</v>
      </c>
      <c r="J53" s="64">
        <f t="shared" si="0"/>
        <v>8256409.5</v>
      </c>
      <c r="K53" s="65">
        <f>J53/$J$25</f>
        <v>2.7699113255741249E-2</v>
      </c>
    </row>
    <row r="54" spans="1:11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+'MARZO 2025'!G54+'FEBRERO 2025'!G54+'ENERO 2025'!G54</f>
        <v>1337989.2999999998</v>
      </c>
      <c r="H54" s="59">
        <f>+'MARZO 2025'!H54+'FEBRERO 2025'!H54+'ENERO 2025'!H54</f>
        <v>5231553.59</v>
      </c>
      <c r="I54" s="59">
        <v>0</v>
      </c>
      <c r="J54" s="59">
        <f t="shared" si="0"/>
        <v>6569542.8899999997</v>
      </c>
      <c r="K54" s="68"/>
    </row>
    <row r="55" spans="1:11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+'MARZO 2025'!G55+'FEBRERO 2025'!G55+'ENERO 2025'!G55</f>
        <v>0</v>
      </c>
      <c r="H55" s="64">
        <f>+'MARZO 2025'!H55+'FEBRERO 2025'!H55+'ENERO 2025'!H55</f>
        <v>0</v>
      </c>
      <c r="I55" s="64">
        <v>0</v>
      </c>
      <c r="J55" s="64">
        <f t="shared" si="0"/>
        <v>0</v>
      </c>
      <c r="K55" s="65">
        <f t="shared" ref="K55:K63" si="3">J55/$J$25</f>
        <v>0</v>
      </c>
    </row>
    <row r="56" spans="1:11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70" t="s">
        <v>67</v>
      </c>
      <c r="G56" s="64">
        <f>+'MARZO 2025'!G56+'FEBRERO 2025'!G56+'ENERO 2025'!G56</f>
        <v>0</v>
      </c>
      <c r="H56" s="64">
        <f>+'MARZO 2025'!H56+'FEBRERO 2025'!H56+'ENERO 2025'!H56</f>
        <v>0</v>
      </c>
      <c r="I56" s="64">
        <v>0</v>
      </c>
      <c r="J56" s="64">
        <f t="shared" si="0"/>
        <v>0</v>
      </c>
      <c r="K56" s="65">
        <f t="shared" si="3"/>
        <v>0</v>
      </c>
    </row>
    <row r="57" spans="1:11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+'MARZO 2025'!G57+'FEBRERO 2025'!G57+'ENERO 2025'!G57</f>
        <v>0</v>
      </c>
      <c r="H57" s="64">
        <f>+'MARZO 2025'!H57+'FEBRERO 2025'!H57+'ENERO 2025'!H57</f>
        <v>0</v>
      </c>
      <c r="I57" s="64">
        <v>0</v>
      </c>
      <c r="J57" s="64">
        <f t="shared" si="0"/>
        <v>0</v>
      </c>
      <c r="K57" s="65">
        <f t="shared" si="3"/>
        <v>0</v>
      </c>
    </row>
    <row r="58" spans="1:11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+'MARZO 2025'!G58+'FEBRERO 2025'!G58+'ENERO 2025'!G58</f>
        <v>135000</v>
      </c>
      <c r="H58" s="64">
        <f>+'MARZO 2025'!H58+'FEBRERO 2025'!H58+'ENERO 2025'!H58</f>
        <v>0</v>
      </c>
      <c r="I58" s="64">
        <v>0</v>
      </c>
      <c r="J58" s="64">
        <f t="shared" si="0"/>
        <v>135000</v>
      </c>
      <c r="K58" s="65">
        <f t="shared" si="3"/>
        <v>4.5290634985159934E-4</v>
      </c>
    </row>
    <row r="59" spans="1:11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+'MARZO 2025'!G59+'FEBRERO 2025'!G59+'ENERO 2025'!G59</f>
        <v>0</v>
      </c>
      <c r="H59" s="64">
        <f>+'MARZO 2025'!H59+'FEBRERO 2025'!H59+'ENERO 2025'!H59</f>
        <v>5231553.59</v>
      </c>
      <c r="I59" s="64">
        <v>0</v>
      </c>
      <c r="J59" s="64">
        <f t="shared" si="0"/>
        <v>5231553.59</v>
      </c>
      <c r="K59" s="65">
        <f t="shared" si="3"/>
        <v>1.7551139559258744E-2</v>
      </c>
    </row>
    <row r="60" spans="1:11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+'MARZO 2025'!G60+'FEBRERO 2025'!G60+'ENERO 2025'!G60</f>
        <v>0</v>
      </c>
      <c r="H60" s="64">
        <f>+'MARZO 2025'!H60+'FEBRERO 2025'!H60+'ENERO 2025'!H60</f>
        <v>0</v>
      </c>
      <c r="I60" s="64">
        <v>0</v>
      </c>
      <c r="J60" s="64">
        <f t="shared" si="0"/>
        <v>0</v>
      </c>
      <c r="K60" s="65">
        <f t="shared" si="3"/>
        <v>0</v>
      </c>
    </row>
    <row r="61" spans="1:11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+'MARZO 2025'!G61+'FEBRERO 2025'!G61+'ENERO 2025'!G61</f>
        <v>994000</v>
      </c>
      <c r="H61" s="64">
        <f>+'MARZO 2025'!H61+'FEBRERO 2025'!H61+'ENERO 2025'!H61</f>
        <v>0</v>
      </c>
      <c r="I61" s="64">
        <v>0</v>
      </c>
      <c r="J61" s="64">
        <f t="shared" si="0"/>
        <v>994000</v>
      </c>
      <c r="K61" s="65">
        <f t="shared" si="3"/>
        <v>3.3347326796480722E-3</v>
      </c>
    </row>
    <row r="62" spans="1:11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+'MARZO 2025'!G62+'FEBRERO 2025'!G62+'ENERO 2025'!G62</f>
        <v>0</v>
      </c>
      <c r="H62" s="64">
        <f>+'MARZO 2025'!H62+'FEBRERO 2025'!H62+'ENERO 2025'!H62</f>
        <v>0</v>
      </c>
      <c r="I62" s="64">
        <v>0</v>
      </c>
      <c r="J62" s="64">
        <f t="shared" si="0"/>
        <v>0</v>
      </c>
      <c r="K62" s="65">
        <f t="shared" si="3"/>
        <v>0</v>
      </c>
    </row>
    <row r="63" spans="1:11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70" t="s">
        <v>75</v>
      </c>
      <c r="G63" s="64">
        <f>+'MARZO 2025'!G63+'FEBRERO 2025'!G63+'ENERO 2025'!G63</f>
        <v>208989.3</v>
      </c>
      <c r="H63" s="64">
        <f>+'MARZO 2025'!H63+'FEBRERO 2025'!H63+'ENERO 2025'!H63</f>
        <v>0</v>
      </c>
      <c r="I63" s="64">
        <v>0</v>
      </c>
      <c r="J63" s="64">
        <f t="shared" si="0"/>
        <v>208989.3</v>
      </c>
      <c r="K63" s="65">
        <f t="shared" si="3"/>
        <v>7.0113022978548773E-4</v>
      </c>
    </row>
    <row r="64" spans="1:11" x14ac:dyDescent="0.2">
      <c r="A64" s="71">
        <v>2</v>
      </c>
      <c r="B64" s="55">
        <v>1</v>
      </c>
      <c r="C64" s="55">
        <v>3</v>
      </c>
      <c r="D64" s="55"/>
      <c r="E64" s="55"/>
      <c r="F64" s="72" t="s">
        <v>76</v>
      </c>
      <c r="G64" s="56">
        <f>+'MARZO 2025'!G64+'FEBRERO 2025'!G64+'ENERO 2025'!G64</f>
        <v>0</v>
      </c>
      <c r="H64" s="56">
        <f>+'MARZO 2025'!H64+'FEBRERO 2025'!H64+'ENERO 2025'!H64</f>
        <v>0</v>
      </c>
      <c r="I64" s="56">
        <v>0</v>
      </c>
      <c r="J64" s="56">
        <f t="shared" si="0"/>
        <v>0</v>
      </c>
      <c r="K64" s="53"/>
    </row>
    <row r="65" spans="1:11" x14ac:dyDescent="0.2">
      <c r="A65" s="73">
        <v>2</v>
      </c>
      <c r="B65" s="58">
        <v>1</v>
      </c>
      <c r="C65" s="58">
        <v>3</v>
      </c>
      <c r="D65" s="58">
        <v>1</v>
      </c>
      <c r="E65" s="58"/>
      <c r="F65" s="74" t="s">
        <v>77</v>
      </c>
      <c r="G65" s="59">
        <f>+'MARZO 2025'!G65+'FEBRERO 2025'!G65+'ENERO 2025'!G65</f>
        <v>0</v>
      </c>
      <c r="H65" s="59">
        <f>+'MARZO 2025'!H65+'FEBRERO 2025'!H65+'ENERO 2025'!H65</f>
        <v>0</v>
      </c>
      <c r="I65" s="59">
        <v>0</v>
      </c>
      <c r="J65" s="59">
        <f t="shared" si="0"/>
        <v>0</v>
      </c>
      <c r="K65" s="68"/>
    </row>
    <row r="66" spans="1:11" x14ac:dyDescent="0.2">
      <c r="A66" s="75">
        <v>2</v>
      </c>
      <c r="B66" s="62">
        <v>1</v>
      </c>
      <c r="C66" s="62">
        <v>3</v>
      </c>
      <c r="D66" s="62">
        <v>1</v>
      </c>
      <c r="E66" s="63" t="s">
        <v>35</v>
      </c>
      <c r="F66" s="76" t="s">
        <v>78</v>
      </c>
      <c r="G66" s="64">
        <f>+'MARZO 2025'!G66+'FEBRERO 2025'!G66+'ENERO 2025'!G66</f>
        <v>0</v>
      </c>
      <c r="H66" s="64">
        <f>+'MARZO 2025'!H66+'FEBRERO 2025'!H66+'ENERO 2025'!H66</f>
        <v>0</v>
      </c>
      <c r="I66" s="64">
        <v>0</v>
      </c>
      <c r="J66" s="64">
        <f t="shared" si="0"/>
        <v>0</v>
      </c>
      <c r="K66" s="65">
        <f>J66/$J$25</f>
        <v>0</v>
      </c>
    </row>
    <row r="67" spans="1:11" x14ac:dyDescent="0.2">
      <c r="A67" s="75">
        <v>2</v>
      </c>
      <c r="B67" s="62">
        <v>1</v>
      </c>
      <c r="C67" s="62">
        <v>3</v>
      </c>
      <c r="D67" s="62">
        <v>1</v>
      </c>
      <c r="E67" s="63" t="s">
        <v>37</v>
      </c>
      <c r="F67" s="76" t="s">
        <v>79</v>
      </c>
      <c r="G67" s="64">
        <f>+'MARZO 2025'!G67+'FEBRERO 2025'!G67+'ENERO 2025'!G67</f>
        <v>0</v>
      </c>
      <c r="H67" s="64">
        <f>+'MARZO 2025'!H67+'FEBRERO 2025'!H67+'ENERO 2025'!H67</f>
        <v>0</v>
      </c>
      <c r="I67" s="64">
        <v>0</v>
      </c>
      <c r="J67" s="64">
        <f t="shared" si="0"/>
        <v>0</v>
      </c>
      <c r="K67" s="65">
        <f>J67/$J$25</f>
        <v>0</v>
      </c>
    </row>
    <row r="68" spans="1:11" x14ac:dyDescent="0.2">
      <c r="A68" s="73">
        <v>2</v>
      </c>
      <c r="B68" s="58">
        <v>1</v>
      </c>
      <c r="C68" s="58">
        <v>3</v>
      </c>
      <c r="D68" s="58">
        <v>2</v>
      </c>
      <c r="E68" s="58"/>
      <c r="F68" s="74" t="s">
        <v>80</v>
      </c>
      <c r="G68" s="59">
        <f>+'MARZO 2025'!G68+'FEBRERO 2025'!G68+'ENERO 2025'!G68</f>
        <v>0</v>
      </c>
      <c r="H68" s="59">
        <f>+'MARZO 2025'!H68+'FEBRERO 2025'!H68+'ENERO 2025'!H68</f>
        <v>0</v>
      </c>
      <c r="I68" s="59">
        <v>0</v>
      </c>
      <c r="J68" s="59">
        <f t="shared" si="0"/>
        <v>0</v>
      </c>
      <c r="K68" s="68"/>
    </row>
    <row r="69" spans="1:11" x14ac:dyDescent="0.2">
      <c r="A69" s="75">
        <v>2</v>
      </c>
      <c r="B69" s="62">
        <v>1</v>
      </c>
      <c r="C69" s="62">
        <v>3</v>
      </c>
      <c r="D69" s="62">
        <v>2</v>
      </c>
      <c r="E69" s="63" t="s">
        <v>35</v>
      </c>
      <c r="F69" s="76" t="s">
        <v>81</v>
      </c>
      <c r="G69" s="64">
        <f>+'MARZO 2025'!G69+'FEBRERO 2025'!G69+'ENERO 2025'!G69</f>
        <v>0</v>
      </c>
      <c r="H69" s="64">
        <f>+'MARZO 2025'!H69+'FEBRERO 2025'!H69+'ENERO 2025'!H69</f>
        <v>0</v>
      </c>
      <c r="I69" s="64">
        <v>0</v>
      </c>
      <c r="J69" s="64">
        <f t="shared" si="0"/>
        <v>0</v>
      </c>
      <c r="K69" s="65">
        <f>J69/$J$25</f>
        <v>0</v>
      </c>
    </row>
    <row r="70" spans="1:11" x14ac:dyDescent="0.2">
      <c r="A70" s="75">
        <v>2</v>
      </c>
      <c r="B70" s="62">
        <v>1</v>
      </c>
      <c r="C70" s="62">
        <v>3</v>
      </c>
      <c r="D70" s="62">
        <v>2</v>
      </c>
      <c r="E70" s="63" t="s">
        <v>37</v>
      </c>
      <c r="F70" s="76" t="s">
        <v>82</v>
      </c>
      <c r="G70" s="64">
        <f>+'MARZO 2025'!G70+'FEBRERO 2025'!G70+'ENERO 2025'!G70</f>
        <v>0</v>
      </c>
      <c r="H70" s="64">
        <f>+'MARZO 2025'!H70+'FEBRERO 2025'!H70+'ENERO 2025'!H70</f>
        <v>0</v>
      </c>
      <c r="I70" s="64">
        <v>0</v>
      </c>
      <c r="J70" s="64">
        <f t="shared" si="0"/>
        <v>0</v>
      </c>
      <c r="K70" s="65">
        <f>J70/$J$25</f>
        <v>0</v>
      </c>
    </row>
    <row r="71" spans="1:11" x14ac:dyDescent="0.2">
      <c r="A71" s="71">
        <v>2</v>
      </c>
      <c r="B71" s="55">
        <v>1</v>
      </c>
      <c r="C71" s="55">
        <v>4</v>
      </c>
      <c r="D71" s="55"/>
      <c r="E71" s="55"/>
      <c r="F71" s="72" t="s">
        <v>83</v>
      </c>
      <c r="G71" s="56">
        <f>+'MARZO 2025'!G71+'FEBRERO 2025'!G71+'ENERO 2025'!G71</f>
        <v>0</v>
      </c>
      <c r="H71" s="56">
        <f>+'MARZO 2025'!H71+'FEBRERO 2025'!H71+'ENERO 2025'!H71</f>
        <v>0</v>
      </c>
      <c r="I71" s="56">
        <v>0</v>
      </c>
      <c r="J71" s="56">
        <f t="shared" si="0"/>
        <v>0</v>
      </c>
      <c r="K71" s="53"/>
    </row>
    <row r="72" spans="1:11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+'MARZO 2025'!G72+'FEBRERO 2025'!G72+'ENERO 2025'!G72</f>
        <v>0</v>
      </c>
      <c r="H72" s="59">
        <f>+'MARZO 2025'!H72+'FEBRERO 2025'!H72+'ENERO 2025'!H72</f>
        <v>0</v>
      </c>
      <c r="I72" s="59">
        <v>0</v>
      </c>
      <c r="J72" s="59">
        <f t="shared" si="0"/>
        <v>0</v>
      </c>
      <c r="K72" s="68"/>
    </row>
    <row r="73" spans="1:11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+'MARZO 2025'!G73+'FEBRERO 2025'!G73+'ENERO 2025'!G73</f>
        <v>0</v>
      </c>
      <c r="H73" s="64">
        <f>+'MARZO 2025'!H73+'FEBRERO 2025'!H73+'ENERO 2025'!H73</f>
        <v>0</v>
      </c>
      <c r="I73" s="64">
        <v>0</v>
      </c>
      <c r="J73" s="64">
        <f t="shared" si="0"/>
        <v>0</v>
      </c>
      <c r="K73" s="65">
        <f>J73/$J$25</f>
        <v>0</v>
      </c>
    </row>
    <row r="74" spans="1:11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+'MARZO 2025'!G74+'FEBRERO 2025'!G74+'ENERO 2025'!G74</f>
        <v>0</v>
      </c>
      <c r="H74" s="59">
        <f>+'MARZO 2025'!H74+'FEBRERO 2025'!H74+'ENERO 2025'!H74</f>
        <v>0</v>
      </c>
      <c r="I74" s="59">
        <v>0</v>
      </c>
      <c r="J74" s="59">
        <f t="shared" si="0"/>
        <v>0</v>
      </c>
      <c r="K74" s="68"/>
    </row>
    <row r="75" spans="1:11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+'MARZO 2025'!G75+'FEBRERO 2025'!G75+'ENERO 2025'!G75</f>
        <v>0</v>
      </c>
      <c r="H75" s="64">
        <f>+'MARZO 2025'!H75+'FEBRERO 2025'!H75+'ENERO 2025'!H75</f>
        <v>0</v>
      </c>
      <c r="I75" s="64">
        <v>0</v>
      </c>
      <c r="J75" s="64">
        <f t="shared" si="0"/>
        <v>0</v>
      </c>
      <c r="K75" s="65">
        <f>J75/$J$25</f>
        <v>0</v>
      </c>
    </row>
    <row r="76" spans="1:11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+'MARZO 2025'!G76+'FEBRERO 2025'!G76+'ENERO 2025'!G76</f>
        <v>0</v>
      </c>
      <c r="H76" s="64">
        <f>+'MARZO 2025'!H76+'FEBRERO 2025'!H76+'ENERO 2025'!H76</f>
        <v>0</v>
      </c>
      <c r="I76" s="64">
        <v>0</v>
      </c>
      <c r="J76" s="64">
        <f t="shared" si="0"/>
        <v>0</v>
      </c>
      <c r="K76" s="65">
        <f>J76/$J$25</f>
        <v>0</v>
      </c>
    </row>
    <row r="77" spans="1:11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+'MARZO 2025'!G77+'FEBRERO 2025'!G77+'ENERO 2025'!G77</f>
        <v>0</v>
      </c>
      <c r="H77" s="64">
        <f>+'MARZO 2025'!H77+'FEBRERO 2025'!H77+'ENERO 2025'!H77</f>
        <v>0</v>
      </c>
      <c r="I77" s="64">
        <v>0</v>
      </c>
      <c r="J77" s="64">
        <f t="shared" si="0"/>
        <v>0</v>
      </c>
      <c r="K77" s="65">
        <f>J77/$J$25</f>
        <v>0</v>
      </c>
    </row>
    <row r="78" spans="1:11" x14ac:dyDescent="0.2">
      <c r="A78" s="71">
        <v>2</v>
      </c>
      <c r="B78" s="55">
        <v>1</v>
      </c>
      <c r="C78" s="55">
        <v>5</v>
      </c>
      <c r="D78" s="55"/>
      <c r="E78" s="55"/>
      <c r="F78" s="72" t="s">
        <v>89</v>
      </c>
      <c r="G78" s="56">
        <f>+'MARZO 2025'!G78+'FEBRERO 2025'!G78+'ENERO 2025'!G78</f>
        <v>25021132.289999999</v>
      </c>
      <c r="H78" s="56">
        <f>+'MARZO 2025'!H78+'FEBRERO 2025'!H78+'ENERO 2025'!H78</f>
        <v>0</v>
      </c>
      <c r="I78" s="56">
        <v>0</v>
      </c>
      <c r="J78" s="56">
        <f t="shared" si="0"/>
        <v>25021132.289999999</v>
      </c>
      <c r="K78" s="53"/>
    </row>
    <row r="79" spans="1:11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+'MARZO 2025'!G79+'FEBRERO 2025'!G79+'ENERO 2025'!G79</f>
        <v>11529203.67</v>
      </c>
      <c r="H79" s="59">
        <f>+'MARZO 2025'!H79+'FEBRERO 2025'!H79+'ENERO 2025'!H79</f>
        <v>0</v>
      </c>
      <c r="I79" s="59">
        <v>0</v>
      </c>
      <c r="J79" s="59">
        <f t="shared" si="0"/>
        <v>11529203.67</v>
      </c>
      <c r="K79" s="68"/>
    </row>
    <row r="80" spans="1:11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+'MARZO 2025'!G80+'FEBRERO 2025'!G80+'ENERO 2025'!G80</f>
        <v>11529203.67</v>
      </c>
      <c r="H80" s="64">
        <f>+'MARZO 2025'!H80+'FEBRERO 2025'!H80+'ENERO 2025'!H80</f>
        <v>0</v>
      </c>
      <c r="I80" s="64">
        <v>0</v>
      </c>
      <c r="J80" s="64">
        <f t="shared" si="0"/>
        <v>11529203.67</v>
      </c>
      <c r="K80" s="65">
        <f>J80/$J$25</f>
        <v>3.8678885562039723E-2</v>
      </c>
    </row>
    <row r="81" spans="1:11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+'MARZO 2025'!G81+'FEBRERO 2025'!G81+'ENERO 2025'!G81</f>
        <v>11545459.359999999</v>
      </c>
      <c r="H81" s="59">
        <f>+'MARZO 2025'!H81+'FEBRERO 2025'!H81+'ENERO 2025'!H81</f>
        <v>0</v>
      </c>
      <c r="I81" s="59">
        <v>0</v>
      </c>
      <c r="J81" s="59">
        <f t="shared" si="0"/>
        <v>11545459.359999999</v>
      </c>
      <c r="K81" s="68"/>
    </row>
    <row r="82" spans="1:11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+'MARZO 2025'!G82+'FEBRERO 2025'!G82+'ENERO 2025'!G82</f>
        <v>11545459.359999999</v>
      </c>
      <c r="H82" s="64">
        <f>+'MARZO 2025'!H82+'FEBRERO 2025'!H82+'ENERO 2025'!H82</f>
        <v>0</v>
      </c>
      <c r="I82" s="64">
        <v>0</v>
      </c>
      <c r="J82" s="64">
        <f t="shared" si="0"/>
        <v>11545459.359999999</v>
      </c>
      <c r="K82" s="65">
        <f>J82/$J$25</f>
        <v>3.8733421156278383E-2</v>
      </c>
    </row>
    <row r="83" spans="1:11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+'MARZO 2025'!G83+'FEBRERO 2025'!G83+'ENERO 2025'!G83</f>
        <v>1946469.2600000002</v>
      </c>
      <c r="H83" s="59">
        <f>+'MARZO 2025'!H83+'FEBRERO 2025'!H83+'ENERO 2025'!H83</f>
        <v>0</v>
      </c>
      <c r="I83" s="59">
        <v>0</v>
      </c>
      <c r="J83" s="59">
        <f t="shared" si="0"/>
        <v>1946469.2600000002</v>
      </c>
      <c r="K83" s="68"/>
    </row>
    <row r="84" spans="1:11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+'MARZO 2025'!G84+'FEBRERO 2025'!G84+'ENERO 2025'!G84</f>
        <v>1946469.2600000002</v>
      </c>
      <c r="H84" s="64">
        <f>+'MARZO 2025'!H84+'FEBRERO 2025'!H84+'ENERO 2025'!H84</f>
        <v>0</v>
      </c>
      <c r="I84" s="64">
        <v>0</v>
      </c>
      <c r="J84" s="64">
        <f t="shared" si="0"/>
        <v>1946469.2600000002</v>
      </c>
      <c r="K84" s="65">
        <f>J84/$J$25</f>
        <v>6.5301354640366202E-3</v>
      </c>
    </row>
    <row r="85" spans="1:11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+'MARZO 2025'!G85+'FEBRERO 2025'!G85+'ENERO 2025'!G85</f>
        <v>0</v>
      </c>
      <c r="H85" s="59">
        <f>+'MARZO 2025'!H85+'FEBRERO 2025'!H85+'ENERO 2025'!H85</f>
        <v>0</v>
      </c>
      <c r="I85" s="59">
        <v>0</v>
      </c>
      <c r="J85" s="59">
        <f t="shared" si="0"/>
        <v>0</v>
      </c>
      <c r="K85" s="68"/>
    </row>
    <row r="86" spans="1:11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+'MARZO 2025'!G86+'FEBRERO 2025'!G86+'ENERO 2025'!G86</f>
        <v>0</v>
      </c>
      <c r="H86" s="64">
        <f>+'MARZO 2025'!H86+'FEBRERO 2025'!H86+'ENERO 2025'!H86</f>
        <v>0</v>
      </c>
      <c r="I86" s="64">
        <v>0</v>
      </c>
      <c r="J86" s="64">
        <f t="shared" si="0"/>
        <v>0</v>
      </c>
      <c r="K86" s="65">
        <f>J86/$J$25</f>
        <v>0</v>
      </c>
    </row>
    <row r="87" spans="1:11" x14ac:dyDescent="0.2">
      <c r="A87" s="71">
        <v>2</v>
      </c>
      <c r="B87" s="77">
        <v>2</v>
      </c>
      <c r="C87" s="55"/>
      <c r="D87" s="55"/>
      <c r="E87" s="55"/>
      <c r="F87" s="72" t="s">
        <v>94</v>
      </c>
      <c r="G87" s="56">
        <f>+'MARZO 2025'!G87+'FEBRERO 2025'!G87+'ENERO 2025'!G87</f>
        <v>9308364.8800000008</v>
      </c>
      <c r="H87" s="56">
        <f>+'MARZO 2025'!H87+'FEBRERO 2025'!H87+'ENERO 2025'!H87</f>
        <v>8306683.8600000013</v>
      </c>
      <c r="I87" s="56">
        <v>0</v>
      </c>
      <c r="J87" s="56">
        <f t="shared" si="0"/>
        <v>17615048.740000002</v>
      </c>
      <c r="K87" s="53">
        <f>J87/$J$25</f>
        <v>5.9096055016973445E-2</v>
      </c>
    </row>
    <row r="88" spans="1:11" x14ac:dyDescent="0.2">
      <c r="A88" s="71">
        <v>2</v>
      </c>
      <c r="B88" s="55">
        <v>2</v>
      </c>
      <c r="C88" s="55">
        <v>1</v>
      </c>
      <c r="D88" s="55"/>
      <c r="E88" s="55"/>
      <c r="F88" s="72" t="s">
        <v>95</v>
      </c>
      <c r="G88" s="56">
        <f>+'MARZO 2025'!G88+'FEBRERO 2025'!G88+'ENERO 2025'!G88</f>
        <v>2020024.3</v>
      </c>
      <c r="H88" s="56">
        <f>+'MARZO 2025'!H88+'FEBRERO 2025'!H88+'ENERO 2025'!H88</f>
        <v>2341561.92</v>
      </c>
      <c r="I88" s="56">
        <v>0</v>
      </c>
      <c r="J88" s="56">
        <f t="shared" ref="J88:J153" si="4">SUM(G88:I88)</f>
        <v>4361586.22</v>
      </c>
      <c r="K88" s="53"/>
    </row>
    <row r="89" spans="1:11" x14ac:dyDescent="0.2">
      <c r="A89" s="73">
        <v>2</v>
      </c>
      <c r="B89" s="58">
        <v>2</v>
      </c>
      <c r="C89" s="58">
        <v>1</v>
      </c>
      <c r="D89" s="58">
        <v>1</v>
      </c>
      <c r="E89" s="58"/>
      <c r="F89" s="74" t="s">
        <v>96</v>
      </c>
      <c r="G89" s="59">
        <f>+'MARZO 2025'!G89+'FEBRERO 2025'!G89+'ENERO 2025'!G89</f>
        <v>0</v>
      </c>
      <c r="H89" s="59">
        <f>+'MARZO 2025'!H89+'FEBRERO 2025'!H89+'ENERO 2025'!H89</f>
        <v>0</v>
      </c>
      <c r="I89" s="59">
        <v>0</v>
      </c>
      <c r="J89" s="59">
        <f t="shared" si="4"/>
        <v>0</v>
      </c>
      <c r="K89" s="68"/>
    </row>
    <row r="90" spans="1:11" x14ac:dyDescent="0.2">
      <c r="A90" s="75">
        <v>2</v>
      </c>
      <c r="B90" s="62">
        <v>2</v>
      </c>
      <c r="C90" s="62">
        <v>1</v>
      </c>
      <c r="D90" s="62">
        <v>1</v>
      </c>
      <c r="E90" s="63" t="s">
        <v>35</v>
      </c>
      <c r="F90" s="76" t="s">
        <v>96</v>
      </c>
      <c r="G90" s="64">
        <f>+'MARZO 2025'!G90+'FEBRERO 2025'!G90+'ENERO 2025'!G90</f>
        <v>0</v>
      </c>
      <c r="H90" s="64">
        <f>+'MARZO 2025'!H90+'FEBRERO 2025'!H90+'ENERO 2025'!H90</f>
        <v>0</v>
      </c>
      <c r="I90" s="64">
        <v>0</v>
      </c>
      <c r="J90" s="64">
        <f t="shared" si="4"/>
        <v>0</v>
      </c>
      <c r="K90" s="65">
        <f>J90/$J$25</f>
        <v>0</v>
      </c>
    </row>
    <row r="91" spans="1:11" x14ac:dyDescent="0.2">
      <c r="A91" s="73">
        <v>2</v>
      </c>
      <c r="B91" s="58">
        <v>2</v>
      </c>
      <c r="C91" s="58">
        <v>1</v>
      </c>
      <c r="D91" s="58">
        <v>2</v>
      </c>
      <c r="E91" s="58"/>
      <c r="F91" s="74" t="s">
        <v>97</v>
      </c>
      <c r="G91" s="59">
        <f>+'MARZO 2025'!G91+'FEBRERO 2025'!G91+'ENERO 2025'!G91</f>
        <v>0</v>
      </c>
      <c r="H91" s="59">
        <f>+'MARZO 2025'!H91+'FEBRERO 2025'!H91+'ENERO 2025'!H91</f>
        <v>0</v>
      </c>
      <c r="I91" s="59">
        <v>0</v>
      </c>
      <c r="J91" s="59">
        <f t="shared" si="4"/>
        <v>0</v>
      </c>
      <c r="K91" s="68"/>
    </row>
    <row r="92" spans="1:11" x14ac:dyDescent="0.2">
      <c r="A92" s="75">
        <v>2</v>
      </c>
      <c r="B92" s="62">
        <v>2</v>
      </c>
      <c r="C92" s="62">
        <v>1</v>
      </c>
      <c r="D92" s="62">
        <v>2</v>
      </c>
      <c r="E92" s="63" t="s">
        <v>35</v>
      </c>
      <c r="F92" s="76" t="s">
        <v>97</v>
      </c>
      <c r="G92" s="64">
        <f>+'MARZO 2025'!G92+'FEBRERO 2025'!G92+'ENERO 2025'!G92</f>
        <v>0</v>
      </c>
      <c r="H92" s="64">
        <f>+'MARZO 2025'!H92+'FEBRERO 2025'!H92+'ENERO 2025'!H92</f>
        <v>0</v>
      </c>
      <c r="I92" s="64">
        <v>0</v>
      </c>
      <c r="J92" s="64">
        <f t="shared" si="4"/>
        <v>0</v>
      </c>
      <c r="K92" s="65">
        <f>J92/$J$25</f>
        <v>0</v>
      </c>
    </row>
    <row r="93" spans="1:11" x14ac:dyDescent="0.2">
      <c r="A93" s="73">
        <v>2</v>
      </c>
      <c r="B93" s="58">
        <v>2</v>
      </c>
      <c r="C93" s="58">
        <v>1</v>
      </c>
      <c r="D93" s="58">
        <v>3</v>
      </c>
      <c r="E93" s="58"/>
      <c r="F93" s="74" t="s">
        <v>98</v>
      </c>
      <c r="G93" s="59">
        <f>+'MARZO 2025'!G93+'FEBRERO 2025'!G93+'ENERO 2025'!G93</f>
        <v>0</v>
      </c>
      <c r="H93" s="59">
        <f>+'MARZO 2025'!H93+'FEBRERO 2025'!H93+'ENERO 2025'!H93</f>
        <v>771561.92</v>
      </c>
      <c r="I93" s="59">
        <v>0</v>
      </c>
      <c r="J93" s="59">
        <f t="shared" si="4"/>
        <v>771561.92</v>
      </c>
      <c r="K93" s="68"/>
    </row>
    <row r="94" spans="1:11" x14ac:dyDescent="0.2">
      <c r="A94" s="75">
        <v>2</v>
      </c>
      <c r="B94" s="62">
        <v>2</v>
      </c>
      <c r="C94" s="62">
        <v>1</v>
      </c>
      <c r="D94" s="62">
        <v>3</v>
      </c>
      <c r="E94" s="63" t="s">
        <v>35</v>
      </c>
      <c r="F94" s="76" t="s">
        <v>98</v>
      </c>
      <c r="G94" s="64">
        <f>+'MARZO 2025'!G94+'FEBRERO 2025'!G94+'ENERO 2025'!G94</f>
        <v>0</v>
      </c>
      <c r="H94" s="64">
        <f>+'MARZO 2025'!H94+'FEBRERO 2025'!H94+'ENERO 2025'!H94</f>
        <v>771561.92</v>
      </c>
      <c r="I94" s="64">
        <v>0</v>
      </c>
      <c r="J94" s="64">
        <f t="shared" si="4"/>
        <v>771561.92</v>
      </c>
      <c r="K94" s="65">
        <f>J94/$J$25</f>
        <v>2.5884836509014199E-3</v>
      </c>
    </row>
    <row r="95" spans="1:11" x14ac:dyDescent="0.2">
      <c r="A95" s="73">
        <v>2</v>
      </c>
      <c r="B95" s="58">
        <v>2</v>
      </c>
      <c r="C95" s="58">
        <v>1</v>
      </c>
      <c r="D95" s="58">
        <v>4</v>
      </c>
      <c r="E95" s="58"/>
      <c r="F95" s="74" t="s">
        <v>99</v>
      </c>
      <c r="G95" s="59">
        <f>+'MARZO 2025'!G95+'FEBRERO 2025'!G95+'ENERO 2025'!G95</f>
        <v>0</v>
      </c>
      <c r="H95" s="59">
        <f>+'MARZO 2025'!H95+'FEBRERO 2025'!H95+'ENERO 2025'!H95</f>
        <v>0</v>
      </c>
      <c r="I95" s="59">
        <v>0</v>
      </c>
      <c r="J95" s="59">
        <f t="shared" si="4"/>
        <v>0</v>
      </c>
      <c r="K95" s="68"/>
    </row>
    <row r="96" spans="1:11" x14ac:dyDescent="0.2">
      <c r="A96" s="75">
        <v>2</v>
      </c>
      <c r="B96" s="62">
        <v>2</v>
      </c>
      <c r="C96" s="62">
        <v>1</v>
      </c>
      <c r="D96" s="62">
        <v>4</v>
      </c>
      <c r="E96" s="63" t="s">
        <v>35</v>
      </c>
      <c r="F96" s="76" t="s">
        <v>99</v>
      </c>
      <c r="G96" s="64">
        <f>+'MARZO 2025'!G96+'FEBRERO 2025'!G96+'ENERO 2025'!G96</f>
        <v>0</v>
      </c>
      <c r="H96" s="64">
        <f>+'MARZO 2025'!H96+'FEBRERO 2025'!H96+'ENERO 2025'!H96</f>
        <v>0</v>
      </c>
      <c r="I96" s="64">
        <v>0</v>
      </c>
      <c r="J96" s="64">
        <f t="shared" si="4"/>
        <v>0</v>
      </c>
      <c r="K96" s="65">
        <f>J96/$J$25</f>
        <v>0</v>
      </c>
    </row>
    <row r="97" spans="1:11" x14ac:dyDescent="0.2">
      <c r="A97" s="73">
        <v>2</v>
      </c>
      <c r="B97" s="58">
        <v>2</v>
      </c>
      <c r="C97" s="58">
        <v>1</v>
      </c>
      <c r="D97" s="58">
        <v>5</v>
      </c>
      <c r="E97" s="58"/>
      <c r="F97" s="74" t="s">
        <v>100</v>
      </c>
      <c r="G97" s="59">
        <f>+'MARZO 2025'!G97+'FEBRERO 2025'!G97+'ENERO 2025'!G97</f>
        <v>0</v>
      </c>
      <c r="H97" s="59">
        <f>+'MARZO 2025'!H97+'FEBRERO 2025'!H97+'ENERO 2025'!H97</f>
        <v>0</v>
      </c>
      <c r="I97" s="59">
        <v>0</v>
      </c>
      <c r="J97" s="59">
        <f t="shared" si="4"/>
        <v>0</v>
      </c>
      <c r="K97" s="68"/>
    </row>
    <row r="98" spans="1:11" x14ac:dyDescent="0.2">
      <c r="A98" s="75">
        <v>2</v>
      </c>
      <c r="B98" s="62">
        <v>2</v>
      </c>
      <c r="C98" s="62">
        <v>1</v>
      </c>
      <c r="D98" s="62">
        <v>5</v>
      </c>
      <c r="E98" s="63" t="s">
        <v>35</v>
      </c>
      <c r="F98" s="76" t="s">
        <v>100</v>
      </c>
      <c r="G98" s="64">
        <f>+'MARZO 2025'!G98+'FEBRERO 2025'!G98+'ENERO 2025'!G98</f>
        <v>0</v>
      </c>
      <c r="H98" s="64">
        <f>+'MARZO 2025'!H98+'FEBRERO 2025'!H98+'ENERO 2025'!H98</f>
        <v>0</v>
      </c>
      <c r="I98" s="64">
        <v>0</v>
      </c>
      <c r="J98" s="64">
        <f t="shared" si="4"/>
        <v>0</v>
      </c>
      <c r="K98" s="65">
        <f>J98/$J$25</f>
        <v>0</v>
      </c>
    </row>
    <row r="99" spans="1:11" x14ac:dyDescent="0.2">
      <c r="A99" s="73">
        <v>2</v>
      </c>
      <c r="B99" s="58">
        <v>2</v>
      </c>
      <c r="C99" s="58">
        <v>1</v>
      </c>
      <c r="D99" s="58">
        <v>6</v>
      </c>
      <c r="E99" s="58"/>
      <c r="F99" s="74" t="s">
        <v>101</v>
      </c>
      <c r="G99" s="59">
        <f>+'MARZO 2025'!G99+'FEBRERO 2025'!G99+'ENERO 2025'!G99</f>
        <v>0</v>
      </c>
      <c r="H99" s="59">
        <f>+'MARZO 2025'!H99+'FEBRERO 2025'!H99+'ENERO 2025'!H99</f>
        <v>0</v>
      </c>
      <c r="I99" s="59">
        <v>0</v>
      </c>
      <c r="J99" s="59">
        <f t="shared" si="4"/>
        <v>0</v>
      </c>
      <c r="K99" s="68"/>
    </row>
    <row r="100" spans="1:11" x14ac:dyDescent="0.2">
      <c r="A100" s="75">
        <v>2</v>
      </c>
      <c r="B100" s="62">
        <v>2</v>
      </c>
      <c r="C100" s="62">
        <v>1</v>
      </c>
      <c r="D100" s="62">
        <v>6</v>
      </c>
      <c r="E100" s="63" t="s">
        <v>35</v>
      </c>
      <c r="F100" s="76" t="s">
        <v>102</v>
      </c>
      <c r="G100" s="64">
        <f>+'MARZO 2025'!G100+'FEBRERO 2025'!G100+'ENERO 2025'!G100</f>
        <v>0</v>
      </c>
      <c r="H100" s="64">
        <f>+'MARZO 2025'!H100+'FEBRERO 2025'!H100+'ENERO 2025'!H100</f>
        <v>0</v>
      </c>
      <c r="I100" s="64">
        <v>0</v>
      </c>
      <c r="J100" s="64">
        <f t="shared" si="4"/>
        <v>0</v>
      </c>
      <c r="K100" s="65">
        <f>J100/$J$25</f>
        <v>0</v>
      </c>
    </row>
    <row r="101" spans="1:11" x14ac:dyDescent="0.2">
      <c r="A101" s="75">
        <v>2</v>
      </c>
      <c r="B101" s="62">
        <v>2</v>
      </c>
      <c r="C101" s="62">
        <v>1</v>
      </c>
      <c r="D101" s="62">
        <v>6</v>
      </c>
      <c r="E101" s="63" t="s">
        <v>37</v>
      </c>
      <c r="F101" s="76" t="s">
        <v>103</v>
      </c>
      <c r="G101" s="64">
        <f>+'MARZO 2025'!G101+'FEBRERO 2025'!G101+'ENERO 2025'!G101</f>
        <v>0</v>
      </c>
      <c r="H101" s="64">
        <f>+'MARZO 2025'!H101+'FEBRERO 2025'!H101+'ENERO 2025'!H101</f>
        <v>0</v>
      </c>
      <c r="I101" s="64">
        <v>0</v>
      </c>
      <c r="J101" s="64">
        <f t="shared" si="4"/>
        <v>0</v>
      </c>
      <c r="K101" s="65">
        <f>J101/$J$25</f>
        <v>0</v>
      </c>
    </row>
    <row r="102" spans="1:11" x14ac:dyDescent="0.2">
      <c r="A102" s="73">
        <v>2</v>
      </c>
      <c r="B102" s="58">
        <v>2</v>
      </c>
      <c r="C102" s="58">
        <v>1</v>
      </c>
      <c r="D102" s="58">
        <v>7</v>
      </c>
      <c r="E102" s="58"/>
      <c r="F102" s="74" t="s">
        <v>104</v>
      </c>
      <c r="G102" s="59">
        <f>+'MARZO 2025'!G102+'FEBRERO 2025'!G102+'ENERO 2025'!G102</f>
        <v>2020024.3</v>
      </c>
      <c r="H102" s="59">
        <f>+'MARZO 2025'!H102+'FEBRERO 2025'!H102+'ENERO 2025'!H102</f>
        <v>0</v>
      </c>
      <c r="I102" s="59">
        <v>0</v>
      </c>
      <c r="J102" s="59">
        <f t="shared" si="4"/>
        <v>2020024.3</v>
      </c>
      <c r="K102" s="68"/>
    </row>
    <row r="103" spans="1:11" x14ac:dyDescent="0.2">
      <c r="A103" s="75">
        <v>2</v>
      </c>
      <c r="B103" s="62">
        <v>2</v>
      </c>
      <c r="C103" s="62">
        <v>1</v>
      </c>
      <c r="D103" s="62">
        <v>7</v>
      </c>
      <c r="E103" s="63" t="s">
        <v>35</v>
      </c>
      <c r="F103" s="76" t="s">
        <v>104</v>
      </c>
      <c r="G103" s="64">
        <f>+'MARZO 2025'!G103+'FEBRERO 2025'!G103+'ENERO 2025'!G103</f>
        <v>2020024.3</v>
      </c>
      <c r="H103" s="64">
        <f>+'MARZO 2025'!H103+'FEBRERO 2025'!H103+'ENERO 2025'!H103</f>
        <v>0</v>
      </c>
      <c r="I103" s="64">
        <v>0</v>
      </c>
      <c r="J103" s="64">
        <f t="shared" si="4"/>
        <v>2020024.3</v>
      </c>
      <c r="K103" s="65">
        <f>J103/$J$25</f>
        <v>6.7769024616632003E-3</v>
      </c>
    </row>
    <row r="104" spans="1:11" x14ac:dyDescent="0.2">
      <c r="A104" s="73">
        <v>2</v>
      </c>
      <c r="B104" s="58">
        <v>2</v>
      </c>
      <c r="C104" s="58">
        <v>1</v>
      </c>
      <c r="D104" s="58">
        <v>8</v>
      </c>
      <c r="E104" s="58"/>
      <c r="F104" s="74" t="s">
        <v>105</v>
      </c>
      <c r="G104" s="59">
        <f>+'MARZO 2025'!G104+'FEBRERO 2025'!G104+'ENERO 2025'!G104</f>
        <v>0</v>
      </c>
      <c r="H104" s="59">
        <f>+'MARZO 2025'!H104+'FEBRERO 2025'!H104+'ENERO 2025'!H104</f>
        <v>1570000</v>
      </c>
      <c r="I104" s="59">
        <v>0</v>
      </c>
      <c r="J104" s="59">
        <f t="shared" si="4"/>
        <v>1570000</v>
      </c>
      <c r="K104" s="68"/>
    </row>
    <row r="105" spans="1:11" x14ac:dyDescent="0.2">
      <c r="A105" s="75">
        <v>2</v>
      </c>
      <c r="B105" s="62">
        <v>2</v>
      </c>
      <c r="C105" s="62">
        <v>1</v>
      </c>
      <c r="D105" s="62">
        <v>8</v>
      </c>
      <c r="E105" s="63" t="s">
        <v>35</v>
      </c>
      <c r="F105" s="76" t="s">
        <v>105</v>
      </c>
      <c r="G105" s="64">
        <f>+'MARZO 2025'!G105+'FEBRERO 2025'!G105+'ENERO 2025'!G105</f>
        <v>0</v>
      </c>
      <c r="H105" s="64">
        <f>+'MARZO 2025'!H105+'FEBRERO 2025'!H105+'ENERO 2025'!H105</f>
        <v>1570000</v>
      </c>
      <c r="I105" s="64">
        <v>0</v>
      </c>
      <c r="J105" s="64">
        <f t="shared" si="4"/>
        <v>1570000</v>
      </c>
      <c r="K105" s="65">
        <f>J105/$J$25</f>
        <v>5.2671331056815627E-3</v>
      </c>
    </row>
    <row r="106" spans="1:11" x14ac:dyDescent="0.2">
      <c r="A106" s="71">
        <v>2</v>
      </c>
      <c r="B106" s="55">
        <v>2</v>
      </c>
      <c r="C106" s="55">
        <v>2</v>
      </c>
      <c r="D106" s="55"/>
      <c r="E106" s="55"/>
      <c r="F106" s="72" t="s">
        <v>106</v>
      </c>
      <c r="G106" s="56">
        <f>+'MARZO 2025'!G106+'FEBRERO 2025'!G106+'ENERO 2025'!G106</f>
        <v>324206.83</v>
      </c>
      <c r="H106" s="56">
        <f>+'MARZO 2025'!H106+'FEBRERO 2025'!H106+'ENERO 2025'!H106</f>
        <v>0</v>
      </c>
      <c r="I106" s="56">
        <v>0</v>
      </c>
      <c r="J106" s="56">
        <f t="shared" si="4"/>
        <v>324206.83</v>
      </c>
      <c r="K106" s="53"/>
    </row>
    <row r="107" spans="1:11" x14ac:dyDescent="0.2">
      <c r="A107" s="73">
        <v>2</v>
      </c>
      <c r="B107" s="58">
        <v>2</v>
      </c>
      <c r="C107" s="58">
        <v>2</v>
      </c>
      <c r="D107" s="58">
        <v>1</v>
      </c>
      <c r="E107" s="58"/>
      <c r="F107" s="74" t="s">
        <v>107</v>
      </c>
      <c r="G107" s="59">
        <f>+'MARZO 2025'!G107+'FEBRERO 2025'!G107+'ENERO 2025'!G107</f>
        <v>0</v>
      </c>
      <c r="H107" s="59">
        <f>+'MARZO 2025'!H107+'FEBRERO 2025'!H107+'ENERO 2025'!H107</f>
        <v>0</v>
      </c>
      <c r="I107" s="59">
        <v>0</v>
      </c>
      <c r="J107" s="59">
        <f t="shared" si="4"/>
        <v>0</v>
      </c>
      <c r="K107" s="68"/>
    </row>
    <row r="108" spans="1:11" x14ac:dyDescent="0.2">
      <c r="A108" s="75">
        <v>2</v>
      </c>
      <c r="B108" s="62">
        <v>2</v>
      </c>
      <c r="C108" s="62">
        <v>2</v>
      </c>
      <c r="D108" s="62">
        <v>1</v>
      </c>
      <c r="E108" s="63" t="s">
        <v>35</v>
      </c>
      <c r="F108" s="76" t="s">
        <v>107</v>
      </c>
      <c r="G108" s="64">
        <f>+'MARZO 2025'!G108+'FEBRERO 2025'!G108+'ENERO 2025'!G108</f>
        <v>0</v>
      </c>
      <c r="H108" s="64">
        <f>+'MARZO 2025'!H108+'FEBRERO 2025'!H108+'ENERO 2025'!H108</f>
        <v>0</v>
      </c>
      <c r="I108" s="64">
        <v>0</v>
      </c>
      <c r="J108" s="64">
        <f t="shared" si="4"/>
        <v>0</v>
      </c>
      <c r="K108" s="65">
        <f>J108/$J$25</f>
        <v>0</v>
      </c>
    </row>
    <row r="109" spans="1:11" x14ac:dyDescent="0.2">
      <c r="A109" s="73">
        <v>2</v>
      </c>
      <c r="B109" s="58">
        <v>2</v>
      </c>
      <c r="C109" s="58">
        <v>2</v>
      </c>
      <c r="D109" s="58">
        <v>2</v>
      </c>
      <c r="E109" s="58"/>
      <c r="F109" s="74" t="s">
        <v>108</v>
      </c>
      <c r="G109" s="59">
        <f>+'MARZO 2025'!G109+'FEBRERO 2025'!G109+'ENERO 2025'!G109</f>
        <v>324206.83</v>
      </c>
      <c r="H109" s="59">
        <f>+'MARZO 2025'!H109+'FEBRERO 2025'!H109+'ENERO 2025'!H109</f>
        <v>0</v>
      </c>
      <c r="I109" s="59">
        <v>0</v>
      </c>
      <c r="J109" s="59">
        <f t="shared" si="4"/>
        <v>324206.83</v>
      </c>
      <c r="K109" s="68"/>
    </row>
    <row r="110" spans="1:11" x14ac:dyDescent="0.2">
      <c r="A110" s="75">
        <v>2</v>
      </c>
      <c r="B110" s="62">
        <v>2</v>
      </c>
      <c r="C110" s="62">
        <v>2</v>
      </c>
      <c r="D110" s="62">
        <v>2</v>
      </c>
      <c r="E110" s="63" t="s">
        <v>35</v>
      </c>
      <c r="F110" s="76" t="s">
        <v>108</v>
      </c>
      <c r="G110" s="64">
        <f>+'MARZO 2025'!G110+'FEBRERO 2025'!G110+'ENERO 2025'!G110</f>
        <v>324206.83</v>
      </c>
      <c r="H110" s="64">
        <f>+'MARZO 2025'!H110+'FEBRERO 2025'!H110+'ENERO 2025'!H110</f>
        <v>0</v>
      </c>
      <c r="I110" s="64">
        <v>0</v>
      </c>
      <c r="J110" s="64">
        <f t="shared" si="4"/>
        <v>324206.83</v>
      </c>
      <c r="K110" s="65">
        <f>J110/$J$25</f>
        <v>1.0876691257204296E-3</v>
      </c>
    </row>
    <row r="111" spans="1:11" x14ac:dyDescent="0.2">
      <c r="A111" s="71">
        <v>2</v>
      </c>
      <c r="B111" s="55">
        <v>2</v>
      </c>
      <c r="C111" s="55">
        <v>3</v>
      </c>
      <c r="D111" s="55"/>
      <c r="E111" s="55"/>
      <c r="F111" s="72" t="s">
        <v>109</v>
      </c>
      <c r="G111" s="56">
        <f>+'MARZO 2025'!G111+'FEBRERO 2025'!G111+'ENERO 2025'!G111</f>
        <v>0</v>
      </c>
      <c r="H111" s="56">
        <f>+'MARZO 2025'!H111+'FEBRERO 2025'!H111+'ENERO 2025'!H111</f>
        <v>0</v>
      </c>
      <c r="I111" s="56">
        <v>0</v>
      </c>
      <c r="J111" s="56">
        <f t="shared" si="4"/>
        <v>0</v>
      </c>
      <c r="K111" s="53"/>
    </row>
    <row r="112" spans="1:11" x14ac:dyDescent="0.2">
      <c r="A112" s="73">
        <v>2</v>
      </c>
      <c r="B112" s="58">
        <v>2</v>
      </c>
      <c r="C112" s="58">
        <v>3</v>
      </c>
      <c r="D112" s="58">
        <v>1</v>
      </c>
      <c r="E112" s="58"/>
      <c r="F112" s="74" t="s">
        <v>110</v>
      </c>
      <c r="G112" s="59">
        <f>+'MARZO 2025'!G112+'FEBRERO 2025'!G112+'ENERO 2025'!G112</f>
        <v>0</v>
      </c>
      <c r="H112" s="59">
        <f>+'MARZO 2025'!H112+'FEBRERO 2025'!H112+'ENERO 2025'!H112</f>
        <v>0</v>
      </c>
      <c r="I112" s="59">
        <v>0</v>
      </c>
      <c r="J112" s="59">
        <f t="shared" si="4"/>
        <v>0</v>
      </c>
      <c r="K112" s="68"/>
    </row>
    <row r="113" spans="1:11" x14ac:dyDescent="0.2">
      <c r="A113" s="75">
        <v>2</v>
      </c>
      <c r="B113" s="62">
        <v>2</v>
      </c>
      <c r="C113" s="62">
        <v>3</v>
      </c>
      <c r="D113" s="62">
        <v>1</v>
      </c>
      <c r="E113" s="63" t="s">
        <v>35</v>
      </c>
      <c r="F113" s="76" t="s">
        <v>110</v>
      </c>
      <c r="G113" s="64">
        <f>+'MARZO 2025'!G113+'FEBRERO 2025'!G113+'ENERO 2025'!G113</f>
        <v>0</v>
      </c>
      <c r="H113" s="64">
        <f>+'MARZO 2025'!H113+'FEBRERO 2025'!H113+'ENERO 2025'!H113</f>
        <v>0</v>
      </c>
      <c r="I113" s="64">
        <v>0</v>
      </c>
      <c r="J113" s="64">
        <f t="shared" si="4"/>
        <v>0</v>
      </c>
      <c r="K113" s="65">
        <f>J113/$J$25</f>
        <v>0</v>
      </c>
    </row>
    <row r="114" spans="1:11" x14ac:dyDescent="0.2">
      <c r="A114" s="73">
        <v>2</v>
      </c>
      <c r="B114" s="58">
        <v>2</v>
      </c>
      <c r="C114" s="58">
        <v>3</v>
      </c>
      <c r="D114" s="58">
        <v>2</v>
      </c>
      <c r="E114" s="58"/>
      <c r="F114" s="74" t="s">
        <v>111</v>
      </c>
      <c r="G114" s="59">
        <f>+'MARZO 2025'!G114+'FEBRERO 2025'!G114+'ENERO 2025'!G114</f>
        <v>0</v>
      </c>
      <c r="H114" s="59">
        <f>+'MARZO 2025'!H114+'FEBRERO 2025'!H114+'ENERO 2025'!H114</f>
        <v>0</v>
      </c>
      <c r="I114" s="59">
        <v>0</v>
      </c>
      <c r="J114" s="59">
        <f t="shared" si="4"/>
        <v>0</v>
      </c>
      <c r="K114" s="68"/>
    </row>
    <row r="115" spans="1:11" x14ac:dyDescent="0.2">
      <c r="A115" s="75">
        <v>2</v>
      </c>
      <c r="B115" s="62">
        <v>2</v>
      </c>
      <c r="C115" s="62">
        <v>3</v>
      </c>
      <c r="D115" s="62">
        <v>2</v>
      </c>
      <c r="E115" s="63" t="s">
        <v>35</v>
      </c>
      <c r="F115" s="76" t="s">
        <v>111</v>
      </c>
      <c r="G115" s="64">
        <f>+'MARZO 2025'!G115+'FEBRERO 2025'!G115+'ENERO 2025'!G115</f>
        <v>0</v>
      </c>
      <c r="H115" s="64">
        <f>+'MARZO 2025'!H115+'FEBRERO 2025'!H115+'ENERO 2025'!H115</f>
        <v>0</v>
      </c>
      <c r="I115" s="64">
        <v>0</v>
      </c>
      <c r="J115" s="64">
        <f t="shared" si="4"/>
        <v>0</v>
      </c>
      <c r="K115" s="65">
        <f>J115/$J$25</f>
        <v>0</v>
      </c>
    </row>
    <row r="116" spans="1:11" x14ac:dyDescent="0.2">
      <c r="A116" s="71">
        <v>2</v>
      </c>
      <c r="B116" s="55">
        <v>2</v>
      </c>
      <c r="C116" s="55">
        <v>4</v>
      </c>
      <c r="D116" s="55"/>
      <c r="E116" s="55"/>
      <c r="F116" s="72" t="s">
        <v>112</v>
      </c>
      <c r="G116" s="56">
        <f>+'MARZO 2025'!G116+'FEBRERO 2025'!G116+'ENERO 2025'!G116</f>
        <v>0</v>
      </c>
      <c r="H116" s="56">
        <f>+'MARZO 2025'!H116+'FEBRERO 2025'!H116+'ENERO 2025'!H116</f>
        <v>56000</v>
      </c>
      <c r="I116" s="56">
        <v>0</v>
      </c>
      <c r="J116" s="56">
        <f t="shared" si="4"/>
        <v>56000</v>
      </c>
      <c r="K116" s="53"/>
    </row>
    <row r="117" spans="1:11" x14ac:dyDescent="0.2">
      <c r="A117" s="73">
        <v>2</v>
      </c>
      <c r="B117" s="58">
        <v>2</v>
      </c>
      <c r="C117" s="58">
        <v>4</v>
      </c>
      <c r="D117" s="58">
        <v>1</v>
      </c>
      <c r="E117" s="58"/>
      <c r="F117" s="74" t="s">
        <v>113</v>
      </c>
      <c r="G117" s="59">
        <f>+'MARZO 2025'!G117+'FEBRERO 2025'!G117+'ENERO 2025'!G117</f>
        <v>0</v>
      </c>
      <c r="H117" s="59">
        <f>+'MARZO 2025'!H117+'FEBRERO 2025'!H117+'ENERO 2025'!H117</f>
        <v>0</v>
      </c>
      <c r="I117" s="59">
        <v>0</v>
      </c>
      <c r="J117" s="59">
        <f t="shared" si="4"/>
        <v>0</v>
      </c>
      <c r="K117" s="68"/>
    </row>
    <row r="118" spans="1:11" x14ac:dyDescent="0.2">
      <c r="A118" s="75">
        <v>2</v>
      </c>
      <c r="B118" s="62">
        <v>2</v>
      </c>
      <c r="C118" s="62">
        <v>4</v>
      </c>
      <c r="D118" s="62">
        <v>1</v>
      </c>
      <c r="E118" s="63" t="s">
        <v>35</v>
      </c>
      <c r="F118" s="76" t="s">
        <v>113</v>
      </c>
      <c r="G118" s="64">
        <f>+'MARZO 2025'!G118+'FEBRERO 2025'!G118+'ENERO 2025'!G118</f>
        <v>0</v>
      </c>
      <c r="H118" s="64">
        <f>+'MARZO 2025'!H118+'FEBRERO 2025'!H118+'ENERO 2025'!H118</f>
        <v>0</v>
      </c>
      <c r="I118" s="64">
        <v>0</v>
      </c>
      <c r="J118" s="64">
        <f t="shared" si="4"/>
        <v>0</v>
      </c>
      <c r="K118" s="65">
        <f>J118/$J$25</f>
        <v>0</v>
      </c>
    </row>
    <row r="119" spans="1:11" x14ac:dyDescent="0.2">
      <c r="A119" s="73">
        <v>2</v>
      </c>
      <c r="B119" s="58">
        <v>2</v>
      </c>
      <c r="C119" s="58">
        <v>4</v>
      </c>
      <c r="D119" s="58">
        <v>2</v>
      </c>
      <c r="E119" s="58"/>
      <c r="F119" s="74" t="s">
        <v>114</v>
      </c>
      <c r="G119" s="59">
        <f>+'MARZO 2025'!G119+'FEBRERO 2025'!G119+'ENERO 2025'!G119</f>
        <v>0</v>
      </c>
      <c r="H119" s="59">
        <f>+'MARZO 2025'!H119+'FEBRERO 2025'!H119+'ENERO 2025'!H119</f>
        <v>56000</v>
      </c>
      <c r="I119" s="59">
        <v>0</v>
      </c>
      <c r="J119" s="59">
        <f t="shared" si="4"/>
        <v>56000</v>
      </c>
      <c r="K119" s="68"/>
    </row>
    <row r="120" spans="1:11" x14ac:dyDescent="0.2">
      <c r="A120" s="75">
        <v>2</v>
      </c>
      <c r="B120" s="62">
        <v>2</v>
      </c>
      <c r="C120" s="62">
        <v>4</v>
      </c>
      <c r="D120" s="62">
        <v>2</v>
      </c>
      <c r="E120" s="63" t="s">
        <v>35</v>
      </c>
      <c r="F120" s="76" t="s">
        <v>114</v>
      </c>
      <c r="G120" s="64">
        <f>+'MARZO 2025'!G120+'FEBRERO 2025'!G120+'ENERO 2025'!G120</f>
        <v>0</v>
      </c>
      <c r="H120" s="64">
        <f>+'MARZO 2025'!H120+'FEBRERO 2025'!H120+'ENERO 2025'!H120</f>
        <v>56000</v>
      </c>
      <c r="I120" s="64">
        <v>0</v>
      </c>
      <c r="J120" s="64">
        <f t="shared" si="4"/>
        <v>56000</v>
      </c>
      <c r="K120" s="65">
        <f>J120/$J$25</f>
        <v>1.8787226364214491E-4</v>
      </c>
    </row>
    <row r="121" spans="1:11" x14ac:dyDescent="0.2">
      <c r="A121" s="73">
        <v>2</v>
      </c>
      <c r="B121" s="58">
        <v>2</v>
      </c>
      <c r="C121" s="58">
        <v>4</v>
      </c>
      <c r="D121" s="58">
        <v>3</v>
      </c>
      <c r="E121" s="58"/>
      <c r="F121" s="74" t="s">
        <v>115</v>
      </c>
      <c r="G121" s="59">
        <f>+'MARZO 2025'!G121+'FEBRERO 2025'!G121+'ENERO 2025'!G121</f>
        <v>0</v>
      </c>
      <c r="H121" s="59">
        <f>+'MARZO 2025'!H121+'FEBRERO 2025'!H121+'ENERO 2025'!H121</f>
        <v>0</v>
      </c>
      <c r="I121" s="59">
        <v>0</v>
      </c>
      <c r="J121" s="59">
        <f t="shared" si="4"/>
        <v>0</v>
      </c>
      <c r="K121" s="68"/>
    </row>
    <row r="122" spans="1:11" x14ac:dyDescent="0.2">
      <c r="A122" s="75">
        <v>2</v>
      </c>
      <c r="B122" s="62">
        <v>2</v>
      </c>
      <c r="C122" s="62">
        <v>4</v>
      </c>
      <c r="D122" s="62">
        <v>3</v>
      </c>
      <c r="E122" s="63" t="s">
        <v>35</v>
      </c>
      <c r="F122" s="76" t="s">
        <v>115</v>
      </c>
      <c r="G122" s="64">
        <f>+'MARZO 2025'!G122+'FEBRERO 2025'!G122+'ENERO 2025'!G122</f>
        <v>0</v>
      </c>
      <c r="H122" s="64">
        <f>+'MARZO 2025'!H122+'FEBRERO 2025'!H122+'ENERO 2025'!H122</f>
        <v>0</v>
      </c>
      <c r="I122" s="64">
        <v>0</v>
      </c>
      <c r="J122" s="64">
        <f t="shared" si="4"/>
        <v>0</v>
      </c>
      <c r="K122" s="65">
        <f>J122/$J$25</f>
        <v>0</v>
      </c>
    </row>
    <row r="123" spans="1:11" x14ac:dyDescent="0.2">
      <c r="A123" s="73">
        <v>2</v>
      </c>
      <c r="B123" s="58">
        <v>2</v>
      </c>
      <c r="C123" s="58">
        <v>4</v>
      </c>
      <c r="D123" s="58">
        <v>4</v>
      </c>
      <c r="E123" s="58"/>
      <c r="F123" s="74" t="s">
        <v>116</v>
      </c>
      <c r="G123" s="59">
        <f>+'MARZO 2025'!G123+'FEBRERO 2025'!G123+'ENERO 2025'!G123</f>
        <v>0</v>
      </c>
      <c r="H123" s="59">
        <f>+'MARZO 2025'!H123+'FEBRERO 2025'!H123+'ENERO 2025'!H123</f>
        <v>0</v>
      </c>
      <c r="I123" s="59">
        <v>0</v>
      </c>
      <c r="J123" s="59">
        <f t="shared" si="4"/>
        <v>0</v>
      </c>
      <c r="K123" s="68"/>
    </row>
    <row r="124" spans="1:11" x14ac:dyDescent="0.2">
      <c r="A124" s="75">
        <v>2</v>
      </c>
      <c r="B124" s="62">
        <v>2</v>
      </c>
      <c r="C124" s="62">
        <v>4</v>
      </c>
      <c r="D124" s="62">
        <v>4</v>
      </c>
      <c r="E124" s="63" t="s">
        <v>35</v>
      </c>
      <c r="F124" s="76" t="s">
        <v>116</v>
      </c>
      <c r="G124" s="64">
        <f>+'MARZO 2025'!G124+'FEBRERO 2025'!G124+'ENERO 2025'!G124</f>
        <v>0</v>
      </c>
      <c r="H124" s="64">
        <f>+'MARZO 2025'!H124+'FEBRERO 2025'!H124+'ENERO 2025'!H124</f>
        <v>0</v>
      </c>
      <c r="I124" s="64">
        <v>0</v>
      </c>
      <c r="J124" s="64">
        <f t="shared" si="4"/>
        <v>0</v>
      </c>
      <c r="K124" s="65">
        <f>J124/$J$25</f>
        <v>0</v>
      </c>
    </row>
    <row r="125" spans="1:11" x14ac:dyDescent="0.2">
      <c r="A125" s="54">
        <v>2</v>
      </c>
      <c r="B125" s="55">
        <v>2</v>
      </c>
      <c r="C125" s="55">
        <v>5</v>
      </c>
      <c r="D125" s="55"/>
      <c r="E125" s="55"/>
      <c r="F125" s="72" t="s">
        <v>117</v>
      </c>
      <c r="G125" s="56">
        <f>+'MARZO 2025'!G125+'FEBRERO 2025'!G125+'ENERO 2025'!G125</f>
        <v>0</v>
      </c>
      <c r="H125" s="56">
        <f>+'MARZO 2025'!H125+'FEBRERO 2025'!H125+'ENERO 2025'!H125</f>
        <v>519625.16000000003</v>
      </c>
      <c r="I125" s="56">
        <v>0</v>
      </c>
      <c r="J125" s="56">
        <f>SUM(G125:I125)</f>
        <v>519625.16000000003</v>
      </c>
      <c r="K125" s="53"/>
    </row>
    <row r="126" spans="1:11" x14ac:dyDescent="0.2">
      <c r="A126" s="73">
        <v>2</v>
      </c>
      <c r="B126" s="58">
        <v>2</v>
      </c>
      <c r="C126" s="58">
        <v>5</v>
      </c>
      <c r="D126" s="58">
        <v>1</v>
      </c>
      <c r="E126" s="78"/>
      <c r="F126" s="74" t="s">
        <v>118</v>
      </c>
      <c r="G126" s="59">
        <f>+'MARZO 2025'!G126+'FEBRERO 2025'!G126+'ENERO 2025'!G126</f>
        <v>0</v>
      </c>
      <c r="H126" s="59">
        <f>+'MARZO 2025'!H126+'FEBRERO 2025'!H126+'ENERO 2025'!H126</f>
        <v>0</v>
      </c>
      <c r="I126" s="59">
        <v>0</v>
      </c>
      <c r="J126" s="59">
        <f t="shared" si="4"/>
        <v>0</v>
      </c>
      <c r="K126" s="68"/>
    </row>
    <row r="127" spans="1:11" x14ac:dyDescent="0.2">
      <c r="A127" s="75">
        <v>2</v>
      </c>
      <c r="B127" s="62">
        <v>2</v>
      </c>
      <c r="C127" s="62">
        <v>5</v>
      </c>
      <c r="D127" s="62">
        <v>1</v>
      </c>
      <c r="E127" s="63" t="s">
        <v>35</v>
      </c>
      <c r="F127" s="76" t="s">
        <v>118</v>
      </c>
      <c r="G127" s="64">
        <f>+'MARZO 2025'!G127+'FEBRERO 2025'!G127+'ENERO 2025'!G127</f>
        <v>0</v>
      </c>
      <c r="H127" s="64">
        <f>+'MARZO 2025'!H127+'FEBRERO 2025'!H127+'ENERO 2025'!H127</f>
        <v>0</v>
      </c>
      <c r="I127" s="64">
        <v>0</v>
      </c>
      <c r="J127" s="64">
        <f t="shared" si="4"/>
        <v>0</v>
      </c>
      <c r="K127" s="65">
        <f>J127/$J$25</f>
        <v>0</v>
      </c>
    </row>
    <row r="128" spans="1:11" x14ac:dyDescent="0.2">
      <c r="A128" s="73">
        <v>2</v>
      </c>
      <c r="B128" s="58">
        <v>2</v>
      </c>
      <c r="C128" s="58">
        <v>5</v>
      </c>
      <c r="D128" s="58">
        <v>2</v>
      </c>
      <c r="E128" s="78"/>
      <c r="F128" s="74" t="s">
        <v>119</v>
      </c>
      <c r="G128" s="59">
        <f>+'MARZO 2025'!G128+'FEBRERO 2025'!G128+'ENERO 2025'!G128</f>
        <v>0</v>
      </c>
      <c r="H128" s="59">
        <f>+'MARZO 2025'!H128+'FEBRERO 2025'!H128+'ENERO 2025'!H128</f>
        <v>0</v>
      </c>
      <c r="I128" s="59">
        <v>0</v>
      </c>
      <c r="J128" s="59">
        <f t="shared" si="4"/>
        <v>0</v>
      </c>
      <c r="K128" s="68"/>
    </row>
    <row r="129" spans="1:11" x14ac:dyDescent="0.2">
      <c r="A129" s="75">
        <v>2</v>
      </c>
      <c r="B129" s="62">
        <v>2</v>
      </c>
      <c r="C129" s="62">
        <v>5</v>
      </c>
      <c r="D129" s="62">
        <v>2</v>
      </c>
      <c r="E129" s="63" t="s">
        <v>35</v>
      </c>
      <c r="F129" s="76" t="s">
        <v>120</v>
      </c>
      <c r="G129" s="64">
        <f>+'MARZO 2025'!G129+'FEBRERO 2025'!G129+'ENERO 2025'!G129</f>
        <v>0</v>
      </c>
      <c r="H129" s="64">
        <f>+'MARZO 2025'!H129+'FEBRERO 2025'!H129+'ENERO 2025'!H129</f>
        <v>0</v>
      </c>
      <c r="I129" s="64">
        <v>0</v>
      </c>
      <c r="J129" s="64">
        <f t="shared" si="4"/>
        <v>0</v>
      </c>
      <c r="K129" s="65">
        <f>J129/$J$25</f>
        <v>0</v>
      </c>
    </row>
    <row r="130" spans="1:11" x14ac:dyDescent="0.2">
      <c r="A130" s="73">
        <v>2</v>
      </c>
      <c r="B130" s="58">
        <v>2</v>
      </c>
      <c r="C130" s="58">
        <v>5</v>
      </c>
      <c r="D130" s="58">
        <v>3</v>
      </c>
      <c r="E130" s="78"/>
      <c r="F130" s="74" t="s">
        <v>121</v>
      </c>
      <c r="G130" s="59">
        <f>+'MARZO 2025'!G130+'FEBRERO 2025'!G130+'ENERO 2025'!G130</f>
        <v>0</v>
      </c>
      <c r="H130" s="59">
        <f>+'MARZO 2025'!H130+'FEBRERO 2025'!H130+'ENERO 2025'!H130</f>
        <v>519625.16000000003</v>
      </c>
      <c r="I130" s="59">
        <v>0</v>
      </c>
      <c r="J130" s="59">
        <f t="shared" si="4"/>
        <v>519625.16000000003</v>
      </c>
      <c r="K130" s="68"/>
    </row>
    <row r="131" spans="1:11" x14ac:dyDescent="0.2">
      <c r="A131" s="75">
        <v>2</v>
      </c>
      <c r="B131" s="62">
        <v>2</v>
      </c>
      <c r="C131" s="62">
        <v>5</v>
      </c>
      <c r="D131" s="62">
        <v>3</v>
      </c>
      <c r="E131" s="63" t="s">
        <v>35</v>
      </c>
      <c r="F131" s="76" t="s">
        <v>122</v>
      </c>
      <c r="G131" s="64">
        <f>+'MARZO 2025'!G131+'FEBRERO 2025'!G131+'ENERO 2025'!G131</f>
        <v>0</v>
      </c>
      <c r="H131" s="64">
        <f>+'MARZO 2025'!H131+'FEBRERO 2025'!H131+'ENERO 2025'!H131</f>
        <v>0</v>
      </c>
      <c r="I131" s="64">
        <v>0</v>
      </c>
      <c r="J131" s="64">
        <f t="shared" si="4"/>
        <v>0</v>
      </c>
      <c r="K131" s="65">
        <f>J131/$J$25</f>
        <v>0</v>
      </c>
    </row>
    <row r="132" spans="1:11" x14ac:dyDescent="0.2">
      <c r="A132" s="75">
        <v>2</v>
      </c>
      <c r="B132" s="62">
        <v>2</v>
      </c>
      <c r="C132" s="62">
        <v>5</v>
      </c>
      <c r="D132" s="62">
        <v>3</v>
      </c>
      <c r="E132" s="63" t="s">
        <v>37</v>
      </c>
      <c r="F132" s="76" t="s">
        <v>123</v>
      </c>
      <c r="G132" s="64">
        <f>+'MARZO 2025'!G132+'FEBRERO 2025'!G132+'ENERO 2025'!G132</f>
        <v>0</v>
      </c>
      <c r="H132" s="64">
        <f>+'MARZO 2025'!H132+'FEBRERO 2025'!H132+'ENERO 2025'!H132</f>
        <v>519625.16000000003</v>
      </c>
      <c r="I132" s="64">
        <v>0</v>
      </c>
      <c r="J132" s="64">
        <f t="shared" si="4"/>
        <v>519625.16000000003</v>
      </c>
      <c r="K132" s="65">
        <f>J132/$J$25</f>
        <v>1.7432706259752095E-3</v>
      </c>
    </row>
    <row r="133" spans="1:11" x14ac:dyDescent="0.2">
      <c r="A133" s="75">
        <v>2</v>
      </c>
      <c r="B133" s="62">
        <v>2</v>
      </c>
      <c r="C133" s="62">
        <v>5</v>
      </c>
      <c r="D133" s="62">
        <v>3</v>
      </c>
      <c r="E133" s="63" t="s">
        <v>39</v>
      </c>
      <c r="F133" s="76" t="s">
        <v>124</v>
      </c>
      <c r="G133" s="64">
        <f>+'MARZO 2025'!G133+'FEBRERO 2025'!G133+'ENERO 2025'!G133</f>
        <v>0</v>
      </c>
      <c r="H133" s="64">
        <f>+'MARZO 2025'!H133+'FEBRERO 2025'!H133+'ENERO 2025'!H133</f>
        <v>0</v>
      </c>
      <c r="I133" s="64">
        <v>0</v>
      </c>
      <c r="J133" s="64">
        <f t="shared" si="4"/>
        <v>0</v>
      </c>
      <c r="K133" s="65">
        <f>J133/$J$25</f>
        <v>0</v>
      </c>
    </row>
    <row r="134" spans="1:11" x14ac:dyDescent="0.2">
      <c r="A134" s="75">
        <v>2</v>
      </c>
      <c r="B134" s="62">
        <v>2</v>
      </c>
      <c r="C134" s="62">
        <v>5</v>
      </c>
      <c r="D134" s="62">
        <v>3</v>
      </c>
      <c r="E134" s="63" t="s">
        <v>41</v>
      </c>
      <c r="F134" s="76" t="s">
        <v>125</v>
      </c>
      <c r="G134" s="64">
        <f>+'MARZO 2025'!G134+'FEBRERO 2025'!G134+'ENERO 2025'!G134</f>
        <v>0</v>
      </c>
      <c r="H134" s="64">
        <f>+'MARZO 2025'!H134+'FEBRERO 2025'!H134+'ENERO 2025'!H134</f>
        <v>0</v>
      </c>
      <c r="I134" s="64">
        <v>0</v>
      </c>
      <c r="J134" s="64">
        <f t="shared" si="4"/>
        <v>0</v>
      </c>
      <c r="K134" s="65">
        <f>J134/$J$25</f>
        <v>0</v>
      </c>
    </row>
    <row r="135" spans="1:11" x14ac:dyDescent="0.2">
      <c r="A135" s="75">
        <v>2</v>
      </c>
      <c r="B135" s="62">
        <v>2</v>
      </c>
      <c r="C135" s="62">
        <v>5</v>
      </c>
      <c r="D135" s="62">
        <v>3</v>
      </c>
      <c r="E135" s="63" t="s">
        <v>43</v>
      </c>
      <c r="F135" s="76" t="s">
        <v>126</v>
      </c>
      <c r="G135" s="64">
        <f>+'MARZO 2025'!G135+'FEBRERO 2025'!G135+'ENERO 2025'!G135</f>
        <v>0</v>
      </c>
      <c r="H135" s="64">
        <f>+'MARZO 2025'!H135+'FEBRERO 2025'!H135+'ENERO 2025'!H135</f>
        <v>0</v>
      </c>
      <c r="I135" s="64">
        <v>0</v>
      </c>
      <c r="J135" s="64">
        <f t="shared" si="4"/>
        <v>0</v>
      </c>
      <c r="K135" s="65">
        <f>J135/$J$25</f>
        <v>0</v>
      </c>
    </row>
    <row r="136" spans="1:11" x14ac:dyDescent="0.2">
      <c r="A136" s="73">
        <v>2</v>
      </c>
      <c r="B136" s="58">
        <v>2</v>
      </c>
      <c r="C136" s="58">
        <v>5</v>
      </c>
      <c r="D136" s="58">
        <v>4</v>
      </c>
      <c r="E136" s="78"/>
      <c r="F136" s="74" t="s">
        <v>127</v>
      </c>
      <c r="G136" s="59">
        <f>+'MARZO 2025'!G136+'FEBRERO 2025'!G136+'ENERO 2025'!G136</f>
        <v>0</v>
      </c>
      <c r="H136" s="59">
        <f>+'MARZO 2025'!H136+'FEBRERO 2025'!H136+'ENERO 2025'!H136</f>
        <v>0</v>
      </c>
      <c r="I136" s="59">
        <v>0</v>
      </c>
      <c r="J136" s="59">
        <f t="shared" si="4"/>
        <v>0</v>
      </c>
      <c r="K136" s="68"/>
    </row>
    <row r="137" spans="1:11" x14ac:dyDescent="0.2">
      <c r="A137" s="75">
        <v>2</v>
      </c>
      <c r="B137" s="62">
        <v>2</v>
      </c>
      <c r="C137" s="62">
        <v>5</v>
      </c>
      <c r="D137" s="62">
        <v>4</v>
      </c>
      <c r="E137" s="63" t="s">
        <v>35</v>
      </c>
      <c r="F137" s="76" t="s">
        <v>127</v>
      </c>
      <c r="G137" s="64">
        <f>+'MARZO 2025'!G137+'FEBRERO 2025'!G137+'ENERO 2025'!G137</f>
        <v>0</v>
      </c>
      <c r="H137" s="64">
        <f>+'MARZO 2025'!H137+'FEBRERO 2025'!H137+'ENERO 2025'!H137</f>
        <v>0</v>
      </c>
      <c r="I137" s="64">
        <v>0</v>
      </c>
      <c r="J137" s="64">
        <f t="shared" si="4"/>
        <v>0</v>
      </c>
      <c r="K137" s="65">
        <f>J137/$J$25</f>
        <v>0</v>
      </c>
    </row>
    <row r="138" spans="1:11" x14ac:dyDescent="0.2">
      <c r="A138" s="73">
        <v>2</v>
      </c>
      <c r="B138" s="58">
        <v>2</v>
      </c>
      <c r="C138" s="58">
        <v>5</v>
      </c>
      <c r="D138" s="58">
        <v>5</v>
      </c>
      <c r="E138" s="78"/>
      <c r="F138" s="74" t="s">
        <v>128</v>
      </c>
      <c r="G138" s="59">
        <f>+'MARZO 2025'!G138+'FEBRERO 2025'!G138+'ENERO 2025'!G138</f>
        <v>0</v>
      </c>
      <c r="H138" s="59">
        <f>+'MARZO 2025'!H138+'FEBRERO 2025'!H138+'ENERO 2025'!H138</f>
        <v>0</v>
      </c>
      <c r="I138" s="59">
        <v>0</v>
      </c>
      <c r="J138" s="59">
        <f t="shared" si="4"/>
        <v>0</v>
      </c>
      <c r="K138" s="68"/>
    </row>
    <row r="139" spans="1:11" x14ac:dyDescent="0.2">
      <c r="A139" s="75">
        <v>2</v>
      </c>
      <c r="B139" s="62">
        <v>2</v>
      </c>
      <c r="C139" s="62">
        <v>5</v>
      </c>
      <c r="D139" s="62">
        <v>5</v>
      </c>
      <c r="E139" s="63" t="s">
        <v>35</v>
      </c>
      <c r="F139" s="76" t="s">
        <v>128</v>
      </c>
      <c r="G139" s="64">
        <f>+'MARZO 2025'!G139+'FEBRERO 2025'!G139+'ENERO 2025'!G139</f>
        <v>0</v>
      </c>
      <c r="H139" s="64">
        <f>+'MARZO 2025'!H139+'FEBRERO 2025'!H139+'ENERO 2025'!H139</f>
        <v>0</v>
      </c>
      <c r="I139" s="64">
        <v>0</v>
      </c>
      <c r="J139" s="64">
        <f t="shared" si="4"/>
        <v>0</v>
      </c>
      <c r="K139" s="65">
        <f>J139/$J$25</f>
        <v>0</v>
      </c>
    </row>
    <row r="140" spans="1:11" x14ac:dyDescent="0.2">
      <c r="A140" s="73">
        <v>2</v>
      </c>
      <c r="B140" s="58">
        <v>2</v>
      </c>
      <c r="C140" s="58">
        <v>5</v>
      </c>
      <c r="D140" s="58">
        <v>6</v>
      </c>
      <c r="E140" s="78"/>
      <c r="F140" s="74" t="s">
        <v>129</v>
      </c>
      <c r="G140" s="59">
        <f>+'MARZO 2025'!G140+'FEBRERO 2025'!G140+'ENERO 2025'!G140</f>
        <v>0</v>
      </c>
      <c r="H140" s="59">
        <f>+'MARZO 2025'!H140+'FEBRERO 2025'!H140+'ENERO 2025'!H140</f>
        <v>0</v>
      </c>
      <c r="I140" s="59">
        <v>0</v>
      </c>
      <c r="J140" s="59">
        <f t="shared" si="4"/>
        <v>0</v>
      </c>
      <c r="K140" s="68"/>
    </row>
    <row r="141" spans="1:11" x14ac:dyDescent="0.2">
      <c r="A141" s="75">
        <v>2</v>
      </c>
      <c r="B141" s="62">
        <v>2</v>
      </c>
      <c r="C141" s="62">
        <v>5</v>
      </c>
      <c r="D141" s="62">
        <v>6</v>
      </c>
      <c r="E141" s="63" t="s">
        <v>35</v>
      </c>
      <c r="F141" s="76" t="s">
        <v>129</v>
      </c>
      <c r="G141" s="64">
        <f>+'MARZO 2025'!G141+'FEBRERO 2025'!G141+'ENERO 2025'!G141</f>
        <v>0</v>
      </c>
      <c r="H141" s="64">
        <f>+'MARZO 2025'!H141+'FEBRERO 2025'!H141+'ENERO 2025'!H141</f>
        <v>0</v>
      </c>
      <c r="I141" s="64">
        <v>0</v>
      </c>
      <c r="J141" s="64">
        <f t="shared" si="4"/>
        <v>0</v>
      </c>
      <c r="K141" s="65">
        <f>J141/$J$25</f>
        <v>0</v>
      </c>
    </row>
    <row r="142" spans="1:11" x14ac:dyDescent="0.2">
      <c r="A142" s="73">
        <v>2</v>
      </c>
      <c r="B142" s="58">
        <v>2</v>
      </c>
      <c r="C142" s="58">
        <v>5</v>
      </c>
      <c r="D142" s="58">
        <v>7</v>
      </c>
      <c r="E142" s="78"/>
      <c r="F142" s="74" t="s">
        <v>130</v>
      </c>
      <c r="G142" s="59">
        <f>+'MARZO 2025'!G142+'FEBRERO 2025'!G142+'ENERO 2025'!G142</f>
        <v>0</v>
      </c>
      <c r="H142" s="59">
        <f>+'MARZO 2025'!H142+'FEBRERO 2025'!H142+'ENERO 2025'!H142</f>
        <v>0</v>
      </c>
      <c r="I142" s="59">
        <v>0</v>
      </c>
      <c r="J142" s="59">
        <f t="shared" si="4"/>
        <v>0</v>
      </c>
      <c r="K142" s="68"/>
    </row>
    <row r="143" spans="1:11" x14ac:dyDescent="0.2">
      <c r="A143" s="75">
        <v>2</v>
      </c>
      <c r="B143" s="62">
        <v>2</v>
      </c>
      <c r="C143" s="62">
        <v>5</v>
      </c>
      <c r="D143" s="62">
        <v>7</v>
      </c>
      <c r="E143" s="63" t="s">
        <v>35</v>
      </c>
      <c r="F143" s="76" t="s">
        <v>130</v>
      </c>
      <c r="G143" s="64">
        <f>+'MARZO 2025'!G143+'FEBRERO 2025'!G143+'ENERO 2025'!G143</f>
        <v>0</v>
      </c>
      <c r="H143" s="64">
        <f>+'MARZO 2025'!H143+'FEBRERO 2025'!H143+'ENERO 2025'!H143</f>
        <v>0</v>
      </c>
      <c r="I143" s="64">
        <v>0</v>
      </c>
      <c r="J143" s="64">
        <f t="shared" si="4"/>
        <v>0</v>
      </c>
      <c r="K143" s="65">
        <f>J143/$J$25</f>
        <v>0</v>
      </c>
    </row>
    <row r="144" spans="1:11" x14ac:dyDescent="0.2">
      <c r="A144" s="73">
        <v>2</v>
      </c>
      <c r="B144" s="58">
        <v>2</v>
      </c>
      <c r="C144" s="58">
        <v>5</v>
      </c>
      <c r="D144" s="58">
        <v>8</v>
      </c>
      <c r="E144" s="78"/>
      <c r="F144" s="74" t="s">
        <v>131</v>
      </c>
      <c r="G144" s="59">
        <f>+'MARZO 2025'!G144+'FEBRERO 2025'!G144+'ENERO 2025'!G144</f>
        <v>0</v>
      </c>
      <c r="H144" s="59">
        <f>+'MARZO 2025'!H144+'FEBRERO 2025'!H144+'ENERO 2025'!H144</f>
        <v>0</v>
      </c>
      <c r="I144" s="59">
        <v>0</v>
      </c>
      <c r="J144" s="59">
        <f t="shared" si="4"/>
        <v>0</v>
      </c>
      <c r="K144" s="68"/>
    </row>
    <row r="145" spans="1:11" x14ac:dyDescent="0.2">
      <c r="A145" s="75">
        <v>2</v>
      </c>
      <c r="B145" s="62">
        <v>2</v>
      </c>
      <c r="C145" s="62">
        <v>5</v>
      </c>
      <c r="D145" s="62">
        <v>8</v>
      </c>
      <c r="E145" s="63" t="s">
        <v>35</v>
      </c>
      <c r="F145" s="76" t="s">
        <v>131</v>
      </c>
      <c r="G145" s="64">
        <f>+'MARZO 2025'!G145+'FEBRERO 2025'!G145+'ENERO 2025'!G145</f>
        <v>0</v>
      </c>
      <c r="H145" s="64">
        <f>+'MARZO 2025'!H145+'FEBRERO 2025'!H145+'ENERO 2025'!H145</f>
        <v>0</v>
      </c>
      <c r="I145" s="64">
        <v>0</v>
      </c>
      <c r="J145" s="64">
        <f>SUM(G145:I145)</f>
        <v>0</v>
      </c>
      <c r="K145" s="65">
        <f>J145/$J$25</f>
        <v>0</v>
      </c>
    </row>
    <row r="146" spans="1:11" x14ac:dyDescent="0.2">
      <c r="A146" s="73">
        <v>2</v>
      </c>
      <c r="B146" s="58">
        <v>2</v>
      </c>
      <c r="C146" s="58">
        <v>5</v>
      </c>
      <c r="D146" s="58">
        <v>9</v>
      </c>
      <c r="E146" s="78"/>
      <c r="F146" s="74" t="s">
        <v>132</v>
      </c>
      <c r="G146" s="59">
        <f>+'MARZO 2025'!G146+'FEBRERO 2025'!G146+'ENERO 2025'!G146</f>
        <v>0</v>
      </c>
      <c r="H146" s="59">
        <f>+'MARZO 2025'!H146+'FEBRERO 2025'!H146+'ENERO 2025'!H146</f>
        <v>0</v>
      </c>
      <c r="I146" s="59">
        <v>0</v>
      </c>
      <c r="J146" s="59">
        <f>SUM(G146:I146)</f>
        <v>0</v>
      </c>
      <c r="K146" s="68"/>
    </row>
    <row r="147" spans="1:11" x14ac:dyDescent="0.2">
      <c r="A147" s="75">
        <v>2</v>
      </c>
      <c r="B147" s="62">
        <v>2</v>
      </c>
      <c r="C147" s="62">
        <v>5</v>
      </c>
      <c r="D147" s="62">
        <v>9</v>
      </c>
      <c r="E147" s="63" t="s">
        <v>35</v>
      </c>
      <c r="F147" s="76" t="s">
        <v>133</v>
      </c>
      <c r="G147" s="64">
        <f>+'MARZO 2025'!G147+'FEBRERO 2025'!G147+'ENERO 2025'!G147</f>
        <v>0</v>
      </c>
      <c r="H147" s="64">
        <f>+'MARZO 2025'!H147+'FEBRERO 2025'!H147+'ENERO 2025'!H147</f>
        <v>0</v>
      </c>
      <c r="I147" s="64">
        <v>0</v>
      </c>
      <c r="J147" s="64">
        <f>SUM(G147:I147)</f>
        <v>0</v>
      </c>
      <c r="K147" s="65">
        <f>J147/$J$25</f>
        <v>0</v>
      </c>
    </row>
    <row r="148" spans="1:11" x14ac:dyDescent="0.2">
      <c r="A148" s="54">
        <v>2</v>
      </c>
      <c r="B148" s="55">
        <v>2</v>
      </c>
      <c r="C148" s="55">
        <v>6</v>
      </c>
      <c r="D148" s="55"/>
      <c r="E148" s="55"/>
      <c r="F148" s="72" t="s">
        <v>134</v>
      </c>
      <c r="G148" s="56">
        <f>+'MARZO 2025'!G148+'FEBRERO 2025'!G148+'ENERO 2025'!G148</f>
        <v>0</v>
      </c>
      <c r="H148" s="56">
        <f>+'MARZO 2025'!H148+'FEBRERO 2025'!H148+'ENERO 2025'!H148</f>
        <v>0</v>
      </c>
      <c r="I148" s="56">
        <v>0</v>
      </c>
      <c r="J148" s="56">
        <f t="shared" si="4"/>
        <v>0</v>
      </c>
      <c r="K148" s="53"/>
    </row>
    <row r="149" spans="1:11" x14ac:dyDescent="0.2">
      <c r="A149" s="73">
        <v>2</v>
      </c>
      <c r="B149" s="58">
        <v>2</v>
      </c>
      <c r="C149" s="58">
        <v>6</v>
      </c>
      <c r="D149" s="58">
        <v>1</v>
      </c>
      <c r="E149" s="78"/>
      <c r="F149" s="74" t="s">
        <v>135</v>
      </c>
      <c r="G149" s="59">
        <f>+'MARZO 2025'!G149+'FEBRERO 2025'!G149+'ENERO 2025'!G149</f>
        <v>0</v>
      </c>
      <c r="H149" s="59">
        <f>+'MARZO 2025'!H149+'FEBRERO 2025'!H149+'ENERO 2025'!H149</f>
        <v>0</v>
      </c>
      <c r="I149" s="59">
        <v>0</v>
      </c>
      <c r="J149" s="59">
        <f t="shared" si="4"/>
        <v>0</v>
      </c>
      <c r="K149" s="68"/>
    </row>
    <row r="150" spans="1:11" x14ac:dyDescent="0.2">
      <c r="A150" s="75">
        <v>2</v>
      </c>
      <c r="B150" s="62">
        <v>2</v>
      </c>
      <c r="C150" s="62">
        <v>6</v>
      </c>
      <c r="D150" s="62">
        <v>1</v>
      </c>
      <c r="E150" s="63" t="s">
        <v>35</v>
      </c>
      <c r="F150" s="76" t="s">
        <v>135</v>
      </c>
      <c r="G150" s="64">
        <f>+'MARZO 2025'!G150+'FEBRERO 2025'!G150+'ENERO 2025'!G150</f>
        <v>0</v>
      </c>
      <c r="H150" s="64">
        <f>+'MARZO 2025'!H150+'FEBRERO 2025'!H150+'ENERO 2025'!H150</f>
        <v>0</v>
      </c>
      <c r="I150" s="64">
        <v>0</v>
      </c>
      <c r="J150" s="64">
        <f t="shared" si="4"/>
        <v>0</v>
      </c>
      <c r="K150" s="65">
        <f>J150/$J$25</f>
        <v>0</v>
      </c>
    </row>
    <row r="151" spans="1:11" x14ac:dyDescent="0.2">
      <c r="A151" s="73">
        <v>2</v>
      </c>
      <c r="B151" s="58">
        <v>2</v>
      </c>
      <c r="C151" s="58">
        <v>6</v>
      </c>
      <c r="D151" s="58">
        <v>2</v>
      </c>
      <c r="E151" s="58"/>
      <c r="F151" s="74" t="s">
        <v>136</v>
      </c>
      <c r="G151" s="59">
        <f>+'MARZO 2025'!G151+'FEBRERO 2025'!G151+'ENERO 2025'!G151</f>
        <v>0</v>
      </c>
      <c r="H151" s="59">
        <f>+'MARZO 2025'!H151+'FEBRERO 2025'!H151+'ENERO 2025'!H151</f>
        <v>0</v>
      </c>
      <c r="I151" s="59">
        <v>0</v>
      </c>
      <c r="J151" s="59">
        <f t="shared" si="4"/>
        <v>0</v>
      </c>
      <c r="K151" s="68"/>
    </row>
    <row r="152" spans="1:11" x14ac:dyDescent="0.2">
      <c r="A152" s="75">
        <v>2</v>
      </c>
      <c r="B152" s="62">
        <v>2</v>
      </c>
      <c r="C152" s="62">
        <v>6</v>
      </c>
      <c r="D152" s="62">
        <v>2</v>
      </c>
      <c r="E152" s="63" t="s">
        <v>35</v>
      </c>
      <c r="F152" s="76" t="s">
        <v>136</v>
      </c>
      <c r="G152" s="64">
        <f>+'MARZO 2025'!G152+'FEBRERO 2025'!G152+'ENERO 2025'!G152</f>
        <v>0</v>
      </c>
      <c r="H152" s="64">
        <f>+'MARZO 2025'!H152+'FEBRERO 2025'!H152+'ENERO 2025'!H152</f>
        <v>0</v>
      </c>
      <c r="I152" s="64">
        <v>0</v>
      </c>
      <c r="J152" s="64">
        <f t="shared" si="4"/>
        <v>0</v>
      </c>
      <c r="K152" s="65">
        <f>J152/$J$25</f>
        <v>0</v>
      </c>
    </row>
    <row r="153" spans="1:11" x14ac:dyDescent="0.2">
      <c r="A153" s="73">
        <v>2</v>
      </c>
      <c r="B153" s="58">
        <v>2</v>
      </c>
      <c r="C153" s="58">
        <v>6</v>
      </c>
      <c r="D153" s="58">
        <v>3</v>
      </c>
      <c r="E153" s="58"/>
      <c r="F153" s="74" t="s">
        <v>137</v>
      </c>
      <c r="G153" s="59">
        <f>+'MARZO 2025'!G153+'FEBRERO 2025'!G153+'ENERO 2025'!G153</f>
        <v>0</v>
      </c>
      <c r="H153" s="59">
        <f>+'MARZO 2025'!H153+'FEBRERO 2025'!H153+'ENERO 2025'!H153</f>
        <v>0</v>
      </c>
      <c r="I153" s="59">
        <v>0</v>
      </c>
      <c r="J153" s="59">
        <f t="shared" si="4"/>
        <v>0</v>
      </c>
      <c r="K153" s="68"/>
    </row>
    <row r="154" spans="1:11" x14ac:dyDescent="0.2">
      <c r="A154" s="75">
        <v>2</v>
      </c>
      <c r="B154" s="62">
        <v>2</v>
      </c>
      <c r="C154" s="62">
        <v>6</v>
      </c>
      <c r="D154" s="62">
        <v>3</v>
      </c>
      <c r="E154" s="63" t="s">
        <v>35</v>
      </c>
      <c r="F154" s="76" t="s">
        <v>137</v>
      </c>
      <c r="G154" s="64">
        <f>+'MARZO 2025'!G154+'FEBRERO 2025'!G154+'ENERO 2025'!G154</f>
        <v>0</v>
      </c>
      <c r="H154" s="64">
        <f>+'MARZO 2025'!H154+'FEBRERO 2025'!H154+'ENERO 2025'!H154</f>
        <v>0</v>
      </c>
      <c r="I154" s="64">
        <v>0</v>
      </c>
      <c r="J154" s="64">
        <f t="shared" ref="J154:J218" si="5">SUM(G154:I154)</f>
        <v>0</v>
      </c>
      <c r="K154" s="65">
        <f>J154/$J$25</f>
        <v>0</v>
      </c>
    </row>
    <row r="155" spans="1:11" x14ac:dyDescent="0.2">
      <c r="A155" s="73">
        <v>2</v>
      </c>
      <c r="B155" s="58">
        <v>2</v>
      </c>
      <c r="C155" s="58">
        <v>6</v>
      </c>
      <c r="D155" s="58">
        <v>4</v>
      </c>
      <c r="E155" s="58"/>
      <c r="F155" s="74" t="s">
        <v>138</v>
      </c>
      <c r="G155" s="59">
        <f>+'MARZO 2025'!G155+'FEBRERO 2025'!G155+'ENERO 2025'!G155</f>
        <v>0</v>
      </c>
      <c r="H155" s="59">
        <f>+'MARZO 2025'!H155+'FEBRERO 2025'!H155+'ENERO 2025'!H155</f>
        <v>0</v>
      </c>
      <c r="I155" s="59">
        <v>0</v>
      </c>
      <c r="J155" s="59">
        <f t="shared" si="5"/>
        <v>0</v>
      </c>
      <c r="K155" s="68"/>
    </row>
    <row r="156" spans="1:11" x14ac:dyDescent="0.2">
      <c r="A156" s="75">
        <v>2</v>
      </c>
      <c r="B156" s="62">
        <v>2</v>
      </c>
      <c r="C156" s="62">
        <v>6</v>
      </c>
      <c r="D156" s="62">
        <v>4</v>
      </c>
      <c r="E156" s="63" t="s">
        <v>35</v>
      </c>
      <c r="F156" s="76" t="s">
        <v>138</v>
      </c>
      <c r="G156" s="64">
        <f>+'MARZO 2025'!G156+'FEBRERO 2025'!G156+'ENERO 2025'!G156</f>
        <v>0</v>
      </c>
      <c r="H156" s="64">
        <f>+'MARZO 2025'!H156+'FEBRERO 2025'!H156+'ENERO 2025'!H156</f>
        <v>0</v>
      </c>
      <c r="I156" s="64">
        <v>0</v>
      </c>
      <c r="J156" s="64">
        <f t="shared" si="5"/>
        <v>0</v>
      </c>
      <c r="K156" s="65">
        <f>J156/$J$25</f>
        <v>0</v>
      </c>
    </row>
    <row r="157" spans="1:11" x14ac:dyDescent="0.2">
      <c r="A157" s="54">
        <v>2</v>
      </c>
      <c r="B157" s="55">
        <v>2</v>
      </c>
      <c r="C157" s="55">
        <v>7</v>
      </c>
      <c r="D157" s="55"/>
      <c r="E157" s="79"/>
      <c r="F157" s="80" t="s">
        <v>139</v>
      </c>
      <c r="G157" s="56">
        <f>+'MARZO 2025'!G157+'FEBRERO 2025'!G157+'ENERO 2025'!G157</f>
        <v>6474433.7500000009</v>
      </c>
      <c r="H157" s="56">
        <f>+'MARZO 2025'!H157+'FEBRERO 2025'!H157+'ENERO 2025'!H157</f>
        <v>4556850.12</v>
      </c>
      <c r="I157" s="56">
        <v>0</v>
      </c>
      <c r="J157" s="56">
        <f t="shared" si="5"/>
        <v>11031283.870000001</v>
      </c>
      <c r="K157" s="53"/>
    </row>
    <row r="158" spans="1:11" x14ac:dyDescent="0.2">
      <c r="A158" s="73">
        <v>2</v>
      </c>
      <c r="B158" s="58">
        <v>2</v>
      </c>
      <c r="C158" s="58">
        <v>7</v>
      </c>
      <c r="D158" s="58">
        <v>1</v>
      </c>
      <c r="E158" s="58"/>
      <c r="F158" s="74" t="s">
        <v>140</v>
      </c>
      <c r="G158" s="59">
        <f>+'MARZO 2025'!G158+'FEBRERO 2025'!G158+'ENERO 2025'!G158</f>
        <v>5951371.9400000013</v>
      </c>
      <c r="H158" s="59">
        <f>+'MARZO 2025'!H158+'FEBRERO 2025'!H158+'ENERO 2025'!H158</f>
        <v>1530385.67</v>
      </c>
      <c r="I158" s="59">
        <v>0</v>
      </c>
      <c r="J158" s="59">
        <f t="shared" si="5"/>
        <v>7481757.6100000013</v>
      </c>
      <c r="K158" s="68"/>
    </row>
    <row r="159" spans="1:11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1" t="s">
        <v>141</v>
      </c>
      <c r="G159" s="64">
        <f>+'MARZO 2025'!G159+'FEBRERO 2025'!G159+'ENERO 2025'!G159</f>
        <v>5951371.9400000013</v>
      </c>
      <c r="H159" s="64">
        <f>+'MARZO 2025'!H159+'FEBRERO 2025'!H159+'ENERO 2025'!H159</f>
        <v>1183455.5899999999</v>
      </c>
      <c r="I159" s="64">
        <v>0</v>
      </c>
      <c r="J159" s="64">
        <f t="shared" si="5"/>
        <v>7134827.5300000012</v>
      </c>
      <c r="K159" s="65">
        <f t="shared" ref="K159:K166" si="6">J159/$J$25</f>
        <v>2.3936360692096318E-2</v>
      </c>
    </row>
    <row r="160" spans="1:11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1" t="s">
        <v>142</v>
      </c>
      <c r="G160" s="64">
        <f>+'MARZO 2025'!G160+'FEBRERO 2025'!G160+'ENERO 2025'!G160</f>
        <v>0</v>
      </c>
      <c r="H160" s="64">
        <f>+'MARZO 2025'!H160+'FEBRERO 2025'!H160+'ENERO 2025'!H160</f>
        <v>346930.08</v>
      </c>
      <c r="I160" s="64">
        <v>0</v>
      </c>
      <c r="J160" s="64">
        <f t="shared" si="5"/>
        <v>346930.08</v>
      </c>
      <c r="K160" s="65">
        <f t="shared" si="6"/>
        <v>1.1639024902705434E-3</v>
      </c>
    </row>
    <row r="161" spans="1:11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1" t="s">
        <v>143</v>
      </c>
      <c r="G161" s="64">
        <f>+'MARZO 2025'!G161+'FEBRERO 2025'!G161+'ENERO 2025'!G161</f>
        <v>0</v>
      </c>
      <c r="H161" s="64">
        <f>+'MARZO 2025'!H161+'FEBRERO 2025'!H161+'ENERO 2025'!H161</f>
        <v>0</v>
      </c>
      <c r="I161" s="64">
        <v>0</v>
      </c>
      <c r="J161" s="64">
        <f t="shared" si="5"/>
        <v>0</v>
      </c>
      <c r="K161" s="65">
        <f t="shared" si="6"/>
        <v>0</v>
      </c>
    </row>
    <row r="162" spans="1:11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1" t="s">
        <v>144</v>
      </c>
      <c r="G162" s="64">
        <f>+'MARZO 2025'!G162+'FEBRERO 2025'!G162+'ENERO 2025'!G162</f>
        <v>0</v>
      </c>
      <c r="H162" s="64">
        <f>+'MARZO 2025'!H162+'FEBRERO 2025'!H162+'ENERO 2025'!H162</f>
        <v>0</v>
      </c>
      <c r="I162" s="64">
        <v>0</v>
      </c>
      <c r="J162" s="64">
        <f t="shared" si="5"/>
        <v>0</v>
      </c>
      <c r="K162" s="65">
        <f t="shared" si="6"/>
        <v>0</v>
      </c>
    </row>
    <row r="163" spans="1:11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1" t="s">
        <v>145</v>
      </c>
      <c r="G163" s="64">
        <f>+'MARZO 2025'!G163+'FEBRERO 2025'!G163+'ENERO 2025'!G163</f>
        <v>0</v>
      </c>
      <c r="H163" s="64">
        <f>+'MARZO 2025'!H163+'FEBRERO 2025'!H163+'ENERO 2025'!H163</f>
        <v>0</v>
      </c>
      <c r="I163" s="64">
        <v>0</v>
      </c>
      <c r="J163" s="64">
        <f t="shared" si="5"/>
        <v>0</v>
      </c>
      <c r="K163" s="65">
        <f t="shared" si="6"/>
        <v>0</v>
      </c>
    </row>
    <row r="164" spans="1:11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1" t="s">
        <v>146</v>
      </c>
      <c r="G164" s="64">
        <f>+'MARZO 2025'!G164+'FEBRERO 2025'!G164+'ENERO 2025'!G164</f>
        <v>0</v>
      </c>
      <c r="H164" s="64">
        <f>+'MARZO 2025'!H164+'FEBRERO 2025'!H164+'ENERO 2025'!H164</f>
        <v>0</v>
      </c>
      <c r="I164" s="64">
        <v>0</v>
      </c>
      <c r="J164" s="64">
        <f t="shared" si="5"/>
        <v>0</v>
      </c>
      <c r="K164" s="65">
        <f t="shared" si="6"/>
        <v>0</v>
      </c>
    </row>
    <row r="165" spans="1:11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1" t="s">
        <v>147</v>
      </c>
      <c r="G165" s="64">
        <f>+'MARZO 2025'!G165+'FEBRERO 2025'!G165+'ENERO 2025'!G165</f>
        <v>0</v>
      </c>
      <c r="H165" s="64">
        <f>+'MARZO 2025'!H165+'FEBRERO 2025'!H165+'ENERO 2025'!H165</f>
        <v>0</v>
      </c>
      <c r="I165" s="64">
        <v>0</v>
      </c>
      <c r="J165" s="64">
        <f t="shared" si="5"/>
        <v>0</v>
      </c>
      <c r="K165" s="65">
        <f t="shared" si="6"/>
        <v>0</v>
      </c>
    </row>
    <row r="166" spans="1:11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1" t="s">
        <v>149</v>
      </c>
      <c r="G166" s="64">
        <f>+'MARZO 2025'!G166+'FEBRERO 2025'!G166+'ENERO 2025'!G166</f>
        <v>0</v>
      </c>
      <c r="H166" s="64">
        <f>+'MARZO 2025'!H166+'FEBRERO 2025'!H166+'ENERO 2025'!H166</f>
        <v>0</v>
      </c>
      <c r="I166" s="64">
        <v>0</v>
      </c>
      <c r="J166" s="64">
        <f t="shared" si="5"/>
        <v>0</v>
      </c>
      <c r="K166" s="65">
        <f t="shared" si="6"/>
        <v>0</v>
      </c>
    </row>
    <row r="167" spans="1:11" x14ac:dyDescent="0.2">
      <c r="A167" s="73">
        <v>2</v>
      </c>
      <c r="B167" s="58">
        <v>2</v>
      </c>
      <c r="C167" s="58">
        <v>7</v>
      </c>
      <c r="D167" s="58">
        <v>2</v>
      </c>
      <c r="E167" s="58"/>
      <c r="F167" s="74" t="s">
        <v>150</v>
      </c>
      <c r="G167" s="59">
        <f>+'MARZO 2025'!G167+'FEBRERO 2025'!G167+'ENERO 2025'!G167</f>
        <v>523061.81</v>
      </c>
      <c r="H167" s="59">
        <f>+'MARZO 2025'!H167+'FEBRERO 2025'!H167+'ENERO 2025'!H167</f>
        <v>3026464.45</v>
      </c>
      <c r="I167" s="59">
        <v>0</v>
      </c>
      <c r="J167" s="59">
        <f t="shared" si="5"/>
        <v>3549526.2600000002</v>
      </c>
      <c r="K167" s="68"/>
    </row>
    <row r="168" spans="1:11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1" t="s">
        <v>151</v>
      </c>
      <c r="G168" s="64">
        <f>+'MARZO 2025'!G168+'FEBRERO 2025'!G168+'ENERO 2025'!G168</f>
        <v>0</v>
      </c>
      <c r="H168" s="64">
        <f>+'MARZO 2025'!H168+'FEBRERO 2025'!H168+'ENERO 2025'!H168</f>
        <v>0</v>
      </c>
      <c r="I168" s="64">
        <v>0</v>
      </c>
      <c r="J168" s="64">
        <f t="shared" si="5"/>
        <v>0</v>
      </c>
      <c r="K168" s="65">
        <f t="shared" ref="K168:K176" si="7">J168/$J$25</f>
        <v>0</v>
      </c>
    </row>
    <row r="169" spans="1:11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1" t="s">
        <v>152</v>
      </c>
      <c r="G169" s="64">
        <f>+'MARZO 2025'!G169+'FEBRERO 2025'!G169+'ENERO 2025'!G169</f>
        <v>0</v>
      </c>
      <c r="H169" s="64">
        <f>+'MARZO 2025'!H169+'FEBRERO 2025'!H169+'ENERO 2025'!H169</f>
        <v>0</v>
      </c>
      <c r="I169" s="64">
        <v>0</v>
      </c>
      <c r="J169" s="64">
        <f t="shared" si="5"/>
        <v>0</v>
      </c>
      <c r="K169" s="65">
        <f t="shared" si="7"/>
        <v>0</v>
      </c>
    </row>
    <row r="170" spans="1:11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1" t="s">
        <v>153</v>
      </c>
      <c r="G170" s="64">
        <f>+'MARZO 2025'!G170+'FEBRERO 2025'!G170+'ENERO 2025'!G170</f>
        <v>0</v>
      </c>
      <c r="H170" s="64">
        <f>+'MARZO 2025'!H170+'FEBRERO 2025'!H170+'ENERO 2025'!H170</f>
        <v>0</v>
      </c>
      <c r="I170" s="64">
        <v>0</v>
      </c>
      <c r="J170" s="64">
        <f t="shared" si="5"/>
        <v>0</v>
      </c>
      <c r="K170" s="65">
        <f t="shared" si="7"/>
        <v>0</v>
      </c>
    </row>
    <row r="171" spans="1:11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1" t="s">
        <v>154</v>
      </c>
      <c r="G171" s="64">
        <f>+'MARZO 2025'!G171+'FEBRERO 2025'!G171+'ENERO 2025'!G171</f>
        <v>523061.81</v>
      </c>
      <c r="H171" s="64">
        <f>+'MARZO 2025'!H171+'FEBRERO 2025'!H171+'ENERO 2025'!H171</f>
        <v>1888000</v>
      </c>
      <c r="I171" s="64">
        <v>0</v>
      </c>
      <c r="J171" s="64">
        <f t="shared" si="5"/>
        <v>2411061.81</v>
      </c>
      <c r="K171" s="65">
        <f t="shared" si="7"/>
        <v>8.0887792861754834E-3</v>
      </c>
    </row>
    <row r="172" spans="1:11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1" t="s">
        <v>155</v>
      </c>
      <c r="G172" s="64">
        <f>+'MARZO 2025'!G172+'FEBRERO 2025'!G172+'ENERO 2025'!G172</f>
        <v>0</v>
      </c>
      <c r="H172" s="64">
        <f>+'MARZO 2025'!H172+'FEBRERO 2025'!H172+'ENERO 2025'!H172</f>
        <v>0</v>
      </c>
      <c r="I172" s="64">
        <v>0</v>
      </c>
      <c r="J172" s="64">
        <f t="shared" si="5"/>
        <v>0</v>
      </c>
      <c r="K172" s="65">
        <f t="shared" si="7"/>
        <v>0</v>
      </c>
    </row>
    <row r="173" spans="1:11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2" t="s">
        <v>156</v>
      </c>
      <c r="G173" s="64">
        <f>+'MARZO 2025'!G173+'FEBRERO 2025'!G173+'ENERO 2025'!G173</f>
        <v>0</v>
      </c>
      <c r="H173" s="64">
        <f>+'MARZO 2025'!H173+'FEBRERO 2025'!H173+'ENERO 2025'!H173</f>
        <v>659667.19999999995</v>
      </c>
      <c r="I173" s="64">
        <v>0</v>
      </c>
      <c r="J173" s="64">
        <f t="shared" si="5"/>
        <v>659667.19999999995</v>
      </c>
      <c r="K173" s="65">
        <f t="shared" si="7"/>
        <v>2.213092323472777E-3</v>
      </c>
    </row>
    <row r="174" spans="1:11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2" t="s">
        <v>157</v>
      </c>
      <c r="G174" s="64">
        <f>+'MARZO 2025'!G174+'FEBRERO 2025'!G174+'ENERO 2025'!G174</f>
        <v>0</v>
      </c>
      <c r="H174" s="64">
        <f>+'MARZO 2025'!H174+'FEBRERO 2025'!H174+'ENERO 2025'!H174</f>
        <v>0</v>
      </c>
      <c r="I174" s="64">
        <v>0</v>
      </c>
      <c r="J174" s="64">
        <f t="shared" si="5"/>
        <v>0</v>
      </c>
      <c r="K174" s="65">
        <f t="shared" si="7"/>
        <v>0</v>
      </c>
    </row>
    <row r="175" spans="1:11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2" t="s">
        <v>158</v>
      </c>
      <c r="G175" s="64">
        <f>+'MARZO 2025'!G175+'FEBRERO 2025'!G175+'ENERO 2025'!G175</f>
        <v>0</v>
      </c>
      <c r="H175" s="64">
        <f>+'MARZO 2025'!H175+'FEBRERO 2025'!H175+'ENERO 2025'!H175</f>
        <v>478797.25</v>
      </c>
      <c r="I175" s="64">
        <v>0</v>
      </c>
      <c r="J175" s="64">
        <f t="shared" si="5"/>
        <v>478797.25</v>
      </c>
      <c r="K175" s="65">
        <f t="shared" si="7"/>
        <v>1.6062986282702493E-3</v>
      </c>
    </row>
    <row r="176" spans="1:11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2" t="s">
        <v>159</v>
      </c>
      <c r="G176" s="64">
        <f>+'MARZO 2025'!G176+'FEBRERO 2025'!G176+'ENERO 2025'!G176</f>
        <v>0</v>
      </c>
      <c r="H176" s="64">
        <f>+'MARZO 2025'!H176+'FEBRERO 2025'!H176+'ENERO 2025'!H176</f>
        <v>0</v>
      </c>
      <c r="I176" s="64">
        <v>0</v>
      </c>
      <c r="J176" s="64">
        <f t="shared" si="5"/>
        <v>0</v>
      </c>
      <c r="K176" s="65">
        <f t="shared" si="7"/>
        <v>0</v>
      </c>
    </row>
    <row r="177" spans="1:11" x14ac:dyDescent="0.2">
      <c r="A177" s="57">
        <v>2</v>
      </c>
      <c r="B177" s="58">
        <v>2</v>
      </c>
      <c r="C177" s="58">
        <v>7</v>
      </c>
      <c r="D177" s="58">
        <v>3</v>
      </c>
      <c r="E177" s="78"/>
      <c r="F177" s="57" t="s">
        <v>160</v>
      </c>
      <c r="G177" s="59">
        <f>+'MARZO 2025'!G177+'FEBRERO 2025'!G177+'ENERO 2025'!G177</f>
        <v>0</v>
      </c>
      <c r="H177" s="59">
        <f>+'MARZO 2025'!H177+'FEBRERO 2025'!H177+'ENERO 2025'!H177</f>
        <v>0</v>
      </c>
      <c r="I177" s="59">
        <v>0</v>
      </c>
      <c r="J177" s="59">
        <f t="shared" si="5"/>
        <v>0</v>
      </c>
      <c r="K177" s="68"/>
    </row>
    <row r="178" spans="1:11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+'MARZO 2025'!G178+'FEBRERO 2025'!G178+'ENERO 2025'!G178</f>
        <v>0</v>
      </c>
      <c r="H178" s="64">
        <f>+'MARZO 2025'!H178+'FEBRERO 2025'!H178+'ENERO 2025'!H178</f>
        <v>0</v>
      </c>
      <c r="I178" s="64">
        <v>0</v>
      </c>
      <c r="J178" s="64">
        <f t="shared" si="5"/>
        <v>0</v>
      </c>
      <c r="K178" s="65">
        <f>J178/$J$25</f>
        <v>0</v>
      </c>
    </row>
    <row r="179" spans="1:11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+'MARZO 2025'!G179+'FEBRERO 2025'!G179+'ENERO 2025'!G179</f>
        <v>489700</v>
      </c>
      <c r="H179" s="56">
        <f>+'MARZO 2025'!H179+'FEBRERO 2025'!H179+'ENERO 2025'!H179</f>
        <v>832646.66</v>
      </c>
      <c r="I179" s="56">
        <v>0</v>
      </c>
      <c r="J179" s="56">
        <f t="shared" si="5"/>
        <v>1322346.6600000001</v>
      </c>
      <c r="K179" s="53"/>
    </row>
    <row r="180" spans="1:11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+'MARZO 2025'!G180+'FEBRERO 2025'!G180+'ENERO 2025'!G180</f>
        <v>0</v>
      </c>
      <c r="H180" s="59">
        <f>+'MARZO 2025'!H180+'FEBRERO 2025'!H180+'ENERO 2025'!H180</f>
        <v>0</v>
      </c>
      <c r="I180" s="59">
        <v>0</v>
      </c>
      <c r="J180" s="59">
        <f t="shared" si="5"/>
        <v>0</v>
      </c>
      <c r="K180" s="68"/>
    </row>
    <row r="181" spans="1:11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+'MARZO 2025'!G181+'FEBRERO 2025'!G181+'ENERO 2025'!G181</f>
        <v>0</v>
      </c>
      <c r="H181" s="64">
        <f>+'MARZO 2025'!H181+'FEBRERO 2025'!H181+'ENERO 2025'!H181</f>
        <v>0</v>
      </c>
      <c r="I181" s="64">
        <v>0</v>
      </c>
      <c r="J181" s="64">
        <f t="shared" si="5"/>
        <v>0</v>
      </c>
      <c r="K181" s="65">
        <f>J181/$J$25</f>
        <v>0</v>
      </c>
    </row>
    <row r="182" spans="1:11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+'MARZO 2025'!G182+'FEBRERO 2025'!G182+'ENERO 2025'!G182</f>
        <v>0</v>
      </c>
      <c r="H182" s="59">
        <f>+'MARZO 2025'!H182+'FEBRERO 2025'!H182+'ENERO 2025'!H182</f>
        <v>32860.660000000003</v>
      </c>
      <c r="I182" s="59">
        <v>0</v>
      </c>
      <c r="J182" s="59">
        <f t="shared" si="5"/>
        <v>32860.660000000003</v>
      </c>
      <c r="K182" s="68"/>
    </row>
    <row r="183" spans="1:11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+'MARZO 2025'!G183+'FEBRERO 2025'!G183+'ENERO 2025'!G183</f>
        <v>0</v>
      </c>
      <c r="H183" s="64">
        <f>+'MARZO 2025'!H183+'FEBRERO 2025'!H183+'ENERO 2025'!H183</f>
        <v>32860.660000000003</v>
      </c>
      <c r="I183" s="64">
        <v>0</v>
      </c>
      <c r="J183" s="64">
        <f t="shared" si="5"/>
        <v>32860.660000000003</v>
      </c>
      <c r="K183" s="65">
        <f>J183/$J$25</f>
        <v>1.1024297462455153E-4</v>
      </c>
    </row>
    <row r="184" spans="1:11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+'MARZO 2025'!G184+'FEBRERO 2025'!G184+'ENERO 2025'!G184</f>
        <v>0</v>
      </c>
      <c r="H184" s="59">
        <f>+'MARZO 2025'!H184+'FEBRERO 2025'!H184+'ENERO 2025'!H184</f>
        <v>0</v>
      </c>
      <c r="I184" s="59">
        <v>0</v>
      </c>
      <c r="J184" s="59">
        <f t="shared" si="5"/>
        <v>0</v>
      </c>
      <c r="K184" s="68"/>
    </row>
    <row r="185" spans="1:11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+'MARZO 2025'!G185+'FEBRERO 2025'!G185+'ENERO 2025'!G185</f>
        <v>0</v>
      </c>
      <c r="H185" s="64">
        <f>+'MARZO 2025'!H185+'FEBRERO 2025'!H185+'ENERO 2025'!H185</f>
        <v>0</v>
      </c>
      <c r="I185" s="64">
        <v>0</v>
      </c>
      <c r="J185" s="64">
        <f t="shared" si="5"/>
        <v>0</v>
      </c>
      <c r="K185" s="65">
        <f>J185/$J$25</f>
        <v>0</v>
      </c>
    </row>
    <row r="186" spans="1:11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+'MARZO 2025'!G186+'FEBRERO 2025'!G186+'ENERO 2025'!G186</f>
        <v>0</v>
      </c>
      <c r="H186" s="59">
        <f>+'MARZO 2025'!H186+'FEBRERO 2025'!H186+'ENERO 2025'!H186</f>
        <v>0</v>
      </c>
      <c r="I186" s="59">
        <v>0</v>
      </c>
      <c r="J186" s="59">
        <f t="shared" si="5"/>
        <v>0</v>
      </c>
      <c r="K186" s="68"/>
    </row>
    <row r="187" spans="1:11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+'MARZO 2025'!G187+'FEBRERO 2025'!G187+'ENERO 2025'!G187</f>
        <v>0</v>
      </c>
      <c r="H187" s="64">
        <f>+'MARZO 2025'!H187+'FEBRERO 2025'!H187+'ENERO 2025'!H187</f>
        <v>0</v>
      </c>
      <c r="I187" s="64">
        <v>0</v>
      </c>
      <c r="J187" s="64">
        <f t="shared" si="5"/>
        <v>0</v>
      </c>
      <c r="K187" s="65">
        <f>J187/$J$25</f>
        <v>0</v>
      </c>
    </row>
    <row r="188" spans="1:11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+'MARZO 2025'!G188+'FEBRERO 2025'!G188+'ENERO 2025'!G188</f>
        <v>0</v>
      </c>
      <c r="H188" s="59">
        <f>+'MARZO 2025'!H188+'FEBRERO 2025'!H188+'ENERO 2025'!H188</f>
        <v>198712</v>
      </c>
      <c r="I188" s="59">
        <v>0</v>
      </c>
      <c r="J188" s="59">
        <f t="shared" si="5"/>
        <v>198712</v>
      </c>
      <c r="K188" s="68"/>
    </row>
    <row r="189" spans="1:11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+'MARZO 2025'!G189+'FEBRERO 2025'!G189+'ENERO 2025'!G189</f>
        <v>0</v>
      </c>
      <c r="H189" s="64">
        <f>+'MARZO 2025'!H189+'FEBRERO 2025'!H189+'ENERO 2025'!H189</f>
        <v>0</v>
      </c>
      <c r="I189" s="64">
        <v>0</v>
      </c>
      <c r="J189" s="64">
        <f t="shared" si="5"/>
        <v>0</v>
      </c>
      <c r="K189" s="65">
        <f>J189/$J$25</f>
        <v>0</v>
      </c>
    </row>
    <row r="190" spans="1:11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+'MARZO 2025'!G190+'FEBRERO 2025'!G190+'ENERO 2025'!G190</f>
        <v>0</v>
      </c>
      <c r="H190" s="64">
        <f>+'MARZO 2025'!H190+'FEBRERO 2025'!H190+'ENERO 2025'!H190</f>
        <v>0</v>
      </c>
      <c r="I190" s="64">
        <v>0</v>
      </c>
      <c r="J190" s="64">
        <f t="shared" si="5"/>
        <v>0</v>
      </c>
      <c r="K190" s="65">
        <f>J190/$J$25</f>
        <v>0</v>
      </c>
    </row>
    <row r="191" spans="1:11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+'MARZO 2025'!G191+'FEBRERO 2025'!G191+'ENERO 2025'!G191</f>
        <v>0</v>
      </c>
      <c r="H191" s="64">
        <f>+'MARZO 2025'!H191+'FEBRERO 2025'!H191+'ENERO 2025'!H191</f>
        <v>198712</v>
      </c>
      <c r="I191" s="64">
        <v>0</v>
      </c>
      <c r="J191" s="64">
        <f t="shared" si="5"/>
        <v>198712</v>
      </c>
      <c r="K191" s="65">
        <f>J191/$J$25</f>
        <v>6.6665130808674815E-4</v>
      </c>
    </row>
    <row r="192" spans="1:11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+'MARZO 2025'!G192+'FEBRERO 2025'!G192+'ENERO 2025'!G192</f>
        <v>0</v>
      </c>
      <c r="H192" s="59">
        <f>+'MARZO 2025'!H192+'FEBRERO 2025'!H192+'ENERO 2025'!H192</f>
        <v>0</v>
      </c>
      <c r="I192" s="59">
        <v>0</v>
      </c>
      <c r="J192" s="59">
        <f t="shared" si="5"/>
        <v>0</v>
      </c>
      <c r="K192" s="68"/>
    </row>
    <row r="193" spans="1:11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+'MARZO 2025'!G193+'FEBRERO 2025'!G193+'ENERO 2025'!G193</f>
        <v>0</v>
      </c>
      <c r="H193" s="64">
        <f>+'MARZO 2025'!H193+'FEBRERO 2025'!H193+'ENERO 2025'!H193</f>
        <v>0</v>
      </c>
      <c r="I193" s="64">
        <v>0</v>
      </c>
      <c r="J193" s="64">
        <f t="shared" si="5"/>
        <v>0</v>
      </c>
      <c r="K193" s="65">
        <f>J193/$J$25</f>
        <v>0</v>
      </c>
    </row>
    <row r="194" spans="1:11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+'MARZO 2025'!G194+'FEBRERO 2025'!G194+'ENERO 2025'!G194</f>
        <v>0</v>
      </c>
      <c r="H194" s="64">
        <f>+'MARZO 2025'!H194+'FEBRERO 2025'!H194+'ENERO 2025'!H194</f>
        <v>0</v>
      </c>
      <c r="I194" s="64">
        <v>0</v>
      </c>
      <c r="J194" s="64">
        <f t="shared" si="5"/>
        <v>0</v>
      </c>
      <c r="K194" s="65">
        <f>J194/$J$25</f>
        <v>0</v>
      </c>
    </row>
    <row r="195" spans="1:11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+'MARZO 2025'!G195+'FEBRERO 2025'!G195+'ENERO 2025'!G195</f>
        <v>0</v>
      </c>
      <c r="H195" s="64">
        <f>+'MARZO 2025'!H195+'FEBRERO 2025'!H195+'ENERO 2025'!H195</f>
        <v>0</v>
      </c>
      <c r="I195" s="64">
        <v>0</v>
      </c>
      <c r="J195" s="64">
        <f t="shared" si="5"/>
        <v>0</v>
      </c>
      <c r="K195" s="65">
        <f>J195/$J$25</f>
        <v>0</v>
      </c>
    </row>
    <row r="196" spans="1:11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+'MARZO 2025'!G196+'FEBRERO 2025'!G196+'ENERO 2025'!G196</f>
        <v>0</v>
      </c>
      <c r="H196" s="64">
        <f>+'MARZO 2025'!H196+'FEBRERO 2025'!H196+'ENERO 2025'!H196</f>
        <v>0</v>
      </c>
      <c r="I196" s="64">
        <v>0</v>
      </c>
      <c r="J196" s="64">
        <f t="shared" si="5"/>
        <v>0</v>
      </c>
      <c r="K196" s="65">
        <f>J196/$J$25</f>
        <v>0</v>
      </c>
    </row>
    <row r="197" spans="1:11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+'MARZO 2025'!G197+'FEBRERO 2025'!G197+'ENERO 2025'!G197</f>
        <v>489700</v>
      </c>
      <c r="H197" s="59">
        <f>+'MARZO 2025'!H197+'FEBRERO 2025'!H197+'ENERO 2025'!H197</f>
        <v>601074</v>
      </c>
      <c r="I197" s="59">
        <v>0</v>
      </c>
      <c r="J197" s="59">
        <f t="shared" si="5"/>
        <v>1090774</v>
      </c>
      <c r="K197" s="68"/>
    </row>
    <row r="198" spans="1:11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2" t="s">
        <v>176</v>
      </c>
      <c r="G198" s="64">
        <f>+'MARZO 2025'!G198+'FEBRERO 2025'!G198+'ENERO 2025'!G198</f>
        <v>489700</v>
      </c>
      <c r="H198" s="64">
        <f>+'MARZO 2025'!H198+'FEBRERO 2025'!H198+'ENERO 2025'!H198</f>
        <v>0</v>
      </c>
      <c r="I198" s="64">
        <v>0</v>
      </c>
      <c r="J198" s="64">
        <f t="shared" si="5"/>
        <v>489700</v>
      </c>
      <c r="K198" s="65">
        <f t="shared" ref="K198:K203" si="8">J198/$J$25</f>
        <v>1.6428758483135423E-3</v>
      </c>
    </row>
    <row r="199" spans="1:11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2" t="s">
        <v>177</v>
      </c>
      <c r="G199" s="64">
        <f>+'MARZO 2025'!G199+'FEBRERO 2025'!G199+'ENERO 2025'!G199</f>
        <v>0</v>
      </c>
      <c r="H199" s="64">
        <f>+'MARZO 2025'!H199+'FEBRERO 2025'!H199+'ENERO 2025'!H199</f>
        <v>0</v>
      </c>
      <c r="I199" s="64">
        <v>0</v>
      </c>
      <c r="J199" s="64">
        <f t="shared" si="5"/>
        <v>0</v>
      </c>
      <c r="K199" s="65">
        <f t="shared" si="8"/>
        <v>0</v>
      </c>
    </row>
    <row r="200" spans="1:11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2" t="s">
        <v>178</v>
      </c>
      <c r="G200" s="64">
        <f>+'MARZO 2025'!G200+'FEBRERO 2025'!G200+'ENERO 2025'!G200</f>
        <v>0</v>
      </c>
      <c r="H200" s="64">
        <f>+'MARZO 2025'!H200+'FEBRERO 2025'!H200+'ENERO 2025'!H200</f>
        <v>0</v>
      </c>
      <c r="I200" s="64">
        <v>0</v>
      </c>
      <c r="J200" s="64">
        <f t="shared" si="5"/>
        <v>0</v>
      </c>
      <c r="K200" s="65">
        <f t="shared" si="8"/>
        <v>0</v>
      </c>
    </row>
    <row r="201" spans="1:11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2" t="s">
        <v>179</v>
      </c>
      <c r="G201" s="64">
        <f>+'MARZO 2025'!G201+'FEBRERO 2025'!G201+'ENERO 2025'!G201</f>
        <v>0</v>
      </c>
      <c r="H201" s="64">
        <f>+'MARZO 2025'!H201+'FEBRERO 2025'!H201+'ENERO 2025'!H201</f>
        <v>0</v>
      </c>
      <c r="I201" s="64">
        <v>0</v>
      </c>
      <c r="J201" s="64">
        <f t="shared" si="5"/>
        <v>0</v>
      </c>
      <c r="K201" s="65">
        <f t="shared" si="8"/>
        <v>0</v>
      </c>
    </row>
    <row r="202" spans="1:11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2" t="s">
        <v>180</v>
      </c>
      <c r="G202" s="64">
        <f>+'MARZO 2025'!G202+'FEBRERO 2025'!G202+'ENERO 2025'!G202</f>
        <v>0</v>
      </c>
      <c r="H202" s="64">
        <f>+'MARZO 2025'!H202+'FEBRERO 2025'!H202+'ENERO 2025'!H202</f>
        <v>97704</v>
      </c>
      <c r="I202" s="64">
        <v>0</v>
      </c>
      <c r="J202" s="64">
        <f t="shared" si="5"/>
        <v>97704</v>
      </c>
      <c r="K202" s="65">
        <f t="shared" si="8"/>
        <v>3.2778342226593083E-4</v>
      </c>
    </row>
    <row r="203" spans="1:11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2" t="s">
        <v>181</v>
      </c>
      <c r="G203" s="64">
        <f>+'MARZO 2025'!G203+'FEBRERO 2025'!G203+'ENERO 2025'!G203</f>
        <v>0</v>
      </c>
      <c r="H203" s="64">
        <f>+'MARZO 2025'!H203+'FEBRERO 2025'!H203+'ENERO 2025'!H203</f>
        <v>503370</v>
      </c>
      <c r="I203" s="64">
        <v>0</v>
      </c>
      <c r="J203" s="64">
        <f t="shared" si="5"/>
        <v>503370</v>
      </c>
      <c r="K203" s="65">
        <f t="shared" si="8"/>
        <v>1.68873680981333E-3</v>
      </c>
    </row>
    <row r="204" spans="1:11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3" t="s">
        <v>182</v>
      </c>
      <c r="G204" s="59">
        <f>+'MARZO 2025'!G204+'FEBRERO 2025'!G204+'ENERO 2025'!G204</f>
        <v>0</v>
      </c>
      <c r="H204" s="59">
        <f>+'MARZO 2025'!H204+'FEBRERO 2025'!H204+'ENERO 2025'!H204</f>
        <v>0</v>
      </c>
      <c r="I204" s="59">
        <v>0</v>
      </c>
      <c r="J204" s="59">
        <f t="shared" si="5"/>
        <v>0</v>
      </c>
      <c r="K204" s="68"/>
    </row>
    <row r="205" spans="1:11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2" t="s">
        <v>183</v>
      </c>
      <c r="G205" s="64">
        <f>+'MARZO 2025'!G205+'FEBRERO 2025'!G205+'ENERO 2025'!G205</f>
        <v>0</v>
      </c>
      <c r="H205" s="64">
        <f>+'MARZO 2025'!H205+'FEBRERO 2025'!H205+'ENERO 2025'!H205</f>
        <v>0</v>
      </c>
      <c r="I205" s="64">
        <v>0</v>
      </c>
      <c r="J205" s="64">
        <f t="shared" si="5"/>
        <v>0</v>
      </c>
      <c r="K205" s="65">
        <f>J205/$J$25</f>
        <v>0</v>
      </c>
    </row>
    <row r="206" spans="1:11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2" t="s">
        <v>184</v>
      </c>
      <c r="G206" s="64">
        <f>+'MARZO 2025'!G206+'FEBRERO 2025'!G206+'ENERO 2025'!G206</f>
        <v>0</v>
      </c>
      <c r="H206" s="64">
        <f>+'MARZO 2025'!H206+'FEBRERO 2025'!H206+'ENERO 2025'!H206</f>
        <v>0</v>
      </c>
      <c r="I206" s="64">
        <v>0</v>
      </c>
      <c r="J206" s="64">
        <f t="shared" si="5"/>
        <v>0</v>
      </c>
      <c r="K206" s="65">
        <f>J206/$J$25</f>
        <v>0</v>
      </c>
    </row>
    <row r="207" spans="1:11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2" t="s">
        <v>185</v>
      </c>
      <c r="G207" s="64">
        <f>+'MARZO 2025'!G207+'FEBRERO 2025'!G207+'ENERO 2025'!G207</f>
        <v>0</v>
      </c>
      <c r="H207" s="64">
        <f>+'MARZO 2025'!H207+'FEBRERO 2025'!H207+'ENERO 2025'!H207</f>
        <v>0</v>
      </c>
      <c r="I207" s="64">
        <v>0</v>
      </c>
      <c r="J207" s="64">
        <f t="shared" si="5"/>
        <v>0</v>
      </c>
      <c r="K207" s="65">
        <f>J207/$J$25</f>
        <v>0</v>
      </c>
    </row>
    <row r="208" spans="1:11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+'MARZO 2025'!G208+'FEBRERO 2025'!G208+'ENERO 2025'!G208</f>
        <v>0</v>
      </c>
      <c r="H208" s="56">
        <f>+'MARZO 2025'!H208+'FEBRERO 2025'!H208+'ENERO 2025'!H208</f>
        <v>0</v>
      </c>
      <c r="I208" s="56">
        <v>0</v>
      </c>
      <c r="J208" s="56">
        <f t="shared" si="5"/>
        <v>0</v>
      </c>
      <c r="K208" s="53"/>
    </row>
    <row r="209" spans="1:11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+'MARZO 2025'!G209+'FEBRERO 2025'!G209+'ENERO 2025'!G209</f>
        <v>0</v>
      </c>
      <c r="H209" s="59">
        <f>+'MARZO 2025'!H209+'FEBRERO 2025'!H209+'ENERO 2025'!H209</f>
        <v>0</v>
      </c>
      <c r="I209" s="59">
        <v>0</v>
      </c>
      <c r="J209" s="59">
        <f t="shared" si="5"/>
        <v>0</v>
      </c>
      <c r="K209" s="68"/>
    </row>
    <row r="210" spans="1:11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2" t="s">
        <v>188</v>
      </c>
      <c r="G210" s="64">
        <f>+'MARZO 2025'!G210+'FEBRERO 2025'!G210+'ENERO 2025'!G210</f>
        <v>0</v>
      </c>
      <c r="H210" s="64">
        <f>+'MARZO 2025'!H210+'FEBRERO 2025'!H210+'ENERO 2025'!H210</f>
        <v>0</v>
      </c>
      <c r="I210" s="64">
        <v>0</v>
      </c>
      <c r="J210" s="64">
        <f t="shared" si="5"/>
        <v>0</v>
      </c>
      <c r="K210" s="65">
        <f>J210/$J$25</f>
        <v>0</v>
      </c>
    </row>
    <row r="211" spans="1:11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2" t="s">
        <v>189</v>
      </c>
      <c r="G211" s="64">
        <f>+'MARZO 2025'!G211+'FEBRERO 2025'!G211+'ENERO 2025'!G211</f>
        <v>0</v>
      </c>
      <c r="H211" s="64">
        <f>+'MARZO 2025'!H211+'FEBRERO 2025'!H211+'ENERO 2025'!H211</f>
        <v>0</v>
      </c>
      <c r="I211" s="64">
        <v>0</v>
      </c>
      <c r="J211" s="64">
        <f t="shared" si="5"/>
        <v>0</v>
      </c>
      <c r="K211" s="65">
        <f>J211/$J$25</f>
        <v>0</v>
      </c>
    </row>
    <row r="212" spans="1:11" x14ac:dyDescent="0.2">
      <c r="A212" s="71">
        <v>2</v>
      </c>
      <c r="B212" s="55">
        <v>3</v>
      </c>
      <c r="C212" s="55"/>
      <c r="D212" s="55"/>
      <c r="E212" s="55"/>
      <c r="F212" s="54" t="s">
        <v>190</v>
      </c>
      <c r="G212" s="56">
        <f>+'MARZO 2025'!G212+'FEBRERO 2025'!G212+'ENERO 2025'!G212</f>
        <v>46153284.189999998</v>
      </c>
      <c r="H212" s="56">
        <f>+'MARZO 2025'!H212+'FEBRERO 2025'!H212+'ENERO 2025'!H212</f>
        <v>7292547.2799999993</v>
      </c>
      <c r="I212" s="56">
        <v>0</v>
      </c>
      <c r="J212" s="56">
        <f t="shared" si="5"/>
        <v>53445831.469999999</v>
      </c>
      <c r="K212" s="53">
        <f>J212/$J$25</f>
        <v>0.1793033810804551</v>
      </c>
    </row>
    <row r="213" spans="1:11" x14ac:dyDescent="0.2">
      <c r="A213" s="71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+'MARZO 2025'!G213+'FEBRERO 2025'!G213+'ENERO 2025'!G213</f>
        <v>3713897.2399999998</v>
      </c>
      <c r="H213" s="56">
        <f>+'MARZO 2025'!H213+'FEBRERO 2025'!H213+'ENERO 2025'!H213</f>
        <v>1500755.8</v>
      </c>
      <c r="I213" s="56">
        <v>0</v>
      </c>
      <c r="J213" s="56">
        <f t="shared" si="5"/>
        <v>5214653.04</v>
      </c>
      <c r="K213" s="53"/>
    </row>
    <row r="214" spans="1:11" x14ac:dyDescent="0.2">
      <c r="A214" s="73">
        <v>2</v>
      </c>
      <c r="B214" s="58">
        <v>3</v>
      </c>
      <c r="C214" s="58">
        <v>1</v>
      </c>
      <c r="D214" s="58">
        <v>1</v>
      </c>
      <c r="E214" s="78"/>
      <c r="F214" s="57" t="s">
        <v>192</v>
      </c>
      <c r="G214" s="59">
        <f>+'MARZO 2025'!G214+'FEBRERO 2025'!G214+'ENERO 2025'!G214</f>
        <v>3713897.2399999998</v>
      </c>
      <c r="H214" s="59">
        <f>+'MARZO 2025'!H214+'FEBRERO 2025'!H214+'ENERO 2025'!H214</f>
        <v>1500755.8</v>
      </c>
      <c r="I214" s="59">
        <v>0</v>
      </c>
      <c r="J214" s="59">
        <f t="shared" si="5"/>
        <v>5214653.04</v>
      </c>
      <c r="K214" s="68"/>
    </row>
    <row r="215" spans="1:11" x14ac:dyDescent="0.2">
      <c r="A215" s="75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+'MARZO 2025'!G215+'FEBRERO 2025'!G215+'ENERO 2025'!G215</f>
        <v>3713897.2399999998</v>
      </c>
      <c r="H215" s="64">
        <f>+'MARZO 2025'!H215+'FEBRERO 2025'!H215+'ENERO 2025'!H215</f>
        <v>1500755.8</v>
      </c>
      <c r="I215" s="64">
        <v>0</v>
      </c>
      <c r="J215" s="64">
        <f t="shared" si="5"/>
        <v>5214653.04</v>
      </c>
      <c r="K215" s="65">
        <f>J215/$J$25</f>
        <v>1.7494440548807007E-2</v>
      </c>
    </row>
    <row r="216" spans="1:11" x14ac:dyDescent="0.2">
      <c r="A216" s="75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+'MARZO 2025'!G216+'FEBRERO 2025'!G216+'ENERO 2025'!G216</f>
        <v>0</v>
      </c>
      <c r="H216" s="64">
        <f>+'MARZO 2025'!H216+'FEBRERO 2025'!H216+'ENERO 2025'!H216</f>
        <v>0</v>
      </c>
      <c r="I216" s="64">
        <v>0</v>
      </c>
      <c r="J216" s="64">
        <f t="shared" si="5"/>
        <v>0</v>
      </c>
      <c r="K216" s="65">
        <f>J216/$J$25</f>
        <v>0</v>
      </c>
    </row>
    <row r="217" spans="1:11" x14ac:dyDescent="0.2">
      <c r="A217" s="73">
        <v>2</v>
      </c>
      <c r="B217" s="58">
        <v>3</v>
      </c>
      <c r="C217" s="58">
        <v>1</v>
      </c>
      <c r="D217" s="58">
        <v>2</v>
      </c>
      <c r="E217" s="78"/>
      <c r="F217" s="57" t="s">
        <v>194</v>
      </c>
      <c r="G217" s="59">
        <f>+'MARZO 2025'!G217+'FEBRERO 2025'!G217+'ENERO 2025'!G217</f>
        <v>0</v>
      </c>
      <c r="H217" s="59">
        <f>+'MARZO 2025'!H217+'FEBRERO 2025'!H217+'ENERO 2025'!H217</f>
        <v>0</v>
      </c>
      <c r="I217" s="59">
        <v>0</v>
      </c>
      <c r="J217" s="59">
        <f t="shared" si="5"/>
        <v>0</v>
      </c>
      <c r="K217" s="68"/>
    </row>
    <row r="218" spans="1:11" x14ac:dyDescent="0.2">
      <c r="A218" s="75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+'MARZO 2025'!G218+'FEBRERO 2025'!G218+'ENERO 2025'!G218</f>
        <v>0</v>
      </c>
      <c r="H218" s="64">
        <f>+'MARZO 2025'!H218+'FEBRERO 2025'!H218+'ENERO 2025'!H218</f>
        <v>0</v>
      </c>
      <c r="I218" s="64">
        <v>0</v>
      </c>
      <c r="J218" s="64">
        <f t="shared" si="5"/>
        <v>0</v>
      </c>
      <c r="K218" s="65">
        <f>J218/$J$25</f>
        <v>0</v>
      </c>
    </row>
    <row r="219" spans="1:11" x14ac:dyDescent="0.2">
      <c r="A219" s="73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+'MARZO 2025'!G219+'FEBRERO 2025'!G219+'ENERO 2025'!G219</f>
        <v>0</v>
      </c>
      <c r="H219" s="59">
        <f>+'MARZO 2025'!H219+'FEBRERO 2025'!H219+'ENERO 2025'!H219</f>
        <v>0</v>
      </c>
      <c r="I219" s="59">
        <v>0</v>
      </c>
      <c r="J219" s="59">
        <f t="shared" ref="J219:J282" si="9">SUM(G219:I219)</f>
        <v>0</v>
      </c>
      <c r="K219" s="68"/>
    </row>
    <row r="220" spans="1:11" x14ac:dyDescent="0.2">
      <c r="A220" s="75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+'MARZO 2025'!G220+'FEBRERO 2025'!G220+'ENERO 2025'!G220</f>
        <v>0</v>
      </c>
      <c r="H220" s="64">
        <f>+'MARZO 2025'!H220+'FEBRERO 2025'!H220+'ENERO 2025'!H220</f>
        <v>0</v>
      </c>
      <c r="I220" s="64">
        <v>0</v>
      </c>
      <c r="J220" s="64">
        <f t="shared" si="9"/>
        <v>0</v>
      </c>
      <c r="K220" s="65">
        <f>J220/$J$25</f>
        <v>0</v>
      </c>
    </row>
    <row r="221" spans="1:11" x14ac:dyDescent="0.2">
      <c r="A221" s="75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+'MARZO 2025'!G221+'FEBRERO 2025'!G221+'ENERO 2025'!G221</f>
        <v>0</v>
      </c>
      <c r="H221" s="64">
        <f>+'MARZO 2025'!H221+'FEBRERO 2025'!H221+'ENERO 2025'!H221</f>
        <v>0</v>
      </c>
      <c r="I221" s="64">
        <v>0</v>
      </c>
      <c r="J221" s="64">
        <f t="shared" si="9"/>
        <v>0</v>
      </c>
      <c r="K221" s="65">
        <f>J221/$J$25</f>
        <v>0</v>
      </c>
    </row>
    <row r="222" spans="1:11" x14ac:dyDescent="0.2">
      <c r="A222" s="75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+'MARZO 2025'!G222+'FEBRERO 2025'!G222+'ENERO 2025'!G222</f>
        <v>0</v>
      </c>
      <c r="H222" s="64">
        <f>+'MARZO 2025'!H222+'FEBRERO 2025'!H222+'ENERO 2025'!H222</f>
        <v>0</v>
      </c>
      <c r="I222" s="64">
        <v>0</v>
      </c>
      <c r="J222" s="64">
        <f t="shared" si="9"/>
        <v>0</v>
      </c>
      <c r="K222" s="65">
        <f>J222/$J$25</f>
        <v>0</v>
      </c>
    </row>
    <row r="223" spans="1:11" x14ac:dyDescent="0.2">
      <c r="A223" s="73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+'MARZO 2025'!G223+'FEBRERO 2025'!G223+'ENERO 2025'!G223</f>
        <v>0</v>
      </c>
      <c r="H223" s="59">
        <f>+'MARZO 2025'!H223+'FEBRERO 2025'!H223+'ENERO 2025'!H223</f>
        <v>0</v>
      </c>
      <c r="I223" s="59">
        <v>0</v>
      </c>
      <c r="J223" s="59">
        <f t="shared" si="9"/>
        <v>0</v>
      </c>
      <c r="K223" s="68"/>
    </row>
    <row r="224" spans="1:11" x14ac:dyDescent="0.2">
      <c r="A224" s="75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+'MARZO 2025'!G224+'FEBRERO 2025'!G224+'ENERO 2025'!G224</f>
        <v>0</v>
      </c>
      <c r="H224" s="64">
        <f>+'MARZO 2025'!H224+'FEBRERO 2025'!H224+'ENERO 2025'!H224</f>
        <v>0</v>
      </c>
      <c r="I224" s="64">
        <v>0</v>
      </c>
      <c r="J224" s="64">
        <f t="shared" si="9"/>
        <v>0</v>
      </c>
      <c r="K224" s="65">
        <f>J224/$J$25</f>
        <v>0</v>
      </c>
    </row>
    <row r="225" spans="1:11" x14ac:dyDescent="0.2">
      <c r="A225" s="71">
        <v>2</v>
      </c>
      <c r="B225" s="55">
        <v>3</v>
      </c>
      <c r="C225" s="55">
        <v>2</v>
      </c>
      <c r="D225" s="55"/>
      <c r="E225" s="79"/>
      <c r="F225" s="54" t="s">
        <v>200</v>
      </c>
      <c r="G225" s="56">
        <f>+'MARZO 2025'!G225+'FEBRERO 2025'!G225+'ENERO 2025'!G225</f>
        <v>61630.73</v>
      </c>
      <c r="H225" s="56">
        <f>+'MARZO 2025'!H225+'FEBRERO 2025'!H225+'ENERO 2025'!H225</f>
        <v>0</v>
      </c>
      <c r="I225" s="56">
        <v>0</v>
      </c>
      <c r="J225" s="56">
        <f t="shared" si="9"/>
        <v>61630.73</v>
      </c>
      <c r="K225" s="53"/>
    </row>
    <row r="226" spans="1:11" x14ac:dyDescent="0.2">
      <c r="A226" s="73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+'MARZO 2025'!G226+'FEBRERO 2025'!G226+'ENERO 2025'!G226</f>
        <v>0</v>
      </c>
      <c r="H226" s="59">
        <f>+'MARZO 2025'!H226+'FEBRERO 2025'!H226+'ENERO 2025'!H226</f>
        <v>0</v>
      </c>
      <c r="I226" s="59">
        <v>0</v>
      </c>
      <c r="J226" s="59">
        <f t="shared" si="9"/>
        <v>0</v>
      </c>
      <c r="K226" s="68"/>
    </row>
    <row r="227" spans="1:11" x14ac:dyDescent="0.2">
      <c r="A227" s="75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+'MARZO 2025'!G227+'FEBRERO 2025'!G227+'ENERO 2025'!G227</f>
        <v>0</v>
      </c>
      <c r="H227" s="64">
        <f>+'MARZO 2025'!H227+'FEBRERO 2025'!H227+'ENERO 2025'!H227</f>
        <v>0</v>
      </c>
      <c r="I227" s="64">
        <v>0</v>
      </c>
      <c r="J227" s="64">
        <f t="shared" si="9"/>
        <v>0</v>
      </c>
      <c r="K227" s="65">
        <f>J227/$J$25</f>
        <v>0</v>
      </c>
    </row>
    <row r="228" spans="1:11" x14ac:dyDescent="0.2">
      <c r="A228" s="73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+'MARZO 2025'!G228+'FEBRERO 2025'!G228+'ENERO 2025'!G228</f>
        <v>61630.73</v>
      </c>
      <c r="H228" s="59">
        <f>+'MARZO 2025'!H228+'FEBRERO 2025'!H228+'ENERO 2025'!H228</f>
        <v>0</v>
      </c>
      <c r="I228" s="59">
        <v>0</v>
      </c>
      <c r="J228" s="59">
        <f t="shared" si="9"/>
        <v>61630.73</v>
      </c>
      <c r="K228" s="68"/>
    </row>
    <row r="229" spans="1:11" x14ac:dyDescent="0.2">
      <c r="A229" s="75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+'MARZO 2025'!G229+'FEBRERO 2025'!G229+'ENERO 2025'!G229</f>
        <v>61630.73</v>
      </c>
      <c r="H229" s="64">
        <f>+'MARZO 2025'!H229+'FEBRERO 2025'!H229+'ENERO 2025'!H229</f>
        <v>0</v>
      </c>
      <c r="I229" s="64">
        <v>0</v>
      </c>
      <c r="J229" s="64">
        <f t="shared" si="9"/>
        <v>61630.73</v>
      </c>
      <c r="K229" s="65">
        <f>J229/$J$25</f>
        <v>2.0676258491103303E-4</v>
      </c>
    </row>
    <row r="230" spans="1:11" x14ac:dyDescent="0.2">
      <c r="A230" s="73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+'MARZO 2025'!G230+'FEBRERO 2025'!G230+'ENERO 2025'!G230</f>
        <v>0</v>
      </c>
      <c r="H230" s="59">
        <f>+'MARZO 2025'!H230+'FEBRERO 2025'!H230+'ENERO 2025'!H230</f>
        <v>0</v>
      </c>
      <c r="I230" s="59">
        <v>0</v>
      </c>
      <c r="J230" s="59">
        <f t="shared" si="9"/>
        <v>0</v>
      </c>
      <c r="K230" s="68"/>
    </row>
    <row r="231" spans="1:11" x14ac:dyDescent="0.2">
      <c r="A231" s="75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+'MARZO 2025'!G231+'FEBRERO 2025'!G231+'ENERO 2025'!G231</f>
        <v>0</v>
      </c>
      <c r="H231" s="64">
        <f>+'MARZO 2025'!H231+'FEBRERO 2025'!H231+'ENERO 2025'!H231</f>
        <v>0</v>
      </c>
      <c r="I231" s="64">
        <v>0</v>
      </c>
      <c r="J231" s="64">
        <f t="shared" si="9"/>
        <v>0</v>
      </c>
      <c r="K231" s="65">
        <f>J231/$J$25</f>
        <v>0</v>
      </c>
    </row>
    <row r="232" spans="1:11" x14ac:dyDescent="0.2">
      <c r="A232" s="71">
        <v>2</v>
      </c>
      <c r="B232" s="55">
        <v>3</v>
      </c>
      <c r="C232" s="55">
        <v>3</v>
      </c>
      <c r="D232" s="55"/>
      <c r="E232" s="79"/>
      <c r="F232" s="54" t="s">
        <v>204</v>
      </c>
      <c r="G232" s="56">
        <f>+'MARZO 2025'!G232+'FEBRERO 2025'!G232+'ENERO 2025'!G232</f>
        <v>1826911.8399999999</v>
      </c>
      <c r="H232" s="56">
        <f>+'MARZO 2025'!H232+'FEBRERO 2025'!H232+'ENERO 2025'!H232</f>
        <v>251163</v>
      </c>
      <c r="I232" s="56">
        <v>0</v>
      </c>
      <c r="J232" s="56">
        <f t="shared" si="9"/>
        <v>2078074.8399999999</v>
      </c>
      <c r="K232" s="53"/>
    </row>
    <row r="233" spans="1:11" x14ac:dyDescent="0.2">
      <c r="A233" s="73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+'MARZO 2025'!G233+'FEBRERO 2025'!G233+'ENERO 2025'!G233</f>
        <v>0</v>
      </c>
      <c r="H233" s="59">
        <f>+'MARZO 2025'!H233+'FEBRERO 2025'!H233+'ENERO 2025'!H233</f>
        <v>0</v>
      </c>
      <c r="I233" s="59">
        <v>0</v>
      </c>
      <c r="J233" s="59">
        <f t="shared" si="9"/>
        <v>0</v>
      </c>
      <c r="K233" s="68"/>
    </row>
    <row r="234" spans="1:11" x14ac:dyDescent="0.2">
      <c r="A234" s="75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+'MARZO 2025'!G234+'FEBRERO 2025'!G234+'ENERO 2025'!G234</f>
        <v>0</v>
      </c>
      <c r="H234" s="64">
        <f>+'MARZO 2025'!H234+'FEBRERO 2025'!H234+'ENERO 2025'!H234</f>
        <v>0</v>
      </c>
      <c r="I234" s="64">
        <v>0</v>
      </c>
      <c r="J234" s="64">
        <f t="shared" si="9"/>
        <v>0</v>
      </c>
      <c r="K234" s="65">
        <f>J234/$J$25</f>
        <v>0</v>
      </c>
    </row>
    <row r="235" spans="1:11" x14ac:dyDescent="0.2">
      <c r="A235" s="73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+'MARZO 2025'!G235+'FEBRERO 2025'!G235+'ENERO 2025'!G235</f>
        <v>522539.83999999997</v>
      </c>
      <c r="H235" s="59">
        <f>+'MARZO 2025'!H235+'FEBRERO 2025'!H235+'ENERO 2025'!H235</f>
        <v>0</v>
      </c>
      <c r="I235" s="59">
        <v>0</v>
      </c>
      <c r="J235" s="59">
        <f t="shared" si="9"/>
        <v>522539.83999999997</v>
      </c>
      <c r="K235" s="68"/>
    </row>
    <row r="236" spans="1:11" x14ac:dyDescent="0.2">
      <c r="A236" s="75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+'MARZO 2025'!G236+'FEBRERO 2025'!G236+'ENERO 2025'!G236</f>
        <v>522539.83999999997</v>
      </c>
      <c r="H236" s="64">
        <f>+'MARZO 2025'!H236+'FEBRERO 2025'!H236+'ENERO 2025'!H236</f>
        <v>0</v>
      </c>
      <c r="I236" s="64">
        <v>0</v>
      </c>
      <c r="J236" s="64">
        <f t="shared" si="9"/>
        <v>522539.83999999997</v>
      </c>
      <c r="K236" s="65">
        <f>J236/$J$25</f>
        <v>1.753048974714361E-3</v>
      </c>
    </row>
    <row r="237" spans="1:11" x14ac:dyDescent="0.2">
      <c r="A237" s="73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+'MARZO 2025'!G237+'FEBRERO 2025'!G237+'ENERO 2025'!G237</f>
        <v>1304372</v>
      </c>
      <c r="H237" s="59">
        <f>+'MARZO 2025'!H237+'FEBRERO 2025'!H237+'ENERO 2025'!H237</f>
        <v>251163</v>
      </c>
      <c r="I237" s="59">
        <v>0</v>
      </c>
      <c r="J237" s="59">
        <f t="shared" si="9"/>
        <v>1555535</v>
      </c>
      <c r="K237" s="68"/>
    </row>
    <row r="238" spans="1:11" x14ac:dyDescent="0.2">
      <c r="A238" s="75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+'MARZO 2025'!G238+'FEBRERO 2025'!G238+'ENERO 2025'!G238</f>
        <v>1304372</v>
      </c>
      <c r="H238" s="64">
        <f>+'MARZO 2025'!H238+'FEBRERO 2025'!H238+'ENERO 2025'!H238</f>
        <v>251163</v>
      </c>
      <c r="I238" s="64">
        <v>0</v>
      </c>
      <c r="J238" s="64">
        <f t="shared" si="9"/>
        <v>1555535</v>
      </c>
      <c r="K238" s="65">
        <f>J238/$J$25</f>
        <v>5.2186050290104263E-3</v>
      </c>
    </row>
    <row r="239" spans="1:11" x14ac:dyDescent="0.2">
      <c r="A239" s="73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+'MARZO 2025'!G239+'FEBRERO 2025'!G239+'ENERO 2025'!G239</f>
        <v>0</v>
      </c>
      <c r="H239" s="59">
        <f>+'MARZO 2025'!H239+'FEBRERO 2025'!H239+'ENERO 2025'!H239</f>
        <v>0</v>
      </c>
      <c r="I239" s="59">
        <v>0</v>
      </c>
      <c r="J239" s="59">
        <f t="shared" si="9"/>
        <v>0</v>
      </c>
      <c r="K239" s="68"/>
    </row>
    <row r="240" spans="1:11" x14ac:dyDescent="0.2">
      <c r="A240" s="75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+'MARZO 2025'!G240+'FEBRERO 2025'!G240+'ENERO 2025'!G240</f>
        <v>0</v>
      </c>
      <c r="H240" s="64">
        <f>+'MARZO 2025'!H240+'FEBRERO 2025'!H240+'ENERO 2025'!H240</f>
        <v>0</v>
      </c>
      <c r="I240" s="64">
        <v>0</v>
      </c>
      <c r="J240" s="64">
        <f t="shared" si="9"/>
        <v>0</v>
      </c>
      <c r="K240" s="65">
        <f>J240/$J$25</f>
        <v>0</v>
      </c>
    </row>
    <row r="241" spans="1:11" x14ac:dyDescent="0.2">
      <c r="A241" s="73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+'MARZO 2025'!G241+'FEBRERO 2025'!G241+'ENERO 2025'!G241</f>
        <v>0</v>
      </c>
      <c r="H241" s="59">
        <f>+'MARZO 2025'!H241+'FEBRERO 2025'!H241+'ENERO 2025'!H241</f>
        <v>0</v>
      </c>
      <c r="I241" s="59">
        <v>0</v>
      </c>
      <c r="J241" s="59">
        <f t="shared" si="9"/>
        <v>0</v>
      </c>
      <c r="K241" s="68"/>
    </row>
    <row r="242" spans="1:11" x14ac:dyDescent="0.2">
      <c r="A242" s="75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+'MARZO 2025'!G242+'FEBRERO 2025'!G242+'ENERO 2025'!G242</f>
        <v>0</v>
      </c>
      <c r="H242" s="64">
        <f>+'MARZO 2025'!H242+'FEBRERO 2025'!H242+'ENERO 2025'!H242</f>
        <v>0</v>
      </c>
      <c r="I242" s="64">
        <v>0</v>
      </c>
      <c r="J242" s="64">
        <f t="shared" si="9"/>
        <v>0</v>
      </c>
      <c r="K242" s="65">
        <f>J242/$J$25</f>
        <v>0</v>
      </c>
    </row>
    <row r="243" spans="1:11" x14ac:dyDescent="0.2">
      <c r="A243" s="73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+'MARZO 2025'!G243+'FEBRERO 2025'!G243+'ENERO 2025'!G243</f>
        <v>0</v>
      </c>
      <c r="H243" s="59">
        <f>+'MARZO 2025'!H243+'FEBRERO 2025'!H243+'ENERO 2025'!H243</f>
        <v>0</v>
      </c>
      <c r="I243" s="59">
        <v>0</v>
      </c>
      <c r="J243" s="59">
        <f t="shared" si="9"/>
        <v>0</v>
      </c>
      <c r="K243" s="68"/>
    </row>
    <row r="244" spans="1:11" x14ac:dyDescent="0.2">
      <c r="A244" s="75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+'MARZO 2025'!G244+'FEBRERO 2025'!G244+'ENERO 2025'!G244</f>
        <v>0</v>
      </c>
      <c r="H244" s="64">
        <f>+'MARZO 2025'!H244+'FEBRERO 2025'!H244+'ENERO 2025'!H244</f>
        <v>0</v>
      </c>
      <c r="I244" s="64">
        <v>0</v>
      </c>
      <c r="J244" s="64">
        <f t="shared" si="9"/>
        <v>0</v>
      </c>
      <c r="K244" s="65">
        <f>J244/$J$25</f>
        <v>0</v>
      </c>
    </row>
    <row r="245" spans="1:11" x14ac:dyDescent="0.2">
      <c r="A245" s="71">
        <v>2</v>
      </c>
      <c r="B245" s="55">
        <v>3</v>
      </c>
      <c r="C245" s="55">
        <v>4</v>
      </c>
      <c r="D245" s="55"/>
      <c r="E245" s="79"/>
      <c r="F245" s="54" t="s">
        <v>211</v>
      </c>
      <c r="G245" s="56">
        <f>+'MARZO 2025'!G245+'FEBRERO 2025'!G245+'ENERO 2025'!G245</f>
        <v>10797336.600000001</v>
      </c>
      <c r="H245" s="56">
        <f>+'MARZO 2025'!H245+'FEBRERO 2025'!H245+'ENERO 2025'!H245</f>
        <v>558000</v>
      </c>
      <c r="I245" s="56">
        <v>0</v>
      </c>
      <c r="J245" s="56">
        <f t="shared" si="9"/>
        <v>11355336.600000001</v>
      </c>
      <c r="K245" s="53"/>
    </row>
    <row r="246" spans="1:11" x14ac:dyDescent="0.2">
      <c r="A246" s="73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+'MARZO 2025'!G246+'FEBRERO 2025'!G246+'ENERO 2025'!G246</f>
        <v>10797336.600000001</v>
      </c>
      <c r="H246" s="59">
        <f>+'MARZO 2025'!H246+'FEBRERO 2025'!H246+'ENERO 2025'!H246</f>
        <v>558000</v>
      </c>
      <c r="I246" s="59">
        <v>0</v>
      </c>
      <c r="J246" s="59">
        <f t="shared" si="9"/>
        <v>11355336.600000001</v>
      </c>
      <c r="K246" s="68"/>
    </row>
    <row r="247" spans="1:11" x14ac:dyDescent="0.2">
      <c r="A247" s="75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+'MARZO 2025'!G247+'FEBRERO 2025'!G247+'ENERO 2025'!G247</f>
        <v>10797336.600000001</v>
      </c>
      <c r="H247" s="64">
        <f>+'MARZO 2025'!H247+'FEBRERO 2025'!H247+'ENERO 2025'!H247</f>
        <v>558000</v>
      </c>
      <c r="I247" s="64">
        <v>0</v>
      </c>
      <c r="J247" s="64">
        <f t="shared" si="9"/>
        <v>11355336.600000001</v>
      </c>
      <c r="K247" s="65">
        <f>J247/$J$25</f>
        <v>3.8095585561794598E-2</v>
      </c>
    </row>
    <row r="248" spans="1:11" x14ac:dyDescent="0.2">
      <c r="A248" s="73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+'MARZO 2025'!G248+'FEBRERO 2025'!G248+'ENERO 2025'!G248</f>
        <v>0</v>
      </c>
      <c r="H248" s="59">
        <f>+'MARZO 2025'!H248+'FEBRERO 2025'!H248+'ENERO 2025'!H248</f>
        <v>0</v>
      </c>
      <c r="I248" s="59">
        <v>0</v>
      </c>
      <c r="J248" s="59">
        <f t="shared" si="9"/>
        <v>0</v>
      </c>
      <c r="K248" s="68"/>
    </row>
    <row r="249" spans="1:11" x14ac:dyDescent="0.2">
      <c r="A249" s="75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+'MARZO 2025'!G249+'FEBRERO 2025'!G249+'ENERO 2025'!G249</f>
        <v>0</v>
      </c>
      <c r="H249" s="64">
        <f>+'MARZO 2025'!H249+'FEBRERO 2025'!H249+'ENERO 2025'!H249</f>
        <v>0</v>
      </c>
      <c r="I249" s="64">
        <v>0</v>
      </c>
      <c r="J249" s="64">
        <f t="shared" si="9"/>
        <v>0</v>
      </c>
      <c r="K249" s="65">
        <f>J249/$J$25</f>
        <v>0</v>
      </c>
    </row>
    <row r="250" spans="1:11" x14ac:dyDescent="0.2">
      <c r="A250" s="71">
        <v>2</v>
      </c>
      <c r="B250" s="55">
        <v>3</v>
      </c>
      <c r="C250" s="55">
        <v>5</v>
      </c>
      <c r="D250" s="55"/>
      <c r="E250" s="79"/>
      <c r="F250" s="54" t="s">
        <v>214</v>
      </c>
      <c r="G250" s="56">
        <f>+'MARZO 2025'!G250+'FEBRERO 2025'!G250+'ENERO 2025'!G250</f>
        <v>334708.95</v>
      </c>
      <c r="H250" s="56">
        <f>+'MARZO 2025'!H250+'FEBRERO 2025'!H250+'ENERO 2025'!H250</f>
        <v>567494.87000000011</v>
      </c>
      <c r="I250" s="56">
        <v>0</v>
      </c>
      <c r="J250" s="56">
        <f t="shared" si="9"/>
        <v>902203.82000000007</v>
      </c>
      <c r="K250" s="53"/>
    </row>
    <row r="251" spans="1:11" x14ac:dyDescent="0.2">
      <c r="A251" s="73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+'MARZO 2025'!G251+'FEBRERO 2025'!G251+'ENERO 2025'!G251</f>
        <v>0</v>
      </c>
      <c r="H251" s="59">
        <f>+'MARZO 2025'!H251+'FEBRERO 2025'!H251+'ENERO 2025'!H251</f>
        <v>0</v>
      </c>
      <c r="I251" s="59">
        <v>0</v>
      </c>
      <c r="J251" s="59">
        <f t="shared" si="9"/>
        <v>0</v>
      </c>
      <c r="K251" s="68"/>
    </row>
    <row r="252" spans="1:11" x14ac:dyDescent="0.2">
      <c r="A252" s="75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+'MARZO 2025'!G252+'FEBRERO 2025'!G252+'ENERO 2025'!G252</f>
        <v>0</v>
      </c>
      <c r="H252" s="64">
        <f>+'MARZO 2025'!H252+'FEBRERO 2025'!H252+'ENERO 2025'!H252</f>
        <v>0</v>
      </c>
      <c r="I252" s="64">
        <v>0</v>
      </c>
      <c r="J252" s="64">
        <f t="shared" si="9"/>
        <v>0</v>
      </c>
      <c r="K252" s="65">
        <f>J252/$J$25</f>
        <v>0</v>
      </c>
    </row>
    <row r="253" spans="1:11" x14ac:dyDescent="0.2">
      <c r="A253" s="73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+'MARZO 2025'!G253+'FEBRERO 2025'!G253+'ENERO 2025'!G253</f>
        <v>0</v>
      </c>
      <c r="H253" s="59">
        <f>+'MARZO 2025'!H253+'FEBRERO 2025'!H253+'ENERO 2025'!H253</f>
        <v>0</v>
      </c>
      <c r="I253" s="59">
        <v>0</v>
      </c>
      <c r="J253" s="59">
        <f t="shared" si="9"/>
        <v>0</v>
      </c>
      <c r="K253" s="68"/>
    </row>
    <row r="254" spans="1:11" x14ac:dyDescent="0.2">
      <c r="A254" s="75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+'MARZO 2025'!G254+'FEBRERO 2025'!G254+'ENERO 2025'!G254</f>
        <v>0</v>
      </c>
      <c r="H254" s="64">
        <f>+'MARZO 2025'!H254+'FEBRERO 2025'!H254+'ENERO 2025'!H254</f>
        <v>0</v>
      </c>
      <c r="I254" s="64">
        <v>0</v>
      </c>
      <c r="J254" s="64">
        <f t="shared" si="9"/>
        <v>0</v>
      </c>
      <c r="K254" s="65">
        <f>J254/$J$25</f>
        <v>0</v>
      </c>
    </row>
    <row r="255" spans="1:11" x14ac:dyDescent="0.2">
      <c r="A255" s="73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+'MARZO 2025'!G255+'FEBRERO 2025'!G255+'ENERO 2025'!G255</f>
        <v>0</v>
      </c>
      <c r="H255" s="59">
        <f>+'MARZO 2025'!H255+'FEBRERO 2025'!H255+'ENERO 2025'!H255</f>
        <v>282823.65000000002</v>
      </c>
      <c r="I255" s="59">
        <v>0</v>
      </c>
      <c r="J255" s="59">
        <f t="shared" si="9"/>
        <v>282823.65000000002</v>
      </c>
      <c r="K255" s="68"/>
    </row>
    <row r="256" spans="1:11" x14ac:dyDescent="0.2">
      <c r="A256" s="75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+'MARZO 2025'!G256+'FEBRERO 2025'!G256+'ENERO 2025'!G256</f>
        <v>0</v>
      </c>
      <c r="H256" s="64">
        <f>+'MARZO 2025'!H256+'FEBRERO 2025'!H256+'ENERO 2025'!H256</f>
        <v>282823.65000000002</v>
      </c>
      <c r="I256" s="64">
        <v>0</v>
      </c>
      <c r="J256" s="64">
        <f t="shared" si="9"/>
        <v>282823.65000000002</v>
      </c>
      <c r="K256" s="65">
        <f>J256/$J$25</f>
        <v>9.4883427387560217E-4</v>
      </c>
    </row>
    <row r="257" spans="1:11" x14ac:dyDescent="0.2">
      <c r="A257" s="73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+'MARZO 2025'!G257+'FEBRERO 2025'!G257+'ENERO 2025'!G257</f>
        <v>0</v>
      </c>
      <c r="H257" s="59">
        <f>+'MARZO 2025'!H257+'FEBRERO 2025'!H257+'ENERO 2025'!H257</f>
        <v>0</v>
      </c>
      <c r="I257" s="59">
        <v>0</v>
      </c>
      <c r="J257" s="59">
        <f t="shared" si="9"/>
        <v>0</v>
      </c>
      <c r="K257" s="68"/>
    </row>
    <row r="258" spans="1:11" x14ac:dyDescent="0.2">
      <c r="A258" s="75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+'MARZO 2025'!G258+'FEBRERO 2025'!G258+'ENERO 2025'!G258</f>
        <v>0</v>
      </c>
      <c r="H258" s="64">
        <f>+'MARZO 2025'!H258+'FEBRERO 2025'!H258+'ENERO 2025'!H258</f>
        <v>0</v>
      </c>
      <c r="I258" s="64">
        <v>0</v>
      </c>
      <c r="J258" s="64">
        <f t="shared" si="9"/>
        <v>0</v>
      </c>
      <c r="K258" s="65">
        <f>J258/$J$25</f>
        <v>0</v>
      </c>
    </row>
    <row r="259" spans="1:11" x14ac:dyDescent="0.2">
      <c r="A259" s="73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+'MARZO 2025'!G259+'FEBRERO 2025'!G259+'ENERO 2025'!G259</f>
        <v>334708.95</v>
      </c>
      <c r="H259" s="59">
        <f>+'MARZO 2025'!H259+'FEBRERO 2025'!H259+'ENERO 2025'!H259</f>
        <v>284671.22000000003</v>
      </c>
      <c r="I259" s="59">
        <v>0</v>
      </c>
      <c r="J259" s="59">
        <f t="shared" si="9"/>
        <v>619380.17000000004</v>
      </c>
      <c r="K259" s="68"/>
    </row>
    <row r="260" spans="1:11" x14ac:dyDescent="0.2">
      <c r="A260" s="75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+'MARZO 2025'!G260+'FEBRERO 2025'!G260+'ENERO 2025'!G260</f>
        <v>334708.95</v>
      </c>
      <c r="H260" s="64">
        <f>+'MARZO 2025'!H260+'FEBRERO 2025'!H260+'ENERO 2025'!H260</f>
        <v>284671.22000000003</v>
      </c>
      <c r="I260" s="64">
        <v>0</v>
      </c>
      <c r="J260" s="64">
        <f t="shared" si="9"/>
        <v>619380.17000000004</v>
      </c>
      <c r="K260" s="65">
        <f>J260/$J$25</f>
        <v>2.0779349034456525E-3</v>
      </c>
    </row>
    <row r="261" spans="1:11" x14ac:dyDescent="0.2">
      <c r="A261" s="71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+'MARZO 2025'!G261+'FEBRERO 2025'!G261+'ENERO 2025'!G261</f>
        <v>11630.98</v>
      </c>
      <c r="H261" s="56">
        <f>+'MARZO 2025'!H261+'FEBRERO 2025'!H261+'ENERO 2025'!H261</f>
        <v>293957.30000000005</v>
      </c>
      <c r="I261" s="56">
        <v>0</v>
      </c>
      <c r="J261" s="56">
        <f t="shared" si="9"/>
        <v>305588.28000000003</v>
      </c>
      <c r="K261" s="53"/>
    </row>
    <row r="262" spans="1:11" x14ac:dyDescent="0.2">
      <c r="A262" s="73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+'MARZO 2025'!G262+'FEBRERO 2025'!G262+'ENERO 2025'!G262</f>
        <v>0</v>
      </c>
      <c r="H262" s="59">
        <f>+'MARZO 2025'!H262+'FEBRERO 2025'!H262+'ENERO 2025'!H262</f>
        <v>989.98</v>
      </c>
      <c r="I262" s="59">
        <v>0</v>
      </c>
      <c r="J262" s="59">
        <f t="shared" si="9"/>
        <v>989.98</v>
      </c>
      <c r="K262" s="68"/>
    </row>
    <row r="263" spans="1:11" x14ac:dyDescent="0.2">
      <c r="A263" s="75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+'MARZO 2025'!G263+'FEBRERO 2025'!G263+'ENERO 2025'!G263</f>
        <v>0</v>
      </c>
      <c r="H263" s="64">
        <f>+'MARZO 2025'!H263+'FEBRERO 2025'!H263+'ENERO 2025'!H263</f>
        <v>989.98</v>
      </c>
      <c r="I263" s="64">
        <v>0</v>
      </c>
      <c r="J263" s="64">
        <f t="shared" si="9"/>
        <v>989.98</v>
      </c>
      <c r="K263" s="65">
        <f>J263/$J$25</f>
        <v>3.3212461350080466E-6</v>
      </c>
    </row>
    <row r="264" spans="1:11" x14ac:dyDescent="0.2">
      <c r="A264" s="75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+'MARZO 2025'!G264+'FEBRERO 2025'!G264+'ENERO 2025'!G264</f>
        <v>0</v>
      </c>
      <c r="H264" s="64">
        <f>+'MARZO 2025'!H264+'FEBRERO 2025'!H264+'ENERO 2025'!H264</f>
        <v>0</v>
      </c>
      <c r="I264" s="64">
        <v>0</v>
      </c>
      <c r="J264" s="64">
        <f t="shared" si="9"/>
        <v>0</v>
      </c>
      <c r="K264" s="65">
        <f>J264/$J$25</f>
        <v>0</v>
      </c>
    </row>
    <row r="265" spans="1:11" x14ac:dyDescent="0.2">
      <c r="A265" s="75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+'MARZO 2025'!G265+'FEBRERO 2025'!G265+'ENERO 2025'!G265</f>
        <v>0</v>
      </c>
      <c r="H265" s="64">
        <f>+'MARZO 2025'!H265+'FEBRERO 2025'!H265+'ENERO 2025'!H265</f>
        <v>0</v>
      </c>
      <c r="I265" s="64">
        <v>0</v>
      </c>
      <c r="J265" s="64">
        <f t="shared" si="9"/>
        <v>0</v>
      </c>
      <c r="K265" s="65">
        <f>J265/$J$25</f>
        <v>0</v>
      </c>
    </row>
    <row r="266" spans="1:11" x14ac:dyDescent="0.2">
      <c r="A266" s="75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+'MARZO 2025'!G266+'FEBRERO 2025'!G266+'ENERO 2025'!G266</f>
        <v>0</v>
      </c>
      <c r="H266" s="64">
        <f>+'MARZO 2025'!H266+'FEBRERO 2025'!H266+'ENERO 2025'!H266</f>
        <v>0</v>
      </c>
      <c r="I266" s="64">
        <v>0</v>
      </c>
      <c r="J266" s="64">
        <f t="shared" si="9"/>
        <v>0</v>
      </c>
      <c r="K266" s="65">
        <f>J266/$J$25</f>
        <v>0</v>
      </c>
    </row>
    <row r="267" spans="1:11" x14ac:dyDescent="0.2">
      <c r="A267" s="75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+'MARZO 2025'!G267+'FEBRERO 2025'!G267+'ENERO 2025'!G267</f>
        <v>0</v>
      </c>
      <c r="H267" s="64">
        <f>+'MARZO 2025'!H267+'FEBRERO 2025'!H267+'ENERO 2025'!H267</f>
        <v>0</v>
      </c>
      <c r="I267" s="64">
        <v>0</v>
      </c>
      <c r="J267" s="64">
        <f t="shared" si="9"/>
        <v>0</v>
      </c>
      <c r="K267" s="65">
        <f>J267/$J$25</f>
        <v>0</v>
      </c>
    </row>
    <row r="268" spans="1:11" x14ac:dyDescent="0.2">
      <c r="A268" s="73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+'MARZO 2025'!G268+'FEBRERO 2025'!G268+'ENERO 2025'!G268</f>
        <v>0</v>
      </c>
      <c r="H268" s="59">
        <f>+'MARZO 2025'!H268+'FEBRERO 2025'!H268+'ENERO 2025'!H268</f>
        <v>138195.21</v>
      </c>
      <c r="I268" s="59">
        <v>0</v>
      </c>
      <c r="J268" s="59">
        <f t="shared" si="9"/>
        <v>138195.21</v>
      </c>
      <c r="K268" s="68"/>
    </row>
    <row r="269" spans="1:11" x14ac:dyDescent="0.2">
      <c r="A269" s="75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+'MARZO 2025'!G269+'FEBRERO 2025'!G269+'ENERO 2025'!G269</f>
        <v>0</v>
      </c>
      <c r="H269" s="64">
        <f>+'MARZO 2025'!H269+'FEBRERO 2025'!H269+'ENERO 2025'!H269</f>
        <v>15149.94</v>
      </c>
      <c r="I269" s="64">
        <v>0</v>
      </c>
      <c r="J269" s="64">
        <f t="shared" si="9"/>
        <v>15149.94</v>
      </c>
      <c r="K269" s="65">
        <f>J269/$J$25</f>
        <v>5.0825955747190661E-5</v>
      </c>
    </row>
    <row r="270" spans="1:11" x14ac:dyDescent="0.2">
      <c r="A270" s="75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+'MARZO 2025'!G270+'FEBRERO 2025'!G270+'ENERO 2025'!G270</f>
        <v>0</v>
      </c>
      <c r="H270" s="64">
        <f>+'MARZO 2025'!H270+'FEBRERO 2025'!H270+'ENERO 2025'!H270</f>
        <v>0</v>
      </c>
      <c r="I270" s="64">
        <v>0</v>
      </c>
      <c r="J270" s="64">
        <f t="shared" si="9"/>
        <v>0</v>
      </c>
      <c r="K270" s="65">
        <f>J270/$J$25</f>
        <v>0</v>
      </c>
    </row>
    <row r="271" spans="1:11" x14ac:dyDescent="0.2">
      <c r="A271" s="75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+'MARZO 2025'!G271+'FEBRERO 2025'!G271+'ENERO 2025'!G271</f>
        <v>0</v>
      </c>
      <c r="H271" s="64">
        <f>+'MARZO 2025'!H271+'FEBRERO 2025'!H271+'ENERO 2025'!H271</f>
        <v>123045.27</v>
      </c>
      <c r="I271" s="64">
        <v>0</v>
      </c>
      <c r="J271" s="64">
        <f t="shared" si="9"/>
        <v>123045.27</v>
      </c>
      <c r="K271" s="65">
        <f>J271/$J$25</f>
        <v>4.1279988223855184E-4</v>
      </c>
    </row>
    <row r="272" spans="1:11" x14ac:dyDescent="0.2">
      <c r="A272" s="73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+'MARZO 2025'!G272+'FEBRERO 2025'!G272+'ENERO 2025'!G272</f>
        <v>11630.98</v>
      </c>
      <c r="H272" s="59">
        <f>+'MARZO 2025'!H272+'FEBRERO 2025'!H272+'ENERO 2025'!H272</f>
        <v>154772.10999999999</v>
      </c>
      <c r="I272" s="59">
        <v>0</v>
      </c>
      <c r="J272" s="59">
        <f t="shared" si="9"/>
        <v>166403.09</v>
      </c>
      <c r="K272" s="68"/>
    </row>
    <row r="273" spans="1:11" x14ac:dyDescent="0.2">
      <c r="A273" s="75">
        <v>2</v>
      </c>
      <c r="B273" s="62">
        <v>3</v>
      </c>
      <c r="C273" s="62">
        <v>6</v>
      </c>
      <c r="D273" s="62">
        <v>3</v>
      </c>
      <c r="E273" s="63" t="s">
        <v>41</v>
      </c>
      <c r="F273" s="82" t="s">
        <v>232</v>
      </c>
      <c r="G273" s="64">
        <f>+'MARZO 2025'!G273+'FEBRERO 2025'!G273+'ENERO 2025'!G273</f>
        <v>1261.1300000000001</v>
      </c>
      <c r="H273" s="64">
        <f>+'MARZO 2025'!H273+'FEBRERO 2025'!H273+'ENERO 2025'!H273</f>
        <v>87250.03</v>
      </c>
      <c r="I273" s="64">
        <v>0</v>
      </c>
      <c r="J273" s="64">
        <f t="shared" si="9"/>
        <v>88511.16</v>
      </c>
      <c r="K273" s="65">
        <f>J273/$J$25</f>
        <v>2.9694271404985843E-4</v>
      </c>
    </row>
    <row r="274" spans="1:11" x14ac:dyDescent="0.2">
      <c r="A274" s="75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+'MARZO 2025'!G274+'FEBRERO 2025'!G274+'ENERO 2025'!G274</f>
        <v>0</v>
      </c>
      <c r="H274" s="64">
        <f>+'MARZO 2025'!H274+'FEBRERO 2025'!H274+'ENERO 2025'!H274</f>
        <v>0</v>
      </c>
      <c r="I274" s="64">
        <v>0</v>
      </c>
      <c r="J274" s="64">
        <f t="shared" si="9"/>
        <v>0</v>
      </c>
      <c r="K274" s="65">
        <f>J274/$J$25</f>
        <v>0</v>
      </c>
    </row>
    <row r="275" spans="1:11" x14ac:dyDescent="0.2">
      <c r="A275" s="75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+'MARZO 2025'!G275+'FEBRERO 2025'!G275+'ENERO 2025'!G275</f>
        <v>10369.85</v>
      </c>
      <c r="H275" s="64">
        <f>+'MARZO 2025'!H275+'FEBRERO 2025'!H275+'ENERO 2025'!H275</f>
        <v>67522.080000000002</v>
      </c>
      <c r="I275" s="64">
        <v>0</v>
      </c>
      <c r="J275" s="64">
        <f t="shared" si="9"/>
        <v>77891.930000000008</v>
      </c>
      <c r="K275" s="65">
        <f>J275/$J$25</f>
        <v>2.6131666443849103E-4</v>
      </c>
    </row>
    <row r="276" spans="1:11" x14ac:dyDescent="0.2">
      <c r="A276" s="73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+'MARZO 2025'!G276+'FEBRERO 2025'!G276+'ENERO 2025'!G276</f>
        <v>0</v>
      </c>
      <c r="H276" s="59">
        <f>+'MARZO 2025'!H276+'FEBRERO 2025'!H276+'ENERO 2025'!H276</f>
        <v>0</v>
      </c>
      <c r="I276" s="59">
        <v>0</v>
      </c>
      <c r="J276" s="59">
        <f t="shared" si="9"/>
        <v>0</v>
      </c>
      <c r="K276" s="68"/>
    </row>
    <row r="277" spans="1:11" x14ac:dyDescent="0.2">
      <c r="A277" s="75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+'MARZO 2025'!G277+'FEBRERO 2025'!G277+'ENERO 2025'!G277</f>
        <v>0</v>
      </c>
      <c r="H277" s="64">
        <f>+'MARZO 2025'!H277+'FEBRERO 2025'!H277+'ENERO 2025'!H277</f>
        <v>0</v>
      </c>
      <c r="I277" s="64">
        <v>0</v>
      </c>
      <c r="J277" s="64">
        <f t="shared" si="9"/>
        <v>0</v>
      </c>
      <c r="K277" s="65">
        <f t="shared" ref="K277:K283" si="10">J277/$J$25</f>
        <v>0</v>
      </c>
    </row>
    <row r="278" spans="1:11" x14ac:dyDescent="0.2">
      <c r="A278" s="75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+'MARZO 2025'!G278+'FEBRERO 2025'!G278+'ENERO 2025'!G278</f>
        <v>0</v>
      </c>
      <c r="H278" s="64">
        <f>+'MARZO 2025'!H278+'FEBRERO 2025'!H278+'ENERO 2025'!H278</f>
        <v>0</v>
      </c>
      <c r="I278" s="64">
        <v>0</v>
      </c>
      <c r="J278" s="64">
        <f t="shared" si="9"/>
        <v>0</v>
      </c>
      <c r="K278" s="65">
        <f t="shared" si="10"/>
        <v>0</v>
      </c>
    </row>
    <row r="279" spans="1:11" x14ac:dyDescent="0.2">
      <c r="A279" s="75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+'MARZO 2025'!G279+'FEBRERO 2025'!G279+'ENERO 2025'!G279</f>
        <v>0</v>
      </c>
      <c r="H279" s="64">
        <f>+'MARZO 2025'!H279+'FEBRERO 2025'!H279+'ENERO 2025'!H279</f>
        <v>0</v>
      </c>
      <c r="I279" s="64">
        <v>0</v>
      </c>
      <c r="J279" s="64">
        <f t="shared" si="9"/>
        <v>0</v>
      </c>
      <c r="K279" s="65">
        <f t="shared" si="10"/>
        <v>0</v>
      </c>
    </row>
    <row r="280" spans="1:11" x14ac:dyDescent="0.2">
      <c r="A280" s="75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+'MARZO 2025'!G280+'FEBRERO 2025'!G280+'ENERO 2025'!G280</f>
        <v>0</v>
      </c>
      <c r="H280" s="64">
        <f>+'MARZO 2025'!H280+'FEBRERO 2025'!H280+'ENERO 2025'!H280</f>
        <v>0</v>
      </c>
      <c r="I280" s="64">
        <v>0</v>
      </c>
      <c r="J280" s="64">
        <f t="shared" si="9"/>
        <v>0</v>
      </c>
      <c r="K280" s="65">
        <f t="shared" si="10"/>
        <v>0</v>
      </c>
    </row>
    <row r="281" spans="1:11" x14ac:dyDescent="0.2">
      <c r="A281" s="75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+'MARZO 2025'!G281+'FEBRERO 2025'!G281+'ENERO 2025'!G281</f>
        <v>0</v>
      </c>
      <c r="H281" s="64">
        <f>+'MARZO 2025'!H281+'FEBRERO 2025'!H281+'ENERO 2025'!H281</f>
        <v>0</v>
      </c>
      <c r="I281" s="64">
        <v>0</v>
      </c>
      <c r="J281" s="64">
        <f t="shared" si="9"/>
        <v>0</v>
      </c>
      <c r="K281" s="65">
        <f t="shared" si="10"/>
        <v>0</v>
      </c>
    </row>
    <row r="282" spans="1:11" x14ac:dyDescent="0.2">
      <c r="A282" s="75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+'MARZO 2025'!G282+'FEBRERO 2025'!G282+'ENERO 2025'!G282</f>
        <v>0</v>
      </c>
      <c r="H282" s="64">
        <f>+'MARZO 2025'!H282+'FEBRERO 2025'!H282+'ENERO 2025'!H282</f>
        <v>0</v>
      </c>
      <c r="I282" s="64">
        <v>0</v>
      </c>
      <c r="J282" s="64">
        <f t="shared" si="9"/>
        <v>0</v>
      </c>
      <c r="K282" s="65">
        <f t="shared" si="10"/>
        <v>0</v>
      </c>
    </row>
    <row r="283" spans="1:11" x14ac:dyDescent="0.2">
      <c r="A283" s="75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+'MARZO 2025'!G283+'FEBRERO 2025'!G283+'ENERO 2025'!G283</f>
        <v>0</v>
      </c>
      <c r="H283" s="64">
        <f>+'MARZO 2025'!H283+'FEBRERO 2025'!H283+'ENERO 2025'!H283</f>
        <v>0</v>
      </c>
      <c r="I283" s="64">
        <v>0</v>
      </c>
      <c r="J283" s="64">
        <f t="shared" ref="J283:J348" si="11">SUM(G283:I283)</f>
        <v>0</v>
      </c>
      <c r="K283" s="65">
        <f t="shared" si="10"/>
        <v>0</v>
      </c>
    </row>
    <row r="284" spans="1:11" x14ac:dyDescent="0.2">
      <c r="A284" s="73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+'MARZO 2025'!G284+'FEBRERO 2025'!G284+'ENERO 2025'!G284</f>
        <v>0</v>
      </c>
      <c r="H284" s="59">
        <f>+'MARZO 2025'!H284+'FEBRERO 2025'!H284+'ENERO 2025'!H284</f>
        <v>0</v>
      </c>
      <c r="I284" s="59">
        <v>0</v>
      </c>
      <c r="J284" s="59">
        <f t="shared" si="11"/>
        <v>0</v>
      </c>
      <c r="K284" s="68"/>
    </row>
    <row r="285" spans="1:11" x14ac:dyDescent="0.2">
      <c r="A285" s="75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+'MARZO 2025'!G285+'FEBRERO 2025'!G285+'ENERO 2025'!G285</f>
        <v>0</v>
      </c>
      <c r="H285" s="64">
        <f>+'MARZO 2025'!H285+'FEBRERO 2025'!H285+'ENERO 2025'!H285</f>
        <v>0</v>
      </c>
      <c r="I285" s="64">
        <v>0</v>
      </c>
      <c r="J285" s="64">
        <f t="shared" si="11"/>
        <v>0</v>
      </c>
      <c r="K285" s="65">
        <f>J285/$J$25</f>
        <v>0</v>
      </c>
    </row>
    <row r="286" spans="1:11" x14ac:dyDescent="0.2">
      <c r="A286" s="54">
        <v>2</v>
      </c>
      <c r="B286" s="55">
        <v>3</v>
      </c>
      <c r="C286" s="55">
        <v>7</v>
      </c>
      <c r="D286" s="55"/>
      <c r="E286" s="55"/>
      <c r="F286" s="84" t="s">
        <v>245</v>
      </c>
      <c r="G286" s="56">
        <f>+'MARZO 2025'!G286+'FEBRERO 2025'!G286+'ENERO 2025'!G286</f>
        <v>8910101.959999999</v>
      </c>
      <c r="H286" s="56">
        <f>+'MARZO 2025'!H286+'FEBRERO 2025'!H286+'ENERO 2025'!H286</f>
        <v>1660334.56</v>
      </c>
      <c r="I286" s="56">
        <v>0</v>
      </c>
      <c r="J286" s="56">
        <f t="shared" si="11"/>
        <v>10570436.52</v>
      </c>
      <c r="K286" s="53"/>
    </row>
    <row r="287" spans="1:11" x14ac:dyDescent="0.2">
      <c r="A287" s="73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+'MARZO 2025'!G287+'FEBRERO 2025'!G287+'ENERO 2025'!G287</f>
        <v>555829</v>
      </c>
      <c r="H287" s="59">
        <f>+'MARZO 2025'!H287+'FEBRERO 2025'!H287+'ENERO 2025'!H287</f>
        <v>690795.97</v>
      </c>
      <c r="I287" s="59">
        <v>0</v>
      </c>
      <c r="J287" s="59">
        <f t="shared" si="11"/>
        <v>1246624.97</v>
      </c>
      <c r="K287" s="68"/>
    </row>
    <row r="288" spans="1:11" x14ac:dyDescent="0.2">
      <c r="A288" s="75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+'MARZO 2025'!G288+'FEBRERO 2025'!G288+'ENERO 2025'!G288</f>
        <v>555829</v>
      </c>
      <c r="H288" s="64">
        <f>+'MARZO 2025'!H288+'FEBRERO 2025'!H288+'ENERO 2025'!H288</f>
        <v>516000</v>
      </c>
      <c r="I288" s="64">
        <v>0</v>
      </c>
      <c r="J288" s="64">
        <f t="shared" si="11"/>
        <v>1071829</v>
      </c>
      <c r="K288" s="65">
        <f t="shared" ref="K288:K294" si="12">J288/$J$25</f>
        <v>3.5958382226302953E-3</v>
      </c>
    </row>
    <row r="289" spans="1:11" x14ac:dyDescent="0.2">
      <c r="A289" s="75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+'MARZO 2025'!G289+'FEBRERO 2025'!G289+'ENERO 2025'!G289</f>
        <v>0</v>
      </c>
      <c r="H289" s="64">
        <f>+'MARZO 2025'!H289+'FEBRERO 2025'!H289+'ENERO 2025'!H289</f>
        <v>0</v>
      </c>
      <c r="I289" s="64">
        <v>0</v>
      </c>
      <c r="J289" s="64">
        <f t="shared" si="11"/>
        <v>0</v>
      </c>
      <c r="K289" s="65">
        <f t="shared" si="12"/>
        <v>0</v>
      </c>
    </row>
    <row r="290" spans="1:11" x14ac:dyDescent="0.2">
      <c r="A290" s="75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+'MARZO 2025'!G290+'FEBRERO 2025'!G290+'ENERO 2025'!G290</f>
        <v>0</v>
      </c>
      <c r="H290" s="64">
        <f>+'MARZO 2025'!H290+'FEBRERO 2025'!H290+'ENERO 2025'!H290</f>
        <v>0</v>
      </c>
      <c r="I290" s="64">
        <v>0</v>
      </c>
      <c r="J290" s="64">
        <f t="shared" si="11"/>
        <v>0</v>
      </c>
      <c r="K290" s="65">
        <f t="shared" si="12"/>
        <v>0</v>
      </c>
    </row>
    <row r="291" spans="1:11" x14ac:dyDescent="0.2">
      <c r="A291" s="75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+'MARZO 2025'!G291+'FEBRERO 2025'!G291+'ENERO 2025'!G291</f>
        <v>0</v>
      </c>
      <c r="H291" s="64">
        <f>+'MARZO 2025'!H291+'FEBRERO 2025'!H291+'ENERO 2025'!H291</f>
        <v>174795.97</v>
      </c>
      <c r="I291" s="64">
        <v>0</v>
      </c>
      <c r="J291" s="64">
        <f t="shared" si="11"/>
        <v>174795.97</v>
      </c>
      <c r="K291" s="65">
        <f t="shared" si="12"/>
        <v>5.8641633141829383E-4</v>
      </c>
    </row>
    <row r="292" spans="1:11" x14ac:dyDescent="0.2">
      <c r="A292" s="75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+'MARZO 2025'!G292+'FEBRERO 2025'!G292+'ENERO 2025'!G292</f>
        <v>0</v>
      </c>
      <c r="H292" s="64">
        <f>+'MARZO 2025'!H292+'FEBRERO 2025'!H292+'ENERO 2025'!H292</f>
        <v>0</v>
      </c>
      <c r="I292" s="64">
        <v>0</v>
      </c>
      <c r="J292" s="64">
        <f t="shared" si="11"/>
        <v>0</v>
      </c>
      <c r="K292" s="65">
        <f t="shared" si="12"/>
        <v>0</v>
      </c>
    </row>
    <row r="293" spans="1:11" x14ac:dyDescent="0.2">
      <c r="A293" s="75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+'MARZO 2025'!G293+'FEBRERO 2025'!G293+'ENERO 2025'!G293</f>
        <v>0</v>
      </c>
      <c r="H293" s="64">
        <f>+'MARZO 2025'!H293+'FEBRERO 2025'!H293+'ENERO 2025'!H293</f>
        <v>0</v>
      </c>
      <c r="I293" s="64">
        <v>0</v>
      </c>
      <c r="J293" s="64">
        <f t="shared" si="11"/>
        <v>0</v>
      </c>
      <c r="K293" s="65">
        <f t="shared" si="12"/>
        <v>0</v>
      </c>
    </row>
    <row r="294" spans="1:11" x14ac:dyDescent="0.2">
      <c r="A294" s="75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+'MARZO 2025'!G294+'FEBRERO 2025'!G294+'ENERO 2025'!G294</f>
        <v>0</v>
      </c>
      <c r="H294" s="64">
        <f>+'MARZO 2025'!H294+'FEBRERO 2025'!H294+'ENERO 2025'!H294</f>
        <v>0</v>
      </c>
      <c r="I294" s="64">
        <v>0</v>
      </c>
      <c r="J294" s="64">
        <f t="shared" si="11"/>
        <v>0</v>
      </c>
      <c r="K294" s="65">
        <f t="shared" si="12"/>
        <v>0</v>
      </c>
    </row>
    <row r="295" spans="1:11" x14ac:dyDescent="0.2">
      <c r="A295" s="73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+'MARZO 2025'!G295+'FEBRERO 2025'!G295+'ENERO 2025'!G295</f>
        <v>8354272.96</v>
      </c>
      <c r="H295" s="59">
        <f>+'MARZO 2025'!H295+'FEBRERO 2025'!H295+'ENERO 2025'!H295</f>
        <v>969538.59</v>
      </c>
      <c r="I295" s="59">
        <v>0</v>
      </c>
      <c r="J295" s="59">
        <f t="shared" si="11"/>
        <v>9323811.5500000007</v>
      </c>
      <c r="K295" s="68"/>
    </row>
    <row r="296" spans="1:11" x14ac:dyDescent="0.2">
      <c r="A296" s="75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+'MARZO 2025'!G296+'FEBRERO 2025'!G296+'ENERO 2025'!G296</f>
        <v>0</v>
      </c>
      <c r="H296" s="64">
        <f>+'MARZO 2025'!H296+'FEBRERO 2025'!H296+'ENERO 2025'!H296</f>
        <v>0</v>
      </c>
      <c r="I296" s="64">
        <v>0</v>
      </c>
      <c r="J296" s="64">
        <f t="shared" si="11"/>
        <v>0</v>
      </c>
      <c r="K296" s="65">
        <f t="shared" ref="K296:K302" si="13">J296/$J$25</f>
        <v>0</v>
      </c>
    </row>
    <row r="297" spans="1:11" x14ac:dyDescent="0.2">
      <c r="A297" s="75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+'MARZO 2025'!G297+'FEBRERO 2025'!G297+'ENERO 2025'!G297</f>
        <v>0</v>
      </c>
      <c r="H297" s="64">
        <f>+'MARZO 2025'!H297+'FEBRERO 2025'!H297+'ENERO 2025'!H297</f>
        <v>0</v>
      </c>
      <c r="I297" s="64">
        <v>0</v>
      </c>
      <c r="J297" s="64">
        <f t="shared" si="11"/>
        <v>0</v>
      </c>
      <c r="K297" s="65">
        <f t="shared" si="13"/>
        <v>0</v>
      </c>
    </row>
    <row r="298" spans="1:11" x14ac:dyDescent="0.2">
      <c r="A298" s="75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+'MARZO 2025'!G298+'FEBRERO 2025'!G298+'ENERO 2025'!G298</f>
        <v>7340620.9500000002</v>
      </c>
      <c r="H298" s="64">
        <f>+'MARZO 2025'!H298+'FEBRERO 2025'!H298+'ENERO 2025'!H298</f>
        <v>25875</v>
      </c>
      <c r="I298" s="64">
        <v>0</v>
      </c>
      <c r="J298" s="64">
        <f t="shared" si="11"/>
        <v>7366495.9500000002</v>
      </c>
      <c r="K298" s="65">
        <f t="shared" si="13"/>
        <v>2.4713576236378442E-2</v>
      </c>
    </row>
    <row r="299" spans="1:11" x14ac:dyDescent="0.2">
      <c r="A299" s="75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+'MARZO 2025'!G299+'FEBRERO 2025'!G299+'ENERO 2025'!G299</f>
        <v>0</v>
      </c>
      <c r="H299" s="64">
        <f>+'MARZO 2025'!H299+'FEBRERO 2025'!H299+'ENERO 2025'!H299</f>
        <v>0</v>
      </c>
      <c r="I299" s="64">
        <v>0</v>
      </c>
      <c r="J299" s="64">
        <f t="shared" si="11"/>
        <v>0</v>
      </c>
      <c r="K299" s="65">
        <f t="shared" si="13"/>
        <v>0</v>
      </c>
    </row>
    <row r="300" spans="1:11" x14ac:dyDescent="0.2">
      <c r="A300" s="75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+'MARZO 2025'!G300+'FEBRERO 2025'!G300+'ENERO 2025'!G300</f>
        <v>0</v>
      </c>
      <c r="H300" s="64">
        <f>+'MARZO 2025'!H300+'FEBRERO 2025'!H300+'ENERO 2025'!H300</f>
        <v>0</v>
      </c>
      <c r="I300" s="64">
        <v>0</v>
      </c>
      <c r="J300" s="64">
        <f t="shared" si="11"/>
        <v>0</v>
      </c>
      <c r="K300" s="65">
        <f t="shared" si="13"/>
        <v>0</v>
      </c>
    </row>
    <row r="301" spans="1:11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5" t="s">
        <v>260</v>
      </c>
      <c r="G301" s="64">
        <f>+'MARZO 2025'!G301+'FEBRERO 2025'!G301+'ENERO 2025'!G301</f>
        <v>203654.83</v>
      </c>
      <c r="H301" s="64">
        <f>+'MARZO 2025'!H301+'FEBRERO 2025'!H301+'ENERO 2025'!H301</f>
        <v>0</v>
      </c>
      <c r="I301" s="64">
        <v>0</v>
      </c>
      <c r="J301" s="64">
        <f t="shared" si="11"/>
        <v>203654.83</v>
      </c>
      <c r="K301" s="65">
        <f t="shared" si="13"/>
        <v>6.8323381988850355E-4</v>
      </c>
    </row>
    <row r="302" spans="1:11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5" t="s">
        <v>261</v>
      </c>
      <c r="G302" s="64">
        <f>+'MARZO 2025'!G302+'FEBRERO 2025'!G302+'ENERO 2025'!G302</f>
        <v>809997.18</v>
      </c>
      <c r="H302" s="64">
        <f>+'MARZO 2025'!H302+'FEBRERO 2025'!H302+'ENERO 2025'!H302</f>
        <v>943663.59</v>
      </c>
      <c r="I302" s="64">
        <v>0</v>
      </c>
      <c r="J302" s="64">
        <f t="shared" si="11"/>
        <v>1753660.77</v>
      </c>
      <c r="K302" s="65">
        <f t="shared" si="13"/>
        <v>5.8832896164344077E-3</v>
      </c>
    </row>
    <row r="303" spans="1:11" x14ac:dyDescent="0.2">
      <c r="A303" s="54">
        <v>2</v>
      </c>
      <c r="B303" s="55">
        <v>3</v>
      </c>
      <c r="C303" s="55">
        <v>8</v>
      </c>
      <c r="D303" s="55"/>
      <c r="E303" s="55"/>
      <c r="F303" s="84" t="s">
        <v>262</v>
      </c>
      <c r="G303" s="56">
        <f>+'MARZO 2025'!G303+'FEBRERO 2025'!G303+'ENERO 2025'!G303</f>
        <v>0</v>
      </c>
      <c r="H303" s="56">
        <f>+'MARZO 2025'!H303+'FEBRERO 2025'!H303+'ENERO 2025'!H303</f>
        <v>0</v>
      </c>
      <c r="I303" s="56">
        <v>0</v>
      </c>
      <c r="J303" s="56">
        <f t="shared" si="11"/>
        <v>0</v>
      </c>
      <c r="K303" s="53"/>
    </row>
    <row r="304" spans="1:11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+'MARZO 2025'!G304+'FEBRERO 2025'!G304+'ENERO 2025'!G304</f>
        <v>0</v>
      </c>
      <c r="H304" s="59">
        <f>+'MARZO 2025'!H304+'FEBRERO 2025'!H304+'ENERO 2025'!H304</f>
        <v>0</v>
      </c>
      <c r="I304" s="59">
        <v>0</v>
      </c>
      <c r="J304" s="59">
        <f t="shared" si="11"/>
        <v>0</v>
      </c>
      <c r="K304" s="68"/>
    </row>
    <row r="305" spans="1:11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+'MARZO 2025'!G305+'FEBRERO 2025'!G305+'ENERO 2025'!G305</f>
        <v>0</v>
      </c>
      <c r="H305" s="64">
        <f>+'MARZO 2025'!H305+'FEBRERO 2025'!H305+'ENERO 2025'!H305</f>
        <v>0</v>
      </c>
      <c r="I305" s="64">
        <v>0</v>
      </c>
      <c r="J305" s="64">
        <f t="shared" si="11"/>
        <v>0</v>
      </c>
      <c r="K305" s="65">
        <f>J305/$J$25</f>
        <v>0</v>
      </c>
    </row>
    <row r="306" spans="1:11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3" t="s">
        <v>264</v>
      </c>
      <c r="G306" s="59">
        <f>+'MARZO 2025'!G306+'FEBRERO 2025'!G306+'ENERO 2025'!G306</f>
        <v>0</v>
      </c>
      <c r="H306" s="59">
        <f>+'MARZO 2025'!H306+'FEBRERO 2025'!H306+'ENERO 2025'!H306</f>
        <v>0</v>
      </c>
      <c r="I306" s="59">
        <v>0</v>
      </c>
      <c r="J306" s="59">
        <f t="shared" si="11"/>
        <v>0</v>
      </c>
      <c r="K306" s="68"/>
    </row>
    <row r="307" spans="1:11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2" t="s">
        <v>264</v>
      </c>
      <c r="G307" s="64">
        <f>+'MARZO 2025'!G307+'FEBRERO 2025'!G307+'ENERO 2025'!G307</f>
        <v>0</v>
      </c>
      <c r="H307" s="64">
        <f>+'MARZO 2025'!H307+'FEBRERO 2025'!H307+'ENERO 2025'!H307</f>
        <v>0</v>
      </c>
      <c r="I307" s="64">
        <v>0</v>
      </c>
      <c r="J307" s="64">
        <f t="shared" si="11"/>
        <v>0</v>
      </c>
      <c r="K307" s="65">
        <f>J307/$J$25</f>
        <v>0</v>
      </c>
    </row>
    <row r="308" spans="1:11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+'MARZO 2025'!G308+'FEBRERO 2025'!G308+'ENERO 2025'!G308</f>
        <v>20497065.890000001</v>
      </c>
      <c r="H308" s="56">
        <f>+'MARZO 2025'!H308+'FEBRERO 2025'!H308+'ENERO 2025'!H308</f>
        <v>2460841.75</v>
      </c>
      <c r="I308" s="56">
        <v>0</v>
      </c>
      <c r="J308" s="56">
        <f t="shared" si="11"/>
        <v>22957907.640000001</v>
      </c>
      <c r="K308" s="53"/>
    </row>
    <row r="309" spans="1:11" x14ac:dyDescent="0.2">
      <c r="A309" s="73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+'MARZO 2025'!G309+'FEBRERO 2025'!G309+'ENERO 2025'!G309</f>
        <v>1476859.13</v>
      </c>
      <c r="H309" s="59">
        <f>+'MARZO 2025'!H309+'FEBRERO 2025'!H309+'ENERO 2025'!H309</f>
        <v>0</v>
      </c>
      <c r="I309" s="59">
        <v>0</v>
      </c>
      <c r="J309" s="59">
        <f>SUM(G309:I309)</f>
        <v>1476859.13</v>
      </c>
      <c r="K309" s="68"/>
    </row>
    <row r="310" spans="1:11" x14ac:dyDescent="0.2">
      <c r="A310" s="75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+'MARZO 2025'!G310+'FEBRERO 2025'!G310+'ENERO 2025'!G310</f>
        <v>1476859.13</v>
      </c>
      <c r="H310" s="64">
        <f>+'MARZO 2025'!H310+'FEBRERO 2025'!H310+'ENERO 2025'!H310</f>
        <v>0</v>
      </c>
      <c r="I310" s="64">
        <v>0</v>
      </c>
      <c r="J310" s="64">
        <f t="shared" si="11"/>
        <v>1476859.13</v>
      </c>
      <c r="K310" s="65">
        <f>J310/$J$25</f>
        <v>4.9546583541726563E-3</v>
      </c>
    </row>
    <row r="311" spans="1:11" x14ac:dyDescent="0.2">
      <c r="A311" s="75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+'MARZO 2025'!G311+'FEBRERO 2025'!G311+'ENERO 2025'!G311</f>
        <v>0</v>
      </c>
      <c r="H311" s="64">
        <f>+'MARZO 2025'!H311+'FEBRERO 2025'!H311+'ENERO 2025'!H311</f>
        <v>0</v>
      </c>
      <c r="I311" s="64">
        <v>0</v>
      </c>
      <c r="J311" s="64">
        <f t="shared" si="11"/>
        <v>0</v>
      </c>
      <c r="K311" s="65">
        <f>J311/$J$25</f>
        <v>0</v>
      </c>
    </row>
    <row r="312" spans="1:11" x14ac:dyDescent="0.2">
      <c r="A312" s="73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+'MARZO 2025'!G312+'FEBRERO 2025'!G312+'ENERO 2025'!G312</f>
        <v>132475.4</v>
      </c>
      <c r="H312" s="59">
        <f>+'MARZO 2025'!H312+'FEBRERO 2025'!H312+'ENERO 2025'!H312</f>
        <v>0</v>
      </c>
      <c r="I312" s="59">
        <v>0</v>
      </c>
      <c r="J312" s="59">
        <f t="shared" si="11"/>
        <v>132475.4</v>
      </c>
      <c r="K312" s="68"/>
    </row>
    <row r="313" spans="1:11" x14ac:dyDescent="0.2">
      <c r="A313" s="75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+'MARZO 2025'!G313+'FEBRERO 2025'!G313+'ENERO 2025'!G313</f>
        <v>132475.4</v>
      </c>
      <c r="H313" s="64">
        <f>+'MARZO 2025'!H313+'FEBRERO 2025'!H313+'ENERO 2025'!H313</f>
        <v>0</v>
      </c>
      <c r="I313" s="64">
        <v>0</v>
      </c>
      <c r="J313" s="64">
        <f t="shared" si="11"/>
        <v>132475.4</v>
      </c>
      <c r="K313" s="65">
        <f>J313/$J$25</f>
        <v>4.4443666562318931E-4</v>
      </c>
    </row>
    <row r="314" spans="1:11" x14ac:dyDescent="0.2">
      <c r="A314" s="73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+'MARZO 2025'!G314+'FEBRERO 2025'!G314+'ENERO 2025'!G314</f>
        <v>17421430.860000003</v>
      </c>
      <c r="H314" s="59">
        <f>+'MARZO 2025'!H314+'FEBRERO 2025'!H314+'ENERO 2025'!H314</f>
        <v>2253361.13</v>
      </c>
      <c r="I314" s="59">
        <v>0</v>
      </c>
      <c r="J314" s="59">
        <f t="shared" si="11"/>
        <v>19674791.990000002</v>
      </c>
      <c r="K314" s="68"/>
    </row>
    <row r="315" spans="1:11" x14ac:dyDescent="0.2">
      <c r="A315" s="75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+'MARZO 2025'!G315+'FEBRERO 2025'!G315+'ENERO 2025'!G315</f>
        <v>17421430.860000003</v>
      </c>
      <c r="H315" s="64">
        <f>+'MARZO 2025'!H315+'FEBRERO 2025'!H315+'ENERO 2025'!H315</f>
        <v>2253361.13</v>
      </c>
      <c r="I315" s="64">
        <v>0</v>
      </c>
      <c r="J315" s="64">
        <f t="shared" si="11"/>
        <v>19674791.990000002</v>
      </c>
      <c r="K315" s="65">
        <f>J315/$J$25</f>
        <v>6.600620906874359E-2</v>
      </c>
    </row>
    <row r="316" spans="1:11" x14ac:dyDescent="0.2">
      <c r="A316" s="73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+'MARZO 2025'!G316+'FEBRERO 2025'!G316+'ENERO 2025'!G316</f>
        <v>0</v>
      </c>
      <c r="H316" s="59">
        <f>+'MARZO 2025'!H316+'FEBRERO 2025'!H316+'ENERO 2025'!H316</f>
        <v>0</v>
      </c>
      <c r="I316" s="59">
        <v>0</v>
      </c>
      <c r="J316" s="59">
        <f t="shared" si="11"/>
        <v>0</v>
      </c>
      <c r="K316" s="68"/>
    </row>
    <row r="317" spans="1:11" x14ac:dyDescent="0.2">
      <c r="A317" s="75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+'MARZO 2025'!G317+'FEBRERO 2025'!G317+'ENERO 2025'!G317</f>
        <v>0</v>
      </c>
      <c r="H317" s="64">
        <f>+'MARZO 2025'!H317+'FEBRERO 2025'!H317+'ENERO 2025'!H317</f>
        <v>0</v>
      </c>
      <c r="I317" s="64">
        <v>0</v>
      </c>
      <c r="J317" s="64">
        <f t="shared" si="11"/>
        <v>0</v>
      </c>
      <c r="K317" s="65">
        <f>J317/$J$25</f>
        <v>0</v>
      </c>
    </row>
    <row r="318" spans="1:11" x14ac:dyDescent="0.2">
      <c r="A318" s="73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+'MARZO 2025'!G318+'FEBRERO 2025'!G318+'ENERO 2025'!G318</f>
        <v>0</v>
      </c>
      <c r="H318" s="59">
        <f>+'MARZO 2025'!H318+'FEBRERO 2025'!H318+'ENERO 2025'!H318</f>
        <v>0</v>
      </c>
      <c r="I318" s="59">
        <v>0</v>
      </c>
      <c r="J318" s="59">
        <f t="shared" si="11"/>
        <v>0</v>
      </c>
      <c r="K318" s="68"/>
    </row>
    <row r="319" spans="1:11" x14ac:dyDescent="0.2">
      <c r="A319" s="75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+'MARZO 2025'!G319+'FEBRERO 2025'!G319+'ENERO 2025'!G319</f>
        <v>0</v>
      </c>
      <c r="H319" s="64">
        <f>+'MARZO 2025'!H319+'FEBRERO 2025'!H319+'ENERO 2025'!H319</f>
        <v>0</v>
      </c>
      <c r="I319" s="64">
        <v>0</v>
      </c>
      <c r="J319" s="64">
        <f t="shared" si="11"/>
        <v>0</v>
      </c>
      <c r="K319" s="65">
        <f>J319/$J$25</f>
        <v>0</v>
      </c>
    </row>
    <row r="320" spans="1:11" x14ac:dyDescent="0.2">
      <c r="A320" s="73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+'MARZO 2025'!G320+'FEBRERO 2025'!G320+'ENERO 2025'!G320</f>
        <v>957845.28999999992</v>
      </c>
      <c r="H320" s="59">
        <f>+'MARZO 2025'!H320+'FEBRERO 2025'!H320+'ENERO 2025'!H320</f>
        <v>4050.01</v>
      </c>
      <c r="I320" s="59">
        <v>0</v>
      </c>
      <c r="J320" s="59">
        <f t="shared" si="11"/>
        <v>961895.29999999993</v>
      </c>
      <c r="K320" s="68"/>
    </row>
    <row r="321" spans="1:11" x14ac:dyDescent="0.2">
      <c r="A321" s="75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+'MARZO 2025'!G321+'FEBRERO 2025'!G321+'ENERO 2025'!G321</f>
        <v>957845.28999999992</v>
      </c>
      <c r="H321" s="64">
        <f>+'MARZO 2025'!H321+'FEBRERO 2025'!H321+'ENERO 2025'!H321</f>
        <v>4050.01</v>
      </c>
      <c r="I321" s="64">
        <v>0</v>
      </c>
      <c r="J321" s="64">
        <f t="shared" si="11"/>
        <v>961895.29999999993</v>
      </c>
      <c r="K321" s="65">
        <f>J321/$J$25</f>
        <v>3.2270258463882153E-3</v>
      </c>
    </row>
    <row r="322" spans="1:11" x14ac:dyDescent="0.2">
      <c r="A322" s="73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+'MARZO 2025'!G322+'FEBRERO 2025'!G322+'ENERO 2025'!G322</f>
        <v>0</v>
      </c>
      <c r="H322" s="59">
        <f>+'MARZO 2025'!H322+'FEBRERO 2025'!H322+'ENERO 2025'!H322</f>
        <v>0</v>
      </c>
      <c r="I322" s="59">
        <v>0</v>
      </c>
      <c r="J322" s="59">
        <f t="shared" si="11"/>
        <v>0</v>
      </c>
      <c r="K322" s="68"/>
    </row>
    <row r="323" spans="1:11" x14ac:dyDescent="0.2">
      <c r="A323" s="75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+'MARZO 2025'!G323+'FEBRERO 2025'!G323+'ENERO 2025'!G323</f>
        <v>0</v>
      </c>
      <c r="H323" s="64">
        <f>+'MARZO 2025'!H323+'FEBRERO 2025'!H323+'ENERO 2025'!H323</f>
        <v>0</v>
      </c>
      <c r="I323" s="64">
        <v>0</v>
      </c>
      <c r="J323" s="64">
        <f t="shared" si="11"/>
        <v>0</v>
      </c>
      <c r="K323" s="65">
        <f>J323/$J$25</f>
        <v>0</v>
      </c>
    </row>
    <row r="324" spans="1:11" x14ac:dyDescent="0.2">
      <c r="A324" s="73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+'MARZO 2025'!G324+'FEBRERO 2025'!G324+'ENERO 2025'!G324</f>
        <v>482769.22</v>
      </c>
      <c r="H324" s="59">
        <f>+'MARZO 2025'!H324+'FEBRERO 2025'!H324+'ENERO 2025'!H324</f>
        <v>0</v>
      </c>
      <c r="I324" s="59">
        <v>0</v>
      </c>
      <c r="J324" s="59">
        <f t="shared" si="11"/>
        <v>482769.22</v>
      </c>
      <c r="K324" s="68"/>
    </row>
    <row r="325" spans="1:11" x14ac:dyDescent="0.2">
      <c r="A325" s="75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+'MARZO 2025'!G325+'FEBRERO 2025'!G325+'ENERO 2025'!G325</f>
        <v>50001.270000000004</v>
      </c>
      <c r="H325" s="64">
        <f>+'MARZO 2025'!H325+'FEBRERO 2025'!H325+'ENERO 2025'!H325</f>
        <v>0</v>
      </c>
      <c r="I325" s="64">
        <v>0</v>
      </c>
      <c r="J325" s="64">
        <f t="shared" si="11"/>
        <v>50001.270000000004</v>
      </c>
      <c r="K325" s="65">
        <f>J325/$J$25</f>
        <v>1.6774735321217985E-4</v>
      </c>
    </row>
    <row r="326" spans="1:11" x14ac:dyDescent="0.2">
      <c r="A326" s="75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+'MARZO 2025'!G326+'FEBRERO 2025'!G326+'ENERO 2025'!G326</f>
        <v>432767.95</v>
      </c>
      <c r="H326" s="64">
        <f>+'MARZO 2025'!H326+'FEBRERO 2025'!H326+'ENERO 2025'!H326</f>
        <v>0</v>
      </c>
      <c r="I326" s="64">
        <v>0</v>
      </c>
      <c r="J326" s="64">
        <f t="shared" si="11"/>
        <v>432767.95</v>
      </c>
      <c r="K326" s="65">
        <f>J326/$J$25</f>
        <v>1.4518766856834035E-3</v>
      </c>
    </row>
    <row r="327" spans="1:11" x14ac:dyDescent="0.2">
      <c r="A327" s="73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+'MARZO 2025'!G327+'FEBRERO 2025'!G327+'ENERO 2025'!G327</f>
        <v>25685.99</v>
      </c>
      <c r="H327" s="59">
        <f>+'MARZO 2025'!H327+'FEBRERO 2025'!H327+'ENERO 2025'!H327</f>
        <v>203430.61</v>
      </c>
      <c r="I327" s="59">
        <v>0</v>
      </c>
      <c r="J327" s="59">
        <f t="shared" si="11"/>
        <v>229116.59999999998</v>
      </c>
      <c r="K327" s="68"/>
    </row>
    <row r="328" spans="1:11" x14ac:dyDescent="0.2">
      <c r="A328" s="75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+'MARZO 2025'!G328+'FEBRERO 2025'!G328+'ENERO 2025'!G328</f>
        <v>0</v>
      </c>
      <c r="H328" s="64">
        <f>+'MARZO 2025'!H328+'FEBRERO 2025'!H328+'ENERO 2025'!H328</f>
        <v>203430.61</v>
      </c>
      <c r="I328" s="64">
        <v>0</v>
      </c>
      <c r="J328" s="64">
        <f t="shared" si="11"/>
        <v>203430.61</v>
      </c>
      <c r="K328" s="65">
        <f>J328/$J$25</f>
        <v>6.8248159276432783E-4</v>
      </c>
    </row>
    <row r="329" spans="1:11" x14ac:dyDescent="0.2">
      <c r="A329" s="75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+'MARZO 2025'!G329+'FEBRERO 2025'!G329+'ENERO 2025'!G329</f>
        <v>25685.99</v>
      </c>
      <c r="H329" s="64">
        <f>+'MARZO 2025'!H329+'FEBRERO 2025'!H329+'ENERO 2025'!H329</f>
        <v>0</v>
      </c>
      <c r="I329" s="64">
        <v>0</v>
      </c>
      <c r="J329" s="64">
        <f>SUM(G329:I329)</f>
        <v>25685.99</v>
      </c>
      <c r="K329" s="65">
        <f>J329/$J$25</f>
        <v>8.6172947949812465E-5</v>
      </c>
    </row>
    <row r="330" spans="1:11" x14ac:dyDescent="0.2">
      <c r="A330" s="71">
        <v>2</v>
      </c>
      <c r="B330" s="55">
        <v>4</v>
      </c>
      <c r="C330" s="55">
        <v>1</v>
      </c>
      <c r="D330" s="55">
        <v>2</v>
      </c>
      <c r="E330" s="55"/>
      <c r="F330" s="86" t="s">
        <v>281</v>
      </c>
      <c r="G330" s="56">
        <f>+'MARZO 2025'!G330+'FEBRERO 2025'!G330+'ENERO 2025'!G330</f>
        <v>0</v>
      </c>
      <c r="H330" s="56">
        <f>+'MARZO 2025'!H330+'FEBRERO 2025'!H330+'ENERO 2025'!H330</f>
        <v>287786.7</v>
      </c>
      <c r="I330" s="56">
        <v>0</v>
      </c>
      <c r="J330" s="56">
        <f t="shared" si="11"/>
        <v>287786.7</v>
      </c>
      <c r="K330" s="53">
        <f>+J330/J25</f>
        <v>9.654846209839798E-4</v>
      </c>
    </row>
    <row r="331" spans="1:11" x14ac:dyDescent="0.2">
      <c r="A331" s="75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+'MARZO 2025'!G331+'FEBRERO 2025'!G331+'ENERO 2025'!G331</f>
        <v>0</v>
      </c>
      <c r="H331" s="64">
        <f>+'MARZO 2025'!H331+'FEBRERO 2025'!H331+'ENERO 2025'!H331</f>
        <v>6800</v>
      </c>
      <c r="I331" s="64">
        <v>0</v>
      </c>
      <c r="J331" s="64">
        <f t="shared" si="11"/>
        <v>6800</v>
      </c>
      <c r="K331" s="65">
        <f t="shared" ref="K331:K336" si="14">J331/$J$25</f>
        <v>2.2813060585117598E-5</v>
      </c>
    </row>
    <row r="332" spans="1:11" x14ac:dyDescent="0.2">
      <c r="A332" s="75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+'MARZO 2025'!G332+'FEBRERO 2025'!G332+'ENERO 2025'!G332</f>
        <v>0</v>
      </c>
      <c r="H332" s="64">
        <f>+'MARZO 2025'!H332+'FEBRERO 2025'!H332+'ENERO 2025'!H332</f>
        <v>280986.7</v>
      </c>
      <c r="I332" s="64">
        <v>0</v>
      </c>
      <c r="J332" s="64">
        <f t="shared" si="11"/>
        <v>280986.7</v>
      </c>
      <c r="K332" s="65">
        <f t="shared" si="14"/>
        <v>9.4267156039886215E-4</v>
      </c>
    </row>
    <row r="333" spans="1:11" x14ac:dyDescent="0.2">
      <c r="A333" s="75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+'MARZO 2025'!G333+'FEBRERO 2025'!G333+'ENERO 2025'!G333</f>
        <v>0</v>
      </c>
      <c r="H333" s="64">
        <f>+'MARZO 2025'!H333+'FEBRERO 2025'!H333+'ENERO 2025'!H333</f>
        <v>0</v>
      </c>
      <c r="I333" s="64">
        <v>0</v>
      </c>
      <c r="J333" s="64">
        <f t="shared" si="11"/>
        <v>0</v>
      </c>
      <c r="K333" s="65">
        <f t="shared" si="14"/>
        <v>0</v>
      </c>
    </row>
    <row r="334" spans="1:11" x14ac:dyDescent="0.2">
      <c r="A334" s="75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+'MARZO 2025'!G334+'FEBRERO 2025'!G334+'ENERO 2025'!G334</f>
        <v>0</v>
      </c>
      <c r="H334" s="64">
        <f>+'MARZO 2025'!H334+'FEBRERO 2025'!H334+'ENERO 2025'!H334</f>
        <v>0</v>
      </c>
      <c r="I334" s="64">
        <v>0</v>
      </c>
      <c r="J334" s="64">
        <f t="shared" si="11"/>
        <v>0</v>
      </c>
      <c r="K334" s="65">
        <f t="shared" si="14"/>
        <v>0</v>
      </c>
    </row>
    <row r="335" spans="1:11" x14ac:dyDescent="0.2">
      <c r="A335" s="75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+'MARZO 2025'!G335+'FEBRERO 2025'!G335+'ENERO 2025'!G335</f>
        <v>0</v>
      </c>
      <c r="H335" s="64">
        <f>+'MARZO 2025'!H335+'FEBRERO 2025'!H335+'ENERO 2025'!H335</f>
        <v>0</v>
      </c>
      <c r="I335" s="64">
        <v>0</v>
      </c>
      <c r="J335" s="64">
        <f t="shared" si="11"/>
        <v>0</v>
      </c>
      <c r="K335" s="65">
        <f t="shared" si="14"/>
        <v>0</v>
      </c>
    </row>
    <row r="336" spans="1:11" x14ac:dyDescent="0.2">
      <c r="A336" s="71">
        <v>2</v>
      </c>
      <c r="B336" s="55">
        <v>6</v>
      </c>
      <c r="C336" s="55"/>
      <c r="D336" s="55"/>
      <c r="E336" s="55"/>
      <c r="F336" s="86" t="s">
        <v>287</v>
      </c>
      <c r="G336" s="56">
        <f>+'MARZO 2025'!G336+'FEBRERO 2025'!G336+'ENERO 2025'!G336</f>
        <v>17857866.620000001</v>
      </c>
      <c r="H336" s="56">
        <f>+'MARZO 2025'!H336+'FEBRERO 2025'!H336+'ENERO 2025'!H336</f>
        <v>5076044.21</v>
      </c>
      <c r="I336" s="56">
        <v>0</v>
      </c>
      <c r="J336" s="56">
        <f t="shared" si="11"/>
        <v>22933910.830000002</v>
      </c>
      <c r="K336" s="53">
        <f t="shared" si="14"/>
        <v>7.6940102532128615E-2</v>
      </c>
    </row>
    <row r="337" spans="1:11" x14ac:dyDescent="0.2">
      <c r="A337" s="54">
        <v>2</v>
      </c>
      <c r="B337" s="55">
        <v>6</v>
      </c>
      <c r="C337" s="55">
        <v>1</v>
      </c>
      <c r="D337" s="55"/>
      <c r="E337" s="55"/>
      <c r="F337" s="86" t="s">
        <v>288</v>
      </c>
      <c r="G337" s="56">
        <f>+'MARZO 2025'!G337+'FEBRERO 2025'!G337+'ENERO 2025'!G337</f>
        <v>1110625.8599999999</v>
      </c>
      <c r="H337" s="56">
        <f>+'MARZO 2025'!H337+'FEBRERO 2025'!H337+'ENERO 2025'!H337</f>
        <v>0</v>
      </c>
      <c r="I337" s="56">
        <v>0</v>
      </c>
      <c r="J337" s="56">
        <f t="shared" si="11"/>
        <v>1110625.8599999999</v>
      </c>
      <c r="K337" s="53"/>
    </row>
    <row r="338" spans="1:11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7" t="s">
        <v>289</v>
      </c>
      <c r="G338" s="59">
        <f>+'MARZO 2025'!G338+'FEBRERO 2025'!G338+'ENERO 2025'!G338</f>
        <v>653408.05000000005</v>
      </c>
      <c r="H338" s="59">
        <f>+'MARZO 2025'!H338+'FEBRERO 2025'!H338+'ENERO 2025'!H338</f>
        <v>0</v>
      </c>
      <c r="I338" s="59">
        <v>0</v>
      </c>
      <c r="J338" s="59">
        <f t="shared" si="11"/>
        <v>653408.05000000005</v>
      </c>
      <c r="K338" s="68"/>
    </row>
    <row r="339" spans="1:11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70" t="s">
        <v>289</v>
      </c>
      <c r="G339" s="64">
        <f>+'MARZO 2025'!G339+'FEBRERO 2025'!G339+'ENERO 2025'!G339</f>
        <v>653408.05000000005</v>
      </c>
      <c r="H339" s="64">
        <f>+'MARZO 2025'!H339+'FEBRERO 2025'!H339+'ENERO 2025'!H339</f>
        <v>0</v>
      </c>
      <c r="I339" s="64">
        <v>0</v>
      </c>
      <c r="J339" s="64">
        <f t="shared" si="11"/>
        <v>653408.05000000005</v>
      </c>
      <c r="K339" s="65">
        <f>J339/$J$25</f>
        <v>2.1920937399196394E-3</v>
      </c>
    </row>
    <row r="340" spans="1:11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7" t="s">
        <v>290</v>
      </c>
      <c r="G340" s="59">
        <f>+'MARZO 2025'!G340+'FEBRERO 2025'!G340+'ENERO 2025'!G340</f>
        <v>0</v>
      </c>
      <c r="H340" s="59">
        <f>+'MARZO 2025'!H340+'FEBRERO 2025'!H340+'ENERO 2025'!H340</f>
        <v>0</v>
      </c>
      <c r="I340" s="59">
        <v>0</v>
      </c>
      <c r="J340" s="59">
        <f t="shared" si="11"/>
        <v>0</v>
      </c>
      <c r="K340" s="68"/>
    </row>
    <row r="341" spans="1:11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70" t="s">
        <v>290</v>
      </c>
      <c r="G341" s="64">
        <f>+'MARZO 2025'!G341+'FEBRERO 2025'!G341+'ENERO 2025'!G341</f>
        <v>0</v>
      </c>
      <c r="H341" s="64">
        <f>+'MARZO 2025'!H341+'FEBRERO 2025'!H341+'ENERO 2025'!H341</f>
        <v>0</v>
      </c>
      <c r="I341" s="64">
        <v>0</v>
      </c>
      <c r="J341" s="64">
        <f t="shared" si="11"/>
        <v>0</v>
      </c>
      <c r="K341" s="65">
        <f>J341/$J$25</f>
        <v>0</v>
      </c>
    </row>
    <row r="342" spans="1:11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7" t="s">
        <v>291</v>
      </c>
      <c r="G342" s="59">
        <f>+'MARZO 2025'!G342+'FEBRERO 2025'!G342+'ENERO 2025'!G342</f>
        <v>184080</v>
      </c>
      <c r="H342" s="59">
        <f>+'MARZO 2025'!H342+'FEBRERO 2025'!H342+'ENERO 2025'!H342</f>
        <v>0</v>
      </c>
      <c r="I342" s="59">
        <v>0</v>
      </c>
      <c r="J342" s="59">
        <f t="shared" si="11"/>
        <v>184080</v>
      </c>
      <c r="K342" s="68"/>
    </row>
    <row r="343" spans="1:11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70" t="s">
        <v>291</v>
      </c>
      <c r="G343" s="64">
        <f>+'MARZO 2025'!G343+'FEBRERO 2025'!G343+'ENERO 2025'!G343</f>
        <v>184080</v>
      </c>
      <c r="H343" s="64">
        <f>+'MARZO 2025'!H343+'FEBRERO 2025'!H343+'ENERO 2025'!H343</f>
        <v>0</v>
      </c>
      <c r="I343" s="64">
        <v>0</v>
      </c>
      <c r="J343" s="64">
        <f t="shared" si="11"/>
        <v>184080</v>
      </c>
      <c r="K343" s="65">
        <f>J343/$J$25</f>
        <v>6.1756296948653629E-4</v>
      </c>
    </row>
    <row r="344" spans="1:11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7" t="s">
        <v>292</v>
      </c>
      <c r="G344" s="59">
        <f>+'MARZO 2025'!G344+'FEBRERO 2025'!G344+'ENERO 2025'!G344</f>
        <v>210276</v>
      </c>
      <c r="H344" s="59">
        <f>+'MARZO 2025'!H344+'FEBRERO 2025'!H344+'ENERO 2025'!H344</f>
        <v>0</v>
      </c>
      <c r="I344" s="59">
        <v>0</v>
      </c>
      <c r="J344" s="59">
        <f t="shared" si="11"/>
        <v>210276</v>
      </c>
      <c r="K344" s="68"/>
    </row>
    <row r="345" spans="1:11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70" t="s">
        <v>292</v>
      </c>
      <c r="G345" s="64">
        <f>+'MARZO 2025'!G345+'FEBRERO 2025'!G345+'ENERO 2025'!G345</f>
        <v>210276</v>
      </c>
      <c r="H345" s="64">
        <f>+'MARZO 2025'!H345+'FEBRERO 2025'!H345+'ENERO 2025'!H345</f>
        <v>0</v>
      </c>
      <c r="I345" s="64">
        <v>0</v>
      </c>
      <c r="J345" s="64">
        <f t="shared" si="11"/>
        <v>210276</v>
      </c>
      <c r="K345" s="65">
        <f>J345/$J$25</f>
        <v>7.0544693052885111E-4</v>
      </c>
    </row>
    <row r="346" spans="1:11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7" t="s">
        <v>293</v>
      </c>
      <c r="G346" s="59">
        <f>+'MARZO 2025'!G346+'FEBRERO 2025'!G346+'ENERO 2025'!G346</f>
        <v>62861.81</v>
      </c>
      <c r="H346" s="59">
        <f>+'MARZO 2025'!H346+'FEBRERO 2025'!H346+'ENERO 2025'!H346</f>
        <v>0</v>
      </c>
      <c r="I346" s="59">
        <v>0</v>
      </c>
      <c r="J346" s="59">
        <f t="shared" si="11"/>
        <v>62861.81</v>
      </c>
      <c r="K346" s="68"/>
    </row>
    <row r="347" spans="1:11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70" t="s">
        <v>293</v>
      </c>
      <c r="G347" s="64">
        <f>+'MARZO 2025'!G347+'FEBRERO 2025'!G347+'ENERO 2025'!G347</f>
        <v>62861.81</v>
      </c>
      <c r="H347" s="64">
        <f>+'MARZO 2025'!H347+'FEBRERO 2025'!H347+'ENERO 2025'!H347</f>
        <v>0</v>
      </c>
      <c r="I347" s="64">
        <v>0</v>
      </c>
      <c r="J347" s="64">
        <f t="shared" si="11"/>
        <v>62861.81</v>
      </c>
      <c r="K347" s="65">
        <f>J347/$J$25</f>
        <v>2.1089268823825752E-4</v>
      </c>
    </row>
    <row r="348" spans="1:11" x14ac:dyDescent="0.2">
      <c r="A348" s="88">
        <v>2</v>
      </c>
      <c r="B348" s="88">
        <v>6</v>
      </c>
      <c r="C348" s="88">
        <v>2</v>
      </c>
      <c r="D348" s="88"/>
      <c r="E348" s="88"/>
      <c r="F348" s="89" t="s">
        <v>294</v>
      </c>
      <c r="G348" s="56">
        <f>+'MARZO 2025'!G348+'FEBRERO 2025'!G348+'ENERO 2025'!G348</f>
        <v>0</v>
      </c>
      <c r="H348" s="56">
        <f>+'MARZO 2025'!H348+'FEBRERO 2025'!H348+'ENERO 2025'!H348</f>
        <v>0</v>
      </c>
      <c r="I348" s="56">
        <v>0</v>
      </c>
      <c r="J348" s="56">
        <f t="shared" si="11"/>
        <v>0</v>
      </c>
      <c r="K348" s="53"/>
    </row>
    <row r="349" spans="1:11" x14ac:dyDescent="0.2">
      <c r="A349" s="73">
        <v>2</v>
      </c>
      <c r="B349" s="58">
        <v>6</v>
      </c>
      <c r="C349" s="58">
        <v>2</v>
      </c>
      <c r="D349" s="58">
        <v>1</v>
      </c>
      <c r="E349" s="78"/>
      <c r="F349" s="87" t="s">
        <v>295</v>
      </c>
      <c r="G349" s="59">
        <f>+'MARZO 2025'!G349+'FEBRERO 2025'!G349+'ENERO 2025'!G349</f>
        <v>0</v>
      </c>
      <c r="H349" s="59">
        <f>+'MARZO 2025'!H349+'FEBRERO 2025'!H349+'ENERO 2025'!H349</f>
        <v>0</v>
      </c>
      <c r="I349" s="59">
        <v>0</v>
      </c>
      <c r="J349" s="59">
        <f t="shared" ref="J349:J412" si="15">SUM(G349:I349)</f>
        <v>0</v>
      </c>
      <c r="K349" s="68"/>
    </row>
    <row r="350" spans="1:11" x14ac:dyDescent="0.2">
      <c r="A350" s="75">
        <v>2</v>
      </c>
      <c r="B350" s="62">
        <v>6</v>
      </c>
      <c r="C350" s="62">
        <v>2</v>
      </c>
      <c r="D350" s="62">
        <v>1</v>
      </c>
      <c r="E350" s="63" t="s">
        <v>35</v>
      </c>
      <c r="F350" s="70" t="s">
        <v>295</v>
      </c>
      <c r="G350" s="64">
        <f>+'MARZO 2025'!G350+'FEBRERO 2025'!G350+'ENERO 2025'!G350</f>
        <v>0</v>
      </c>
      <c r="H350" s="64">
        <f>+'MARZO 2025'!H350+'FEBRERO 2025'!H350+'ENERO 2025'!H350</f>
        <v>0</v>
      </c>
      <c r="I350" s="64">
        <v>0</v>
      </c>
      <c r="J350" s="64">
        <f t="shared" si="15"/>
        <v>0</v>
      </c>
      <c r="K350" s="65">
        <f>J350/$J$25</f>
        <v>0</v>
      </c>
    </row>
    <row r="351" spans="1:11" x14ac:dyDescent="0.2">
      <c r="A351" s="73">
        <v>2</v>
      </c>
      <c r="B351" s="58">
        <v>6</v>
      </c>
      <c r="C351" s="58">
        <v>2</v>
      </c>
      <c r="D351" s="58">
        <v>2</v>
      </c>
      <c r="E351" s="78"/>
      <c r="F351" s="87" t="s">
        <v>296</v>
      </c>
      <c r="G351" s="59">
        <f>+'MARZO 2025'!G351+'FEBRERO 2025'!G351+'ENERO 2025'!G351</f>
        <v>0</v>
      </c>
      <c r="H351" s="59">
        <f>+'MARZO 2025'!H351+'FEBRERO 2025'!H351+'ENERO 2025'!H351</f>
        <v>0</v>
      </c>
      <c r="I351" s="59">
        <v>0</v>
      </c>
      <c r="J351" s="59">
        <f t="shared" si="15"/>
        <v>0</v>
      </c>
      <c r="K351" s="68"/>
    </row>
    <row r="352" spans="1:11" x14ac:dyDescent="0.2">
      <c r="A352" s="75">
        <v>2</v>
      </c>
      <c r="B352" s="62">
        <v>6</v>
      </c>
      <c r="C352" s="62">
        <v>2</v>
      </c>
      <c r="D352" s="62">
        <v>2</v>
      </c>
      <c r="E352" s="63" t="s">
        <v>35</v>
      </c>
      <c r="F352" s="70" t="s">
        <v>296</v>
      </c>
      <c r="G352" s="64">
        <f>+'MARZO 2025'!G352+'FEBRERO 2025'!G352+'ENERO 2025'!G352</f>
        <v>0</v>
      </c>
      <c r="H352" s="64">
        <f>+'MARZO 2025'!H352+'FEBRERO 2025'!H352+'ENERO 2025'!H352</f>
        <v>0</v>
      </c>
      <c r="I352" s="64">
        <v>0</v>
      </c>
      <c r="J352" s="64">
        <f t="shared" si="15"/>
        <v>0</v>
      </c>
      <c r="K352" s="65">
        <f>J352/$J$25</f>
        <v>0</v>
      </c>
    </row>
    <row r="353" spans="1:11" x14ac:dyDescent="0.2">
      <c r="A353" s="73">
        <v>2</v>
      </c>
      <c r="B353" s="58">
        <v>6</v>
      </c>
      <c r="C353" s="58">
        <v>2</v>
      </c>
      <c r="D353" s="58">
        <v>3</v>
      </c>
      <c r="E353" s="78"/>
      <c r="F353" s="87" t="s">
        <v>297</v>
      </c>
      <c r="G353" s="59">
        <f>+'MARZO 2025'!G353+'FEBRERO 2025'!G353+'ENERO 2025'!G353</f>
        <v>0</v>
      </c>
      <c r="H353" s="59">
        <f>+'MARZO 2025'!H353+'FEBRERO 2025'!H353+'ENERO 2025'!H353</f>
        <v>0</v>
      </c>
      <c r="I353" s="59">
        <v>0</v>
      </c>
      <c r="J353" s="59">
        <f t="shared" si="15"/>
        <v>0</v>
      </c>
      <c r="K353" s="68"/>
    </row>
    <row r="354" spans="1:11" x14ac:dyDescent="0.2">
      <c r="A354" s="75">
        <v>2</v>
      </c>
      <c r="B354" s="62">
        <v>6</v>
      </c>
      <c r="C354" s="62">
        <v>2</v>
      </c>
      <c r="D354" s="62">
        <v>3</v>
      </c>
      <c r="E354" s="63" t="s">
        <v>35</v>
      </c>
      <c r="F354" s="70" t="s">
        <v>297</v>
      </c>
      <c r="G354" s="64">
        <f>+'MARZO 2025'!G354+'FEBRERO 2025'!G354+'ENERO 2025'!G354</f>
        <v>0</v>
      </c>
      <c r="H354" s="64">
        <f>+'MARZO 2025'!H354+'FEBRERO 2025'!H354+'ENERO 2025'!H354</f>
        <v>0</v>
      </c>
      <c r="I354" s="64">
        <v>0</v>
      </c>
      <c r="J354" s="64">
        <f t="shared" si="15"/>
        <v>0</v>
      </c>
      <c r="K354" s="65">
        <f>J354/$J$25</f>
        <v>0</v>
      </c>
    </row>
    <row r="355" spans="1:11" x14ac:dyDescent="0.2">
      <c r="A355" s="73">
        <v>2</v>
      </c>
      <c r="B355" s="58">
        <v>6</v>
      </c>
      <c r="C355" s="58">
        <v>2</v>
      </c>
      <c r="D355" s="58">
        <v>4</v>
      </c>
      <c r="E355" s="78"/>
      <c r="F355" s="87" t="s">
        <v>298</v>
      </c>
      <c r="G355" s="59">
        <f>+'MARZO 2025'!G355+'FEBRERO 2025'!G355+'ENERO 2025'!G355</f>
        <v>0</v>
      </c>
      <c r="H355" s="59">
        <f>+'MARZO 2025'!H355+'FEBRERO 2025'!H355+'ENERO 2025'!H355</f>
        <v>0</v>
      </c>
      <c r="I355" s="59">
        <v>0</v>
      </c>
      <c r="J355" s="59">
        <f t="shared" si="15"/>
        <v>0</v>
      </c>
      <c r="K355" s="68"/>
    </row>
    <row r="356" spans="1:11" x14ac:dyDescent="0.2">
      <c r="A356" s="75">
        <v>2</v>
      </c>
      <c r="B356" s="62">
        <v>6</v>
      </c>
      <c r="C356" s="62">
        <v>2</v>
      </c>
      <c r="D356" s="62">
        <v>4</v>
      </c>
      <c r="E356" s="63" t="s">
        <v>35</v>
      </c>
      <c r="F356" s="70" t="s">
        <v>298</v>
      </c>
      <c r="G356" s="64">
        <f>+'MARZO 2025'!G356+'FEBRERO 2025'!G356+'ENERO 2025'!G356</f>
        <v>0</v>
      </c>
      <c r="H356" s="64">
        <f>+'MARZO 2025'!H356+'FEBRERO 2025'!H356+'ENERO 2025'!H356</f>
        <v>0</v>
      </c>
      <c r="I356" s="64">
        <v>0</v>
      </c>
      <c r="J356" s="64">
        <f t="shared" si="15"/>
        <v>0</v>
      </c>
      <c r="K356" s="65">
        <f>J356/$J$25</f>
        <v>0</v>
      </c>
    </row>
    <row r="357" spans="1:11" x14ac:dyDescent="0.2">
      <c r="A357" s="88">
        <v>2</v>
      </c>
      <c r="B357" s="88">
        <v>6</v>
      </c>
      <c r="C357" s="88">
        <v>3</v>
      </c>
      <c r="D357" s="88"/>
      <c r="E357" s="88"/>
      <c r="F357" s="89" t="s">
        <v>299</v>
      </c>
      <c r="G357" s="56">
        <f>+'MARZO 2025'!G357+'FEBRERO 2025'!G357+'ENERO 2025'!G357</f>
        <v>16744040.789999999</v>
      </c>
      <c r="H357" s="56">
        <f>+'MARZO 2025'!H357+'FEBRERO 2025'!H357+'ENERO 2025'!H357</f>
        <v>2963024.84</v>
      </c>
      <c r="I357" s="56">
        <v>0</v>
      </c>
      <c r="J357" s="56">
        <f t="shared" si="15"/>
        <v>19707065.629999999</v>
      </c>
      <c r="K357" s="53"/>
    </row>
    <row r="358" spans="1:11" x14ac:dyDescent="0.2">
      <c r="A358" s="73">
        <v>2</v>
      </c>
      <c r="B358" s="58">
        <v>6</v>
      </c>
      <c r="C358" s="58">
        <v>3</v>
      </c>
      <c r="D358" s="58">
        <v>1</v>
      </c>
      <c r="E358" s="78"/>
      <c r="F358" s="87" t="s">
        <v>300</v>
      </c>
      <c r="G358" s="59">
        <f>+'MARZO 2025'!G358+'FEBRERO 2025'!G358+'ENERO 2025'!G358</f>
        <v>13460974.389999999</v>
      </c>
      <c r="H358" s="59">
        <f>+'MARZO 2025'!H358+'FEBRERO 2025'!H358+'ENERO 2025'!H358</f>
        <v>1300994.8399999999</v>
      </c>
      <c r="I358" s="59">
        <v>0</v>
      </c>
      <c r="J358" s="59">
        <f t="shared" si="15"/>
        <v>14761969.229999999</v>
      </c>
      <c r="K358" s="68"/>
    </row>
    <row r="359" spans="1:11" x14ac:dyDescent="0.2">
      <c r="A359" s="75">
        <v>2</v>
      </c>
      <c r="B359" s="62">
        <v>6</v>
      </c>
      <c r="C359" s="62">
        <v>3</v>
      </c>
      <c r="D359" s="62">
        <v>1</v>
      </c>
      <c r="E359" s="63" t="s">
        <v>35</v>
      </c>
      <c r="F359" s="70" t="s">
        <v>300</v>
      </c>
      <c r="G359" s="64">
        <f>+'MARZO 2025'!G359+'FEBRERO 2025'!G359+'ENERO 2025'!G359</f>
        <v>13460974.389999999</v>
      </c>
      <c r="H359" s="64">
        <f>+'MARZO 2025'!H359+'FEBRERO 2025'!H359+'ENERO 2025'!H359</f>
        <v>1300994.8399999999</v>
      </c>
      <c r="I359" s="64">
        <v>0</v>
      </c>
      <c r="J359" s="64">
        <f t="shared" si="15"/>
        <v>14761969.229999999</v>
      </c>
      <c r="K359" s="65">
        <f>J359/$J$25</f>
        <v>4.9524367411710547E-2</v>
      </c>
    </row>
    <row r="360" spans="1:11" x14ac:dyDescent="0.2">
      <c r="A360" s="73">
        <v>2</v>
      </c>
      <c r="B360" s="58">
        <v>6</v>
      </c>
      <c r="C360" s="58">
        <v>3</v>
      </c>
      <c r="D360" s="58">
        <v>2</v>
      </c>
      <c r="E360" s="78"/>
      <c r="F360" s="87" t="s">
        <v>301</v>
      </c>
      <c r="G360" s="59">
        <f>+'MARZO 2025'!G360+'FEBRERO 2025'!G360+'ENERO 2025'!G360</f>
        <v>2481162.4</v>
      </c>
      <c r="H360" s="59">
        <f>+'MARZO 2025'!H360+'FEBRERO 2025'!H360+'ENERO 2025'!H360</f>
        <v>1662030</v>
      </c>
      <c r="I360" s="59">
        <v>0</v>
      </c>
      <c r="J360" s="59">
        <f t="shared" si="15"/>
        <v>4143192.4</v>
      </c>
      <c r="K360" s="68"/>
    </row>
    <row r="361" spans="1:11" x14ac:dyDescent="0.2">
      <c r="A361" s="75">
        <v>2</v>
      </c>
      <c r="B361" s="62">
        <v>6</v>
      </c>
      <c r="C361" s="62">
        <v>3</v>
      </c>
      <c r="D361" s="62">
        <v>2</v>
      </c>
      <c r="E361" s="63" t="s">
        <v>35</v>
      </c>
      <c r="F361" s="70" t="s">
        <v>301</v>
      </c>
      <c r="G361" s="64">
        <f>+'MARZO 2025'!G361+'FEBRERO 2025'!G361+'ENERO 2025'!G361</f>
        <v>2481162.4</v>
      </c>
      <c r="H361" s="64">
        <f>+'MARZO 2025'!H361+'FEBRERO 2025'!H361+'ENERO 2025'!H361</f>
        <v>1662030</v>
      </c>
      <c r="I361" s="64">
        <v>0</v>
      </c>
      <c r="J361" s="64">
        <f t="shared" si="15"/>
        <v>4143192.4</v>
      </c>
      <c r="K361" s="65">
        <f>J361/$J$25</f>
        <v>1.3899838123088055E-2</v>
      </c>
    </row>
    <row r="362" spans="1:11" x14ac:dyDescent="0.2">
      <c r="A362" s="73">
        <v>2</v>
      </c>
      <c r="B362" s="58">
        <v>6</v>
      </c>
      <c r="C362" s="58">
        <v>3</v>
      </c>
      <c r="D362" s="58">
        <v>3</v>
      </c>
      <c r="E362" s="78"/>
      <c r="F362" s="87" t="s">
        <v>302</v>
      </c>
      <c r="G362" s="59">
        <f>+'MARZO 2025'!G362+'FEBRERO 2025'!G362+'ENERO 2025'!G362</f>
        <v>0</v>
      </c>
      <c r="H362" s="59">
        <f>+'MARZO 2025'!H362+'FEBRERO 2025'!H362+'ENERO 2025'!H362</f>
        <v>0</v>
      </c>
      <c r="I362" s="59">
        <v>0</v>
      </c>
      <c r="J362" s="59">
        <f t="shared" si="15"/>
        <v>0</v>
      </c>
      <c r="K362" s="68"/>
    </row>
    <row r="363" spans="1:11" x14ac:dyDescent="0.2">
      <c r="A363" s="75">
        <v>2</v>
      </c>
      <c r="B363" s="62">
        <v>6</v>
      </c>
      <c r="C363" s="62">
        <v>3</v>
      </c>
      <c r="D363" s="62">
        <v>3</v>
      </c>
      <c r="E363" s="63" t="s">
        <v>35</v>
      </c>
      <c r="F363" s="70" t="s">
        <v>302</v>
      </c>
      <c r="G363" s="64">
        <f>+'MARZO 2025'!G363+'FEBRERO 2025'!G363+'ENERO 2025'!G363</f>
        <v>0</v>
      </c>
      <c r="H363" s="64">
        <f>+'MARZO 2025'!H363+'FEBRERO 2025'!H363+'ENERO 2025'!H363</f>
        <v>0</v>
      </c>
      <c r="I363" s="64">
        <v>0</v>
      </c>
      <c r="J363" s="64">
        <f t="shared" si="15"/>
        <v>0</v>
      </c>
      <c r="K363" s="65">
        <f>J363/$J$25</f>
        <v>0</v>
      </c>
    </row>
    <row r="364" spans="1:11" x14ac:dyDescent="0.2">
      <c r="A364" s="73">
        <v>2</v>
      </c>
      <c r="B364" s="58">
        <v>6</v>
      </c>
      <c r="C364" s="58">
        <v>3</v>
      </c>
      <c r="D364" s="58">
        <v>4</v>
      </c>
      <c r="E364" s="58"/>
      <c r="F364" s="87" t="s">
        <v>303</v>
      </c>
      <c r="G364" s="59">
        <f>+'MARZO 2025'!G364+'FEBRERO 2025'!G364+'ENERO 2025'!G364</f>
        <v>801904</v>
      </c>
      <c r="H364" s="59">
        <f>+'MARZO 2025'!H364+'FEBRERO 2025'!H364+'ENERO 2025'!H364</f>
        <v>0</v>
      </c>
      <c r="I364" s="59">
        <v>0</v>
      </c>
      <c r="J364" s="59">
        <f t="shared" si="15"/>
        <v>801904</v>
      </c>
      <c r="K364" s="68"/>
    </row>
    <row r="365" spans="1:11" x14ac:dyDescent="0.2">
      <c r="A365" s="75">
        <v>2</v>
      </c>
      <c r="B365" s="62">
        <v>6</v>
      </c>
      <c r="C365" s="62">
        <v>3</v>
      </c>
      <c r="D365" s="62">
        <v>4</v>
      </c>
      <c r="E365" s="63" t="s">
        <v>35</v>
      </c>
      <c r="F365" s="70" t="s">
        <v>303</v>
      </c>
      <c r="G365" s="64">
        <f>+'MARZO 2025'!G365+'FEBRERO 2025'!G365+'ENERO 2025'!G365</f>
        <v>801904</v>
      </c>
      <c r="H365" s="64">
        <f>+'MARZO 2025'!H365+'FEBRERO 2025'!H365+'ENERO 2025'!H365</f>
        <v>0</v>
      </c>
      <c r="I365" s="64">
        <v>0</v>
      </c>
      <c r="J365" s="64">
        <f t="shared" si="15"/>
        <v>801904</v>
      </c>
      <c r="K365" s="65">
        <f>J365/$J$25</f>
        <v>2.6902771375659031E-3</v>
      </c>
    </row>
    <row r="366" spans="1:11" x14ac:dyDescent="0.2">
      <c r="A366" s="54">
        <v>2</v>
      </c>
      <c r="B366" s="55">
        <v>6</v>
      </c>
      <c r="C366" s="55">
        <v>4</v>
      </c>
      <c r="D366" s="55"/>
      <c r="E366" s="79"/>
      <c r="F366" s="86" t="s">
        <v>304</v>
      </c>
      <c r="G366" s="56">
        <f>+'MARZO 2025'!G366+'FEBRERO 2025'!G366+'ENERO 2025'!G366</f>
        <v>0</v>
      </c>
      <c r="H366" s="56">
        <f>+'MARZO 2025'!H366+'FEBRERO 2025'!H366+'ENERO 2025'!H366</f>
        <v>107609.37</v>
      </c>
      <c r="I366" s="56">
        <v>0</v>
      </c>
      <c r="J366" s="56">
        <f t="shared" si="15"/>
        <v>107609.37</v>
      </c>
      <c r="K366" s="53"/>
    </row>
    <row r="367" spans="1:11" x14ac:dyDescent="0.2">
      <c r="A367" s="73">
        <v>2</v>
      </c>
      <c r="B367" s="58">
        <v>6</v>
      </c>
      <c r="C367" s="58">
        <v>4</v>
      </c>
      <c r="D367" s="58">
        <v>1</v>
      </c>
      <c r="E367" s="58"/>
      <c r="F367" s="87" t="s">
        <v>305</v>
      </c>
      <c r="G367" s="59">
        <f>+'MARZO 2025'!G367+'FEBRERO 2025'!G367+'ENERO 2025'!G367</f>
        <v>0</v>
      </c>
      <c r="H367" s="59">
        <f>+'MARZO 2025'!H367+'FEBRERO 2025'!H367+'ENERO 2025'!H367</f>
        <v>0</v>
      </c>
      <c r="I367" s="59">
        <v>0</v>
      </c>
      <c r="J367" s="59">
        <f t="shared" si="15"/>
        <v>0</v>
      </c>
      <c r="K367" s="68"/>
    </row>
    <row r="368" spans="1:11" x14ac:dyDescent="0.2">
      <c r="A368" s="75">
        <v>2</v>
      </c>
      <c r="B368" s="62">
        <v>6</v>
      </c>
      <c r="C368" s="62">
        <v>4</v>
      </c>
      <c r="D368" s="62">
        <v>1</v>
      </c>
      <c r="E368" s="63" t="s">
        <v>35</v>
      </c>
      <c r="F368" s="70" t="s">
        <v>305</v>
      </c>
      <c r="G368" s="64">
        <f>+'MARZO 2025'!G368+'FEBRERO 2025'!G368+'ENERO 2025'!G368</f>
        <v>0</v>
      </c>
      <c r="H368" s="64">
        <f>+'MARZO 2025'!H368+'FEBRERO 2025'!H368+'ENERO 2025'!H368</f>
        <v>0</v>
      </c>
      <c r="I368" s="64">
        <v>0</v>
      </c>
      <c r="J368" s="64">
        <f t="shared" si="15"/>
        <v>0</v>
      </c>
      <c r="K368" s="65">
        <f>J368/$J$25</f>
        <v>0</v>
      </c>
    </row>
    <row r="369" spans="1:11" x14ac:dyDescent="0.2">
      <c r="A369" s="73">
        <v>2</v>
      </c>
      <c r="B369" s="58">
        <v>6</v>
      </c>
      <c r="C369" s="58">
        <v>4</v>
      </c>
      <c r="D369" s="58">
        <v>2</v>
      </c>
      <c r="E369" s="58"/>
      <c r="F369" s="87" t="s">
        <v>306</v>
      </c>
      <c r="G369" s="59">
        <f>+'MARZO 2025'!G369+'FEBRERO 2025'!G369+'ENERO 2025'!G369</f>
        <v>0</v>
      </c>
      <c r="H369" s="59">
        <f>+'MARZO 2025'!H369+'FEBRERO 2025'!H369+'ENERO 2025'!H369</f>
        <v>0</v>
      </c>
      <c r="I369" s="59">
        <v>0</v>
      </c>
      <c r="J369" s="59">
        <f t="shared" si="15"/>
        <v>0</v>
      </c>
      <c r="K369" s="68"/>
    </row>
    <row r="370" spans="1:11" x14ac:dyDescent="0.2">
      <c r="A370" s="75">
        <v>2</v>
      </c>
      <c r="B370" s="62">
        <v>6</v>
      </c>
      <c r="C370" s="62">
        <v>4</v>
      </c>
      <c r="D370" s="62">
        <v>2</v>
      </c>
      <c r="E370" s="63" t="s">
        <v>35</v>
      </c>
      <c r="F370" s="70" t="s">
        <v>306</v>
      </c>
      <c r="G370" s="64">
        <f>+'MARZO 2025'!G370+'FEBRERO 2025'!G370+'ENERO 2025'!G370</f>
        <v>0</v>
      </c>
      <c r="H370" s="64">
        <f>+'MARZO 2025'!H370+'FEBRERO 2025'!H370+'ENERO 2025'!H370</f>
        <v>0</v>
      </c>
      <c r="I370" s="64">
        <v>0</v>
      </c>
      <c r="J370" s="64">
        <f t="shared" si="15"/>
        <v>0</v>
      </c>
      <c r="K370" s="65">
        <f>J370/$J$25</f>
        <v>0</v>
      </c>
    </row>
    <row r="371" spans="1:11" x14ac:dyDescent="0.2">
      <c r="A371" s="73">
        <v>2</v>
      </c>
      <c r="B371" s="58">
        <v>6</v>
      </c>
      <c r="C371" s="58">
        <v>4</v>
      </c>
      <c r="D371" s="58">
        <v>3</v>
      </c>
      <c r="E371" s="58"/>
      <c r="F371" s="87" t="s">
        <v>307</v>
      </c>
      <c r="G371" s="59">
        <f>+'MARZO 2025'!G371+'FEBRERO 2025'!G371+'ENERO 2025'!G371</f>
        <v>0</v>
      </c>
      <c r="H371" s="59">
        <f>+'MARZO 2025'!H371+'FEBRERO 2025'!H371+'ENERO 2025'!H371</f>
        <v>0</v>
      </c>
      <c r="I371" s="59">
        <v>0</v>
      </c>
      <c r="J371" s="59">
        <f t="shared" si="15"/>
        <v>0</v>
      </c>
      <c r="K371" s="68"/>
    </row>
    <row r="372" spans="1:11" x14ac:dyDescent="0.2">
      <c r="A372" s="75">
        <v>2</v>
      </c>
      <c r="B372" s="62">
        <v>6</v>
      </c>
      <c r="C372" s="62">
        <v>4</v>
      </c>
      <c r="D372" s="62">
        <v>3</v>
      </c>
      <c r="E372" s="63" t="s">
        <v>35</v>
      </c>
      <c r="F372" s="70" t="s">
        <v>307</v>
      </c>
      <c r="G372" s="64">
        <f>+'MARZO 2025'!G372+'FEBRERO 2025'!G372+'ENERO 2025'!G372</f>
        <v>0</v>
      </c>
      <c r="H372" s="64">
        <f>+'MARZO 2025'!H372+'FEBRERO 2025'!H372+'ENERO 2025'!H372</f>
        <v>0</v>
      </c>
      <c r="I372" s="64">
        <v>0</v>
      </c>
      <c r="J372" s="64">
        <f t="shared" si="15"/>
        <v>0</v>
      </c>
      <c r="K372" s="65">
        <f>J372/$J$25</f>
        <v>0</v>
      </c>
    </row>
    <row r="373" spans="1:11" x14ac:dyDescent="0.2">
      <c r="A373" s="73">
        <v>2</v>
      </c>
      <c r="B373" s="58">
        <v>6</v>
      </c>
      <c r="C373" s="58">
        <v>4</v>
      </c>
      <c r="D373" s="58">
        <v>4</v>
      </c>
      <c r="E373" s="58"/>
      <c r="F373" s="87" t="s">
        <v>308</v>
      </c>
      <c r="G373" s="59">
        <f>+'MARZO 2025'!G373+'FEBRERO 2025'!G373+'ENERO 2025'!G373</f>
        <v>0</v>
      </c>
      <c r="H373" s="59">
        <f>+'MARZO 2025'!H373+'FEBRERO 2025'!H373+'ENERO 2025'!H373</f>
        <v>0</v>
      </c>
      <c r="I373" s="59">
        <v>0</v>
      </c>
      <c r="J373" s="59">
        <f t="shared" si="15"/>
        <v>0</v>
      </c>
      <c r="K373" s="68"/>
    </row>
    <row r="374" spans="1:11" x14ac:dyDescent="0.2">
      <c r="A374" s="75">
        <v>2</v>
      </c>
      <c r="B374" s="62">
        <v>6</v>
      </c>
      <c r="C374" s="62">
        <v>4</v>
      </c>
      <c r="D374" s="62">
        <v>4</v>
      </c>
      <c r="E374" s="63" t="s">
        <v>35</v>
      </c>
      <c r="F374" s="70" t="s">
        <v>308</v>
      </c>
      <c r="G374" s="64">
        <f>+'MARZO 2025'!G374+'FEBRERO 2025'!G374+'ENERO 2025'!G374</f>
        <v>0</v>
      </c>
      <c r="H374" s="64">
        <f>+'MARZO 2025'!H374+'FEBRERO 2025'!H374+'ENERO 2025'!H374</f>
        <v>0</v>
      </c>
      <c r="I374" s="64">
        <v>0</v>
      </c>
      <c r="J374" s="64">
        <f t="shared" si="15"/>
        <v>0</v>
      </c>
      <c r="K374" s="65">
        <f>J374/$J$25</f>
        <v>0</v>
      </c>
    </row>
    <row r="375" spans="1:11" x14ac:dyDescent="0.2">
      <c r="A375" s="73">
        <v>2</v>
      </c>
      <c r="B375" s="58">
        <v>6</v>
      </c>
      <c r="C375" s="58">
        <v>4</v>
      </c>
      <c r="D375" s="58">
        <v>5</v>
      </c>
      <c r="E375" s="58"/>
      <c r="F375" s="87" t="s">
        <v>309</v>
      </c>
      <c r="G375" s="59">
        <f>+'MARZO 2025'!G375+'FEBRERO 2025'!G375+'ENERO 2025'!G375</f>
        <v>0</v>
      </c>
      <c r="H375" s="59">
        <f>+'MARZO 2025'!H375+'FEBRERO 2025'!H375+'ENERO 2025'!H375</f>
        <v>0</v>
      </c>
      <c r="I375" s="59">
        <v>0</v>
      </c>
      <c r="J375" s="59">
        <f t="shared" si="15"/>
        <v>0</v>
      </c>
      <c r="K375" s="68"/>
    </row>
    <row r="376" spans="1:11" x14ac:dyDescent="0.2">
      <c r="A376" s="75">
        <v>2</v>
      </c>
      <c r="B376" s="62">
        <v>6</v>
      </c>
      <c r="C376" s="62">
        <v>4</v>
      </c>
      <c r="D376" s="62">
        <v>5</v>
      </c>
      <c r="E376" s="63" t="s">
        <v>35</v>
      </c>
      <c r="F376" s="70" t="s">
        <v>309</v>
      </c>
      <c r="G376" s="64">
        <f>+'MARZO 2025'!G376+'FEBRERO 2025'!G376+'ENERO 2025'!G376</f>
        <v>0</v>
      </c>
      <c r="H376" s="64">
        <f>+'MARZO 2025'!H376+'FEBRERO 2025'!H376+'ENERO 2025'!H376</f>
        <v>0</v>
      </c>
      <c r="I376" s="64">
        <v>0</v>
      </c>
      <c r="J376" s="64">
        <f t="shared" si="15"/>
        <v>0</v>
      </c>
      <c r="K376" s="65">
        <f>J376/$J$25</f>
        <v>0</v>
      </c>
    </row>
    <row r="377" spans="1:11" x14ac:dyDescent="0.2">
      <c r="A377" s="73">
        <v>2</v>
      </c>
      <c r="B377" s="58">
        <v>6</v>
      </c>
      <c r="C377" s="58">
        <v>4</v>
      </c>
      <c r="D377" s="58">
        <v>6</v>
      </c>
      <c r="E377" s="58"/>
      <c r="F377" s="87" t="s">
        <v>310</v>
      </c>
      <c r="G377" s="59">
        <f>+'MARZO 2025'!G377+'FEBRERO 2025'!G377+'ENERO 2025'!G377</f>
        <v>0</v>
      </c>
      <c r="H377" s="59">
        <f>+'MARZO 2025'!H377+'FEBRERO 2025'!H377+'ENERO 2025'!H377</f>
        <v>107609.37</v>
      </c>
      <c r="I377" s="59">
        <v>0</v>
      </c>
      <c r="J377" s="59">
        <f t="shared" si="15"/>
        <v>107609.37</v>
      </c>
      <c r="K377" s="68"/>
    </row>
    <row r="378" spans="1:11" x14ac:dyDescent="0.2">
      <c r="A378" s="75">
        <v>2</v>
      </c>
      <c r="B378" s="62">
        <v>6</v>
      </c>
      <c r="C378" s="62">
        <v>4</v>
      </c>
      <c r="D378" s="62">
        <v>6</v>
      </c>
      <c r="E378" s="63" t="s">
        <v>35</v>
      </c>
      <c r="F378" s="70" t="s">
        <v>310</v>
      </c>
      <c r="G378" s="64">
        <f>+'MARZO 2025'!G378+'FEBRERO 2025'!G378+'ENERO 2025'!G378</f>
        <v>0</v>
      </c>
      <c r="H378" s="64">
        <f>+'MARZO 2025'!H378+'FEBRERO 2025'!H378+'ENERO 2025'!H378</f>
        <v>107609.37</v>
      </c>
      <c r="I378" s="64">
        <v>0</v>
      </c>
      <c r="J378" s="64">
        <f t="shared" si="15"/>
        <v>107609.37</v>
      </c>
      <c r="K378" s="65">
        <f>J378/$J$25</f>
        <v>3.6101457019651999E-4</v>
      </c>
    </row>
    <row r="379" spans="1:11" x14ac:dyDescent="0.2">
      <c r="A379" s="73">
        <v>2</v>
      </c>
      <c r="B379" s="58">
        <v>6</v>
      </c>
      <c r="C379" s="58">
        <v>4</v>
      </c>
      <c r="D379" s="58">
        <v>7</v>
      </c>
      <c r="E379" s="58"/>
      <c r="F379" s="87" t="s">
        <v>311</v>
      </c>
      <c r="G379" s="59">
        <f>+'MARZO 2025'!G379+'FEBRERO 2025'!G379+'ENERO 2025'!G379</f>
        <v>0</v>
      </c>
      <c r="H379" s="59">
        <f>+'MARZO 2025'!H379+'FEBRERO 2025'!H379+'ENERO 2025'!H379</f>
        <v>0</v>
      </c>
      <c r="I379" s="59">
        <v>0</v>
      </c>
      <c r="J379" s="59">
        <f t="shared" si="15"/>
        <v>0</v>
      </c>
      <c r="K379" s="68"/>
    </row>
    <row r="380" spans="1:11" x14ac:dyDescent="0.2">
      <c r="A380" s="75">
        <v>2</v>
      </c>
      <c r="B380" s="62">
        <v>6</v>
      </c>
      <c r="C380" s="62">
        <v>4</v>
      </c>
      <c r="D380" s="62">
        <v>7</v>
      </c>
      <c r="E380" s="63" t="s">
        <v>35</v>
      </c>
      <c r="F380" s="70" t="s">
        <v>311</v>
      </c>
      <c r="G380" s="64">
        <f>+'MARZO 2025'!G380+'FEBRERO 2025'!G380+'ENERO 2025'!G380</f>
        <v>0</v>
      </c>
      <c r="H380" s="64">
        <f>+'MARZO 2025'!H380+'FEBRERO 2025'!H380+'ENERO 2025'!H380</f>
        <v>0</v>
      </c>
      <c r="I380" s="64">
        <v>0</v>
      </c>
      <c r="J380" s="64">
        <f t="shared" si="15"/>
        <v>0</v>
      </c>
      <c r="K380" s="65">
        <f>J380/$J$25</f>
        <v>0</v>
      </c>
    </row>
    <row r="381" spans="1:11" x14ac:dyDescent="0.2">
      <c r="A381" s="73">
        <v>2</v>
      </c>
      <c r="B381" s="58">
        <v>6</v>
      </c>
      <c r="C381" s="58">
        <v>4</v>
      </c>
      <c r="D381" s="58">
        <v>8</v>
      </c>
      <c r="E381" s="58"/>
      <c r="F381" s="87" t="s">
        <v>312</v>
      </c>
      <c r="G381" s="59">
        <f>+'MARZO 2025'!G381+'FEBRERO 2025'!G381+'ENERO 2025'!G381</f>
        <v>0</v>
      </c>
      <c r="H381" s="59">
        <f>+'MARZO 2025'!H381+'FEBRERO 2025'!H381+'ENERO 2025'!H381</f>
        <v>0</v>
      </c>
      <c r="I381" s="59">
        <v>0</v>
      </c>
      <c r="J381" s="59">
        <f t="shared" si="15"/>
        <v>0</v>
      </c>
      <c r="K381" s="68"/>
    </row>
    <row r="382" spans="1:11" x14ac:dyDescent="0.2">
      <c r="A382" s="75">
        <v>2</v>
      </c>
      <c r="B382" s="62">
        <v>6</v>
      </c>
      <c r="C382" s="62">
        <v>4</v>
      </c>
      <c r="D382" s="62">
        <v>8</v>
      </c>
      <c r="E382" s="63" t="s">
        <v>35</v>
      </c>
      <c r="F382" s="70" t="s">
        <v>312</v>
      </c>
      <c r="G382" s="64">
        <f>+'MARZO 2025'!G382+'FEBRERO 2025'!G382+'ENERO 2025'!G382</f>
        <v>0</v>
      </c>
      <c r="H382" s="64">
        <f>+'MARZO 2025'!H382+'FEBRERO 2025'!H382+'ENERO 2025'!H382</f>
        <v>0</v>
      </c>
      <c r="I382" s="64">
        <v>0</v>
      </c>
      <c r="J382" s="64">
        <f t="shared" si="15"/>
        <v>0</v>
      </c>
      <c r="K382" s="65">
        <f>J382/$J$25</f>
        <v>0</v>
      </c>
    </row>
    <row r="383" spans="1:11" x14ac:dyDescent="0.2">
      <c r="A383" s="54">
        <v>2</v>
      </c>
      <c r="B383" s="55">
        <v>6</v>
      </c>
      <c r="C383" s="55">
        <v>5</v>
      </c>
      <c r="D383" s="55"/>
      <c r="E383" s="79"/>
      <c r="F383" s="86" t="s">
        <v>313</v>
      </c>
      <c r="G383" s="56">
        <f>+'MARZO 2025'!G383+'FEBRERO 2025'!G383+'ENERO 2025'!G383</f>
        <v>3199.97</v>
      </c>
      <c r="H383" s="56">
        <f>+'MARZO 2025'!H383+'FEBRERO 2025'!H383+'ENERO 2025'!H383</f>
        <v>2005410</v>
      </c>
      <c r="I383" s="56">
        <v>0</v>
      </c>
      <c r="J383" s="56">
        <f t="shared" si="15"/>
        <v>2008609.97</v>
      </c>
      <c r="K383" s="53"/>
    </row>
    <row r="384" spans="1:11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7" t="s">
        <v>314</v>
      </c>
      <c r="G384" s="59">
        <f>+'MARZO 2025'!G384+'FEBRERO 2025'!G384+'ENERO 2025'!G384</f>
        <v>0</v>
      </c>
      <c r="H384" s="59">
        <f>+'MARZO 2025'!H384+'FEBRERO 2025'!H384+'ENERO 2025'!H384</f>
        <v>0</v>
      </c>
      <c r="I384" s="59">
        <v>0</v>
      </c>
      <c r="J384" s="59">
        <f t="shared" si="15"/>
        <v>0</v>
      </c>
      <c r="K384" s="68"/>
    </row>
    <row r="385" spans="1:11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70" t="s">
        <v>314</v>
      </c>
      <c r="G385" s="64">
        <f>+'MARZO 2025'!G385+'FEBRERO 2025'!G385+'ENERO 2025'!G385</f>
        <v>0</v>
      </c>
      <c r="H385" s="64">
        <f>+'MARZO 2025'!H385+'FEBRERO 2025'!H385+'ENERO 2025'!H385</f>
        <v>0</v>
      </c>
      <c r="I385" s="64">
        <v>0</v>
      </c>
      <c r="J385" s="64">
        <f t="shared" si="15"/>
        <v>0</v>
      </c>
      <c r="K385" s="65">
        <f>J385/$J$25</f>
        <v>0</v>
      </c>
    </row>
    <row r="386" spans="1:11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7" t="s">
        <v>315</v>
      </c>
      <c r="G386" s="59">
        <f>+'MARZO 2025'!G386+'FEBRERO 2025'!G386+'ENERO 2025'!G386</f>
        <v>0</v>
      </c>
      <c r="H386" s="59">
        <f>+'MARZO 2025'!H386+'FEBRERO 2025'!H386+'ENERO 2025'!H386</f>
        <v>1770000</v>
      </c>
      <c r="I386" s="59">
        <v>0</v>
      </c>
      <c r="J386" s="59">
        <f t="shared" si="15"/>
        <v>1770000</v>
      </c>
      <c r="K386" s="68"/>
    </row>
    <row r="387" spans="1:11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70" t="s">
        <v>315</v>
      </c>
      <c r="G387" s="64">
        <f>+'MARZO 2025'!G387+'FEBRERO 2025'!G387+'ENERO 2025'!G387</f>
        <v>0</v>
      </c>
      <c r="H387" s="64">
        <f>+'MARZO 2025'!H387+'FEBRERO 2025'!H387+'ENERO 2025'!H387</f>
        <v>1770000</v>
      </c>
      <c r="I387" s="64">
        <v>0</v>
      </c>
      <c r="J387" s="64">
        <f t="shared" si="15"/>
        <v>1770000</v>
      </c>
      <c r="K387" s="65">
        <f>J387/$J$25</f>
        <v>5.9381054758320803E-3</v>
      </c>
    </row>
    <row r="388" spans="1:11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7" t="s">
        <v>316</v>
      </c>
      <c r="G388" s="59">
        <f>+'MARZO 2025'!G388+'FEBRERO 2025'!G388+'ENERO 2025'!G388</f>
        <v>0</v>
      </c>
      <c r="H388" s="59">
        <f>+'MARZO 2025'!H388+'FEBRERO 2025'!H388+'ENERO 2025'!H388</f>
        <v>0</v>
      </c>
      <c r="I388" s="59">
        <v>0</v>
      </c>
      <c r="J388" s="59">
        <f t="shared" si="15"/>
        <v>0</v>
      </c>
      <c r="K388" s="68"/>
    </row>
    <row r="389" spans="1:11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70" t="s">
        <v>316</v>
      </c>
      <c r="G389" s="64">
        <f>+'MARZO 2025'!G389+'FEBRERO 2025'!G389+'ENERO 2025'!G389</f>
        <v>0</v>
      </c>
      <c r="H389" s="64">
        <f>+'MARZO 2025'!H389+'FEBRERO 2025'!H389+'ENERO 2025'!H389</f>
        <v>0</v>
      </c>
      <c r="I389" s="64">
        <v>0</v>
      </c>
      <c r="J389" s="64">
        <f t="shared" si="15"/>
        <v>0</v>
      </c>
      <c r="K389" s="65">
        <f>J389/$J$25</f>
        <v>0</v>
      </c>
    </row>
    <row r="390" spans="1:11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7" t="s">
        <v>317</v>
      </c>
      <c r="G390" s="59">
        <f>+'MARZO 2025'!G390+'FEBRERO 2025'!G390+'ENERO 2025'!G390</f>
        <v>0</v>
      </c>
      <c r="H390" s="59">
        <f>+'MARZO 2025'!H390+'FEBRERO 2025'!H390+'ENERO 2025'!H390</f>
        <v>192930</v>
      </c>
      <c r="I390" s="59">
        <v>0</v>
      </c>
      <c r="J390" s="59">
        <f t="shared" si="15"/>
        <v>192930</v>
      </c>
      <c r="K390" s="68"/>
    </row>
    <row r="391" spans="1:11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70" t="s">
        <v>317</v>
      </c>
      <c r="G391" s="64">
        <f>+'MARZO 2025'!G391+'FEBRERO 2025'!G391+'ENERO 2025'!G391</f>
        <v>0</v>
      </c>
      <c r="H391" s="64">
        <f>+'MARZO 2025'!H391+'FEBRERO 2025'!H391+'ENERO 2025'!H391</f>
        <v>192930</v>
      </c>
      <c r="I391" s="64">
        <v>0</v>
      </c>
      <c r="J391" s="64">
        <f t="shared" si="15"/>
        <v>192930</v>
      </c>
      <c r="K391" s="65">
        <f>J391/$J$25</f>
        <v>6.4725349686569678E-4</v>
      </c>
    </row>
    <row r="392" spans="1:11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7" t="s">
        <v>318</v>
      </c>
      <c r="G392" s="59">
        <f>+'MARZO 2025'!G392+'FEBRERO 2025'!G392+'ENERO 2025'!G392</f>
        <v>0</v>
      </c>
      <c r="H392" s="59">
        <f>+'MARZO 2025'!H392+'FEBRERO 2025'!H392+'ENERO 2025'!H392</f>
        <v>0</v>
      </c>
      <c r="I392" s="59">
        <v>0</v>
      </c>
      <c r="J392" s="59">
        <f t="shared" si="15"/>
        <v>0</v>
      </c>
      <c r="K392" s="68"/>
    </row>
    <row r="393" spans="1:11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70" t="s">
        <v>318</v>
      </c>
      <c r="G393" s="64">
        <f>+'MARZO 2025'!G393+'FEBRERO 2025'!G393+'ENERO 2025'!G393</f>
        <v>0</v>
      </c>
      <c r="H393" s="64">
        <f>+'MARZO 2025'!H393+'FEBRERO 2025'!H393+'ENERO 2025'!H393</f>
        <v>0</v>
      </c>
      <c r="I393" s="64">
        <v>0</v>
      </c>
      <c r="J393" s="64">
        <f t="shared" si="15"/>
        <v>0</v>
      </c>
      <c r="K393" s="65">
        <f>J393/$J$25</f>
        <v>0</v>
      </c>
    </row>
    <row r="394" spans="1:11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7" t="s">
        <v>319</v>
      </c>
      <c r="G394" s="59">
        <f>+'MARZO 2025'!G394+'FEBRERO 2025'!G394+'ENERO 2025'!G394</f>
        <v>3199.97</v>
      </c>
      <c r="H394" s="59">
        <f>+'MARZO 2025'!H394+'FEBRERO 2025'!H394+'ENERO 2025'!H394</f>
        <v>42480</v>
      </c>
      <c r="I394" s="59">
        <v>0</v>
      </c>
      <c r="J394" s="59">
        <f t="shared" si="15"/>
        <v>45679.97</v>
      </c>
      <c r="K394" s="68"/>
    </row>
    <row r="395" spans="1:11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70" t="s">
        <v>319</v>
      </c>
      <c r="G395" s="64">
        <f>+'MARZO 2025'!G395+'FEBRERO 2025'!G395+'ENERO 2025'!G395</f>
        <v>3199.97</v>
      </c>
      <c r="H395" s="64">
        <f>+'MARZO 2025'!H395+'FEBRERO 2025'!H395+'ENERO 2025'!H395</f>
        <v>42480</v>
      </c>
      <c r="I395" s="64">
        <v>0</v>
      </c>
      <c r="J395" s="64">
        <f t="shared" si="15"/>
        <v>45679.97</v>
      </c>
      <c r="K395" s="65">
        <f>J395/$J$25</f>
        <v>1.5324998869652268E-4</v>
      </c>
    </row>
    <row r="396" spans="1:11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7" t="s">
        <v>320</v>
      </c>
      <c r="G396" s="59">
        <f>+'MARZO 2025'!G396+'FEBRERO 2025'!G396+'ENERO 2025'!G396</f>
        <v>0</v>
      </c>
      <c r="H396" s="59">
        <f>+'MARZO 2025'!H396+'FEBRERO 2025'!H396+'ENERO 2025'!H396</f>
        <v>0</v>
      </c>
      <c r="I396" s="59">
        <v>0</v>
      </c>
      <c r="J396" s="59">
        <f t="shared" si="15"/>
        <v>0</v>
      </c>
      <c r="K396" s="68"/>
    </row>
    <row r="397" spans="1:11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70" t="s">
        <v>320</v>
      </c>
      <c r="G397" s="64">
        <f>+'MARZO 2025'!G397+'FEBRERO 2025'!G397+'ENERO 2025'!G397</f>
        <v>0</v>
      </c>
      <c r="H397" s="64">
        <f>+'MARZO 2025'!H397+'FEBRERO 2025'!H397+'ENERO 2025'!H397</f>
        <v>0</v>
      </c>
      <c r="I397" s="64">
        <v>0</v>
      </c>
      <c r="J397" s="64">
        <f t="shared" si="15"/>
        <v>0</v>
      </c>
      <c r="K397" s="65">
        <f>J397/$J$25</f>
        <v>0</v>
      </c>
    </row>
    <row r="398" spans="1:11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7" t="s">
        <v>321</v>
      </c>
      <c r="G398" s="59">
        <f>+'MARZO 2025'!G398+'FEBRERO 2025'!G398+'ENERO 2025'!G398</f>
        <v>0</v>
      </c>
      <c r="H398" s="59">
        <f>+'MARZO 2025'!H398+'FEBRERO 2025'!H398+'ENERO 2025'!H398</f>
        <v>0</v>
      </c>
      <c r="I398" s="59">
        <v>0</v>
      </c>
      <c r="J398" s="59">
        <f t="shared" si="15"/>
        <v>0</v>
      </c>
      <c r="K398" s="68"/>
    </row>
    <row r="399" spans="1:11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70" t="s">
        <v>321</v>
      </c>
      <c r="G399" s="64">
        <f>+'MARZO 2025'!G399+'FEBRERO 2025'!G399+'ENERO 2025'!G399</f>
        <v>0</v>
      </c>
      <c r="H399" s="64">
        <f>+'MARZO 2025'!H399+'FEBRERO 2025'!H399+'ENERO 2025'!H399</f>
        <v>0</v>
      </c>
      <c r="I399" s="64">
        <v>0</v>
      </c>
      <c r="J399" s="64">
        <f t="shared" si="15"/>
        <v>0</v>
      </c>
      <c r="K399" s="65">
        <f>J399/$J$25</f>
        <v>0</v>
      </c>
    </row>
    <row r="400" spans="1:11" x14ac:dyDescent="0.2">
      <c r="A400" s="71">
        <v>2</v>
      </c>
      <c r="B400" s="55">
        <v>6</v>
      </c>
      <c r="C400" s="55">
        <v>6</v>
      </c>
      <c r="D400" s="55"/>
      <c r="E400" s="55"/>
      <c r="F400" s="86" t="s">
        <v>322</v>
      </c>
      <c r="G400" s="56">
        <f>+'MARZO 2025'!G400+'FEBRERO 2025'!G400+'ENERO 2025'!G400</f>
        <v>0</v>
      </c>
      <c r="H400" s="56">
        <f>+'MARZO 2025'!H400+'FEBRERO 2025'!H400+'ENERO 2025'!H400</f>
        <v>0</v>
      </c>
      <c r="I400" s="56">
        <v>0</v>
      </c>
      <c r="J400" s="56">
        <f t="shared" si="15"/>
        <v>0</v>
      </c>
      <c r="K400" s="53">
        <f>J400/$J$25</f>
        <v>0</v>
      </c>
    </row>
    <row r="401" spans="1:11" x14ac:dyDescent="0.2">
      <c r="A401" s="73">
        <v>2</v>
      </c>
      <c r="B401" s="58">
        <v>6</v>
      </c>
      <c r="C401" s="58">
        <v>6</v>
      </c>
      <c r="D401" s="58">
        <v>1</v>
      </c>
      <c r="E401" s="78"/>
      <c r="F401" s="87" t="s">
        <v>323</v>
      </c>
      <c r="G401" s="59">
        <f>+'MARZO 2025'!G401+'FEBRERO 2025'!G401+'ENERO 2025'!G401</f>
        <v>0</v>
      </c>
      <c r="H401" s="59">
        <f>+'MARZO 2025'!H401+'FEBRERO 2025'!H401+'ENERO 2025'!H401</f>
        <v>0</v>
      </c>
      <c r="I401" s="59">
        <v>0</v>
      </c>
      <c r="J401" s="59">
        <f t="shared" si="15"/>
        <v>0</v>
      </c>
      <c r="K401" s="68"/>
    </row>
    <row r="402" spans="1:11" x14ac:dyDescent="0.2">
      <c r="A402" s="75">
        <v>2</v>
      </c>
      <c r="B402" s="62">
        <v>6</v>
      </c>
      <c r="C402" s="62">
        <v>6</v>
      </c>
      <c r="D402" s="62">
        <v>1</v>
      </c>
      <c r="E402" s="62" t="s">
        <v>324</v>
      </c>
      <c r="F402" s="70" t="s">
        <v>323</v>
      </c>
      <c r="G402" s="64">
        <f>+'MARZO 2025'!G402+'FEBRERO 2025'!G402+'ENERO 2025'!G402</f>
        <v>0</v>
      </c>
      <c r="H402" s="64">
        <f>+'MARZO 2025'!H402+'FEBRERO 2025'!H402+'ENERO 2025'!H402</f>
        <v>0</v>
      </c>
      <c r="I402" s="64">
        <v>0</v>
      </c>
      <c r="J402" s="64">
        <f t="shared" si="15"/>
        <v>0</v>
      </c>
      <c r="K402" s="65">
        <f>J402/$J$25</f>
        <v>0</v>
      </c>
    </row>
    <row r="403" spans="1:11" x14ac:dyDescent="0.2">
      <c r="A403" s="73">
        <v>2</v>
      </c>
      <c r="B403" s="58">
        <v>6</v>
      </c>
      <c r="C403" s="58">
        <v>6</v>
      </c>
      <c r="D403" s="58">
        <v>2</v>
      </c>
      <c r="E403" s="78"/>
      <c r="F403" s="87" t="s">
        <v>325</v>
      </c>
      <c r="G403" s="59">
        <f>+'MARZO 2025'!G403+'FEBRERO 2025'!G403+'ENERO 2025'!G403</f>
        <v>0</v>
      </c>
      <c r="H403" s="59">
        <f>+'MARZO 2025'!H403+'FEBRERO 2025'!H403+'ENERO 2025'!H403</f>
        <v>0</v>
      </c>
      <c r="I403" s="59">
        <v>0</v>
      </c>
      <c r="J403" s="59">
        <f t="shared" si="15"/>
        <v>0</v>
      </c>
      <c r="K403" s="68"/>
    </row>
    <row r="404" spans="1:11" x14ac:dyDescent="0.2">
      <c r="A404" s="75">
        <v>2</v>
      </c>
      <c r="B404" s="62">
        <v>6</v>
      </c>
      <c r="C404" s="62">
        <v>6</v>
      </c>
      <c r="D404" s="62">
        <v>2</v>
      </c>
      <c r="E404" s="62" t="s">
        <v>324</v>
      </c>
      <c r="F404" s="70" t="s">
        <v>325</v>
      </c>
      <c r="G404" s="64">
        <f>+'MARZO 2025'!G404+'FEBRERO 2025'!G404+'ENERO 2025'!G404</f>
        <v>0</v>
      </c>
      <c r="H404" s="64">
        <f>+'MARZO 2025'!H404+'FEBRERO 2025'!H404+'ENERO 2025'!H404</f>
        <v>0</v>
      </c>
      <c r="I404" s="64">
        <v>0</v>
      </c>
      <c r="J404" s="64">
        <f t="shared" si="15"/>
        <v>0</v>
      </c>
      <c r="K404" s="65">
        <f>J404/$J$25</f>
        <v>0</v>
      </c>
    </row>
    <row r="405" spans="1:11" x14ac:dyDescent="0.2">
      <c r="A405" s="54">
        <v>2</v>
      </c>
      <c r="B405" s="55">
        <v>6</v>
      </c>
      <c r="C405" s="55">
        <v>7</v>
      </c>
      <c r="D405" s="55"/>
      <c r="E405" s="79"/>
      <c r="F405" s="86" t="s">
        <v>326</v>
      </c>
      <c r="G405" s="56">
        <f>+'MARZO 2025'!G405+'FEBRERO 2025'!G405+'ENERO 2025'!G405</f>
        <v>0</v>
      </c>
      <c r="H405" s="56">
        <f>+'MARZO 2025'!H405+'FEBRERO 2025'!H405+'ENERO 2025'!H405</f>
        <v>0</v>
      </c>
      <c r="I405" s="56">
        <v>0</v>
      </c>
      <c r="J405" s="56">
        <f t="shared" si="15"/>
        <v>0</v>
      </c>
      <c r="K405" s="53"/>
    </row>
    <row r="406" spans="1:11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7" t="s">
        <v>327</v>
      </c>
      <c r="G406" s="59">
        <f>+'MARZO 2025'!G406+'FEBRERO 2025'!G406+'ENERO 2025'!G406</f>
        <v>0</v>
      </c>
      <c r="H406" s="59">
        <f>+'MARZO 2025'!H406+'FEBRERO 2025'!H406+'ENERO 2025'!H406</f>
        <v>0</v>
      </c>
      <c r="I406" s="59">
        <v>0</v>
      </c>
      <c r="J406" s="59">
        <f t="shared" si="15"/>
        <v>0</v>
      </c>
      <c r="K406" s="68"/>
    </row>
    <row r="407" spans="1:11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70" t="s">
        <v>327</v>
      </c>
      <c r="G407" s="64">
        <f>+'MARZO 2025'!G407+'FEBRERO 2025'!G407+'ENERO 2025'!G407</f>
        <v>0</v>
      </c>
      <c r="H407" s="64">
        <f>+'MARZO 2025'!H407+'FEBRERO 2025'!H407+'ENERO 2025'!H407</f>
        <v>0</v>
      </c>
      <c r="I407" s="64">
        <v>0</v>
      </c>
      <c r="J407" s="64">
        <f t="shared" si="15"/>
        <v>0</v>
      </c>
      <c r="K407" s="65">
        <f>J407/$J$25</f>
        <v>0</v>
      </c>
    </row>
    <row r="408" spans="1:11" x14ac:dyDescent="0.2">
      <c r="A408" s="73">
        <v>2</v>
      </c>
      <c r="B408" s="58">
        <v>6</v>
      </c>
      <c r="C408" s="58">
        <v>7</v>
      </c>
      <c r="D408" s="58">
        <v>2</v>
      </c>
      <c r="E408" s="58"/>
      <c r="F408" s="87" t="s">
        <v>328</v>
      </c>
      <c r="G408" s="59">
        <f>+'MARZO 2025'!G408+'FEBRERO 2025'!G408+'ENERO 2025'!G408</f>
        <v>0</v>
      </c>
      <c r="H408" s="59">
        <f>+'MARZO 2025'!H408+'FEBRERO 2025'!H408+'ENERO 2025'!H408</f>
        <v>0</v>
      </c>
      <c r="I408" s="59">
        <v>0</v>
      </c>
      <c r="J408" s="59">
        <f t="shared" si="15"/>
        <v>0</v>
      </c>
      <c r="K408" s="68"/>
    </row>
    <row r="409" spans="1:11" x14ac:dyDescent="0.2">
      <c r="A409" s="75">
        <v>2</v>
      </c>
      <c r="B409" s="62">
        <v>6</v>
      </c>
      <c r="C409" s="62">
        <v>7</v>
      </c>
      <c r="D409" s="62">
        <v>2</v>
      </c>
      <c r="E409" s="63" t="s">
        <v>35</v>
      </c>
      <c r="F409" s="70" t="s">
        <v>328</v>
      </c>
      <c r="G409" s="64">
        <f>+'MARZO 2025'!G409+'FEBRERO 2025'!G409+'ENERO 2025'!G409</f>
        <v>0</v>
      </c>
      <c r="H409" s="64">
        <f>+'MARZO 2025'!H409+'FEBRERO 2025'!H409+'ENERO 2025'!H409</f>
        <v>0</v>
      </c>
      <c r="I409" s="64">
        <v>0</v>
      </c>
      <c r="J409" s="64">
        <f t="shared" si="15"/>
        <v>0</v>
      </c>
      <c r="K409" s="65">
        <f>J409/$J$25</f>
        <v>0</v>
      </c>
    </row>
    <row r="410" spans="1:11" x14ac:dyDescent="0.2">
      <c r="A410" s="73">
        <v>2</v>
      </c>
      <c r="B410" s="58">
        <v>6</v>
      </c>
      <c r="C410" s="58">
        <v>7</v>
      </c>
      <c r="D410" s="58">
        <v>3</v>
      </c>
      <c r="E410" s="58"/>
      <c r="F410" s="87" t="s">
        <v>329</v>
      </c>
      <c r="G410" s="59">
        <f>+'MARZO 2025'!G410+'FEBRERO 2025'!G410+'ENERO 2025'!G410</f>
        <v>0</v>
      </c>
      <c r="H410" s="59">
        <f>+'MARZO 2025'!H410+'FEBRERO 2025'!H410+'ENERO 2025'!H410</f>
        <v>0</v>
      </c>
      <c r="I410" s="59">
        <v>0</v>
      </c>
      <c r="J410" s="59">
        <f t="shared" si="15"/>
        <v>0</v>
      </c>
      <c r="K410" s="68"/>
    </row>
    <row r="411" spans="1:11" x14ac:dyDescent="0.2">
      <c r="A411" s="75">
        <v>2</v>
      </c>
      <c r="B411" s="62">
        <v>6</v>
      </c>
      <c r="C411" s="62">
        <v>7</v>
      </c>
      <c r="D411" s="62">
        <v>3</v>
      </c>
      <c r="E411" s="63" t="s">
        <v>35</v>
      </c>
      <c r="F411" s="70" t="s">
        <v>329</v>
      </c>
      <c r="G411" s="64">
        <f>+'MARZO 2025'!G411+'FEBRERO 2025'!G411+'ENERO 2025'!G411</f>
        <v>0</v>
      </c>
      <c r="H411" s="64">
        <f>+'MARZO 2025'!H411+'FEBRERO 2025'!H411+'ENERO 2025'!H411</f>
        <v>0</v>
      </c>
      <c r="I411" s="64">
        <v>0</v>
      </c>
      <c r="J411" s="64">
        <f t="shared" si="15"/>
        <v>0</v>
      </c>
      <c r="K411" s="65">
        <f>J411/$J$25</f>
        <v>0</v>
      </c>
    </row>
    <row r="412" spans="1:11" x14ac:dyDescent="0.2">
      <c r="A412" s="73">
        <v>2</v>
      </c>
      <c r="B412" s="58">
        <v>6</v>
      </c>
      <c r="C412" s="58">
        <v>7</v>
      </c>
      <c r="D412" s="58">
        <v>4</v>
      </c>
      <c r="E412" s="58"/>
      <c r="F412" s="87" t="s">
        <v>330</v>
      </c>
      <c r="G412" s="59">
        <f>+'MARZO 2025'!G412+'FEBRERO 2025'!G412+'ENERO 2025'!G412</f>
        <v>0</v>
      </c>
      <c r="H412" s="59">
        <f>+'MARZO 2025'!H412+'FEBRERO 2025'!H412+'ENERO 2025'!H412</f>
        <v>0</v>
      </c>
      <c r="I412" s="59">
        <v>0</v>
      </c>
      <c r="J412" s="59">
        <f t="shared" si="15"/>
        <v>0</v>
      </c>
      <c r="K412" s="68"/>
    </row>
    <row r="413" spans="1:11" x14ac:dyDescent="0.2">
      <c r="A413" s="75">
        <v>2</v>
      </c>
      <c r="B413" s="62">
        <v>6</v>
      </c>
      <c r="C413" s="62">
        <v>7</v>
      </c>
      <c r="D413" s="62">
        <v>4</v>
      </c>
      <c r="E413" s="63" t="s">
        <v>35</v>
      </c>
      <c r="F413" s="70" t="s">
        <v>330</v>
      </c>
      <c r="G413" s="64">
        <f>+'MARZO 2025'!G413+'FEBRERO 2025'!G413+'ENERO 2025'!G413</f>
        <v>0</v>
      </c>
      <c r="H413" s="64">
        <f>+'MARZO 2025'!H413+'FEBRERO 2025'!H413+'ENERO 2025'!H413</f>
        <v>0</v>
      </c>
      <c r="I413" s="64">
        <v>0</v>
      </c>
      <c r="J413" s="64">
        <f t="shared" ref="J413:J477" si="16">SUM(G413:I413)</f>
        <v>0</v>
      </c>
      <c r="K413" s="65">
        <f>J413/$J$25</f>
        <v>0</v>
      </c>
    </row>
    <row r="414" spans="1:11" x14ac:dyDescent="0.2">
      <c r="A414" s="73">
        <v>2</v>
      </c>
      <c r="B414" s="58">
        <v>6</v>
      </c>
      <c r="C414" s="58">
        <v>7</v>
      </c>
      <c r="D414" s="58">
        <v>5</v>
      </c>
      <c r="E414" s="58"/>
      <c r="F414" s="87" t="s">
        <v>331</v>
      </c>
      <c r="G414" s="59">
        <f>+'MARZO 2025'!G414+'FEBRERO 2025'!G414+'ENERO 2025'!G414</f>
        <v>0</v>
      </c>
      <c r="H414" s="59">
        <f>+'MARZO 2025'!H414+'FEBRERO 2025'!H414+'ENERO 2025'!H414</f>
        <v>0</v>
      </c>
      <c r="I414" s="59">
        <v>0</v>
      </c>
      <c r="J414" s="59">
        <f t="shared" si="16"/>
        <v>0</v>
      </c>
      <c r="K414" s="68"/>
    </row>
    <row r="415" spans="1:11" x14ac:dyDescent="0.2">
      <c r="A415" s="75">
        <v>2</v>
      </c>
      <c r="B415" s="62">
        <v>6</v>
      </c>
      <c r="C415" s="62">
        <v>7</v>
      </c>
      <c r="D415" s="62">
        <v>5</v>
      </c>
      <c r="E415" s="63" t="s">
        <v>35</v>
      </c>
      <c r="F415" s="70" t="s">
        <v>331</v>
      </c>
      <c r="G415" s="64">
        <f>+'MARZO 2025'!G415+'FEBRERO 2025'!G415+'ENERO 2025'!G415</f>
        <v>0</v>
      </c>
      <c r="H415" s="64">
        <f>+'MARZO 2025'!H415+'FEBRERO 2025'!H415+'ENERO 2025'!H415</f>
        <v>0</v>
      </c>
      <c r="I415" s="64">
        <v>0</v>
      </c>
      <c r="J415" s="64">
        <f t="shared" si="16"/>
        <v>0</v>
      </c>
      <c r="K415" s="65">
        <f>J415/$J$25</f>
        <v>0</v>
      </c>
    </row>
    <row r="416" spans="1:11" x14ac:dyDescent="0.2">
      <c r="A416" s="73">
        <v>2</v>
      </c>
      <c r="B416" s="58">
        <v>6</v>
      </c>
      <c r="C416" s="58">
        <v>7</v>
      </c>
      <c r="D416" s="58">
        <v>6</v>
      </c>
      <c r="E416" s="58"/>
      <c r="F416" s="87" t="s">
        <v>332</v>
      </c>
      <c r="G416" s="59">
        <f>+'MARZO 2025'!G416+'FEBRERO 2025'!G416+'ENERO 2025'!G416</f>
        <v>0</v>
      </c>
      <c r="H416" s="59">
        <f>+'MARZO 2025'!H416+'FEBRERO 2025'!H416+'ENERO 2025'!H416</f>
        <v>0</v>
      </c>
      <c r="I416" s="59">
        <v>0</v>
      </c>
      <c r="J416" s="59">
        <f t="shared" si="16"/>
        <v>0</v>
      </c>
      <c r="K416" s="68"/>
    </row>
    <row r="417" spans="1:11" x14ac:dyDescent="0.2">
      <c r="A417" s="75">
        <v>2</v>
      </c>
      <c r="B417" s="62">
        <v>6</v>
      </c>
      <c r="C417" s="62">
        <v>7</v>
      </c>
      <c r="D417" s="62">
        <v>6</v>
      </c>
      <c r="E417" s="63" t="s">
        <v>35</v>
      </c>
      <c r="F417" s="70" t="s">
        <v>332</v>
      </c>
      <c r="G417" s="64">
        <f>+'MARZO 2025'!G417+'FEBRERO 2025'!G417+'ENERO 2025'!G417</f>
        <v>0</v>
      </c>
      <c r="H417" s="64">
        <f>+'MARZO 2025'!H417+'FEBRERO 2025'!H417+'ENERO 2025'!H417</f>
        <v>0</v>
      </c>
      <c r="I417" s="64">
        <v>0</v>
      </c>
      <c r="J417" s="64">
        <f t="shared" si="16"/>
        <v>0</v>
      </c>
      <c r="K417" s="65">
        <f>J417/$J$25</f>
        <v>0</v>
      </c>
    </row>
    <row r="418" spans="1:11" x14ac:dyDescent="0.2">
      <c r="A418" s="73">
        <v>2</v>
      </c>
      <c r="B418" s="58">
        <v>6</v>
      </c>
      <c r="C418" s="58">
        <v>7</v>
      </c>
      <c r="D418" s="58">
        <v>7</v>
      </c>
      <c r="E418" s="58"/>
      <c r="F418" s="87" t="s">
        <v>333</v>
      </c>
      <c r="G418" s="59">
        <f>+'MARZO 2025'!G418+'FEBRERO 2025'!G418+'ENERO 2025'!G418</f>
        <v>0</v>
      </c>
      <c r="H418" s="59">
        <f>+'MARZO 2025'!H418+'FEBRERO 2025'!H418+'ENERO 2025'!H418</f>
        <v>0</v>
      </c>
      <c r="I418" s="59">
        <v>0</v>
      </c>
      <c r="J418" s="59">
        <f t="shared" si="16"/>
        <v>0</v>
      </c>
      <c r="K418" s="68"/>
    </row>
    <row r="419" spans="1:11" x14ac:dyDescent="0.2">
      <c r="A419" s="75">
        <v>2</v>
      </c>
      <c r="B419" s="62">
        <v>6</v>
      </c>
      <c r="C419" s="62">
        <v>7</v>
      </c>
      <c r="D419" s="62">
        <v>7</v>
      </c>
      <c r="E419" s="63" t="s">
        <v>35</v>
      </c>
      <c r="F419" s="70" t="s">
        <v>333</v>
      </c>
      <c r="G419" s="64">
        <f>+'MARZO 2025'!G419+'FEBRERO 2025'!G419+'ENERO 2025'!G419</f>
        <v>0</v>
      </c>
      <c r="H419" s="64">
        <f>+'MARZO 2025'!H419+'FEBRERO 2025'!H419+'ENERO 2025'!H419</f>
        <v>0</v>
      </c>
      <c r="I419" s="64">
        <v>0</v>
      </c>
      <c r="J419" s="64">
        <f t="shared" si="16"/>
        <v>0</v>
      </c>
      <c r="K419" s="65">
        <f>J419/$J$25</f>
        <v>0</v>
      </c>
    </row>
    <row r="420" spans="1:11" x14ac:dyDescent="0.2">
      <c r="A420" s="73">
        <v>2</v>
      </c>
      <c r="B420" s="58">
        <v>6</v>
      </c>
      <c r="C420" s="58">
        <v>7</v>
      </c>
      <c r="D420" s="58">
        <v>8</v>
      </c>
      <c r="E420" s="58"/>
      <c r="F420" s="87" t="s">
        <v>334</v>
      </c>
      <c r="G420" s="59">
        <f>+'MARZO 2025'!G420+'FEBRERO 2025'!G420+'ENERO 2025'!G420</f>
        <v>0</v>
      </c>
      <c r="H420" s="59">
        <f>+'MARZO 2025'!H420+'FEBRERO 2025'!H420+'ENERO 2025'!H420</f>
        <v>0</v>
      </c>
      <c r="I420" s="59">
        <v>0</v>
      </c>
      <c r="J420" s="59">
        <f t="shared" si="16"/>
        <v>0</v>
      </c>
      <c r="K420" s="68"/>
    </row>
    <row r="421" spans="1:11" x14ac:dyDescent="0.2">
      <c r="A421" s="75">
        <v>2</v>
      </c>
      <c r="B421" s="62">
        <v>6</v>
      </c>
      <c r="C421" s="62">
        <v>7</v>
      </c>
      <c r="D421" s="62">
        <v>8</v>
      </c>
      <c r="E421" s="63" t="s">
        <v>35</v>
      </c>
      <c r="F421" s="70" t="s">
        <v>334</v>
      </c>
      <c r="G421" s="64">
        <f>+'MARZO 2025'!G421+'FEBRERO 2025'!G421+'ENERO 2025'!G421</f>
        <v>0</v>
      </c>
      <c r="H421" s="64">
        <f>+'MARZO 2025'!H421+'FEBRERO 2025'!H421+'ENERO 2025'!H421</f>
        <v>0</v>
      </c>
      <c r="I421" s="64">
        <v>0</v>
      </c>
      <c r="J421" s="64">
        <f t="shared" si="16"/>
        <v>0</v>
      </c>
      <c r="K421" s="65">
        <f>J421/$J$25</f>
        <v>0</v>
      </c>
    </row>
    <row r="422" spans="1:11" x14ac:dyDescent="0.2">
      <c r="A422" s="73">
        <v>2</v>
      </c>
      <c r="B422" s="58">
        <v>6</v>
      </c>
      <c r="C422" s="58">
        <v>7</v>
      </c>
      <c r="D422" s="58">
        <v>9</v>
      </c>
      <c r="E422" s="58"/>
      <c r="F422" s="87" t="s">
        <v>335</v>
      </c>
      <c r="G422" s="59">
        <f>+'MARZO 2025'!G422+'FEBRERO 2025'!G422+'ENERO 2025'!G422</f>
        <v>0</v>
      </c>
      <c r="H422" s="59">
        <f>+'MARZO 2025'!H422+'FEBRERO 2025'!H422+'ENERO 2025'!H422</f>
        <v>0</v>
      </c>
      <c r="I422" s="59">
        <v>0</v>
      </c>
      <c r="J422" s="59">
        <f t="shared" si="16"/>
        <v>0</v>
      </c>
      <c r="K422" s="68"/>
    </row>
    <row r="423" spans="1:11" x14ac:dyDescent="0.2">
      <c r="A423" s="75">
        <v>2</v>
      </c>
      <c r="B423" s="62">
        <v>6</v>
      </c>
      <c r="C423" s="62">
        <v>7</v>
      </c>
      <c r="D423" s="62">
        <v>9</v>
      </c>
      <c r="E423" s="63" t="s">
        <v>35</v>
      </c>
      <c r="F423" s="70" t="s">
        <v>335</v>
      </c>
      <c r="G423" s="64">
        <f>+'MARZO 2025'!G423+'FEBRERO 2025'!G423+'ENERO 2025'!G423</f>
        <v>0</v>
      </c>
      <c r="H423" s="64">
        <f>+'MARZO 2025'!H423+'FEBRERO 2025'!H423+'ENERO 2025'!H423</f>
        <v>0</v>
      </c>
      <c r="I423" s="64">
        <v>0</v>
      </c>
      <c r="J423" s="64">
        <f t="shared" si="16"/>
        <v>0</v>
      </c>
      <c r="K423" s="65">
        <f>J423/$J$25</f>
        <v>0</v>
      </c>
    </row>
    <row r="424" spans="1:11" x14ac:dyDescent="0.2">
      <c r="A424" s="71">
        <v>2</v>
      </c>
      <c r="B424" s="55">
        <v>6</v>
      </c>
      <c r="C424" s="55">
        <v>8</v>
      </c>
      <c r="D424" s="55"/>
      <c r="E424" s="55"/>
      <c r="F424" s="86" t="s">
        <v>336</v>
      </c>
      <c r="G424" s="56">
        <f>+'MARZO 2025'!G424+'FEBRERO 2025'!G424+'ENERO 2025'!G424</f>
        <v>0</v>
      </c>
      <c r="H424" s="56">
        <f>+'MARZO 2025'!H424+'FEBRERO 2025'!H424+'ENERO 2025'!H424</f>
        <v>0</v>
      </c>
      <c r="I424" s="56">
        <v>0</v>
      </c>
      <c r="J424" s="56">
        <f t="shared" si="16"/>
        <v>0</v>
      </c>
      <c r="K424" s="53"/>
    </row>
    <row r="425" spans="1:11" x14ac:dyDescent="0.2">
      <c r="A425" s="73">
        <v>2</v>
      </c>
      <c r="B425" s="58">
        <v>6</v>
      </c>
      <c r="C425" s="58">
        <v>8</v>
      </c>
      <c r="D425" s="58">
        <v>1</v>
      </c>
      <c r="E425" s="58"/>
      <c r="F425" s="87" t="s">
        <v>337</v>
      </c>
      <c r="G425" s="59">
        <f>+'MARZO 2025'!G425+'FEBRERO 2025'!G425+'ENERO 2025'!G425</f>
        <v>0</v>
      </c>
      <c r="H425" s="59">
        <f>+'MARZO 2025'!H425+'FEBRERO 2025'!H425+'ENERO 2025'!H425</f>
        <v>0</v>
      </c>
      <c r="I425" s="59">
        <v>0</v>
      </c>
      <c r="J425" s="59">
        <f t="shared" si="16"/>
        <v>0</v>
      </c>
      <c r="K425" s="68"/>
    </row>
    <row r="426" spans="1:11" x14ac:dyDescent="0.2">
      <c r="A426" s="75">
        <v>2</v>
      </c>
      <c r="B426" s="62">
        <v>6</v>
      </c>
      <c r="C426" s="62">
        <v>8</v>
      </c>
      <c r="D426" s="62">
        <v>1</v>
      </c>
      <c r="E426" s="63" t="s">
        <v>35</v>
      </c>
      <c r="F426" s="70" t="s">
        <v>337</v>
      </c>
      <c r="G426" s="64">
        <f>+'MARZO 2025'!G426+'FEBRERO 2025'!G426+'ENERO 2025'!G426</f>
        <v>0</v>
      </c>
      <c r="H426" s="64">
        <f>+'MARZO 2025'!H426+'FEBRERO 2025'!H426+'ENERO 2025'!H426</f>
        <v>0</v>
      </c>
      <c r="I426" s="64">
        <v>0</v>
      </c>
      <c r="J426" s="64">
        <f t="shared" si="16"/>
        <v>0</v>
      </c>
      <c r="K426" s="65">
        <f>J426/$J$25</f>
        <v>0</v>
      </c>
    </row>
    <row r="427" spans="1:11" x14ac:dyDescent="0.2">
      <c r="A427" s="73">
        <v>2</v>
      </c>
      <c r="B427" s="58">
        <v>6</v>
      </c>
      <c r="C427" s="58">
        <v>8</v>
      </c>
      <c r="D427" s="58">
        <v>2</v>
      </c>
      <c r="E427" s="58"/>
      <c r="F427" s="87" t="s">
        <v>338</v>
      </c>
      <c r="G427" s="59">
        <f>+'MARZO 2025'!G427+'FEBRERO 2025'!G427+'ENERO 2025'!G427</f>
        <v>0</v>
      </c>
      <c r="H427" s="59">
        <f>+'MARZO 2025'!H427+'FEBRERO 2025'!H427+'ENERO 2025'!H427</f>
        <v>0</v>
      </c>
      <c r="I427" s="59">
        <v>0</v>
      </c>
      <c r="J427" s="59">
        <f t="shared" si="16"/>
        <v>0</v>
      </c>
      <c r="K427" s="68"/>
    </row>
    <row r="428" spans="1:11" x14ac:dyDescent="0.2">
      <c r="A428" s="75">
        <v>2</v>
      </c>
      <c r="B428" s="62">
        <v>6</v>
      </c>
      <c r="C428" s="62">
        <v>8</v>
      </c>
      <c r="D428" s="62">
        <v>2</v>
      </c>
      <c r="E428" s="63" t="s">
        <v>35</v>
      </c>
      <c r="F428" s="70" t="s">
        <v>338</v>
      </c>
      <c r="G428" s="64">
        <f>+'MARZO 2025'!G428+'FEBRERO 2025'!G428+'ENERO 2025'!G428</f>
        <v>0</v>
      </c>
      <c r="H428" s="64">
        <f>+'MARZO 2025'!H428+'FEBRERO 2025'!H428+'ENERO 2025'!H428</f>
        <v>0</v>
      </c>
      <c r="I428" s="64">
        <v>0</v>
      </c>
      <c r="J428" s="64">
        <f t="shared" si="16"/>
        <v>0</v>
      </c>
      <c r="K428" s="65">
        <f>J428/$J$25</f>
        <v>0</v>
      </c>
    </row>
    <row r="429" spans="1:11" x14ac:dyDescent="0.2">
      <c r="A429" s="73">
        <v>2</v>
      </c>
      <c r="B429" s="58">
        <v>6</v>
      </c>
      <c r="C429" s="58">
        <v>8</v>
      </c>
      <c r="D429" s="58">
        <v>3</v>
      </c>
      <c r="E429" s="58"/>
      <c r="F429" s="87" t="s">
        <v>339</v>
      </c>
      <c r="G429" s="59">
        <f>+'MARZO 2025'!G429+'FEBRERO 2025'!G429+'ENERO 2025'!G429</f>
        <v>0</v>
      </c>
      <c r="H429" s="59">
        <f>+'MARZO 2025'!H429+'FEBRERO 2025'!H429+'ENERO 2025'!H429</f>
        <v>0</v>
      </c>
      <c r="I429" s="59">
        <v>0</v>
      </c>
      <c r="J429" s="59">
        <f t="shared" si="16"/>
        <v>0</v>
      </c>
      <c r="K429" s="68"/>
    </row>
    <row r="430" spans="1:11" x14ac:dyDescent="0.2">
      <c r="A430" s="75">
        <v>2</v>
      </c>
      <c r="B430" s="62">
        <v>6</v>
      </c>
      <c r="C430" s="62">
        <v>8</v>
      </c>
      <c r="D430" s="62">
        <v>3</v>
      </c>
      <c r="E430" s="63" t="s">
        <v>35</v>
      </c>
      <c r="F430" s="70" t="s">
        <v>340</v>
      </c>
      <c r="G430" s="64">
        <f>+'MARZO 2025'!G430+'FEBRERO 2025'!G430+'ENERO 2025'!G430</f>
        <v>0</v>
      </c>
      <c r="H430" s="64">
        <f>+'MARZO 2025'!H430+'FEBRERO 2025'!H430+'ENERO 2025'!H430</f>
        <v>0</v>
      </c>
      <c r="I430" s="64">
        <v>0</v>
      </c>
      <c r="J430" s="64">
        <f t="shared" si="16"/>
        <v>0</v>
      </c>
      <c r="K430" s="65">
        <f>J430/$J$25</f>
        <v>0</v>
      </c>
    </row>
    <row r="431" spans="1:11" x14ac:dyDescent="0.2">
      <c r="A431" s="75">
        <v>2</v>
      </c>
      <c r="B431" s="62">
        <v>6</v>
      </c>
      <c r="C431" s="62">
        <v>8</v>
      </c>
      <c r="D431" s="62">
        <v>3</v>
      </c>
      <c r="E431" s="63" t="s">
        <v>37</v>
      </c>
      <c r="F431" s="70" t="s">
        <v>341</v>
      </c>
      <c r="G431" s="64">
        <f>+'MARZO 2025'!G431+'FEBRERO 2025'!G431+'ENERO 2025'!G431</f>
        <v>0</v>
      </c>
      <c r="H431" s="64">
        <f>+'MARZO 2025'!H431+'FEBRERO 2025'!H431+'ENERO 2025'!H431</f>
        <v>0</v>
      </c>
      <c r="I431" s="64">
        <v>0</v>
      </c>
      <c r="J431" s="64">
        <f t="shared" si="16"/>
        <v>0</v>
      </c>
      <c r="K431" s="65">
        <f>J431/$J$25</f>
        <v>0</v>
      </c>
    </row>
    <row r="432" spans="1:11" x14ac:dyDescent="0.2">
      <c r="A432" s="73">
        <v>2</v>
      </c>
      <c r="B432" s="58">
        <v>6</v>
      </c>
      <c r="C432" s="58">
        <v>8</v>
      </c>
      <c r="D432" s="58">
        <v>4</v>
      </c>
      <c r="E432" s="58"/>
      <c r="F432" s="87" t="s">
        <v>342</v>
      </c>
      <c r="G432" s="59">
        <f>+'MARZO 2025'!G432+'FEBRERO 2025'!G432+'ENERO 2025'!G432</f>
        <v>0</v>
      </c>
      <c r="H432" s="59">
        <f>+'MARZO 2025'!H432+'FEBRERO 2025'!H432+'ENERO 2025'!H432</f>
        <v>0</v>
      </c>
      <c r="I432" s="59">
        <v>0</v>
      </c>
      <c r="J432" s="59">
        <f t="shared" si="16"/>
        <v>0</v>
      </c>
      <c r="K432" s="68"/>
    </row>
    <row r="433" spans="1:11" x14ac:dyDescent="0.2">
      <c r="A433" s="75">
        <v>2</v>
      </c>
      <c r="B433" s="62">
        <v>6</v>
      </c>
      <c r="C433" s="62">
        <v>8</v>
      </c>
      <c r="D433" s="62">
        <v>4</v>
      </c>
      <c r="E433" s="63" t="s">
        <v>35</v>
      </c>
      <c r="F433" s="70" t="s">
        <v>342</v>
      </c>
      <c r="G433" s="64">
        <f>+'MARZO 2025'!G433+'FEBRERO 2025'!G433+'ENERO 2025'!G433</f>
        <v>0</v>
      </c>
      <c r="H433" s="64">
        <f>+'MARZO 2025'!H433+'FEBRERO 2025'!H433+'ENERO 2025'!H433</f>
        <v>0</v>
      </c>
      <c r="I433" s="64">
        <v>0</v>
      </c>
      <c r="J433" s="64">
        <f t="shared" si="16"/>
        <v>0</v>
      </c>
      <c r="K433" s="65">
        <f>J433/$J$25</f>
        <v>0</v>
      </c>
    </row>
    <row r="434" spans="1:11" x14ac:dyDescent="0.2">
      <c r="A434" s="73">
        <v>2</v>
      </c>
      <c r="B434" s="58">
        <v>6</v>
      </c>
      <c r="C434" s="58">
        <v>8</v>
      </c>
      <c r="D434" s="58">
        <v>5</v>
      </c>
      <c r="E434" s="58"/>
      <c r="F434" s="87" t="s">
        <v>343</v>
      </c>
      <c r="G434" s="59">
        <f>+'MARZO 2025'!G434+'FEBRERO 2025'!G434+'ENERO 2025'!G434</f>
        <v>0</v>
      </c>
      <c r="H434" s="59">
        <f>+'MARZO 2025'!H434+'FEBRERO 2025'!H434+'ENERO 2025'!H434</f>
        <v>0</v>
      </c>
      <c r="I434" s="59">
        <v>0</v>
      </c>
      <c r="J434" s="59">
        <f t="shared" si="16"/>
        <v>0</v>
      </c>
      <c r="K434" s="68"/>
    </row>
    <row r="435" spans="1:11" x14ac:dyDescent="0.2">
      <c r="A435" s="75">
        <v>2</v>
      </c>
      <c r="B435" s="62">
        <v>6</v>
      </c>
      <c r="C435" s="62">
        <v>8</v>
      </c>
      <c r="D435" s="62">
        <v>5</v>
      </c>
      <c r="E435" s="63" t="s">
        <v>35</v>
      </c>
      <c r="F435" s="70" t="s">
        <v>343</v>
      </c>
      <c r="G435" s="64">
        <f>+'MARZO 2025'!G435+'FEBRERO 2025'!G435+'ENERO 2025'!G435</f>
        <v>0</v>
      </c>
      <c r="H435" s="64">
        <f>+'MARZO 2025'!H435+'FEBRERO 2025'!H435+'ENERO 2025'!H435</f>
        <v>0</v>
      </c>
      <c r="I435" s="64">
        <v>0</v>
      </c>
      <c r="J435" s="64">
        <f t="shared" si="16"/>
        <v>0</v>
      </c>
      <c r="K435" s="65">
        <f>J435/$J$25</f>
        <v>0</v>
      </c>
    </row>
    <row r="436" spans="1:11" x14ac:dyDescent="0.2">
      <c r="A436" s="73">
        <v>2</v>
      </c>
      <c r="B436" s="58">
        <v>6</v>
      </c>
      <c r="C436" s="58">
        <v>8</v>
      </c>
      <c r="D436" s="58">
        <v>6</v>
      </c>
      <c r="E436" s="58"/>
      <c r="F436" s="87" t="s">
        <v>344</v>
      </c>
      <c r="G436" s="59">
        <f>+'MARZO 2025'!G436+'FEBRERO 2025'!G436+'ENERO 2025'!G436</f>
        <v>0</v>
      </c>
      <c r="H436" s="59">
        <f>+'MARZO 2025'!H436+'FEBRERO 2025'!H436+'ENERO 2025'!H436</f>
        <v>0</v>
      </c>
      <c r="I436" s="59">
        <v>0</v>
      </c>
      <c r="J436" s="59">
        <f t="shared" si="16"/>
        <v>0</v>
      </c>
      <c r="K436" s="68"/>
    </row>
    <row r="437" spans="1:11" x14ac:dyDescent="0.2">
      <c r="A437" s="75">
        <v>2</v>
      </c>
      <c r="B437" s="62">
        <v>6</v>
      </c>
      <c r="C437" s="62">
        <v>8</v>
      </c>
      <c r="D437" s="62">
        <v>6</v>
      </c>
      <c r="E437" s="63" t="s">
        <v>35</v>
      </c>
      <c r="F437" s="70" t="s">
        <v>344</v>
      </c>
      <c r="G437" s="64">
        <f>+'MARZO 2025'!G437+'FEBRERO 2025'!G437+'ENERO 2025'!G437</f>
        <v>0</v>
      </c>
      <c r="H437" s="64">
        <f>+'MARZO 2025'!H437+'FEBRERO 2025'!H437+'ENERO 2025'!H437</f>
        <v>0</v>
      </c>
      <c r="I437" s="64">
        <v>0</v>
      </c>
      <c r="J437" s="64">
        <f t="shared" si="16"/>
        <v>0</v>
      </c>
      <c r="K437" s="65">
        <f>J437/$J$25</f>
        <v>0</v>
      </c>
    </row>
    <row r="438" spans="1:11" x14ac:dyDescent="0.2">
      <c r="A438" s="73">
        <v>2</v>
      </c>
      <c r="B438" s="58">
        <v>6</v>
      </c>
      <c r="C438" s="58">
        <v>8</v>
      </c>
      <c r="D438" s="58">
        <v>7</v>
      </c>
      <c r="E438" s="58"/>
      <c r="F438" s="87" t="s">
        <v>345</v>
      </c>
      <c r="G438" s="59">
        <f>+'MARZO 2025'!G438+'FEBRERO 2025'!G438+'ENERO 2025'!G438</f>
        <v>0</v>
      </c>
      <c r="H438" s="59">
        <f>+'MARZO 2025'!H438+'FEBRERO 2025'!H438+'ENERO 2025'!H438</f>
        <v>0</v>
      </c>
      <c r="I438" s="59">
        <v>0</v>
      </c>
      <c r="J438" s="59">
        <f t="shared" si="16"/>
        <v>0</v>
      </c>
      <c r="K438" s="68"/>
    </row>
    <row r="439" spans="1:11" x14ac:dyDescent="0.2">
      <c r="A439" s="75">
        <v>2</v>
      </c>
      <c r="B439" s="62">
        <v>6</v>
      </c>
      <c r="C439" s="62">
        <v>8</v>
      </c>
      <c r="D439" s="62">
        <v>7</v>
      </c>
      <c r="E439" s="63" t="s">
        <v>35</v>
      </c>
      <c r="F439" s="70" t="s">
        <v>345</v>
      </c>
      <c r="G439" s="64">
        <f>+'MARZO 2025'!G439+'FEBRERO 2025'!G439+'ENERO 2025'!G439</f>
        <v>0</v>
      </c>
      <c r="H439" s="64">
        <f>+'MARZO 2025'!H439+'FEBRERO 2025'!H439+'ENERO 2025'!H439</f>
        <v>0</v>
      </c>
      <c r="I439" s="64">
        <v>0</v>
      </c>
      <c r="J439" s="64">
        <f t="shared" si="16"/>
        <v>0</v>
      </c>
      <c r="K439" s="65">
        <f>J439/$J$25</f>
        <v>0</v>
      </c>
    </row>
    <row r="440" spans="1:11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7" t="s">
        <v>346</v>
      </c>
      <c r="G440" s="59">
        <f>+'MARZO 2025'!G440+'FEBRERO 2025'!G440+'ENERO 2025'!G440</f>
        <v>0</v>
      </c>
      <c r="H440" s="59">
        <f>+'MARZO 2025'!H440+'FEBRERO 2025'!H440+'ENERO 2025'!H440</f>
        <v>0</v>
      </c>
      <c r="I440" s="59">
        <v>0</v>
      </c>
      <c r="J440" s="59">
        <f t="shared" si="16"/>
        <v>0</v>
      </c>
      <c r="K440" s="68"/>
    </row>
    <row r="441" spans="1:11" x14ac:dyDescent="0.2">
      <c r="A441" s="75">
        <v>2</v>
      </c>
      <c r="B441" s="62">
        <v>6</v>
      </c>
      <c r="C441" s="62">
        <v>8</v>
      </c>
      <c r="D441" s="62">
        <v>8</v>
      </c>
      <c r="E441" s="62" t="s">
        <v>347</v>
      </c>
      <c r="F441" s="70" t="s">
        <v>348</v>
      </c>
      <c r="G441" s="64">
        <f>+'MARZO 2025'!G441+'FEBRERO 2025'!G441+'ENERO 2025'!G441</f>
        <v>0</v>
      </c>
      <c r="H441" s="64">
        <f>+'MARZO 2025'!H441+'FEBRERO 2025'!H441+'ENERO 2025'!H441</f>
        <v>0</v>
      </c>
      <c r="I441" s="64">
        <v>0</v>
      </c>
      <c r="J441" s="64">
        <f t="shared" si="16"/>
        <v>0</v>
      </c>
      <c r="K441" s="65">
        <f>J441/$J$25</f>
        <v>0</v>
      </c>
    </row>
    <row r="442" spans="1:11" x14ac:dyDescent="0.2">
      <c r="A442" s="75">
        <v>2</v>
      </c>
      <c r="B442" s="62">
        <v>6</v>
      </c>
      <c r="C442" s="62">
        <v>8</v>
      </c>
      <c r="D442" s="62">
        <v>8</v>
      </c>
      <c r="E442" s="62" t="s">
        <v>349</v>
      </c>
      <c r="F442" s="70" t="s">
        <v>350</v>
      </c>
      <c r="G442" s="64">
        <f>+'MARZO 2025'!G442+'FEBRERO 2025'!G442+'ENERO 2025'!G442</f>
        <v>0</v>
      </c>
      <c r="H442" s="64">
        <f>+'MARZO 2025'!H442+'FEBRERO 2025'!H442+'ENERO 2025'!H442</f>
        <v>0</v>
      </c>
      <c r="I442" s="64">
        <v>0</v>
      </c>
      <c r="J442" s="64">
        <f t="shared" si="16"/>
        <v>0</v>
      </c>
      <c r="K442" s="65">
        <f>J442/$J$25</f>
        <v>0</v>
      </c>
    </row>
    <row r="443" spans="1:11" x14ac:dyDescent="0.2">
      <c r="A443" s="75">
        <v>2</v>
      </c>
      <c r="B443" s="62">
        <v>6</v>
      </c>
      <c r="C443" s="62">
        <v>8</v>
      </c>
      <c r="D443" s="62">
        <v>8</v>
      </c>
      <c r="E443" s="62" t="s">
        <v>351</v>
      </c>
      <c r="F443" s="70" t="s">
        <v>352</v>
      </c>
      <c r="G443" s="64">
        <f>+'MARZO 2025'!G443+'FEBRERO 2025'!G443+'ENERO 2025'!G443</f>
        <v>0</v>
      </c>
      <c r="H443" s="64">
        <f>+'MARZO 2025'!H443+'FEBRERO 2025'!H443+'ENERO 2025'!H443</f>
        <v>0</v>
      </c>
      <c r="I443" s="64">
        <v>0</v>
      </c>
      <c r="J443" s="64">
        <f t="shared" si="16"/>
        <v>0</v>
      </c>
      <c r="K443" s="65">
        <f>J443/$J$25</f>
        <v>0</v>
      </c>
    </row>
    <row r="444" spans="1:11" x14ac:dyDescent="0.2">
      <c r="A444" s="73">
        <v>2</v>
      </c>
      <c r="B444" s="58">
        <v>6</v>
      </c>
      <c r="C444" s="58">
        <v>8</v>
      </c>
      <c r="D444" s="58">
        <v>9</v>
      </c>
      <c r="E444" s="58"/>
      <c r="F444" s="87" t="s">
        <v>353</v>
      </c>
      <c r="G444" s="59">
        <f>+'MARZO 2025'!G444+'FEBRERO 2025'!G444+'ENERO 2025'!G444</f>
        <v>0</v>
      </c>
      <c r="H444" s="59">
        <f>+'MARZO 2025'!H444+'FEBRERO 2025'!H444+'ENERO 2025'!H444</f>
        <v>0</v>
      </c>
      <c r="I444" s="59">
        <v>0</v>
      </c>
      <c r="J444" s="59">
        <f t="shared" si="16"/>
        <v>0</v>
      </c>
      <c r="K444" s="68"/>
    </row>
    <row r="445" spans="1:11" x14ac:dyDescent="0.2">
      <c r="A445" s="75">
        <v>2</v>
      </c>
      <c r="B445" s="62">
        <v>6</v>
      </c>
      <c r="C445" s="62">
        <v>8</v>
      </c>
      <c r="D445" s="62">
        <v>9</v>
      </c>
      <c r="E445" s="62" t="s">
        <v>324</v>
      </c>
      <c r="F445" s="70" t="s">
        <v>353</v>
      </c>
      <c r="G445" s="64">
        <f>+'MARZO 2025'!G445+'FEBRERO 2025'!G445+'ENERO 2025'!G445</f>
        <v>0</v>
      </c>
      <c r="H445" s="64">
        <f>+'MARZO 2025'!H445+'FEBRERO 2025'!H445+'ENERO 2025'!H445</f>
        <v>0</v>
      </c>
      <c r="I445" s="64">
        <v>0</v>
      </c>
      <c r="J445" s="64">
        <f t="shared" si="16"/>
        <v>0</v>
      </c>
      <c r="K445" s="65">
        <f>J445/$J$25</f>
        <v>0</v>
      </c>
    </row>
    <row r="446" spans="1:11" x14ac:dyDescent="0.2">
      <c r="A446" s="54">
        <v>2</v>
      </c>
      <c r="B446" s="55">
        <v>6</v>
      </c>
      <c r="C446" s="55">
        <v>9</v>
      </c>
      <c r="D446" s="55"/>
      <c r="E446" s="79"/>
      <c r="F446" s="86" t="s">
        <v>354</v>
      </c>
      <c r="G446" s="56">
        <f>+'MARZO 2025'!G446+'FEBRERO 2025'!G446+'ENERO 2025'!G446</f>
        <v>0</v>
      </c>
      <c r="H446" s="56">
        <f>+'MARZO 2025'!H446+'FEBRERO 2025'!H446+'ENERO 2025'!H446</f>
        <v>0</v>
      </c>
      <c r="I446" s="56">
        <v>0</v>
      </c>
      <c r="J446" s="56">
        <f t="shared" si="16"/>
        <v>0</v>
      </c>
      <c r="K446" s="53"/>
    </row>
    <row r="447" spans="1:11" x14ac:dyDescent="0.2">
      <c r="A447" s="73">
        <v>2</v>
      </c>
      <c r="B447" s="58">
        <v>6</v>
      </c>
      <c r="C447" s="58">
        <v>9</v>
      </c>
      <c r="D447" s="58">
        <v>1</v>
      </c>
      <c r="E447" s="58"/>
      <c r="F447" s="87" t="s">
        <v>355</v>
      </c>
      <c r="G447" s="59">
        <f>+'MARZO 2025'!G447+'FEBRERO 2025'!G447+'ENERO 2025'!G447</f>
        <v>0</v>
      </c>
      <c r="H447" s="59">
        <f>+'MARZO 2025'!H447+'FEBRERO 2025'!H447+'ENERO 2025'!H447</f>
        <v>0</v>
      </c>
      <c r="I447" s="59">
        <v>0</v>
      </c>
      <c r="J447" s="59">
        <f t="shared" si="16"/>
        <v>0</v>
      </c>
      <c r="K447" s="59"/>
    </row>
    <row r="448" spans="1:11" x14ac:dyDescent="0.2">
      <c r="A448" s="90">
        <v>2</v>
      </c>
      <c r="B448" s="91">
        <v>6</v>
      </c>
      <c r="C448" s="91">
        <v>9</v>
      </c>
      <c r="D448" s="91">
        <v>1</v>
      </c>
      <c r="E448" s="91" t="s">
        <v>35</v>
      </c>
      <c r="F448" s="92" t="s">
        <v>355</v>
      </c>
      <c r="G448" s="93">
        <f>+'MARZO 2025'!G448+'FEBRERO 2025'!G448+'ENERO 2025'!G448</f>
        <v>0</v>
      </c>
      <c r="H448" s="93">
        <f>+'MARZO 2025'!H448+'FEBRERO 2025'!H448+'ENERO 2025'!H448</f>
        <v>0</v>
      </c>
      <c r="I448" s="93">
        <v>0</v>
      </c>
      <c r="J448" s="93">
        <f t="shared" si="16"/>
        <v>0</v>
      </c>
      <c r="K448" s="65">
        <f>J448/$J$25</f>
        <v>0</v>
      </c>
    </row>
    <row r="449" spans="1:11" x14ac:dyDescent="0.2">
      <c r="A449" s="90">
        <v>2</v>
      </c>
      <c r="B449" s="91">
        <v>6</v>
      </c>
      <c r="C449" s="91">
        <v>9</v>
      </c>
      <c r="D449" s="91">
        <v>1</v>
      </c>
      <c r="E449" s="91" t="s">
        <v>37</v>
      </c>
      <c r="F449" s="92" t="s">
        <v>356</v>
      </c>
      <c r="G449" s="93">
        <f>+'MARZO 2025'!G449+'FEBRERO 2025'!G449+'ENERO 2025'!G449</f>
        <v>0</v>
      </c>
      <c r="H449" s="93">
        <f>+'MARZO 2025'!H449+'FEBRERO 2025'!H449+'ENERO 2025'!H449</f>
        <v>0</v>
      </c>
      <c r="I449" s="93">
        <v>0</v>
      </c>
      <c r="J449" s="93">
        <f t="shared" si="16"/>
        <v>0</v>
      </c>
      <c r="K449" s="65">
        <f>J449/$J$25</f>
        <v>0</v>
      </c>
    </row>
    <row r="450" spans="1:11" x14ac:dyDescent="0.2">
      <c r="A450" s="73">
        <v>2</v>
      </c>
      <c r="B450" s="58">
        <v>6</v>
      </c>
      <c r="C450" s="58">
        <v>9</v>
      </c>
      <c r="D450" s="58">
        <v>2</v>
      </c>
      <c r="E450" s="58"/>
      <c r="F450" s="87" t="s">
        <v>357</v>
      </c>
      <c r="G450" s="59">
        <f>+'MARZO 2025'!G450+'FEBRERO 2025'!G450+'ENERO 2025'!G450</f>
        <v>0</v>
      </c>
      <c r="H450" s="59">
        <f>+'MARZO 2025'!H450+'FEBRERO 2025'!H450+'ENERO 2025'!H450</f>
        <v>0</v>
      </c>
      <c r="I450" s="59">
        <v>0</v>
      </c>
      <c r="J450" s="59">
        <f t="shared" si="16"/>
        <v>0</v>
      </c>
      <c r="K450" s="68"/>
    </row>
    <row r="451" spans="1:11" x14ac:dyDescent="0.2">
      <c r="A451" s="75">
        <v>2</v>
      </c>
      <c r="B451" s="62">
        <v>6</v>
      </c>
      <c r="C451" s="62">
        <v>9</v>
      </c>
      <c r="D451" s="62">
        <v>2</v>
      </c>
      <c r="E451" s="63" t="s">
        <v>35</v>
      </c>
      <c r="F451" s="70" t="s">
        <v>357</v>
      </c>
      <c r="G451" s="64">
        <f>+'MARZO 2025'!G451+'FEBRERO 2025'!G451+'ENERO 2025'!G451</f>
        <v>0</v>
      </c>
      <c r="H451" s="64">
        <f>+'MARZO 2025'!H451+'FEBRERO 2025'!H451+'ENERO 2025'!H451</f>
        <v>0</v>
      </c>
      <c r="I451" s="64">
        <v>0</v>
      </c>
      <c r="J451" s="64">
        <f t="shared" si="16"/>
        <v>0</v>
      </c>
      <c r="K451" s="65">
        <f>J451/$J$25</f>
        <v>0</v>
      </c>
    </row>
    <row r="452" spans="1:11" x14ac:dyDescent="0.2">
      <c r="A452" s="75">
        <v>2</v>
      </c>
      <c r="B452" s="62">
        <v>6</v>
      </c>
      <c r="C452" s="62">
        <v>9</v>
      </c>
      <c r="D452" s="62">
        <v>2</v>
      </c>
      <c r="E452" s="63" t="s">
        <v>37</v>
      </c>
      <c r="F452" s="70" t="s">
        <v>358</v>
      </c>
      <c r="G452" s="64">
        <f>+'MARZO 2025'!G452+'FEBRERO 2025'!G452+'ENERO 2025'!G452</f>
        <v>0</v>
      </c>
      <c r="H452" s="64">
        <f>+'MARZO 2025'!H452+'FEBRERO 2025'!H452+'ENERO 2025'!H452</f>
        <v>0</v>
      </c>
      <c r="I452" s="64">
        <v>0</v>
      </c>
      <c r="J452" s="64">
        <f t="shared" si="16"/>
        <v>0</v>
      </c>
      <c r="K452" s="65">
        <f>J452/$J$25</f>
        <v>0</v>
      </c>
    </row>
    <row r="453" spans="1:11" x14ac:dyDescent="0.2">
      <c r="A453" s="73">
        <v>2</v>
      </c>
      <c r="B453" s="58">
        <v>6</v>
      </c>
      <c r="C453" s="58">
        <v>9</v>
      </c>
      <c r="D453" s="58">
        <v>3</v>
      </c>
      <c r="E453" s="58"/>
      <c r="F453" s="87" t="s">
        <v>359</v>
      </c>
      <c r="G453" s="59">
        <f>+'MARZO 2025'!G453+'FEBRERO 2025'!G453+'ENERO 2025'!G453</f>
        <v>0</v>
      </c>
      <c r="H453" s="59">
        <f>+'MARZO 2025'!H453+'FEBRERO 2025'!H453+'ENERO 2025'!H453</f>
        <v>0</v>
      </c>
      <c r="I453" s="59">
        <v>0</v>
      </c>
      <c r="J453" s="59">
        <f t="shared" si="16"/>
        <v>0</v>
      </c>
      <c r="K453" s="59"/>
    </row>
    <row r="454" spans="1:11" x14ac:dyDescent="0.2">
      <c r="A454" s="75">
        <v>2</v>
      </c>
      <c r="B454" s="62">
        <v>6</v>
      </c>
      <c r="C454" s="62">
        <v>9</v>
      </c>
      <c r="D454" s="62">
        <v>3</v>
      </c>
      <c r="E454" s="63" t="s">
        <v>35</v>
      </c>
      <c r="F454" s="70" t="s">
        <v>359</v>
      </c>
      <c r="G454" s="64">
        <f>+'MARZO 2025'!G454+'FEBRERO 2025'!G454+'ENERO 2025'!G454</f>
        <v>0</v>
      </c>
      <c r="H454" s="64">
        <f>+'MARZO 2025'!H454+'FEBRERO 2025'!H454+'ENERO 2025'!H454</f>
        <v>0</v>
      </c>
      <c r="I454" s="64">
        <v>0</v>
      </c>
      <c r="J454" s="64">
        <f t="shared" si="16"/>
        <v>0</v>
      </c>
      <c r="K454" s="65">
        <f>J454/$J$25</f>
        <v>0</v>
      </c>
    </row>
    <row r="455" spans="1:11" x14ac:dyDescent="0.2">
      <c r="A455" s="73">
        <v>2</v>
      </c>
      <c r="B455" s="58">
        <v>6</v>
      </c>
      <c r="C455" s="58">
        <v>9</v>
      </c>
      <c r="D455" s="58">
        <v>4</v>
      </c>
      <c r="E455" s="58"/>
      <c r="F455" s="87" t="s">
        <v>360</v>
      </c>
      <c r="G455" s="59">
        <f>+'MARZO 2025'!G455+'FEBRERO 2025'!G455+'ENERO 2025'!G455</f>
        <v>0</v>
      </c>
      <c r="H455" s="59">
        <f>+'MARZO 2025'!H455+'FEBRERO 2025'!H455+'ENERO 2025'!H455</f>
        <v>0</v>
      </c>
      <c r="I455" s="59">
        <v>0</v>
      </c>
      <c r="J455" s="59">
        <f t="shared" si="16"/>
        <v>0</v>
      </c>
      <c r="K455" s="68"/>
    </row>
    <row r="456" spans="1:11" x14ac:dyDescent="0.2">
      <c r="A456" s="75">
        <v>2</v>
      </c>
      <c r="B456" s="62">
        <v>6</v>
      </c>
      <c r="C456" s="62">
        <v>9</v>
      </c>
      <c r="D456" s="62">
        <v>4</v>
      </c>
      <c r="E456" s="63" t="s">
        <v>35</v>
      </c>
      <c r="F456" s="70" t="s">
        <v>360</v>
      </c>
      <c r="G456" s="64">
        <f>+'MARZO 2025'!G456+'FEBRERO 2025'!G456+'ENERO 2025'!G456</f>
        <v>0</v>
      </c>
      <c r="H456" s="64">
        <f>+'MARZO 2025'!H456+'FEBRERO 2025'!H456+'ENERO 2025'!H456</f>
        <v>0</v>
      </c>
      <c r="I456" s="64">
        <v>0</v>
      </c>
      <c r="J456" s="64">
        <f t="shared" si="16"/>
        <v>0</v>
      </c>
      <c r="K456" s="65">
        <f>J456/$J$25</f>
        <v>0</v>
      </c>
    </row>
    <row r="457" spans="1:11" x14ac:dyDescent="0.2">
      <c r="A457" s="73">
        <v>2</v>
      </c>
      <c r="B457" s="58">
        <v>6</v>
      </c>
      <c r="C457" s="58">
        <v>9</v>
      </c>
      <c r="D457" s="58">
        <v>5</v>
      </c>
      <c r="E457" s="58"/>
      <c r="F457" s="87" t="s">
        <v>361</v>
      </c>
      <c r="G457" s="59">
        <f>+'MARZO 2025'!G457+'FEBRERO 2025'!G457+'ENERO 2025'!G457</f>
        <v>0</v>
      </c>
      <c r="H457" s="59">
        <f>+'MARZO 2025'!H457+'FEBRERO 2025'!H457+'ENERO 2025'!H457</f>
        <v>0</v>
      </c>
      <c r="I457" s="59">
        <v>0</v>
      </c>
      <c r="J457" s="59">
        <f t="shared" si="16"/>
        <v>0</v>
      </c>
      <c r="K457" s="68"/>
    </row>
    <row r="458" spans="1:11" x14ac:dyDescent="0.2">
      <c r="A458" s="75">
        <v>2</v>
      </c>
      <c r="B458" s="62">
        <v>6</v>
      </c>
      <c r="C458" s="62">
        <v>9</v>
      </c>
      <c r="D458" s="62">
        <v>5</v>
      </c>
      <c r="E458" s="63" t="s">
        <v>35</v>
      </c>
      <c r="F458" s="70" t="s">
        <v>362</v>
      </c>
      <c r="G458" s="64">
        <f>+'MARZO 2025'!G458+'FEBRERO 2025'!G458+'ENERO 2025'!G458</f>
        <v>0</v>
      </c>
      <c r="H458" s="64">
        <f>+'MARZO 2025'!H458+'FEBRERO 2025'!H458+'ENERO 2025'!H458</f>
        <v>0</v>
      </c>
      <c r="I458" s="64">
        <v>0</v>
      </c>
      <c r="J458" s="64">
        <f t="shared" si="16"/>
        <v>0</v>
      </c>
      <c r="K458" s="65">
        <f>J458/$J$25</f>
        <v>0</v>
      </c>
    </row>
    <row r="459" spans="1:11" x14ac:dyDescent="0.2">
      <c r="A459" s="75">
        <v>2</v>
      </c>
      <c r="B459" s="62">
        <v>6</v>
      </c>
      <c r="C459" s="62">
        <v>9</v>
      </c>
      <c r="D459" s="62">
        <v>5</v>
      </c>
      <c r="E459" s="63" t="s">
        <v>37</v>
      </c>
      <c r="F459" s="70" t="s">
        <v>363</v>
      </c>
      <c r="G459" s="64">
        <f>+'MARZO 2025'!G459+'FEBRERO 2025'!G459+'ENERO 2025'!G459</f>
        <v>0</v>
      </c>
      <c r="H459" s="64">
        <f>+'MARZO 2025'!H459+'FEBRERO 2025'!H459+'ENERO 2025'!H459</f>
        <v>0</v>
      </c>
      <c r="I459" s="64">
        <v>0</v>
      </c>
      <c r="J459" s="64">
        <f t="shared" si="16"/>
        <v>0</v>
      </c>
      <c r="K459" s="65">
        <f>J459/$J$25</f>
        <v>0</v>
      </c>
    </row>
    <row r="460" spans="1:11" x14ac:dyDescent="0.2">
      <c r="A460" s="75">
        <v>2</v>
      </c>
      <c r="B460" s="62">
        <v>6</v>
      </c>
      <c r="C460" s="62">
        <v>9</v>
      </c>
      <c r="D460" s="62">
        <v>5</v>
      </c>
      <c r="E460" s="63" t="s">
        <v>39</v>
      </c>
      <c r="F460" s="70" t="s">
        <v>364</v>
      </c>
      <c r="G460" s="64">
        <f>+'MARZO 2025'!G460+'FEBRERO 2025'!G460+'ENERO 2025'!G460</f>
        <v>0</v>
      </c>
      <c r="H460" s="64">
        <f>+'MARZO 2025'!H460+'FEBRERO 2025'!H460+'ENERO 2025'!H460</f>
        <v>0</v>
      </c>
      <c r="I460" s="64">
        <v>0</v>
      </c>
      <c r="J460" s="64">
        <f t="shared" si="16"/>
        <v>0</v>
      </c>
      <c r="K460" s="65">
        <f>J460/$J$25</f>
        <v>0</v>
      </c>
    </row>
    <row r="461" spans="1:11" x14ac:dyDescent="0.2">
      <c r="A461" s="73">
        <v>2</v>
      </c>
      <c r="B461" s="58">
        <v>6</v>
      </c>
      <c r="C461" s="58">
        <v>9</v>
      </c>
      <c r="D461" s="58">
        <v>9</v>
      </c>
      <c r="E461" s="58"/>
      <c r="F461" s="87" t="s">
        <v>365</v>
      </c>
      <c r="G461" s="59">
        <f>+'MARZO 2025'!G461+'FEBRERO 2025'!G461+'ENERO 2025'!G461</f>
        <v>0</v>
      </c>
      <c r="H461" s="59">
        <f>+'MARZO 2025'!H461+'FEBRERO 2025'!H461+'ENERO 2025'!H461</f>
        <v>0</v>
      </c>
      <c r="I461" s="59">
        <v>0</v>
      </c>
      <c r="J461" s="59">
        <f t="shared" si="16"/>
        <v>0</v>
      </c>
      <c r="K461" s="68"/>
    </row>
    <row r="462" spans="1:11" x14ac:dyDescent="0.2">
      <c r="A462" s="75">
        <v>2</v>
      </c>
      <c r="B462" s="62">
        <v>6</v>
      </c>
      <c r="C462" s="62">
        <v>9</v>
      </c>
      <c r="D462" s="62">
        <v>9</v>
      </c>
      <c r="E462" s="63" t="s">
        <v>35</v>
      </c>
      <c r="F462" s="70" t="s">
        <v>365</v>
      </c>
      <c r="G462" s="64">
        <f>+'MARZO 2025'!G462+'FEBRERO 2025'!G462+'ENERO 2025'!G462</f>
        <v>0</v>
      </c>
      <c r="H462" s="64">
        <f>+'MARZO 2025'!H462+'FEBRERO 2025'!H462+'ENERO 2025'!H462</f>
        <v>0</v>
      </c>
      <c r="I462" s="64">
        <v>0</v>
      </c>
      <c r="J462" s="64">
        <f t="shared" si="16"/>
        <v>0</v>
      </c>
      <c r="K462" s="65">
        <f>J462/$J$25</f>
        <v>0</v>
      </c>
    </row>
    <row r="463" spans="1:11" x14ac:dyDescent="0.2">
      <c r="A463" s="71">
        <v>2</v>
      </c>
      <c r="B463" s="55">
        <v>7</v>
      </c>
      <c r="C463" s="55"/>
      <c r="D463" s="55"/>
      <c r="E463" s="55"/>
      <c r="F463" s="86" t="s">
        <v>366</v>
      </c>
      <c r="G463" s="56">
        <f>+'MARZO 2025'!G463+'FEBRERO 2025'!G463+'ENERO 2025'!G463</f>
        <v>0</v>
      </c>
      <c r="H463" s="56">
        <f>+'MARZO 2025'!H463+'FEBRERO 2025'!H463+'ENERO 2025'!H463</f>
        <v>0</v>
      </c>
      <c r="I463" s="56">
        <v>0</v>
      </c>
      <c r="J463" s="56">
        <f t="shared" si="16"/>
        <v>0</v>
      </c>
      <c r="K463" s="53">
        <f>J463/$J$25</f>
        <v>0</v>
      </c>
    </row>
    <row r="464" spans="1:11" x14ac:dyDescent="0.2">
      <c r="A464" s="71">
        <v>2</v>
      </c>
      <c r="B464" s="55">
        <v>7</v>
      </c>
      <c r="C464" s="55">
        <v>1</v>
      </c>
      <c r="D464" s="55"/>
      <c r="E464" s="55"/>
      <c r="F464" s="86" t="s">
        <v>367</v>
      </c>
      <c r="G464" s="56">
        <f>+'MARZO 2025'!G464+'FEBRERO 2025'!G464+'ENERO 2025'!G464</f>
        <v>0</v>
      </c>
      <c r="H464" s="56">
        <f>+'MARZO 2025'!H464+'FEBRERO 2025'!H464+'ENERO 2025'!H464</f>
        <v>0</v>
      </c>
      <c r="I464" s="56">
        <v>0</v>
      </c>
      <c r="J464" s="56">
        <f t="shared" si="16"/>
        <v>0</v>
      </c>
      <c r="K464" s="53"/>
    </row>
    <row r="465" spans="1:11" x14ac:dyDescent="0.2">
      <c r="A465" s="73">
        <v>2</v>
      </c>
      <c r="B465" s="58">
        <v>7</v>
      </c>
      <c r="C465" s="58">
        <v>1</v>
      </c>
      <c r="D465" s="58">
        <v>1</v>
      </c>
      <c r="E465" s="78"/>
      <c r="F465" s="87" t="s">
        <v>368</v>
      </c>
      <c r="G465" s="59">
        <f>+'MARZO 2025'!G465+'FEBRERO 2025'!G465+'ENERO 2025'!G465</f>
        <v>0</v>
      </c>
      <c r="H465" s="59">
        <f>+'MARZO 2025'!H465+'FEBRERO 2025'!H465+'ENERO 2025'!H465</f>
        <v>0</v>
      </c>
      <c r="I465" s="59">
        <v>0</v>
      </c>
      <c r="J465" s="59">
        <f t="shared" si="16"/>
        <v>0</v>
      </c>
      <c r="K465" s="68"/>
    </row>
    <row r="466" spans="1:11" x14ac:dyDescent="0.2">
      <c r="A466" s="75">
        <v>2</v>
      </c>
      <c r="B466" s="62">
        <v>7</v>
      </c>
      <c r="C466" s="62">
        <v>1</v>
      </c>
      <c r="D466" s="62">
        <v>1</v>
      </c>
      <c r="E466" s="62" t="s">
        <v>324</v>
      </c>
      <c r="F466" s="70" t="s">
        <v>368</v>
      </c>
      <c r="G466" s="64">
        <f>+'MARZO 2025'!G466+'FEBRERO 2025'!G466+'ENERO 2025'!G466</f>
        <v>0</v>
      </c>
      <c r="H466" s="64">
        <f>+'MARZO 2025'!H466+'FEBRERO 2025'!H466+'ENERO 2025'!H466</f>
        <v>0</v>
      </c>
      <c r="I466" s="64">
        <v>0</v>
      </c>
      <c r="J466" s="64">
        <f t="shared" si="16"/>
        <v>0</v>
      </c>
      <c r="K466" s="65">
        <f>J466/$J$25</f>
        <v>0</v>
      </c>
    </row>
    <row r="467" spans="1:11" x14ac:dyDescent="0.2">
      <c r="A467" s="73">
        <v>2</v>
      </c>
      <c r="B467" s="58">
        <v>7</v>
      </c>
      <c r="C467" s="58">
        <v>1</v>
      </c>
      <c r="D467" s="58">
        <v>2</v>
      </c>
      <c r="E467" s="78"/>
      <c r="F467" s="87" t="s">
        <v>369</v>
      </c>
      <c r="G467" s="59">
        <f>+'MARZO 2025'!G467+'FEBRERO 2025'!G467+'ENERO 2025'!G467</f>
        <v>0</v>
      </c>
      <c r="H467" s="59">
        <f>+'MARZO 2025'!H467+'FEBRERO 2025'!H467+'ENERO 2025'!H467</f>
        <v>0</v>
      </c>
      <c r="I467" s="59">
        <v>0</v>
      </c>
      <c r="J467" s="59">
        <f t="shared" si="16"/>
        <v>0</v>
      </c>
      <c r="K467" s="68"/>
    </row>
    <row r="468" spans="1:11" x14ac:dyDescent="0.2">
      <c r="A468" s="75">
        <v>2</v>
      </c>
      <c r="B468" s="62">
        <v>7</v>
      </c>
      <c r="C468" s="62">
        <v>1</v>
      </c>
      <c r="D468" s="62">
        <v>2</v>
      </c>
      <c r="E468" s="62" t="s">
        <v>324</v>
      </c>
      <c r="F468" s="70" t="s">
        <v>369</v>
      </c>
      <c r="G468" s="64">
        <f>+'MARZO 2025'!G468+'FEBRERO 2025'!G468+'ENERO 2025'!G468</f>
        <v>0</v>
      </c>
      <c r="H468" s="64">
        <f>+'MARZO 2025'!H468+'FEBRERO 2025'!H468+'ENERO 2025'!H468</f>
        <v>0</v>
      </c>
      <c r="I468" s="64">
        <v>0</v>
      </c>
      <c r="J468" s="64">
        <f t="shared" si="16"/>
        <v>0</v>
      </c>
      <c r="K468" s="65">
        <f>J468/$J$25</f>
        <v>0</v>
      </c>
    </row>
    <row r="469" spans="1:11" x14ac:dyDescent="0.2">
      <c r="A469" s="73">
        <v>2</v>
      </c>
      <c r="B469" s="58">
        <v>7</v>
      </c>
      <c r="C469" s="58">
        <v>1</v>
      </c>
      <c r="D469" s="58">
        <v>3</v>
      </c>
      <c r="E469" s="78"/>
      <c r="F469" s="87" t="s">
        <v>370</v>
      </c>
      <c r="G469" s="59">
        <f>+'MARZO 2025'!G469+'FEBRERO 2025'!G469+'ENERO 2025'!G469</f>
        <v>0</v>
      </c>
      <c r="H469" s="59">
        <f>+'MARZO 2025'!H469+'FEBRERO 2025'!H469+'ENERO 2025'!H469</f>
        <v>0</v>
      </c>
      <c r="I469" s="59">
        <v>0</v>
      </c>
      <c r="J469" s="59">
        <f t="shared" si="16"/>
        <v>0</v>
      </c>
      <c r="K469" s="68"/>
    </row>
    <row r="470" spans="1:11" x14ac:dyDescent="0.2">
      <c r="A470" s="75">
        <v>2</v>
      </c>
      <c r="B470" s="62">
        <v>7</v>
      </c>
      <c r="C470" s="62">
        <v>1</v>
      </c>
      <c r="D470" s="62">
        <v>3</v>
      </c>
      <c r="E470" s="62" t="s">
        <v>324</v>
      </c>
      <c r="F470" s="70" t="s">
        <v>370</v>
      </c>
      <c r="G470" s="64">
        <f>+'MARZO 2025'!G470+'FEBRERO 2025'!G470+'ENERO 2025'!G470</f>
        <v>0</v>
      </c>
      <c r="H470" s="64">
        <f>+'MARZO 2025'!H470+'FEBRERO 2025'!H470+'ENERO 2025'!H470</f>
        <v>0</v>
      </c>
      <c r="I470" s="64">
        <v>0</v>
      </c>
      <c r="J470" s="64">
        <f t="shared" si="16"/>
        <v>0</v>
      </c>
      <c r="K470" s="65">
        <f>J470/$J$25</f>
        <v>0</v>
      </c>
    </row>
    <row r="471" spans="1:11" x14ac:dyDescent="0.2">
      <c r="A471" s="73">
        <v>2</v>
      </c>
      <c r="B471" s="58">
        <v>7</v>
      </c>
      <c r="C471" s="58">
        <v>1</v>
      </c>
      <c r="D471" s="58">
        <v>4</v>
      </c>
      <c r="E471" s="78"/>
      <c r="F471" s="87" t="s">
        <v>371</v>
      </c>
      <c r="G471" s="59">
        <f>+'MARZO 2025'!G471+'FEBRERO 2025'!G471+'ENERO 2025'!G471</f>
        <v>0</v>
      </c>
      <c r="H471" s="59">
        <f>+'MARZO 2025'!H471+'FEBRERO 2025'!H471+'ENERO 2025'!H471</f>
        <v>0</v>
      </c>
      <c r="I471" s="59">
        <v>0</v>
      </c>
      <c r="J471" s="59">
        <f t="shared" si="16"/>
        <v>0</v>
      </c>
      <c r="K471" s="68"/>
    </row>
    <row r="472" spans="1:11" x14ac:dyDescent="0.2">
      <c r="A472" s="75">
        <v>2</v>
      </c>
      <c r="B472" s="62">
        <v>7</v>
      </c>
      <c r="C472" s="62">
        <v>1</v>
      </c>
      <c r="D472" s="62">
        <v>4</v>
      </c>
      <c r="E472" s="62" t="s">
        <v>324</v>
      </c>
      <c r="F472" s="70" t="s">
        <v>371</v>
      </c>
      <c r="G472" s="64">
        <f>+'MARZO 2025'!G472+'FEBRERO 2025'!G472+'ENERO 2025'!G472</f>
        <v>0</v>
      </c>
      <c r="H472" s="64">
        <f>+'MARZO 2025'!H472+'FEBRERO 2025'!H472+'ENERO 2025'!H472</f>
        <v>0</v>
      </c>
      <c r="I472" s="64">
        <v>0</v>
      </c>
      <c r="J472" s="64">
        <f t="shared" si="16"/>
        <v>0</v>
      </c>
      <c r="K472" s="65">
        <f>J472/$J$25</f>
        <v>0</v>
      </c>
    </row>
    <row r="473" spans="1:11" x14ac:dyDescent="0.2">
      <c r="A473" s="71">
        <v>2</v>
      </c>
      <c r="B473" s="55">
        <v>7</v>
      </c>
      <c r="C473" s="55">
        <v>2</v>
      </c>
      <c r="D473" s="55"/>
      <c r="E473" s="55"/>
      <c r="F473" s="86" t="s">
        <v>372</v>
      </c>
      <c r="G473" s="56">
        <f>+'MARZO 2025'!G473+'FEBRERO 2025'!G473+'ENERO 2025'!G473</f>
        <v>0</v>
      </c>
      <c r="H473" s="56">
        <f>+'MARZO 2025'!H473+'FEBRERO 2025'!H473+'ENERO 2025'!H473</f>
        <v>0</v>
      </c>
      <c r="I473" s="56">
        <v>0</v>
      </c>
      <c r="J473" s="56">
        <f t="shared" si="16"/>
        <v>0</v>
      </c>
      <c r="K473" s="53"/>
    </row>
    <row r="474" spans="1:11" x14ac:dyDescent="0.2">
      <c r="A474" s="73">
        <v>2</v>
      </c>
      <c r="B474" s="58">
        <v>7</v>
      </c>
      <c r="C474" s="58">
        <v>2</v>
      </c>
      <c r="D474" s="58">
        <v>1</v>
      </c>
      <c r="E474" s="78"/>
      <c r="F474" s="87" t="s">
        <v>373</v>
      </c>
      <c r="G474" s="59">
        <f>+'MARZO 2025'!G474+'FEBRERO 2025'!G474+'ENERO 2025'!G474</f>
        <v>0</v>
      </c>
      <c r="H474" s="59">
        <f>+'MARZO 2025'!H474+'FEBRERO 2025'!H474+'ENERO 2025'!H474</f>
        <v>0</v>
      </c>
      <c r="I474" s="59">
        <v>0</v>
      </c>
      <c r="J474" s="59">
        <f t="shared" si="16"/>
        <v>0</v>
      </c>
      <c r="K474" s="68"/>
    </row>
    <row r="475" spans="1:11" x14ac:dyDescent="0.2">
      <c r="A475" s="75">
        <v>2</v>
      </c>
      <c r="B475" s="62">
        <v>7</v>
      </c>
      <c r="C475" s="62">
        <v>2</v>
      </c>
      <c r="D475" s="62">
        <v>1</v>
      </c>
      <c r="E475" s="62" t="s">
        <v>324</v>
      </c>
      <c r="F475" s="70" t="s">
        <v>373</v>
      </c>
      <c r="G475" s="64">
        <f>+'MARZO 2025'!G475+'FEBRERO 2025'!G475+'ENERO 2025'!G475</f>
        <v>0</v>
      </c>
      <c r="H475" s="64">
        <f>+'MARZO 2025'!H475+'FEBRERO 2025'!H475+'ENERO 2025'!H475</f>
        <v>0</v>
      </c>
      <c r="I475" s="64">
        <v>0</v>
      </c>
      <c r="J475" s="64">
        <f t="shared" si="16"/>
        <v>0</v>
      </c>
      <c r="K475" s="65">
        <f>J475/$J$25</f>
        <v>0</v>
      </c>
    </row>
    <row r="476" spans="1:11" x14ac:dyDescent="0.2">
      <c r="A476" s="73">
        <v>2</v>
      </c>
      <c r="B476" s="58">
        <v>7</v>
      </c>
      <c r="C476" s="58">
        <v>2</v>
      </c>
      <c r="D476" s="58">
        <v>2</v>
      </c>
      <c r="E476" s="78"/>
      <c r="F476" s="87" t="s">
        <v>374</v>
      </c>
      <c r="G476" s="59">
        <f>+'MARZO 2025'!G476+'FEBRERO 2025'!G476+'ENERO 2025'!G476</f>
        <v>0</v>
      </c>
      <c r="H476" s="59">
        <f>+'MARZO 2025'!H476+'FEBRERO 2025'!H476+'ENERO 2025'!H476</f>
        <v>0</v>
      </c>
      <c r="I476" s="59">
        <v>0</v>
      </c>
      <c r="J476" s="59">
        <f t="shared" si="16"/>
        <v>0</v>
      </c>
      <c r="K476" s="68"/>
    </row>
    <row r="477" spans="1:11" x14ac:dyDescent="0.2">
      <c r="A477" s="75">
        <v>2</v>
      </c>
      <c r="B477" s="62">
        <v>7</v>
      </c>
      <c r="C477" s="62">
        <v>2</v>
      </c>
      <c r="D477" s="62">
        <v>2</v>
      </c>
      <c r="E477" s="62" t="s">
        <v>324</v>
      </c>
      <c r="F477" s="70" t="s">
        <v>374</v>
      </c>
      <c r="G477" s="64">
        <f>+'MARZO 2025'!G477+'FEBRERO 2025'!G477+'ENERO 2025'!G477</f>
        <v>0</v>
      </c>
      <c r="H477" s="64">
        <f>+'MARZO 2025'!H477+'FEBRERO 2025'!H477+'ENERO 2025'!H477</f>
        <v>0</v>
      </c>
      <c r="I477" s="64">
        <v>0</v>
      </c>
      <c r="J477" s="64">
        <f t="shared" si="16"/>
        <v>0</v>
      </c>
      <c r="K477" s="65">
        <f>J477/$J$25</f>
        <v>0</v>
      </c>
    </row>
    <row r="478" spans="1:11" x14ac:dyDescent="0.2">
      <c r="A478" s="73">
        <v>2</v>
      </c>
      <c r="B478" s="58">
        <v>7</v>
      </c>
      <c r="C478" s="58">
        <v>2</v>
      </c>
      <c r="D478" s="58">
        <v>3</v>
      </c>
      <c r="E478" s="78"/>
      <c r="F478" s="87" t="s">
        <v>375</v>
      </c>
      <c r="G478" s="59">
        <f>+'MARZO 2025'!G478+'FEBRERO 2025'!G478+'ENERO 2025'!G478</f>
        <v>0</v>
      </c>
      <c r="H478" s="59">
        <f>+'MARZO 2025'!H478+'FEBRERO 2025'!H478+'ENERO 2025'!H478</f>
        <v>0</v>
      </c>
      <c r="I478" s="59">
        <v>0</v>
      </c>
      <c r="J478" s="59">
        <f t="shared" ref="J478:J501" si="17">SUM(G478:I478)</f>
        <v>0</v>
      </c>
      <c r="K478" s="68"/>
    </row>
    <row r="479" spans="1:11" x14ac:dyDescent="0.2">
      <c r="A479" s="75">
        <v>2</v>
      </c>
      <c r="B479" s="62">
        <v>7</v>
      </c>
      <c r="C479" s="62">
        <v>2</v>
      </c>
      <c r="D479" s="62">
        <v>3</v>
      </c>
      <c r="E479" s="62" t="s">
        <v>324</v>
      </c>
      <c r="F479" s="70" t="s">
        <v>375</v>
      </c>
      <c r="G479" s="64">
        <f>+'MARZO 2025'!G479+'FEBRERO 2025'!G479+'ENERO 2025'!G479</f>
        <v>0</v>
      </c>
      <c r="H479" s="64">
        <f>+'MARZO 2025'!H479+'FEBRERO 2025'!H479+'ENERO 2025'!H479</f>
        <v>0</v>
      </c>
      <c r="I479" s="64">
        <v>0</v>
      </c>
      <c r="J479" s="64">
        <f t="shared" si="17"/>
        <v>0</v>
      </c>
      <c r="K479" s="65">
        <f>J479/$J$25</f>
        <v>0</v>
      </c>
    </row>
    <row r="480" spans="1:11" x14ac:dyDescent="0.2">
      <c r="A480" s="73">
        <v>2</v>
      </c>
      <c r="B480" s="58">
        <v>7</v>
      </c>
      <c r="C480" s="58">
        <v>2</v>
      </c>
      <c r="D480" s="58">
        <v>4</v>
      </c>
      <c r="E480" s="78"/>
      <c r="F480" s="87" t="s">
        <v>376</v>
      </c>
      <c r="G480" s="59">
        <f>+'MARZO 2025'!G480+'FEBRERO 2025'!G480+'ENERO 2025'!G480</f>
        <v>0</v>
      </c>
      <c r="H480" s="59">
        <f>+'MARZO 2025'!H480+'FEBRERO 2025'!H480+'ENERO 2025'!H480</f>
        <v>0</v>
      </c>
      <c r="I480" s="59">
        <v>0</v>
      </c>
      <c r="J480" s="59">
        <f t="shared" si="17"/>
        <v>0</v>
      </c>
      <c r="K480" s="68"/>
    </row>
    <row r="481" spans="1:11" x14ac:dyDescent="0.2">
      <c r="A481" s="75">
        <v>2</v>
      </c>
      <c r="B481" s="62">
        <v>7</v>
      </c>
      <c r="C481" s="62">
        <v>2</v>
      </c>
      <c r="D481" s="62">
        <v>4</v>
      </c>
      <c r="E481" s="62" t="s">
        <v>324</v>
      </c>
      <c r="F481" s="70" t="s">
        <v>376</v>
      </c>
      <c r="G481" s="64">
        <f>+'MARZO 2025'!G481+'FEBRERO 2025'!G481+'ENERO 2025'!G481</f>
        <v>0</v>
      </c>
      <c r="H481" s="64">
        <f>+'MARZO 2025'!H481+'FEBRERO 2025'!H481+'ENERO 2025'!H481</f>
        <v>0</v>
      </c>
      <c r="I481" s="64">
        <v>0</v>
      </c>
      <c r="J481" s="64">
        <f t="shared" si="17"/>
        <v>0</v>
      </c>
      <c r="K481" s="65">
        <f>J481/$J$25</f>
        <v>0</v>
      </c>
    </row>
    <row r="482" spans="1:11" x14ac:dyDescent="0.2">
      <c r="A482" s="73">
        <v>2</v>
      </c>
      <c r="B482" s="58">
        <v>7</v>
      </c>
      <c r="C482" s="58">
        <v>2</v>
      </c>
      <c r="D482" s="58">
        <v>5</v>
      </c>
      <c r="E482" s="78"/>
      <c r="F482" s="87" t="s">
        <v>377</v>
      </c>
      <c r="G482" s="59">
        <f>+'MARZO 2025'!G482+'FEBRERO 2025'!G482+'ENERO 2025'!G482</f>
        <v>0</v>
      </c>
      <c r="H482" s="59">
        <f>+'MARZO 2025'!H482+'FEBRERO 2025'!H482+'ENERO 2025'!H482</f>
        <v>0</v>
      </c>
      <c r="I482" s="59">
        <v>0</v>
      </c>
      <c r="J482" s="59">
        <f t="shared" si="17"/>
        <v>0</v>
      </c>
      <c r="K482" s="68"/>
    </row>
    <row r="483" spans="1:11" x14ac:dyDescent="0.2">
      <c r="A483" s="75">
        <v>2</v>
      </c>
      <c r="B483" s="62">
        <v>7</v>
      </c>
      <c r="C483" s="62">
        <v>2</v>
      </c>
      <c r="D483" s="62">
        <v>5</v>
      </c>
      <c r="E483" s="62" t="s">
        <v>324</v>
      </c>
      <c r="F483" s="70" t="s">
        <v>377</v>
      </c>
      <c r="G483" s="64">
        <f>+'MARZO 2025'!G483+'FEBRERO 2025'!G483+'ENERO 2025'!G483</f>
        <v>0</v>
      </c>
      <c r="H483" s="64">
        <f>+'MARZO 2025'!H483+'FEBRERO 2025'!H483+'ENERO 2025'!H483</f>
        <v>0</v>
      </c>
      <c r="I483" s="64">
        <v>0</v>
      </c>
      <c r="J483" s="64">
        <f t="shared" si="17"/>
        <v>0</v>
      </c>
      <c r="K483" s="65">
        <f>J483/$J$25</f>
        <v>0</v>
      </c>
    </row>
    <row r="484" spans="1:11" x14ac:dyDescent="0.2">
      <c r="A484" s="73">
        <v>2</v>
      </c>
      <c r="B484" s="58">
        <v>7</v>
      </c>
      <c r="C484" s="58">
        <v>2</v>
      </c>
      <c r="D484" s="58">
        <v>6</v>
      </c>
      <c r="E484" s="78"/>
      <c r="F484" s="87" t="s">
        <v>378</v>
      </c>
      <c r="G484" s="59">
        <f>+'MARZO 2025'!G484+'FEBRERO 2025'!G484+'ENERO 2025'!G484</f>
        <v>0</v>
      </c>
      <c r="H484" s="59">
        <f>+'MARZO 2025'!H484+'FEBRERO 2025'!H484+'ENERO 2025'!H484</f>
        <v>0</v>
      </c>
      <c r="I484" s="59">
        <v>0</v>
      </c>
      <c r="J484" s="59">
        <f t="shared" si="17"/>
        <v>0</v>
      </c>
      <c r="K484" s="68"/>
    </row>
    <row r="485" spans="1:11" x14ac:dyDescent="0.2">
      <c r="A485" s="75">
        <v>2</v>
      </c>
      <c r="B485" s="62">
        <v>7</v>
      </c>
      <c r="C485" s="62">
        <v>2</v>
      </c>
      <c r="D485" s="62">
        <v>6</v>
      </c>
      <c r="E485" s="62" t="s">
        <v>324</v>
      </c>
      <c r="F485" s="70" t="s">
        <v>378</v>
      </c>
      <c r="G485" s="64">
        <f>+'MARZO 2025'!G485+'FEBRERO 2025'!G485+'ENERO 2025'!G485</f>
        <v>0</v>
      </c>
      <c r="H485" s="64">
        <f>+'MARZO 2025'!H485+'FEBRERO 2025'!H485+'ENERO 2025'!H485</f>
        <v>0</v>
      </c>
      <c r="I485" s="64">
        <v>0</v>
      </c>
      <c r="J485" s="64">
        <f t="shared" si="17"/>
        <v>0</v>
      </c>
      <c r="K485" s="65">
        <f>J485/$J$25</f>
        <v>0</v>
      </c>
    </row>
    <row r="486" spans="1:11" x14ac:dyDescent="0.2">
      <c r="A486" s="73">
        <v>2</v>
      </c>
      <c r="B486" s="58">
        <v>7</v>
      </c>
      <c r="C486" s="58">
        <v>2</v>
      </c>
      <c r="D486" s="58">
        <v>7</v>
      </c>
      <c r="E486" s="78"/>
      <c r="F486" s="87" t="s">
        <v>379</v>
      </c>
      <c r="G486" s="59">
        <f>+'MARZO 2025'!G486+'FEBRERO 2025'!G486+'ENERO 2025'!G486</f>
        <v>0</v>
      </c>
      <c r="H486" s="59">
        <f>+'MARZO 2025'!H486+'FEBRERO 2025'!H486+'ENERO 2025'!H486</f>
        <v>0</v>
      </c>
      <c r="I486" s="59">
        <v>0</v>
      </c>
      <c r="J486" s="59">
        <f t="shared" si="17"/>
        <v>0</v>
      </c>
      <c r="K486" s="68"/>
    </row>
    <row r="487" spans="1:11" x14ac:dyDescent="0.2">
      <c r="A487" s="75">
        <v>2</v>
      </c>
      <c r="B487" s="62">
        <v>7</v>
      </c>
      <c r="C487" s="62">
        <v>2</v>
      </c>
      <c r="D487" s="62">
        <v>7</v>
      </c>
      <c r="E487" s="62" t="s">
        <v>324</v>
      </c>
      <c r="F487" s="70" t="s">
        <v>379</v>
      </c>
      <c r="G487" s="64">
        <f>+'MARZO 2025'!G487+'FEBRERO 2025'!G487+'ENERO 2025'!G487</f>
        <v>0</v>
      </c>
      <c r="H487" s="64">
        <f>+'MARZO 2025'!H487+'FEBRERO 2025'!H487+'ENERO 2025'!H487</f>
        <v>0</v>
      </c>
      <c r="I487" s="64">
        <v>0</v>
      </c>
      <c r="J487" s="64">
        <f t="shared" si="17"/>
        <v>0</v>
      </c>
      <c r="K487" s="65">
        <f>J487/$J$25</f>
        <v>0</v>
      </c>
    </row>
    <row r="488" spans="1:11" x14ac:dyDescent="0.2">
      <c r="A488" s="73">
        <v>2</v>
      </c>
      <c r="B488" s="58">
        <v>7</v>
      </c>
      <c r="C488" s="58">
        <v>2</v>
      </c>
      <c r="D488" s="58">
        <v>8</v>
      </c>
      <c r="E488" s="78"/>
      <c r="F488" s="87" t="s">
        <v>380</v>
      </c>
      <c r="G488" s="59">
        <f>+'MARZO 2025'!G488+'FEBRERO 2025'!G488+'ENERO 2025'!G488</f>
        <v>0</v>
      </c>
      <c r="H488" s="59">
        <f>+'MARZO 2025'!H488+'FEBRERO 2025'!H488+'ENERO 2025'!H488</f>
        <v>0</v>
      </c>
      <c r="I488" s="59">
        <v>0</v>
      </c>
      <c r="J488" s="59">
        <f t="shared" si="17"/>
        <v>0</v>
      </c>
      <c r="K488" s="68"/>
    </row>
    <row r="489" spans="1:11" x14ac:dyDescent="0.2">
      <c r="A489" s="75">
        <v>2</v>
      </c>
      <c r="B489" s="62">
        <v>7</v>
      </c>
      <c r="C489" s="62">
        <v>2</v>
      </c>
      <c r="D489" s="62">
        <v>8</v>
      </c>
      <c r="E489" s="62" t="s">
        <v>324</v>
      </c>
      <c r="F489" s="70" t="s">
        <v>380</v>
      </c>
      <c r="G489" s="64">
        <f>+'MARZO 2025'!G489+'FEBRERO 2025'!G489+'ENERO 2025'!G489</f>
        <v>0</v>
      </c>
      <c r="H489" s="64">
        <f>+'MARZO 2025'!H489+'FEBRERO 2025'!H489+'ENERO 2025'!H489</f>
        <v>0</v>
      </c>
      <c r="I489" s="64">
        <v>0</v>
      </c>
      <c r="J489" s="64">
        <f t="shared" si="17"/>
        <v>0</v>
      </c>
      <c r="K489" s="65">
        <f>J489/$J$25</f>
        <v>0</v>
      </c>
    </row>
    <row r="490" spans="1:11" x14ac:dyDescent="0.2">
      <c r="A490" s="73">
        <v>2</v>
      </c>
      <c r="B490" s="58">
        <v>7</v>
      </c>
      <c r="C490" s="58">
        <v>2</v>
      </c>
      <c r="D490" s="58">
        <v>9</v>
      </c>
      <c r="E490" s="78"/>
      <c r="F490" s="87" t="s">
        <v>381</v>
      </c>
      <c r="G490" s="59">
        <f>+'MARZO 2025'!G490+'FEBRERO 2025'!G490+'ENERO 2025'!G490</f>
        <v>0</v>
      </c>
      <c r="H490" s="59">
        <f>+'MARZO 2025'!H490+'FEBRERO 2025'!H490+'ENERO 2025'!H490</f>
        <v>0</v>
      </c>
      <c r="I490" s="59">
        <v>0</v>
      </c>
      <c r="J490" s="59">
        <f t="shared" si="17"/>
        <v>0</v>
      </c>
      <c r="K490" s="68"/>
    </row>
    <row r="491" spans="1:11" x14ac:dyDescent="0.2">
      <c r="A491" s="75">
        <v>2</v>
      </c>
      <c r="B491" s="62">
        <v>7</v>
      </c>
      <c r="C491" s="62">
        <v>2</v>
      </c>
      <c r="D491" s="62">
        <v>9</v>
      </c>
      <c r="E491" s="62" t="s">
        <v>324</v>
      </c>
      <c r="F491" s="70" t="s">
        <v>381</v>
      </c>
      <c r="G491" s="64">
        <f>+'MARZO 2025'!G491+'FEBRERO 2025'!G491+'ENERO 2025'!G491</f>
        <v>0</v>
      </c>
      <c r="H491" s="64">
        <f>+'MARZO 2025'!H491+'FEBRERO 2025'!H491+'ENERO 2025'!H491</f>
        <v>0</v>
      </c>
      <c r="I491" s="64">
        <v>0</v>
      </c>
      <c r="J491" s="64">
        <f t="shared" si="17"/>
        <v>0</v>
      </c>
      <c r="K491" s="65">
        <f>J491/$J$25</f>
        <v>0</v>
      </c>
    </row>
    <row r="492" spans="1:11" x14ac:dyDescent="0.2">
      <c r="A492" s="71">
        <v>2</v>
      </c>
      <c r="B492" s="55">
        <v>7</v>
      </c>
      <c r="C492" s="55">
        <v>3</v>
      </c>
      <c r="D492" s="55"/>
      <c r="E492" s="55"/>
      <c r="F492" s="86" t="s">
        <v>382</v>
      </c>
      <c r="G492" s="56">
        <f>+'MARZO 2025'!G492+'FEBRERO 2025'!G492+'ENERO 2025'!G492</f>
        <v>0</v>
      </c>
      <c r="H492" s="56">
        <f>+'MARZO 2025'!H492+'FEBRERO 2025'!H492+'ENERO 2025'!H492</f>
        <v>0</v>
      </c>
      <c r="I492" s="56">
        <v>0</v>
      </c>
      <c r="J492" s="56">
        <f t="shared" si="17"/>
        <v>0</v>
      </c>
      <c r="K492" s="53"/>
    </row>
    <row r="493" spans="1:11" x14ac:dyDescent="0.2">
      <c r="A493" s="73">
        <v>2</v>
      </c>
      <c r="B493" s="58">
        <v>7</v>
      </c>
      <c r="C493" s="58">
        <v>3</v>
      </c>
      <c r="D493" s="58">
        <v>1</v>
      </c>
      <c r="E493" s="78"/>
      <c r="F493" s="87" t="s">
        <v>383</v>
      </c>
      <c r="G493" s="59">
        <f>+'MARZO 2025'!G493+'FEBRERO 2025'!G493+'ENERO 2025'!G493</f>
        <v>0</v>
      </c>
      <c r="H493" s="59">
        <f>+'MARZO 2025'!H493+'FEBRERO 2025'!H493+'ENERO 2025'!H493</f>
        <v>0</v>
      </c>
      <c r="I493" s="59">
        <v>0</v>
      </c>
      <c r="J493" s="59">
        <f t="shared" si="17"/>
        <v>0</v>
      </c>
      <c r="K493" s="68"/>
    </row>
    <row r="494" spans="1:11" x14ac:dyDescent="0.2">
      <c r="A494" s="75">
        <v>2</v>
      </c>
      <c r="B494" s="62">
        <v>7</v>
      </c>
      <c r="C494" s="62">
        <v>3</v>
      </c>
      <c r="D494" s="62">
        <v>1</v>
      </c>
      <c r="E494" s="62" t="s">
        <v>324</v>
      </c>
      <c r="F494" s="70" t="s">
        <v>383</v>
      </c>
      <c r="G494" s="64">
        <f>+'MARZO 2025'!G494+'FEBRERO 2025'!G494+'ENERO 2025'!G494</f>
        <v>0</v>
      </c>
      <c r="H494" s="64">
        <f>+'MARZO 2025'!H494+'FEBRERO 2025'!H494+'ENERO 2025'!H494</f>
        <v>0</v>
      </c>
      <c r="I494" s="64">
        <v>0</v>
      </c>
      <c r="J494" s="64">
        <f t="shared" si="17"/>
        <v>0</v>
      </c>
      <c r="K494" s="65">
        <f>J494/$J$25</f>
        <v>0</v>
      </c>
    </row>
    <row r="495" spans="1:11" x14ac:dyDescent="0.2">
      <c r="A495" s="73">
        <v>2</v>
      </c>
      <c r="B495" s="58">
        <v>7</v>
      </c>
      <c r="C495" s="58">
        <v>3</v>
      </c>
      <c r="D495" s="58">
        <v>2</v>
      </c>
      <c r="E495" s="78"/>
      <c r="F495" s="87" t="s">
        <v>384</v>
      </c>
      <c r="G495" s="59">
        <f>+'MARZO 2025'!G495+'FEBRERO 2025'!G495+'ENERO 2025'!G495</f>
        <v>0</v>
      </c>
      <c r="H495" s="59">
        <f>+'MARZO 2025'!H495+'FEBRERO 2025'!H495+'ENERO 2025'!H495</f>
        <v>0</v>
      </c>
      <c r="I495" s="59">
        <v>0</v>
      </c>
      <c r="J495" s="59">
        <f t="shared" si="17"/>
        <v>0</v>
      </c>
      <c r="K495" s="68"/>
    </row>
    <row r="496" spans="1:11" x14ac:dyDescent="0.2">
      <c r="A496" s="75">
        <v>2</v>
      </c>
      <c r="B496" s="62">
        <v>7</v>
      </c>
      <c r="C496" s="62">
        <v>3</v>
      </c>
      <c r="D496" s="62">
        <v>2</v>
      </c>
      <c r="E496" s="62" t="s">
        <v>324</v>
      </c>
      <c r="F496" s="70" t="s">
        <v>384</v>
      </c>
      <c r="G496" s="64">
        <f>+'MARZO 2025'!G496+'FEBRERO 2025'!G496+'ENERO 2025'!G496</f>
        <v>0</v>
      </c>
      <c r="H496" s="64">
        <f>+'MARZO 2025'!H496+'FEBRERO 2025'!H496+'ENERO 2025'!H496</f>
        <v>0</v>
      </c>
      <c r="I496" s="64">
        <v>0</v>
      </c>
      <c r="J496" s="64">
        <f t="shared" si="17"/>
        <v>0</v>
      </c>
      <c r="K496" s="65">
        <f>J496/$J$25</f>
        <v>0</v>
      </c>
    </row>
    <row r="497" spans="1:11" x14ac:dyDescent="0.2">
      <c r="A497" s="71">
        <v>2</v>
      </c>
      <c r="B497" s="55">
        <v>7</v>
      </c>
      <c r="C497" s="55">
        <v>4</v>
      </c>
      <c r="D497" s="55"/>
      <c r="E497" s="55"/>
      <c r="F497" s="86" t="s">
        <v>385</v>
      </c>
      <c r="G497" s="56">
        <f>+'MARZO 2025'!G497+'FEBRERO 2025'!G497+'ENERO 2025'!G497</f>
        <v>0</v>
      </c>
      <c r="H497" s="56">
        <f>+'MARZO 2025'!H497+'FEBRERO 2025'!H497+'ENERO 2025'!H497</f>
        <v>0</v>
      </c>
      <c r="I497" s="56">
        <v>0</v>
      </c>
      <c r="J497" s="56">
        <f t="shared" si="17"/>
        <v>0</v>
      </c>
      <c r="K497" s="53"/>
    </row>
    <row r="498" spans="1:11" x14ac:dyDescent="0.2">
      <c r="A498" s="73">
        <v>2</v>
      </c>
      <c r="B498" s="58">
        <v>7</v>
      </c>
      <c r="C498" s="58">
        <v>4</v>
      </c>
      <c r="D498" s="58">
        <v>1</v>
      </c>
      <c r="E498" s="78"/>
      <c r="F498" s="87" t="s">
        <v>386</v>
      </c>
      <c r="G498" s="59">
        <f>+'MARZO 2025'!G498+'FEBRERO 2025'!G498+'ENERO 2025'!G498</f>
        <v>0</v>
      </c>
      <c r="H498" s="59">
        <f>+'MARZO 2025'!H498+'FEBRERO 2025'!H498+'ENERO 2025'!H498</f>
        <v>0</v>
      </c>
      <c r="I498" s="59">
        <v>0</v>
      </c>
      <c r="J498" s="59">
        <f t="shared" si="17"/>
        <v>0</v>
      </c>
      <c r="K498" s="68"/>
    </row>
    <row r="499" spans="1:11" x14ac:dyDescent="0.2">
      <c r="A499" s="75">
        <v>2</v>
      </c>
      <c r="B499" s="62">
        <v>7</v>
      </c>
      <c r="C499" s="62">
        <v>4</v>
      </c>
      <c r="D499" s="62">
        <v>1</v>
      </c>
      <c r="E499" s="62" t="s">
        <v>324</v>
      </c>
      <c r="F499" s="70" t="s">
        <v>386</v>
      </c>
      <c r="G499" s="64">
        <f>+'MARZO 2025'!G499+'FEBRERO 2025'!G499+'ENERO 2025'!G499</f>
        <v>0</v>
      </c>
      <c r="H499" s="64">
        <f>+'MARZO 2025'!H499+'FEBRERO 2025'!H499+'ENERO 2025'!H499</f>
        <v>0</v>
      </c>
      <c r="I499" s="64">
        <v>0</v>
      </c>
      <c r="J499" s="64">
        <f t="shared" si="17"/>
        <v>0</v>
      </c>
      <c r="K499" s="65">
        <f>J499/$J$25</f>
        <v>0</v>
      </c>
    </row>
    <row r="500" spans="1:11" x14ac:dyDescent="0.2">
      <c r="A500" s="57">
        <v>2</v>
      </c>
      <c r="B500" s="58">
        <v>7</v>
      </c>
      <c r="C500" s="58">
        <v>4</v>
      </c>
      <c r="D500" s="58">
        <v>2</v>
      </c>
      <c r="E500" s="78"/>
      <c r="F500" s="87" t="s">
        <v>387</v>
      </c>
      <c r="G500" s="59">
        <f>+'MARZO 2025'!G500+'FEBRERO 2025'!G500+'ENERO 2025'!G500</f>
        <v>0</v>
      </c>
      <c r="H500" s="59">
        <f>+'MARZO 2025'!H500+'FEBRERO 2025'!H500+'ENERO 2025'!H500</f>
        <v>0</v>
      </c>
      <c r="I500" s="59">
        <v>0</v>
      </c>
      <c r="J500" s="59">
        <f t="shared" si="17"/>
        <v>0</v>
      </c>
      <c r="K500" s="68"/>
    </row>
    <row r="501" spans="1:11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70" t="s">
        <v>387</v>
      </c>
      <c r="G501" s="64">
        <f>+'MARZO 2025'!G501+'FEBRERO 2025'!G501+'ENERO 2025'!G501</f>
        <v>0</v>
      </c>
      <c r="H501" s="64">
        <f>+'MARZO 2025'!H501+'FEBRERO 2025'!H501+'ENERO 2025'!H501</f>
        <v>0</v>
      </c>
      <c r="I501" s="64">
        <v>0</v>
      </c>
      <c r="J501" s="64">
        <f t="shared" si="17"/>
        <v>0</v>
      </c>
      <c r="K501" s="65">
        <f>J501/$J$25</f>
        <v>0</v>
      </c>
    </row>
    <row r="502" spans="1:11" ht="15" x14ac:dyDescent="0.25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5"/>
    </row>
    <row r="503" spans="1:11" ht="15" x14ac:dyDescent="0.25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</row>
    <row r="504" spans="1:11" ht="15" x14ac:dyDescent="0.25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</row>
    <row r="505" spans="1:11" ht="15" x14ac:dyDescent="0.2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</row>
    <row r="506" spans="1:11" ht="15" x14ac:dyDescent="0.25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</row>
    <row r="507" spans="1:11" ht="15" x14ac:dyDescent="0.25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</row>
    <row r="508" spans="1:11" ht="15" x14ac:dyDescent="0.25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</row>
    <row r="509" spans="1:11" ht="15" x14ac:dyDescent="0.25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</row>
    <row r="510" spans="1:11" ht="15" x14ac:dyDescent="0.25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</row>
    <row r="511" spans="1:11" ht="15" x14ac:dyDescent="0.25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A7:K7"/>
    <mergeCell ref="A2:I2"/>
    <mergeCell ref="A3:K3"/>
    <mergeCell ref="A4:K4"/>
    <mergeCell ref="A5:K5"/>
    <mergeCell ref="A6:K6"/>
    <mergeCell ref="A21:E21"/>
    <mergeCell ref="G21:I21"/>
    <mergeCell ref="A22:E22"/>
    <mergeCell ref="F22:F24"/>
    <mergeCell ref="G22:I22"/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</mergeCell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"/>
  <sheetViews>
    <sheetView topLeftCell="A13" zoomScaleNormal="100" workbookViewId="0">
      <selection activeCell="K17" sqref="K17"/>
    </sheetView>
  </sheetViews>
  <sheetFormatPr baseColWidth="10" defaultColWidth="2.85546875" defaultRowHeight="12.75" x14ac:dyDescent="0.2"/>
  <cols>
    <col min="1" max="5" width="3.28515625" style="5" customWidth="1"/>
    <col min="6" max="6" width="54.42578125" style="5" bestFit="1" customWidth="1"/>
    <col min="7" max="7" width="15.140625" style="5" bestFit="1" customWidth="1"/>
    <col min="8" max="8" width="16.28515625" style="5" customWidth="1"/>
    <col min="9" max="9" width="11" style="5" customWidth="1"/>
    <col min="10" max="10" width="15.140625" style="5" bestFit="1" customWidth="1"/>
    <col min="11" max="11" width="12.28515625" style="5" bestFit="1" customWidth="1"/>
    <col min="12" max="12" width="14.85546875" style="5" bestFit="1" customWidth="1"/>
    <col min="13" max="13" width="14.5703125" style="5" bestFit="1" customWidth="1"/>
    <col min="14" max="14" width="15" style="5" bestFit="1" customWidth="1"/>
    <col min="15" max="16" width="14.5703125" style="5" bestFit="1" customWidth="1"/>
    <col min="17" max="253" width="11.42578125" style="5" customWidth="1"/>
    <col min="254" max="254" width="3.28515625" style="5" customWidth="1"/>
    <col min="255" max="255" width="4.140625" style="5" customWidth="1"/>
    <col min="256" max="16384" width="2.85546875" style="5"/>
  </cols>
  <sheetData>
    <row r="1" spans="1:15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spans="1:15" ht="23.25" x14ac:dyDescent="0.35">
      <c r="A2" s="185"/>
      <c r="B2" s="186"/>
      <c r="C2" s="186"/>
      <c r="D2" s="186"/>
      <c r="E2" s="186"/>
      <c r="F2" s="186"/>
      <c r="G2" s="186"/>
      <c r="H2" s="186"/>
      <c r="I2" s="186"/>
      <c r="J2" s="6"/>
      <c r="K2" s="7"/>
    </row>
    <row r="3" spans="1:15" ht="26.25" x14ac:dyDescent="0.4">
      <c r="A3" s="187" t="s">
        <v>1</v>
      </c>
      <c r="B3" s="188"/>
      <c r="C3" s="188"/>
      <c r="D3" s="188"/>
      <c r="E3" s="188"/>
      <c r="F3" s="188"/>
      <c r="G3" s="188"/>
      <c r="H3" s="188"/>
      <c r="I3" s="188"/>
      <c r="J3" s="188"/>
      <c r="K3" s="189"/>
    </row>
    <row r="4" spans="1:15" ht="18.75" x14ac:dyDescent="0.3">
      <c r="A4" s="190" t="s">
        <v>2</v>
      </c>
      <c r="B4" s="191"/>
      <c r="C4" s="191"/>
      <c r="D4" s="191"/>
      <c r="E4" s="191"/>
      <c r="F4" s="191"/>
      <c r="G4" s="191"/>
      <c r="H4" s="191"/>
      <c r="I4" s="191"/>
      <c r="J4" s="191"/>
      <c r="K4" s="192"/>
    </row>
    <row r="5" spans="1:15" ht="15" x14ac:dyDescent="0.25">
      <c r="A5" s="193" t="s">
        <v>3</v>
      </c>
      <c r="B5" s="194"/>
      <c r="C5" s="194"/>
      <c r="D5" s="194"/>
      <c r="E5" s="194"/>
      <c r="F5" s="194"/>
      <c r="G5" s="194"/>
      <c r="H5" s="194"/>
      <c r="I5" s="194"/>
      <c r="J5" s="194"/>
      <c r="K5" s="195"/>
    </row>
    <row r="6" spans="1:15" ht="15.75" x14ac:dyDescent="0.25">
      <c r="A6" s="196" t="s">
        <v>4</v>
      </c>
      <c r="B6" s="197"/>
      <c r="C6" s="197"/>
      <c r="D6" s="197"/>
      <c r="E6" s="197"/>
      <c r="F6" s="197"/>
      <c r="G6" s="197"/>
      <c r="H6" s="197"/>
      <c r="I6" s="197"/>
      <c r="J6" s="197"/>
      <c r="K6" s="198"/>
    </row>
    <row r="7" spans="1:15" ht="15.75" x14ac:dyDescent="0.25">
      <c r="A7" s="182" t="s">
        <v>390</v>
      </c>
      <c r="B7" s="183"/>
      <c r="C7" s="183"/>
      <c r="D7" s="183"/>
      <c r="E7" s="183"/>
      <c r="F7" s="183"/>
      <c r="G7" s="183"/>
      <c r="H7" s="183"/>
      <c r="I7" s="183"/>
      <c r="J7" s="183"/>
      <c r="K7" s="184"/>
    </row>
    <row r="8" spans="1:15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0"/>
      <c r="K8" s="11"/>
    </row>
    <row r="9" spans="1:15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6"/>
      <c r="K9" s="17"/>
    </row>
    <row r="10" spans="1:15" ht="15.75" x14ac:dyDescent="0.25">
      <c r="A10" s="12"/>
      <c r="B10" s="13"/>
      <c r="C10" s="13"/>
      <c r="D10" s="13"/>
      <c r="E10" s="18" t="s">
        <v>8</v>
      </c>
      <c r="F10" s="15"/>
      <c r="G10" s="19">
        <v>0</v>
      </c>
      <c r="H10" s="20" t="s">
        <v>9</v>
      </c>
      <c r="I10" s="20"/>
      <c r="J10" s="19"/>
      <c r="K10" s="17"/>
      <c r="M10" s="21" t="s">
        <v>10</v>
      </c>
    </row>
    <row r="11" spans="1:15" ht="15.75" x14ac:dyDescent="0.25">
      <c r="A11" s="12"/>
      <c r="B11" s="13"/>
      <c r="C11" s="13"/>
      <c r="D11" s="13"/>
      <c r="E11" s="18" t="s">
        <v>11</v>
      </c>
      <c r="F11" s="15"/>
      <c r="G11" s="19">
        <v>0</v>
      </c>
      <c r="H11" s="22"/>
      <c r="I11" s="20"/>
      <c r="J11" s="23"/>
      <c r="K11" s="17"/>
    </row>
    <row r="12" spans="1:15" ht="15.75" x14ac:dyDescent="0.25">
      <c r="A12" s="12"/>
      <c r="B12" s="13"/>
      <c r="C12" s="13"/>
      <c r="D12" s="13"/>
      <c r="E12" s="18" t="s">
        <v>12</v>
      </c>
      <c r="F12" s="15"/>
      <c r="G12" s="24">
        <f>+'ENERO 2025'!G12</f>
        <v>2244994.14</v>
      </c>
      <c r="H12" s="25"/>
      <c r="I12" s="25"/>
      <c r="J12" s="23"/>
      <c r="K12" s="17"/>
    </row>
    <row r="13" spans="1:15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23"/>
      <c r="K13" s="17"/>
    </row>
    <row r="14" spans="1:15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20"/>
      <c r="J14" s="19">
        <f>+'MARZO 2025'!I14+'FEBRERO 2025'!I14+'ENERO 2025'!J14</f>
        <v>15987098.25</v>
      </c>
      <c r="K14" s="17"/>
      <c r="M14" s="5" t="s">
        <v>14</v>
      </c>
      <c r="N14" s="5" t="s">
        <v>15</v>
      </c>
      <c r="O14" s="5" t="s">
        <v>16</v>
      </c>
    </row>
    <row r="15" spans="1:15" ht="15.75" x14ac:dyDescent="0.25">
      <c r="A15" s="12"/>
      <c r="B15" s="13"/>
      <c r="C15" s="13"/>
      <c r="D15" s="13"/>
      <c r="E15" s="18" t="s">
        <v>11</v>
      </c>
      <c r="F15" s="15"/>
      <c r="G15" s="24">
        <f>+'MARZO 2025'!G15+'FEBRERO 2025'!G15</f>
        <v>200633590.16</v>
      </c>
      <c r="H15" s="25" t="s">
        <v>17</v>
      </c>
      <c r="I15" s="25"/>
      <c r="J15" s="19">
        <f>+'MARZO 2025'!I15+'FEBRERO 2025'!I15+'ENERO 2025'!J15</f>
        <v>84553321.829999998</v>
      </c>
      <c r="K15" s="96"/>
      <c r="M15" s="5">
        <v>2.1</v>
      </c>
      <c r="N15" s="27">
        <f>G26</f>
        <v>132223115.86000001</v>
      </c>
      <c r="O15" s="27">
        <f>H26</f>
        <v>0</v>
      </c>
    </row>
    <row r="16" spans="1:15" ht="15.75" x14ac:dyDescent="0.25">
      <c r="A16" s="12"/>
      <c r="B16" s="13"/>
      <c r="C16" s="13"/>
      <c r="D16" s="13"/>
      <c r="E16" s="18" t="s">
        <v>12</v>
      </c>
      <c r="F16" s="15"/>
      <c r="G16" s="24">
        <f>+'MARZO 2025'!G16+'FEBRERO 2025'!G16+'ENERO 2025'!G16</f>
        <v>23406786.479999997</v>
      </c>
      <c r="H16" s="25"/>
      <c r="I16" s="25"/>
      <c r="J16" s="23"/>
      <c r="K16" s="17"/>
      <c r="M16" s="5">
        <v>2.2000000000000002</v>
      </c>
      <c r="N16" s="27">
        <f>G87</f>
        <v>1336968.6400000001</v>
      </c>
      <c r="O16" s="27">
        <f>H87</f>
        <v>3947227.6400000006</v>
      </c>
    </row>
    <row r="17" spans="1:17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97"/>
      <c r="J17" s="19">
        <f>+G10+G11+G12+J10+G14+G15+G16+J14+J15</f>
        <v>326825790.85999995</v>
      </c>
      <c r="K17" s="17"/>
      <c r="M17" s="5">
        <v>2.2999999999999998</v>
      </c>
      <c r="N17" s="27">
        <f>'[3]CONS. FUENTES FINAN'!G212</f>
        <v>4970601.1899999995</v>
      </c>
      <c r="O17" s="27">
        <f>'[3]CONS. FUENTES FINAN'!H212</f>
        <v>3062630.67</v>
      </c>
    </row>
    <row r="18" spans="1:17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5"/>
      <c r="K18" s="17"/>
      <c r="M18" s="5">
        <v>2.4</v>
      </c>
      <c r="N18" s="27">
        <f>G330</f>
        <v>0</v>
      </c>
      <c r="O18" s="27">
        <f>H330</f>
        <v>160366.70000000001</v>
      </c>
    </row>
    <row r="19" spans="1:17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8"/>
      <c r="K19" s="39"/>
      <c r="M19" s="5">
        <v>2.6</v>
      </c>
      <c r="N19" s="27">
        <f>G336</f>
        <v>6461017.2600000007</v>
      </c>
      <c r="O19" s="27">
        <f>H336</f>
        <v>4775504.84</v>
      </c>
    </row>
    <row r="20" spans="1:17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5"/>
      <c r="K20" s="17"/>
      <c r="M20" s="5">
        <v>2.7</v>
      </c>
      <c r="N20" s="27">
        <f>'[3]CONS. FUENTES FINAN'!G463</f>
        <v>0</v>
      </c>
      <c r="O20" s="27">
        <f>'[3]CONS. FUENTES FINAN'!H463</f>
        <v>0</v>
      </c>
    </row>
    <row r="21" spans="1:17" x14ac:dyDescent="0.2">
      <c r="A21" s="174">
        <v>1</v>
      </c>
      <c r="B21" s="174"/>
      <c r="C21" s="174"/>
      <c r="D21" s="174"/>
      <c r="E21" s="174"/>
      <c r="F21" s="138">
        <v>2</v>
      </c>
      <c r="G21" s="175">
        <v>3</v>
      </c>
      <c r="H21" s="176"/>
      <c r="I21" s="176"/>
      <c r="J21" s="42">
        <v>4</v>
      </c>
      <c r="K21" s="42">
        <v>5</v>
      </c>
    </row>
    <row r="22" spans="1:17" x14ac:dyDescent="0.2">
      <c r="A22" s="177" t="s">
        <v>19</v>
      </c>
      <c r="B22" s="177"/>
      <c r="C22" s="177"/>
      <c r="D22" s="177"/>
      <c r="E22" s="177"/>
      <c r="F22" s="178" t="s">
        <v>20</v>
      </c>
      <c r="G22" s="160" t="s">
        <v>21</v>
      </c>
      <c r="H22" s="181"/>
      <c r="I22" s="161"/>
      <c r="J22" s="171" t="s">
        <v>22</v>
      </c>
      <c r="K22" s="165" t="s">
        <v>23</v>
      </c>
    </row>
    <row r="23" spans="1:17" x14ac:dyDescent="0.2">
      <c r="A23" s="162" t="s">
        <v>24</v>
      </c>
      <c r="B23" s="162" t="s">
        <v>25</v>
      </c>
      <c r="C23" s="162" t="s">
        <v>26</v>
      </c>
      <c r="D23" s="162" t="s">
        <v>27</v>
      </c>
      <c r="E23" s="162" t="s">
        <v>28</v>
      </c>
      <c r="F23" s="179"/>
      <c r="G23" s="155" t="s">
        <v>29</v>
      </c>
      <c r="H23" s="199" t="s">
        <v>30</v>
      </c>
      <c r="I23" s="199" t="s">
        <v>17</v>
      </c>
      <c r="J23" s="172"/>
      <c r="K23" s="166"/>
      <c r="L23" s="98"/>
      <c r="M23" s="164"/>
      <c r="N23" s="164"/>
      <c r="O23" s="164"/>
      <c r="P23" s="164"/>
      <c r="Q23" s="164"/>
    </row>
    <row r="24" spans="1:17" x14ac:dyDescent="0.2">
      <c r="A24" s="163"/>
      <c r="B24" s="163"/>
      <c r="C24" s="163"/>
      <c r="D24" s="163"/>
      <c r="E24" s="163"/>
      <c r="F24" s="180"/>
      <c r="G24" s="156"/>
      <c r="H24" s="170"/>
      <c r="I24" s="170"/>
      <c r="J24" s="173"/>
      <c r="K24" s="167"/>
      <c r="L24" s="98"/>
      <c r="M24" s="137"/>
      <c r="N24" s="137"/>
      <c r="O24" s="137"/>
      <c r="P24" s="137"/>
      <c r="Q24" s="137"/>
    </row>
    <row r="25" spans="1:17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139">
        <f>+G26+G87+G212+G330+G336+G463</f>
        <v>159424834.43000001</v>
      </c>
      <c r="H25" s="139">
        <f>+H26+H87+H212+H330+H336+H463</f>
        <v>14378108.140000001</v>
      </c>
      <c r="I25" s="139">
        <f>+I26+I87+I212+I330+I336+I463</f>
        <v>0</v>
      </c>
      <c r="J25" s="139">
        <f>+G25+H25</f>
        <v>173802942.56999999</v>
      </c>
      <c r="K25" s="48">
        <f>+K26+K87+K212+K330+K336+K463</f>
        <v>1.0000000000000002</v>
      </c>
      <c r="L25" s="98"/>
      <c r="M25" s="98"/>
      <c r="N25" s="98"/>
      <c r="O25" s="98"/>
      <c r="P25" s="98"/>
      <c r="Q25" s="98"/>
    </row>
    <row r="26" spans="1:17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140">
        <f>+G27+G51+G64+G71+G78</f>
        <v>132223115.86000001</v>
      </c>
      <c r="H26" s="140">
        <f>+H27+H51+H64+H71+H78</f>
        <v>0</v>
      </c>
      <c r="I26" s="140"/>
      <c r="J26" s="140">
        <f t="shared" ref="J26:J89" si="0">+G26+H26</f>
        <v>132223115.86000001</v>
      </c>
      <c r="K26" s="53">
        <f t="shared" ref="K26:K34" si="1">J26/$J$25</f>
        <v>0.76076454118000048</v>
      </c>
      <c r="L26" s="98"/>
      <c r="M26" s="98"/>
      <c r="N26" s="98"/>
      <c r="O26" s="98"/>
      <c r="P26" s="98"/>
      <c r="Q26" s="98"/>
    </row>
    <row r="27" spans="1:17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141">
        <f>+G28+G35+G42+G44+G46</f>
        <v>109226467.52000001</v>
      </c>
      <c r="H27" s="141">
        <f>+H28+H35+H42+H44+H46</f>
        <v>0</v>
      </c>
      <c r="I27" s="141"/>
      <c r="J27" s="141">
        <f t="shared" si="0"/>
        <v>109226467.52000001</v>
      </c>
      <c r="K27" s="53">
        <f t="shared" si="1"/>
        <v>0.62845004753592426</v>
      </c>
      <c r="L27" s="98"/>
      <c r="M27" s="98"/>
      <c r="N27" s="98"/>
      <c r="O27" s="98"/>
      <c r="P27" s="98"/>
      <c r="Q27" s="98"/>
    </row>
    <row r="28" spans="1:17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142">
        <f>SUM(G29:G34)</f>
        <v>105823285.31</v>
      </c>
      <c r="H28" s="142">
        <f>SUM(H29:H34)</f>
        <v>0</v>
      </c>
      <c r="I28" s="142"/>
      <c r="J28" s="142">
        <f t="shared" si="0"/>
        <v>105823285.31</v>
      </c>
      <c r="K28" s="60">
        <f t="shared" si="1"/>
        <v>0.60886935367840023</v>
      </c>
    </row>
    <row r="29" spans="1:17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143">
        <f>+'ENERO 2025'!G29+'FEBRERO 2025'!G29</f>
        <v>105823285.31</v>
      </c>
      <c r="H29" s="143">
        <f>+'ENERO 2025'!H29+'FEBRERO 2025'!H29</f>
        <v>0</v>
      </c>
      <c r="I29" s="143"/>
      <c r="J29" s="143">
        <f>+G29+H29</f>
        <v>105823285.31</v>
      </c>
      <c r="K29" s="100">
        <f t="shared" si="1"/>
        <v>0.60886935367840023</v>
      </c>
    </row>
    <row r="30" spans="1:17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143">
        <f>+'ENERO 2025'!G30+'FEBRERO 2025'!G30</f>
        <v>0</v>
      </c>
      <c r="H30" s="143">
        <f>+'ENERO 2025'!H30+'FEBRERO 2025'!H30</f>
        <v>0</v>
      </c>
      <c r="I30" s="143"/>
      <c r="J30" s="143">
        <f t="shared" si="0"/>
        <v>0</v>
      </c>
      <c r="K30" s="100">
        <f t="shared" si="1"/>
        <v>0</v>
      </c>
    </row>
    <row r="31" spans="1:17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143">
        <f>+'ENERO 2025'!G31+'FEBRERO 2025'!G31</f>
        <v>0</v>
      </c>
      <c r="H31" s="143">
        <f>+'ENERO 2025'!H31+'FEBRERO 2025'!H31</f>
        <v>0</v>
      </c>
      <c r="I31" s="143"/>
      <c r="J31" s="143">
        <f t="shared" si="0"/>
        <v>0</v>
      </c>
      <c r="K31" s="100">
        <f t="shared" si="1"/>
        <v>0</v>
      </c>
    </row>
    <row r="32" spans="1:17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143">
        <f>+'ENERO 2025'!G32+'FEBRERO 2025'!G32</f>
        <v>0</v>
      </c>
      <c r="H32" s="143">
        <f>+'ENERO 2025'!H32+'FEBRERO 2025'!H32</f>
        <v>0</v>
      </c>
      <c r="I32" s="143"/>
      <c r="J32" s="143">
        <f t="shared" si="0"/>
        <v>0</v>
      </c>
      <c r="K32" s="65">
        <f t="shared" si="1"/>
        <v>0</v>
      </c>
    </row>
    <row r="33" spans="1:11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143">
        <f>+'ENERO 2025'!G33+'FEBRERO 2025'!G33</f>
        <v>0</v>
      </c>
      <c r="H33" s="143">
        <f>+'ENERO 2025'!H33+'FEBRERO 2025'!H33</f>
        <v>0</v>
      </c>
      <c r="I33" s="143"/>
      <c r="J33" s="143">
        <f t="shared" si="0"/>
        <v>0</v>
      </c>
      <c r="K33" s="65">
        <f t="shared" si="1"/>
        <v>0</v>
      </c>
    </row>
    <row r="34" spans="1:11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143">
        <f>+'ENERO 2025'!G34+'FEBRERO 2025'!G34</f>
        <v>0</v>
      </c>
      <c r="H34" s="143">
        <f>+'ENERO 2025'!H34+'FEBRERO 2025'!H34</f>
        <v>0</v>
      </c>
      <c r="I34" s="143"/>
      <c r="J34" s="143">
        <f t="shared" si="0"/>
        <v>0</v>
      </c>
      <c r="K34" s="65">
        <f t="shared" si="1"/>
        <v>0</v>
      </c>
    </row>
    <row r="35" spans="1:11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142">
        <f>+'ENERO 2025'!G35+'FEBRERO 2025'!G35</f>
        <v>2070062.06</v>
      </c>
      <c r="H35" s="142">
        <f>+'ENERO 2025'!H35+'FEBRERO 2025'!H35</f>
        <v>0</v>
      </c>
      <c r="I35" s="142"/>
      <c r="J35" s="142">
        <f t="shared" si="0"/>
        <v>2070062.06</v>
      </c>
      <c r="K35" s="68"/>
    </row>
    <row r="36" spans="1:11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143">
        <f>+'ENERO 2025'!G36+'FEBRERO 2025'!G36</f>
        <v>0</v>
      </c>
      <c r="H36" s="143">
        <f>+'ENERO 2025'!H36+'FEBRERO 2025'!H36</f>
        <v>0</v>
      </c>
      <c r="I36" s="143"/>
      <c r="J36" s="143">
        <f t="shared" si="0"/>
        <v>0</v>
      </c>
      <c r="K36" s="65">
        <f t="shared" ref="K36:K41" si="2">J36/$J$25</f>
        <v>0</v>
      </c>
    </row>
    <row r="37" spans="1:11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143">
        <f>+'ENERO 2025'!G37+'FEBRERO 2025'!G37</f>
        <v>0</v>
      </c>
      <c r="H37" s="143">
        <f>+'ENERO 2025'!H37+'FEBRERO 2025'!H37</f>
        <v>0</v>
      </c>
      <c r="I37" s="143"/>
      <c r="J37" s="143">
        <f t="shared" si="0"/>
        <v>0</v>
      </c>
      <c r="K37" s="65">
        <f t="shared" si="2"/>
        <v>0</v>
      </c>
    </row>
    <row r="38" spans="1:11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143">
        <f>+'ENERO 2025'!G38+'FEBRERO 2025'!G38</f>
        <v>0</v>
      </c>
      <c r="H38" s="143">
        <f>+'ENERO 2025'!H38+'FEBRERO 2025'!H38</f>
        <v>0</v>
      </c>
      <c r="I38" s="143"/>
      <c r="J38" s="143">
        <f t="shared" si="0"/>
        <v>0</v>
      </c>
      <c r="K38" s="65">
        <f t="shared" si="2"/>
        <v>0</v>
      </c>
    </row>
    <row r="39" spans="1:11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143">
        <f>+'ENERO 2025'!G39+'FEBRERO 2025'!G39</f>
        <v>2070062.06</v>
      </c>
      <c r="H39" s="143">
        <f>+'ENERO 2025'!H39+'FEBRERO 2025'!H39</f>
        <v>0</v>
      </c>
      <c r="I39" s="143"/>
      <c r="J39" s="143">
        <f t="shared" si="0"/>
        <v>2070062.06</v>
      </c>
      <c r="K39" s="65">
        <f t="shared" si="2"/>
        <v>1.1910397081834632E-2</v>
      </c>
    </row>
    <row r="40" spans="1:11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143">
        <f>+'ENERO 2025'!G40+'FEBRERO 2025'!G40</f>
        <v>0</v>
      </c>
      <c r="H40" s="143">
        <f>+'ENERO 2025'!H40+'FEBRERO 2025'!H40</f>
        <v>0</v>
      </c>
      <c r="I40" s="143"/>
      <c r="J40" s="143">
        <f t="shared" si="0"/>
        <v>0</v>
      </c>
      <c r="K40" s="65">
        <f t="shared" si="2"/>
        <v>0</v>
      </c>
    </row>
    <row r="41" spans="1:11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143">
        <f>+'ENERO 2025'!G41+'FEBRERO 2025'!G41</f>
        <v>0</v>
      </c>
      <c r="H41" s="143">
        <f>+'ENERO 2025'!H41+'FEBRERO 2025'!H41</f>
        <v>0</v>
      </c>
      <c r="I41" s="143"/>
      <c r="J41" s="143">
        <f t="shared" si="0"/>
        <v>0</v>
      </c>
      <c r="K41" s="65">
        <f t="shared" si="2"/>
        <v>0</v>
      </c>
    </row>
    <row r="42" spans="1:11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142">
        <f>+'ENERO 2025'!G42+'FEBRERO 2025'!G42</f>
        <v>0</v>
      </c>
      <c r="H42" s="142">
        <f>+'ENERO 2025'!H42+'FEBRERO 2025'!H42</f>
        <v>0</v>
      </c>
      <c r="I42" s="142"/>
      <c r="J42" s="142">
        <f t="shared" si="0"/>
        <v>0</v>
      </c>
      <c r="K42" s="68"/>
    </row>
    <row r="43" spans="1:11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143">
        <f>+'ENERO 2025'!G43+'FEBRERO 2025'!G43</f>
        <v>0</v>
      </c>
      <c r="H43" s="143">
        <f>+'ENERO 2025'!H43+'FEBRERO 2025'!H43</f>
        <v>0</v>
      </c>
      <c r="I43" s="143"/>
      <c r="J43" s="143">
        <f t="shared" si="0"/>
        <v>0</v>
      </c>
      <c r="K43" s="65">
        <f>J43/$J$25</f>
        <v>0</v>
      </c>
    </row>
    <row r="44" spans="1:11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142">
        <f>+'ENERO 2025'!G44+'FEBRERO 2025'!G44</f>
        <v>0</v>
      </c>
      <c r="H44" s="142">
        <f>+'ENERO 2025'!H44+'FEBRERO 2025'!H44</f>
        <v>0</v>
      </c>
      <c r="I44" s="142"/>
      <c r="J44" s="142">
        <f t="shared" si="0"/>
        <v>0</v>
      </c>
      <c r="K44" s="68"/>
    </row>
    <row r="45" spans="1:11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143">
        <f>+'ENERO 2025'!G45+'FEBRERO 2025'!G45</f>
        <v>0</v>
      </c>
      <c r="H45" s="143">
        <f>+'ENERO 2025'!H45+'FEBRERO 2025'!H45</f>
        <v>0</v>
      </c>
      <c r="I45" s="143"/>
      <c r="J45" s="143">
        <f t="shared" si="0"/>
        <v>0</v>
      </c>
      <c r="K45" s="65">
        <f>J45/$J$25</f>
        <v>0</v>
      </c>
    </row>
    <row r="46" spans="1:11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142">
        <f>+'ENERO 2025'!G46+'FEBRERO 2025'!G46</f>
        <v>1333120.1499999999</v>
      </c>
      <c r="H46" s="142">
        <f>+'ENERO 2025'!H46+'FEBRERO 2025'!H46</f>
        <v>0</v>
      </c>
      <c r="I46" s="142"/>
      <c r="J46" s="142">
        <f t="shared" si="0"/>
        <v>1333120.1499999999</v>
      </c>
      <c r="K46" s="68"/>
    </row>
    <row r="47" spans="1:11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143">
        <f>+'ENERO 2025'!G47+'FEBRERO 2025'!G47</f>
        <v>815000</v>
      </c>
      <c r="H47" s="143">
        <f>+'ENERO 2025'!H47+'FEBRERO 2025'!H47</f>
        <v>0</v>
      </c>
      <c r="I47" s="143"/>
      <c r="J47" s="143">
        <f t="shared" si="0"/>
        <v>815000</v>
      </c>
      <c r="K47" s="65">
        <f>J47/$J$25</f>
        <v>4.6892186515872982E-3</v>
      </c>
    </row>
    <row r="48" spans="1:11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143">
        <f>+'ENERO 2025'!G48+'FEBRERO 2025'!G48</f>
        <v>0</v>
      </c>
      <c r="H48" s="143">
        <f>+'ENERO 2025'!H48+'FEBRERO 2025'!H48</f>
        <v>0</v>
      </c>
      <c r="I48" s="143"/>
      <c r="J48" s="143">
        <f t="shared" si="0"/>
        <v>0</v>
      </c>
      <c r="K48" s="65">
        <f>J48/$J$25</f>
        <v>0</v>
      </c>
    </row>
    <row r="49" spans="1:11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143">
        <f>+'ENERO 2025'!G49+'FEBRERO 2025'!G49</f>
        <v>0</v>
      </c>
      <c r="H49" s="143">
        <f>+'ENERO 2025'!H49+'FEBRERO 2025'!H49</f>
        <v>0</v>
      </c>
      <c r="I49" s="143"/>
      <c r="J49" s="143">
        <f t="shared" si="0"/>
        <v>0</v>
      </c>
      <c r="K49" s="65">
        <f>J49/$J$25</f>
        <v>0</v>
      </c>
    </row>
    <row r="50" spans="1:11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143">
        <f>+'ENERO 2025'!G50+'FEBRERO 2025'!G50</f>
        <v>518120.15</v>
      </c>
      <c r="H50" s="143">
        <f>+'ENERO 2025'!H50+'FEBRERO 2025'!H50</f>
        <v>0</v>
      </c>
      <c r="I50" s="143"/>
      <c r="J50" s="143">
        <f t="shared" si="0"/>
        <v>518120.15</v>
      </c>
      <c r="K50" s="65">
        <f>J50/$J$25</f>
        <v>2.9810781241020965E-3</v>
      </c>
    </row>
    <row r="51" spans="1:11" x14ac:dyDescent="0.2">
      <c r="A51" s="54">
        <v>2</v>
      </c>
      <c r="B51" s="55">
        <v>1</v>
      </c>
      <c r="C51" s="55">
        <v>2</v>
      </c>
      <c r="D51" s="55"/>
      <c r="E51" s="55"/>
      <c r="F51" s="69" t="s">
        <v>63</v>
      </c>
      <c r="G51" s="141">
        <f>+'ENERO 2025'!G51+'FEBRERO 2025'!G51</f>
        <v>6394999.2000000002</v>
      </c>
      <c r="H51" s="141">
        <f>+'ENERO 2025'!H51+'FEBRERO 2025'!H51</f>
        <v>0</v>
      </c>
      <c r="I51" s="141"/>
      <c r="J51" s="141">
        <f t="shared" si="0"/>
        <v>6394999.2000000002</v>
      </c>
      <c r="K51" s="53"/>
    </row>
    <row r="52" spans="1:11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142">
        <f>+'ENERO 2025'!G52+'FEBRERO 2025'!G52</f>
        <v>5504273</v>
      </c>
      <c r="H52" s="142">
        <f>+'ENERO 2025'!H52+'FEBRERO 2025'!H52</f>
        <v>0</v>
      </c>
      <c r="I52" s="142"/>
      <c r="J52" s="142">
        <f t="shared" si="0"/>
        <v>5504273</v>
      </c>
      <c r="K52" s="68"/>
    </row>
    <row r="53" spans="1:11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143">
        <f>+'ENERO 2025'!G53+'FEBRERO 2025'!G53</f>
        <v>5504273</v>
      </c>
      <c r="H53" s="143">
        <f>+'ENERO 2025'!H53+'FEBRERO 2025'!H53</f>
        <v>0</v>
      </c>
      <c r="I53" s="143"/>
      <c r="J53" s="143">
        <f t="shared" si="0"/>
        <v>5504273</v>
      </c>
      <c r="K53" s="65">
        <f>J53/$J$25</f>
        <v>3.1669619159544013E-2</v>
      </c>
    </row>
    <row r="54" spans="1:11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142">
        <f>+'ENERO 2025'!G54+'FEBRERO 2025'!G54</f>
        <v>890726.2</v>
      </c>
      <c r="H54" s="142">
        <f>+'ENERO 2025'!H54+'FEBRERO 2025'!H54</f>
        <v>0</v>
      </c>
      <c r="I54" s="142"/>
      <c r="J54" s="142">
        <f t="shared" si="0"/>
        <v>890726.2</v>
      </c>
      <c r="K54" s="68"/>
    </row>
    <row r="55" spans="1:11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143">
        <f>+'ENERO 2025'!G55+'FEBRERO 2025'!G55</f>
        <v>0</v>
      </c>
      <c r="H55" s="143">
        <f>+'ENERO 2025'!H55+'FEBRERO 2025'!H55</f>
        <v>0</v>
      </c>
      <c r="I55" s="143"/>
      <c r="J55" s="143">
        <f t="shared" si="0"/>
        <v>0</v>
      </c>
      <c r="K55" s="65">
        <f t="shared" ref="K55:K63" si="3">J55/$J$25</f>
        <v>0</v>
      </c>
    </row>
    <row r="56" spans="1:11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70" t="s">
        <v>67</v>
      </c>
      <c r="G56" s="144">
        <f>+'ENERO 2025'!G56+'FEBRERO 2025'!G56</f>
        <v>0</v>
      </c>
      <c r="H56" s="144">
        <f>+'ENERO 2025'!H56+'FEBRERO 2025'!H56</f>
        <v>0</v>
      </c>
      <c r="I56" s="144"/>
      <c r="J56" s="144">
        <f t="shared" si="0"/>
        <v>0</v>
      </c>
      <c r="K56" s="65">
        <f t="shared" si="3"/>
        <v>0</v>
      </c>
    </row>
    <row r="57" spans="1:11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143">
        <f>+'ENERO 2025'!G57+'FEBRERO 2025'!G57</f>
        <v>0</v>
      </c>
      <c r="H57" s="143">
        <f>+'ENERO 2025'!H57+'FEBRERO 2025'!H57</f>
        <v>0</v>
      </c>
      <c r="I57" s="143"/>
      <c r="J57" s="143">
        <f t="shared" si="0"/>
        <v>0</v>
      </c>
      <c r="K57" s="65">
        <f t="shared" si="3"/>
        <v>0</v>
      </c>
    </row>
    <row r="58" spans="1:11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143">
        <f>+'ENERO 2025'!G58+'FEBRERO 2025'!G58</f>
        <v>90000</v>
      </c>
      <c r="H58" s="143">
        <f>+'ENERO 2025'!H58+'FEBRERO 2025'!H58</f>
        <v>0</v>
      </c>
      <c r="I58" s="143"/>
      <c r="J58" s="143">
        <f t="shared" si="0"/>
        <v>90000</v>
      </c>
      <c r="K58" s="65">
        <f t="shared" si="3"/>
        <v>5.1782782655565259E-4</v>
      </c>
    </row>
    <row r="59" spans="1:11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143">
        <f>+'ENERO 2025'!G59+'FEBRERO 2025'!G59</f>
        <v>0</v>
      </c>
      <c r="H59" s="143">
        <f>+'ENERO 2025'!H59+'FEBRERO 2025'!H59</f>
        <v>0</v>
      </c>
      <c r="I59" s="143"/>
      <c r="J59" s="143">
        <f t="shared" si="0"/>
        <v>0</v>
      </c>
      <c r="K59" s="65">
        <f t="shared" si="3"/>
        <v>0</v>
      </c>
    </row>
    <row r="60" spans="1:11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143">
        <f>+'ENERO 2025'!G60+'FEBRERO 2025'!G60</f>
        <v>0</v>
      </c>
      <c r="H60" s="143">
        <f>+'ENERO 2025'!H60+'FEBRERO 2025'!H60</f>
        <v>0</v>
      </c>
      <c r="I60" s="143"/>
      <c r="J60" s="143">
        <f t="shared" si="0"/>
        <v>0</v>
      </c>
      <c r="K60" s="65">
        <f t="shared" si="3"/>
        <v>0</v>
      </c>
    </row>
    <row r="61" spans="1:11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143">
        <f>+'ENERO 2025'!G61+'FEBRERO 2025'!G61</f>
        <v>661400</v>
      </c>
      <c r="H61" s="143">
        <f>+'ENERO 2025'!H61+'FEBRERO 2025'!H61</f>
        <v>0</v>
      </c>
      <c r="I61" s="143"/>
      <c r="J61" s="143">
        <f t="shared" si="0"/>
        <v>661400</v>
      </c>
      <c r="K61" s="65">
        <f t="shared" si="3"/>
        <v>3.805459160932318E-3</v>
      </c>
    </row>
    <row r="62" spans="1:11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143">
        <f>+'ENERO 2025'!G62+'FEBRERO 2025'!G62</f>
        <v>0</v>
      </c>
      <c r="H62" s="143">
        <f>+'ENERO 2025'!H62+'FEBRERO 2025'!H62</f>
        <v>0</v>
      </c>
      <c r="I62" s="143"/>
      <c r="J62" s="143">
        <f t="shared" si="0"/>
        <v>0</v>
      </c>
      <c r="K62" s="65">
        <f t="shared" si="3"/>
        <v>0</v>
      </c>
    </row>
    <row r="63" spans="1:11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70" t="s">
        <v>75</v>
      </c>
      <c r="G63" s="144">
        <f>+'ENERO 2025'!G63+'FEBRERO 2025'!G63</f>
        <v>139326.19999999998</v>
      </c>
      <c r="H63" s="144">
        <f>+'ENERO 2025'!H63+'FEBRERO 2025'!H63</f>
        <v>0</v>
      </c>
      <c r="I63" s="144"/>
      <c r="J63" s="144">
        <f t="shared" si="0"/>
        <v>139326.19999999998</v>
      </c>
      <c r="K63" s="65">
        <f t="shared" si="3"/>
        <v>8.0163314809175723E-4</v>
      </c>
    </row>
    <row r="64" spans="1:11" x14ac:dyDescent="0.2">
      <c r="A64" s="71">
        <v>2</v>
      </c>
      <c r="B64" s="55">
        <v>1</v>
      </c>
      <c r="C64" s="55">
        <v>3</v>
      </c>
      <c r="D64" s="55"/>
      <c r="E64" s="55"/>
      <c r="F64" s="72" t="s">
        <v>76</v>
      </c>
      <c r="G64" s="145">
        <f>+'ENERO 2025'!G64+'FEBRERO 2025'!G64</f>
        <v>0</v>
      </c>
      <c r="H64" s="145">
        <f>+'ENERO 2025'!H64+'FEBRERO 2025'!H64</f>
        <v>0</v>
      </c>
      <c r="I64" s="145"/>
      <c r="J64" s="145">
        <f t="shared" si="0"/>
        <v>0</v>
      </c>
      <c r="K64" s="53"/>
    </row>
    <row r="65" spans="1:11" x14ac:dyDescent="0.2">
      <c r="A65" s="73">
        <v>2</v>
      </c>
      <c r="B65" s="58">
        <v>1</v>
      </c>
      <c r="C65" s="58">
        <v>3</v>
      </c>
      <c r="D65" s="58">
        <v>1</v>
      </c>
      <c r="E65" s="58"/>
      <c r="F65" s="74" t="s">
        <v>77</v>
      </c>
      <c r="G65" s="146">
        <f>+'ENERO 2025'!G65+'FEBRERO 2025'!G65</f>
        <v>0</v>
      </c>
      <c r="H65" s="146">
        <f>+'ENERO 2025'!H65+'FEBRERO 2025'!H65</f>
        <v>0</v>
      </c>
      <c r="I65" s="146"/>
      <c r="J65" s="146">
        <f t="shared" si="0"/>
        <v>0</v>
      </c>
      <c r="K65" s="68"/>
    </row>
    <row r="66" spans="1:11" x14ac:dyDescent="0.2">
      <c r="A66" s="75">
        <v>2</v>
      </c>
      <c r="B66" s="62">
        <v>1</v>
      </c>
      <c r="C66" s="62">
        <v>3</v>
      </c>
      <c r="D66" s="62">
        <v>1</v>
      </c>
      <c r="E66" s="63" t="s">
        <v>35</v>
      </c>
      <c r="F66" s="76" t="s">
        <v>78</v>
      </c>
      <c r="G66" s="147">
        <f>+'ENERO 2025'!G66+'FEBRERO 2025'!G66</f>
        <v>0</v>
      </c>
      <c r="H66" s="147">
        <f>+'ENERO 2025'!H66+'FEBRERO 2025'!H66</f>
        <v>0</v>
      </c>
      <c r="I66" s="147"/>
      <c r="J66" s="147">
        <f t="shared" si="0"/>
        <v>0</v>
      </c>
      <c r="K66" s="65">
        <f>J66/$J$25</f>
        <v>0</v>
      </c>
    </row>
    <row r="67" spans="1:11" x14ac:dyDescent="0.2">
      <c r="A67" s="75">
        <v>2</v>
      </c>
      <c r="B67" s="62">
        <v>1</v>
      </c>
      <c r="C67" s="62">
        <v>3</v>
      </c>
      <c r="D67" s="62">
        <v>1</v>
      </c>
      <c r="E67" s="63" t="s">
        <v>37</v>
      </c>
      <c r="F67" s="76" t="s">
        <v>79</v>
      </c>
      <c r="G67" s="147">
        <f>+'ENERO 2025'!G67+'FEBRERO 2025'!G67</f>
        <v>0</v>
      </c>
      <c r="H67" s="147">
        <f>+'ENERO 2025'!H67+'FEBRERO 2025'!H67</f>
        <v>0</v>
      </c>
      <c r="I67" s="147"/>
      <c r="J67" s="147">
        <f t="shared" si="0"/>
        <v>0</v>
      </c>
      <c r="K67" s="65">
        <f>J67/$J$25</f>
        <v>0</v>
      </c>
    </row>
    <row r="68" spans="1:11" x14ac:dyDescent="0.2">
      <c r="A68" s="73">
        <v>2</v>
      </c>
      <c r="B68" s="58">
        <v>1</v>
      </c>
      <c r="C68" s="58">
        <v>3</v>
      </c>
      <c r="D68" s="58">
        <v>2</v>
      </c>
      <c r="E68" s="58"/>
      <c r="F68" s="74" t="s">
        <v>80</v>
      </c>
      <c r="G68" s="146">
        <f>+'ENERO 2025'!G68+'FEBRERO 2025'!G68</f>
        <v>0</v>
      </c>
      <c r="H68" s="146">
        <f>+'ENERO 2025'!H68+'FEBRERO 2025'!H68</f>
        <v>0</v>
      </c>
      <c r="I68" s="146"/>
      <c r="J68" s="146">
        <f t="shared" si="0"/>
        <v>0</v>
      </c>
      <c r="K68" s="68"/>
    </row>
    <row r="69" spans="1:11" x14ac:dyDescent="0.2">
      <c r="A69" s="75">
        <v>2</v>
      </c>
      <c r="B69" s="62">
        <v>1</v>
      </c>
      <c r="C69" s="62">
        <v>3</v>
      </c>
      <c r="D69" s="62">
        <v>2</v>
      </c>
      <c r="E69" s="63" t="s">
        <v>35</v>
      </c>
      <c r="F69" s="76" t="s">
        <v>81</v>
      </c>
      <c r="G69" s="147">
        <f>+'ENERO 2025'!G69+'FEBRERO 2025'!G69</f>
        <v>0</v>
      </c>
      <c r="H69" s="147">
        <f>+'ENERO 2025'!H69+'FEBRERO 2025'!H69</f>
        <v>0</v>
      </c>
      <c r="I69" s="147"/>
      <c r="J69" s="147">
        <f t="shared" si="0"/>
        <v>0</v>
      </c>
      <c r="K69" s="65">
        <f>J69/$J$25</f>
        <v>0</v>
      </c>
    </row>
    <row r="70" spans="1:11" x14ac:dyDescent="0.2">
      <c r="A70" s="75">
        <v>2</v>
      </c>
      <c r="B70" s="62">
        <v>1</v>
      </c>
      <c r="C70" s="62">
        <v>3</v>
      </c>
      <c r="D70" s="62">
        <v>2</v>
      </c>
      <c r="E70" s="63" t="s">
        <v>37</v>
      </c>
      <c r="F70" s="76" t="s">
        <v>82</v>
      </c>
      <c r="G70" s="147">
        <f>+'ENERO 2025'!G70+'FEBRERO 2025'!G70</f>
        <v>0</v>
      </c>
      <c r="H70" s="147">
        <f>+'ENERO 2025'!H70+'FEBRERO 2025'!H70</f>
        <v>0</v>
      </c>
      <c r="I70" s="147"/>
      <c r="J70" s="147">
        <f t="shared" si="0"/>
        <v>0</v>
      </c>
      <c r="K70" s="65">
        <f>J70/$J$25</f>
        <v>0</v>
      </c>
    </row>
    <row r="71" spans="1:11" x14ac:dyDescent="0.2">
      <c r="A71" s="71">
        <v>2</v>
      </c>
      <c r="B71" s="55">
        <v>1</v>
      </c>
      <c r="C71" s="55">
        <v>4</v>
      </c>
      <c r="D71" s="55"/>
      <c r="E71" s="55"/>
      <c r="F71" s="72" t="s">
        <v>83</v>
      </c>
      <c r="G71" s="145">
        <f>+'ENERO 2025'!G71+'FEBRERO 2025'!G71</f>
        <v>0</v>
      </c>
      <c r="H71" s="145">
        <f>+'ENERO 2025'!H71+'FEBRERO 2025'!H71</f>
        <v>0</v>
      </c>
      <c r="I71" s="145"/>
      <c r="J71" s="145">
        <f t="shared" si="0"/>
        <v>0</v>
      </c>
      <c r="K71" s="53"/>
    </row>
    <row r="72" spans="1:11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142">
        <f>+'ENERO 2025'!G72+'FEBRERO 2025'!G72</f>
        <v>0</v>
      </c>
      <c r="H72" s="142">
        <f>+'ENERO 2025'!H72+'FEBRERO 2025'!H72</f>
        <v>0</v>
      </c>
      <c r="I72" s="142"/>
      <c r="J72" s="142">
        <f t="shared" si="0"/>
        <v>0</v>
      </c>
      <c r="K72" s="68"/>
    </row>
    <row r="73" spans="1:11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143">
        <f>+'ENERO 2025'!G73+'FEBRERO 2025'!G73</f>
        <v>0</v>
      </c>
      <c r="H73" s="143">
        <f>+'ENERO 2025'!H73+'FEBRERO 2025'!H73</f>
        <v>0</v>
      </c>
      <c r="I73" s="143"/>
      <c r="J73" s="143">
        <f t="shared" si="0"/>
        <v>0</v>
      </c>
      <c r="K73" s="65">
        <f>J73/$J$25</f>
        <v>0</v>
      </c>
    </row>
    <row r="74" spans="1:11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142">
        <f>+'ENERO 2025'!G74+'FEBRERO 2025'!G74</f>
        <v>0</v>
      </c>
      <c r="H74" s="142">
        <f>+'ENERO 2025'!H74+'FEBRERO 2025'!H74</f>
        <v>0</v>
      </c>
      <c r="I74" s="142"/>
      <c r="J74" s="142">
        <f t="shared" si="0"/>
        <v>0</v>
      </c>
      <c r="K74" s="68"/>
    </row>
    <row r="75" spans="1:11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143">
        <f>+'ENERO 2025'!G75+'FEBRERO 2025'!G75</f>
        <v>0</v>
      </c>
      <c r="H75" s="143">
        <f>+'ENERO 2025'!H75+'FEBRERO 2025'!H75</f>
        <v>0</v>
      </c>
      <c r="I75" s="143"/>
      <c r="J75" s="143">
        <f t="shared" si="0"/>
        <v>0</v>
      </c>
      <c r="K75" s="65">
        <f>J75/$J$25</f>
        <v>0</v>
      </c>
    </row>
    <row r="76" spans="1:11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143">
        <f>+'ENERO 2025'!G76+'FEBRERO 2025'!G76</f>
        <v>0</v>
      </c>
      <c r="H76" s="143">
        <f>+'ENERO 2025'!H76+'FEBRERO 2025'!H76</f>
        <v>0</v>
      </c>
      <c r="I76" s="143"/>
      <c r="J76" s="143">
        <f t="shared" si="0"/>
        <v>0</v>
      </c>
      <c r="K76" s="65">
        <f>J76/$J$25</f>
        <v>0</v>
      </c>
    </row>
    <row r="77" spans="1:11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143">
        <f>+'ENERO 2025'!G77+'FEBRERO 2025'!G77</f>
        <v>0</v>
      </c>
      <c r="H77" s="143">
        <f>+'ENERO 2025'!H77+'FEBRERO 2025'!H77</f>
        <v>0</v>
      </c>
      <c r="I77" s="143"/>
      <c r="J77" s="143">
        <f t="shared" si="0"/>
        <v>0</v>
      </c>
      <c r="K77" s="65">
        <f>J77/$J$25</f>
        <v>0</v>
      </c>
    </row>
    <row r="78" spans="1:11" x14ac:dyDescent="0.2">
      <c r="A78" s="71">
        <v>2</v>
      </c>
      <c r="B78" s="55">
        <v>1</v>
      </c>
      <c r="C78" s="55">
        <v>5</v>
      </c>
      <c r="D78" s="55"/>
      <c r="E78" s="55"/>
      <c r="F78" s="72" t="s">
        <v>89</v>
      </c>
      <c r="G78" s="145">
        <f>+'ENERO 2025'!G78+'FEBRERO 2025'!G78</f>
        <v>16601649.140000001</v>
      </c>
      <c r="H78" s="145">
        <f>+'ENERO 2025'!H78+'FEBRERO 2025'!H78</f>
        <v>0</v>
      </c>
      <c r="I78" s="145"/>
      <c r="J78" s="145">
        <f t="shared" si="0"/>
        <v>16601649.140000001</v>
      </c>
      <c r="K78" s="53"/>
    </row>
    <row r="79" spans="1:11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142">
        <f>+'ENERO 2025'!G79+'FEBRERO 2025'!G79</f>
        <v>7649642.9000000004</v>
      </c>
      <c r="H79" s="142">
        <f>+'ENERO 2025'!H79+'FEBRERO 2025'!H79</f>
        <v>0</v>
      </c>
      <c r="I79" s="142"/>
      <c r="J79" s="142">
        <f t="shared" si="0"/>
        <v>7649642.9000000004</v>
      </c>
      <c r="K79" s="68"/>
    </row>
    <row r="80" spans="1:11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143">
        <f>+'ENERO 2025'!G80+'FEBRERO 2025'!G80</f>
        <v>7649642.9000000004</v>
      </c>
      <c r="H80" s="143">
        <f>+'ENERO 2025'!H80+'FEBRERO 2025'!H80</f>
        <v>0</v>
      </c>
      <c r="I80" s="143"/>
      <c r="J80" s="143">
        <f t="shared" si="0"/>
        <v>7649642.9000000004</v>
      </c>
      <c r="K80" s="65">
        <f>J80/$J$25</f>
        <v>4.401331063148755E-2</v>
      </c>
    </row>
    <row r="81" spans="1:11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142">
        <f>+'ENERO 2025'!G81+'FEBRERO 2025'!G81</f>
        <v>7660428.5700000003</v>
      </c>
      <c r="H81" s="142">
        <f>+'ENERO 2025'!H81+'FEBRERO 2025'!H81</f>
        <v>0</v>
      </c>
      <c r="I81" s="142"/>
      <c r="J81" s="142">
        <f t="shared" si="0"/>
        <v>7660428.5700000003</v>
      </c>
      <c r="K81" s="68"/>
    </row>
    <row r="82" spans="1:11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143">
        <f>+'ENERO 2025'!G82+'FEBRERO 2025'!G82</f>
        <v>7660428.5700000003</v>
      </c>
      <c r="H82" s="143">
        <f>+'ENERO 2025'!H82+'FEBRERO 2025'!H82</f>
        <v>0</v>
      </c>
      <c r="I82" s="143"/>
      <c r="J82" s="143">
        <f t="shared" si="0"/>
        <v>7660428.5700000003</v>
      </c>
      <c r="K82" s="65">
        <f>J82/$J$25</f>
        <v>4.4075367520976953E-2</v>
      </c>
    </row>
    <row r="83" spans="1:11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142">
        <f>+'ENERO 2025'!G83+'FEBRERO 2025'!G83</f>
        <v>1291577.6700000002</v>
      </c>
      <c r="H83" s="142">
        <f>+'ENERO 2025'!H83+'FEBRERO 2025'!H83</f>
        <v>0</v>
      </c>
      <c r="I83" s="142"/>
      <c r="J83" s="142">
        <f t="shared" si="0"/>
        <v>1291577.6700000002</v>
      </c>
      <c r="K83" s="68"/>
    </row>
    <row r="84" spans="1:11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143">
        <f>+'ENERO 2025'!G84+'FEBRERO 2025'!G84</f>
        <v>1291577.6700000002</v>
      </c>
      <c r="H84" s="143">
        <f>+'ENERO 2025'!H84+'FEBRERO 2025'!H84</f>
        <v>0</v>
      </c>
      <c r="I84" s="143"/>
      <c r="J84" s="143">
        <f t="shared" si="0"/>
        <v>1291577.6700000002</v>
      </c>
      <c r="K84" s="65">
        <f>J84/$J$25</f>
        <v>7.4312761964879324E-3</v>
      </c>
    </row>
    <row r="85" spans="1:11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142">
        <f>+'ENERO 2025'!G85+'FEBRERO 2025'!G85</f>
        <v>0</v>
      </c>
      <c r="H85" s="142">
        <f>+'ENERO 2025'!H85+'FEBRERO 2025'!H85</f>
        <v>0</v>
      </c>
      <c r="I85" s="142"/>
      <c r="J85" s="142">
        <f t="shared" si="0"/>
        <v>0</v>
      </c>
      <c r="K85" s="68"/>
    </row>
    <row r="86" spans="1:11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143">
        <f>+'ENERO 2025'!G86+'FEBRERO 2025'!G86</f>
        <v>0</v>
      </c>
      <c r="H86" s="143">
        <f>+'ENERO 2025'!H86+'FEBRERO 2025'!H86</f>
        <v>0</v>
      </c>
      <c r="I86" s="143"/>
      <c r="J86" s="143">
        <f t="shared" si="0"/>
        <v>0</v>
      </c>
      <c r="K86" s="65">
        <f>J86/$J$25</f>
        <v>0</v>
      </c>
    </row>
    <row r="87" spans="1:11" x14ac:dyDescent="0.2">
      <c r="A87" s="71">
        <v>2</v>
      </c>
      <c r="B87" s="77">
        <v>2</v>
      </c>
      <c r="C87" s="55"/>
      <c r="D87" s="55"/>
      <c r="E87" s="55"/>
      <c r="F87" s="72" t="s">
        <v>94</v>
      </c>
      <c r="G87" s="145">
        <f>+'ENERO 2025'!G87+'FEBRERO 2025'!G87</f>
        <v>1336968.6400000001</v>
      </c>
      <c r="H87" s="145">
        <f>+'ENERO 2025'!H87+'FEBRERO 2025'!H87</f>
        <v>3947227.6400000006</v>
      </c>
      <c r="I87" s="145"/>
      <c r="J87" s="145">
        <f t="shared" si="0"/>
        <v>5284196.2800000012</v>
      </c>
      <c r="K87" s="53">
        <f>J87/$J$25</f>
        <v>3.040337638628739E-2</v>
      </c>
    </row>
    <row r="88" spans="1:11" x14ac:dyDescent="0.2">
      <c r="A88" s="71">
        <v>2</v>
      </c>
      <c r="B88" s="55">
        <v>2</v>
      </c>
      <c r="C88" s="55">
        <v>1</v>
      </c>
      <c r="D88" s="55"/>
      <c r="E88" s="55"/>
      <c r="F88" s="72" t="s">
        <v>95</v>
      </c>
      <c r="G88" s="145">
        <f>+'ENERO 2025'!G88+'FEBRERO 2025'!G88</f>
        <v>0</v>
      </c>
      <c r="H88" s="145">
        <f>+'ENERO 2025'!H88+'FEBRERO 2025'!H88</f>
        <v>610370.73</v>
      </c>
      <c r="I88" s="145"/>
      <c r="J88" s="145">
        <f t="shared" si="0"/>
        <v>610370.73</v>
      </c>
      <c r="K88" s="53"/>
    </row>
    <row r="89" spans="1:11" x14ac:dyDescent="0.2">
      <c r="A89" s="73">
        <v>2</v>
      </c>
      <c r="B89" s="58">
        <v>2</v>
      </c>
      <c r="C89" s="58">
        <v>1</v>
      </c>
      <c r="D89" s="58">
        <v>1</v>
      </c>
      <c r="E89" s="58"/>
      <c r="F89" s="74" t="s">
        <v>96</v>
      </c>
      <c r="G89" s="146">
        <f>+'ENERO 2025'!G89+'FEBRERO 2025'!G89</f>
        <v>0</v>
      </c>
      <c r="H89" s="146">
        <f>+'ENERO 2025'!H89+'FEBRERO 2025'!H89</f>
        <v>0</v>
      </c>
      <c r="I89" s="146"/>
      <c r="J89" s="146">
        <f t="shared" si="0"/>
        <v>0</v>
      </c>
      <c r="K89" s="68"/>
    </row>
    <row r="90" spans="1:11" x14ac:dyDescent="0.2">
      <c r="A90" s="75">
        <v>2</v>
      </c>
      <c r="B90" s="62">
        <v>2</v>
      </c>
      <c r="C90" s="62">
        <v>1</v>
      </c>
      <c r="D90" s="62">
        <v>1</v>
      </c>
      <c r="E90" s="63" t="s">
        <v>35</v>
      </c>
      <c r="F90" s="76" t="s">
        <v>96</v>
      </c>
      <c r="G90" s="147">
        <f>+'ENERO 2025'!G90+'FEBRERO 2025'!G90</f>
        <v>0</v>
      </c>
      <c r="H90" s="147">
        <f>+'ENERO 2025'!H90+'FEBRERO 2025'!H90</f>
        <v>0</v>
      </c>
      <c r="I90" s="147"/>
      <c r="J90" s="147">
        <f t="shared" ref="J90:J153" si="4">+G90+H90</f>
        <v>0</v>
      </c>
      <c r="K90" s="65">
        <f>J90/$J$25</f>
        <v>0</v>
      </c>
    </row>
    <row r="91" spans="1:11" x14ac:dyDescent="0.2">
      <c r="A91" s="73">
        <v>2</v>
      </c>
      <c r="B91" s="58">
        <v>2</v>
      </c>
      <c r="C91" s="58">
        <v>1</v>
      </c>
      <c r="D91" s="58">
        <v>2</v>
      </c>
      <c r="E91" s="58"/>
      <c r="F91" s="74" t="s">
        <v>97</v>
      </c>
      <c r="G91" s="146">
        <f>+'ENERO 2025'!G91+'FEBRERO 2025'!G91</f>
        <v>0</v>
      </c>
      <c r="H91" s="146">
        <f>+'ENERO 2025'!H91+'FEBRERO 2025'!H91</f>
        <v>0</v>
      </c>
      <c r="I91" s="146"/>
      <c r="J91" s="146">
        <f t="shared" si="4"/>
        <v>0</v>
      </c>
      <c r="K91" s="68"/>
    </row>
    <row r="92" spans="1:11" x14ac:dyDescent="0.2">
      <c r="A92" s="75">
        <v>2</v>
      </c>
      <c r="B92" s="62">
        <v>2</v>
      </c>
      <c r="C92" s="62">
        <v>1</v>
      </c>
      <c r="D92" s="62">
        <v>2</v>
      </c>
      <c r="E92" s="63" t="s">
        <v>35</v>
      </c>
      <c r="F92" s="76" t="s">
        <v>97</v>
      </c>
      <c r="G92" s="147">
        <f>+'ENERO 2025'!G92+'FEBRERO 2025'!G92</f>
        <v>0</v>
      </c>
      <c r="H92" s="147">
        <f>+'ENERO 2025'!H92+'FEBRERO 2025'!H92</f>
        <v>0</v>
      </c>
      <c r="I92" s="147"/>
      <c r="J92" s="147">
        <f t="shared" si="4"/>
        <v>0</v>
      </c>
      <c r="K92" s="65">
        <f>J92/$J$25</f>
        <v>0</v>
      </c>
    </row>
    <row r="93" spans="1:11" x14ac:dyDescent="0.2">
      <c r="A93" s="73">
        <v>2</v>
      </c>
      <c r="B93" s="58">
        <v>2</v>
      </c>
      <c r="C93" s="58">
        <v>1</v>
      </c>
      <c r="D93" s="58">
        <v>3</v>
      </c>
      <c r="E93" s="58"/>
      <c r="F93" s="74" t="s">
        <v>98</v>
      </c>
      <c r="G93" s="146">
        <f>+'ENERO 2025'!G93+'FEBRERO 2025'!G93</f>
        <v>0</v>
      </c>
      <c r="H93" s="146">
        <f>+'ENERO 2025'!H93+'FEBRERO 2025'!H93</f>
        <v>560370.73</v>
      </c>
      <c r="I93" s="146"/>
      <c r="J93" s="146">
        <f t="shared" si="4"/>
        <v>560370.73</v>
      </c>
      <c r="K93" s="68"/>
    </row>
    <row r="94" spans="1:11" x14ac:dyDescent="0.2">
      <c r="A94" s="75">
        <v>2</v>
      </c>
      <c r="B94" s="62">
        <v>2</v>
      </c>
      <c r="C94" s="62">
        <v>1</v>
      </c>
      <c r="D94" s="62">
        <v>3</v>
      </c>
      <c r="E94" s="63" t="s">
        <v>35</v>
      </c>
      <c r="F94" s="76" t="s">
        <v>98</v>
      </c>
      <c r="G94" s="147">
        <f>+'ENERO 2025'!G94+'FEBRERO 2025'!G94</f>
        <v>0</v>
      </c>
      <c r="H94" s="147">
        <f>+'ENERO 2025'!H94+'FEBRERO 2025'!H94</f>
        <v>560370.73</v>
      </c>
      <c r="I94" s="147"/>
      <c r="J94" s="147">
        <f t="shared" si="4"/>
        <v>560370.73</v>
      </c>
      <c r="K94" s="65">
        <f>J94/$J$25</f>
        <v>3.2241728575700488E-3</v>
      </c>
    </row>
    <row r="95" spans="1:11" x14ac:dyDescent="0.2">
      <c r="A95" s="73">
        <v>2</v>
      </c>
      <c r="B95" s="58">
        <v>2</v>
      </c>
      <c r="C95" s="58">
        <v>1</v>
      </c>
      <c r="D95" s="58">
        <v>4</v>
      </c>
      <c r="E95" s="58"/>
      <c r="F95" s="74" t="s">
        <v>99</v>
      </c>
      <c r="G95" s="146">
        <f>+'ENERO 2025'!G95+'FEBRERO 2025'!G95</f>
        <v>0</v>
      </c>
      <c r="H95" s="146">
        <f>+'ENERO 2025'!H95+'FEBRERO 2025'!H95</f>
        <v>0</v>
      </c>
      <c r="I95" s="146"/>
      <c r="J95" s="146">
        <f t="shared" si="4"/>
        <v>0</v>
      </c>
      <c r="K95" s="68"/>
    </row>
    <row r="96" spans="1:11" x14ac:dyDescent="0.2">
      <c r="A96" s="75">
        <v>2</v>
      </c>
      <c r="B96" s="62">
        <v>2</v>
      </c>
      <c r="C96" s="62">
        <v>1</v>
      </c>
      <c r="D96" s="62">
        <v>4</v>
      </c>
      <c r="E96" s="63" t="s">
        <v>35</v>
      </c>
      <c r="F96" s="76" t="s">
        <v>99</v>
      </c>
      <c r="G96" s="147">
        <f>+'ENERO 2025'!G96+'FEBRERO 2025'!G96</f>
        <v>0</v>
      </c>
      <c r="H96" s="147">
        <f>+'ENERO 2025'!H96+'FEBRERO 2025'!H96</f>
        <v>0</v>
      </c>
      <c r="I96" s="147"/>
      <c r="J96" s="147">
        <f t="shared" si="4"/>
        <v>0</v>
      </c>
      <c r="K96" s="65">
        <f>J96/$J$25</f>
        <v>0</v>
      </c>
    </row>
    <row r="97" spans="1:11" x14ac:dyDescent="0.2">
      <c r="A97" s="73">
        <v>2</v>
      </c>
      <c r="B97" s="58">
        <v>2</v>
      </c>
      <c r="C97" s="58">
        <v>1</v>
      </c>
      <c r="D97" s="58">
        <v>5</v>
      </c>
      <c r="E97" s="58"/>
      <c r="F97" s="74" t="s">
        <v>100</v>
      </c>
      <c r="G97" s="146">
        <f>+'ENERO 2025'!G97+'FEBRERO 2025'!G97</f>
        <v>0</v>
      </c>
      <c r="H97" s="146">
        <f>+'ENERO 2025'!H97+'FEBRERO 2025'!H97</f>
        <v>0</v>
      </c>
      <c r="I97" s="146"/>
      <c r="J97" s="146">
        <f t="shared" si="4"/>
        <v>0</v>
      </c>
      <c r="K97" s="68"/>
    </row>
    <row r="98" spans="1:11" x14ac:dyDescent="0.2">
      <c r="A98" s="75">
        <v>2</v>
      </c>
      <c r="B98" s="62">
        <v>2</v>
      </c>
      <c r="C98" s="62">
        <v>1</v>
      </c>
      <c r="D98" s="62">
        <v>5</v>
      </c>
      <c r="E98" s="63" t="s">
        <v>35</v>
      </c>
      <c r="F98" s="76" t="s">
        <v>100</v>
      </c>
      <c r="G98" s="147">
        <f>+'ENERO 2025'!G98+'FEBRERO 2025'!G98</f>
        <v>0</v>
      </c>
      <c r="H98" s="147">
        <f>+'ENERO 2025'!H98+'FEBRERO 2025'!H98</f>
        <v>0</v>
      </c>
      <c r="I98" s="147"/>
      <c r="J98" s="147">
        <f t="shared" si="4"/>
        <v>0</v>
      </c>
      <c r="K98" s="65">
        <f>J98/$J$25</f>
        <v>0</v>
      </c>
    </row>
    <row r="99" spans="1:11" x14ac:dyDescent="0.2">
      <c r="A99" s="73">
        <v>2</v>
      </c>
      <c r="B99" s="58">
        <v>2</v>
      </c>
      <c r="C99" s="58">
        <v>1</v>
      </c>
      <c r="D99" s="58">
        <v>6</v>
      </c>
      <c r="E99" s="58"/>
      <c r="F99" s="74" t="s">
        <v>101</v>
      </c>
      <c r="G99" s="146">
        <f>+'ENERO 2025'!G99+'FEBRERO 2025'!G99</f>
        <v>0</v>
      </c>
      <c r="H99" s="146">
        <f>+'ENERO 2025'!H99+'FEBRERO 2025'!H99</f>
        <v>0</v>
      </c>
      <c r="I99" s="146"/>
      <c r="J99" s="146">
        <f t="shared" si="4"/>
        <v>0</v>
      </c>
      <c r="K99" s="68"/>
    </row>
    <row r="100" spans="1:11" x14ac:dyDescent="0.2">
      <c r="A100" s="75">
        <v>2</v>
      </c>
      <c r="B100" s="62">
        <v>2</v>
      </c>
      <c r="C100" s="62">
        <v>1</v>
      </c>
      <c r="D100" s="62">
        <v>6</v>
      </c>
      <c r="E100" s="63" t="s">
        <v>35</v>
      </c>
      <c r="F100" s="76" t="s">
        <v>102</v>
      </c>
      <c r="G100" s="147">
        <f>+'ENERO 2025'!G100+'FEBRERO 2025'!G100</f>
        <v>0</v>
      </c>
      <c r="H100" s="147">
        <f>+'ENERO 2025'!H100+'FEBRERO 2025'!H100</f>
        <v>0</v>
      </c>
      <c r="I100" s="147"/>
      <c r="J100" s="147">
        <f t="shared" si="4"/>
        <v>0</v>
      </c>
      <c r="K100" s="65">
        <f>J100/$J$25</f>
        <v>0</v>
      </c>
    </row>
    <row r="101" spans="1:11" x14ac:dyDescent="0.2">
      <c r="A101" s="75">
        <v>2</v>
      </c>
      <c r="B101" s="62">
        <v>2</v>
      </c>
      <c r="C101" s="62">
        <v>1</v>
      </c>
      <c r="D101" s="62">
        <v>6</v>
      </c>
      <c r="E101" s="63" t="s">
        <v>37</v>
      </c>
      <c r="F101" s="76" t="s">
        <v>103</v>
      </c>
      <c r="G101" s="147">
        <f>+'ENERO 2025'!G101+'FEBRERO 2025'!G101</f>
        <v>0</v>
      </c>
      <c r="H101" s="147">
        <f>+'ENERO 2025'!H101+'FEBRERO 2025'!H101</f>
        <v>0</v>
      </c>
      <c r="I101" s="147"/>
      <c r="J101" s="147">
        <f t="shared" si="4"/>
        <v>0</v>
      </c>
      <c r="K101" s="65">
        <f>J101/$J$25</f>
        <v>0</v>
      </c>
    </row>
    <row r="102" spans="1:11" x14ac:dyDescent="0.2">
      <c r="A102" s="73">
        <v>2</v>
      </c>
      <c r="B102" s="58">
        <v>2</v>
      </c>
      <c r="C102" s="58">
        <v>1</v>
      </c>
      <c r="D102" s="58">
        <v>7</v>
      </c>
      <c r="E102" s="58"/>
      <c r="F102" s="74" t="s">
        <v>104</v>
      </c>
      <c r="G102" s="146">
        <f>+'ENERO 2025'!G102+'FEBRERO 2025'!G102</f>
        <v>0</v>
      </c>
      <c r="H102" s="146">
        <f>+'ENERO 2025'!H102+'FEBRERO 2025'!H102</f>
        <v>0</v>
      </c>
      <c r="I102" s="146"/>
      <c r="J102" s="146">
        <f t="shared" si="4"/>
        <v>0</v>
      </c>
      <c r="K102" s="68"/>
    </row>
    <row r="103" spans="1:11" x14ac:dyDescent="0.2">
      <c r="A103" s="75">
        <v>2</v>
      </c>
      <c r="B103" s="62">
        <v>2</v>
      </c>
      <c r="C103" s="62">
        <v>1</v>
      </c>
      <c r="D103" s="62">
        <v>7</v>
      </c>
      <c r="E103" s="63" t="s">
        <v>35</v>
      </c>
      <c r="F103" s="76" t="s">
        <v>104</v>
      </c>
      <c r="G103" s="147">
        <f>+'ENERO 2025'!G103+'FEBRERO 2025'!G103</f>
        <v>0</v>
      </c>
      <c r="H103" s="147">
        <f>+'ENERO 2025'!H103+'FEBRERO 2025'!H103</f>
        <v>0</v>
      </c>
      <c r="I103" s="147"/>
      <c r="J103" s="147">
        <f t="shared" si="4"/>
        <v>0</v>
      </c>
      <c r="K103" s="65">
        <f>J103/$J$25</f>
        <v>0</v>
      </c>
    </row>
    <row r="104" spans="1:11" x14ac:dyDescent="0.2">
      <c r="A104" s="73">
        <v>2</v>
      </c>
      <c r="B104" s="58">
        <v>2</v>
      </c>
      <c r="C104" s="58">
        <v>1</v>
      </c>
      <c r="D104" s="58">
        <v>8</v>
      </c>
      <c r="E104" s="58"/>
      <c r="F104" s="74" t="s">
        <v>105</v>
      </c>
      <c r="G104" s="146">
        <f>+'ENERO 2025'!G104+'FEBRERO 2025'!G104</f>
        <v>0</v>
      </c>
      <c r="H104" s="146">
        <f>+'ENERO 2025'!H104+'FEBRERO 2025'!H104</f>
        <v>50000</v>
      </c>
      <c r="I104" s="146"/>
      <c r="J104" s="146">
        <f t="shared" si="4"/>
        <v>50000</v>
      </c>
      <c r="K104" s="68"/>
    </row>
    <row r="105" spans="1:11" x14ac:dyDescent="0.2">
      <c r="A105" s="75">
        <v>2</v>
      </c>
      <c r="B105" s="62">
        <v>2</v>
      </c>
      <c r="C105" s="62">
        <v>1</v>
      </c>
      <c r="D105" s="62">
        <v>8</v>
      </c>
      <c r="E105" s="63" t="s">
        <v>35</v>
      </c>
      <c r="F105" s="76" t="s">
        <v>105</v>
      </c>
      <c r="G105" s="147">
        <f>+'ENERO 2025'!G105+'FEBRERO 2025'!G105</f>
        <v>0</v>
      </c>
      <c r="H105" s="147">
        <f>+'ENERO 2025'!H105+'FEBRERO 2025'!H105</f>
        <v>50000</v>
      </c>
      <c r="I105" s="147"/>
      <c r="J105" s="147">
        <f t="shared" si="4"/>
        <v>50000</v>
      </c>
      <c r="K105" s="65">
        <f>J105/$J$25</f>
        <v>2.8768212586425141E-4</v>
      </c>
    </row>
    <row r="106" spans="1:11" x14ac:dyDescent="0.2">
      <c r="A106" s="71">
        <v>2</v>
      </c>
      <c r="B106" s="55">
        <v>2</v>
      </c>
      <c r="C106" s="55">
        <v>2</v>
      </c>
      <c r="D106" s="55"/>
      <c r="E106" s="55"/>
      <c r="F106" s="72" t="s">
        <v>106</v>
      </c>
      <c r="G106" s="145">
        <f>+'ENERO 2025'!G106+'FEBRERO 2025'!G106</f>
        <v>324206.83</v>
      </c>
      <c r="H106" s="145">
        <f>+'ENERO 2025'!H106+'FEBRERO 2025'!H106</f>
        <v>0</v>
      </c>
      <c r="I106" s="145"/>
      <c r="J106" s="145">
        <f t="shared" si="4"/>
        <v>324206.83</v>
      </c>
      <c r="K106" s="53"/>
    </row>
    <row r="107" spans="1:11" x14ac:dyDescent="0.2">
      <c r="A107" s="73">
        <v>2</v>
      </c>
      <c r="B107" s="58">
        <v>2</v>
      </c>
      <c r="C107" s="58">
        <v>2</v>
      </c>
      <c r="D107" s="58">
        <v>1</v>
      </c>
      <c r="E107" s="58"/>
      <c r="F107" s="74" t="s">
        <v>107</v>
      </c>
      <c r="G107" s="146">
        <f>+'ENERO 2025'!G107+'FEBRERO 2025'!G107</f>
        <v>0</v>
      </c>
      <c r="H107" s="146">
        <f>+'ENERO 2025'!H107+'FEBRERO 2025'!H107</f>
        <v>0</v>
      </c>
      <c r="I107" s="146"/>
      <c r="J107" s="146">
        <f t="shared" si="4"/>
        <v>0</v>
      </c>
      <c r="K107" s="68"/>
    </row>
    <row r="108" spans="1:11" x14ac:dyDescent="0.2">
      <c r="A108" s="75">
        <v>2</v>
      </c>
      <c r="B108" s="62">
        <v>2</v>
      </c>
      <c r="C108" s="62">
        <v>2</v>
      </c>
      <c r="D108" s="62">
        <v>1</v>
      </c>
      <c r="E108" s="63" t="s">
        <v>35</v>
      </c>
      <c r="F108" s="76" t="s">
        <v>107</v>
      </c>
      <c r="G108" s="147">
        <f>+'ENERO 2025'!G108+'FEBRERO 2025'!G108</f>
        <v>0</v>
      </c>
      <c r="H108" s="147">
        <f>+'ENERO 2025'!H108+'FEBRERO 2025'!H108</f>
        <v>0</v>
      </c>
      <c r="I108" s="147"/>
      <c r="J108" s="147">
        <f t="shared" si="4"/>
        <v>0</v>
      </c>
      <c r="K108" s="65">
        <f>J108/$J$25</f>
        <v>0</v>
      </c>
    </row>
    <row r="109" spans="1:11" x14ac:dyDescent="0.2">
      <c r="A109" s="73">
        <v>2</v>
      </c>
      <c r="B109" s="58">
        <v>2</v>
      </c>
      <c r="C109" s="58">
        <v>2</v>
      </c>
      <c r="D109" s="58">
        <v>2</v>
      </c>
      <c r="E109" s="58"/>
      <c r="F109" s="74" t="s">
        <v>108</v>
      </c>
      <c r="G109" s="146">
        <f>+'ENERO 2025'!G109+'FEBRERO 2025'!G109</f>
        <v>324206.83</v>
      </c>
      <c r="H109" s="146">
        <f>+'ENERO 2025'!H109+'FEBRERO 2025'!H109</f>
        <v>0</v>
      </c>
      <c r="I109" s="146"/>
      <c r="J109" s="146">
        <f t="shared" si="4"/>
        <v>324206.83</v>
      </c>
      <c r="K109" s="68"/>
    </row>
    <row r="110" spans="1:11" x14ac:dyDescent="0.2">
      <c r="A110" s="75">
        <v>2</v>
      </c>
      <c r="B110" s="62">
        <v>2</v>
      </c>
      <c r="C110" s="62">
        <v>2</v>
      </c>
      <c r="D110" s="62">
        <v>2</v>
      </c>
      <c r="E110" s="63" t="s">
        <v>35</v>
      </c>
      <c r="F110" s="76" t="s">
        <v>108</v>
      </c>
      <c r="G110" s="147">
        <f>+'ENERO 2025'!G110+'FEBRERO 2025'!G110</f>
        <v>324206.83</v>
      </c>
      <c r="H110" s="147">
        <f>+'ENERO 2025'!H110+'FEBRERO 2025'!H110</f>
        <v>0</v>
      </c>
      <c r="I110" s="147"/>
      <c r="J110" s="147">
        <f t="shared" si="4"/>
        <v>324206.83</v>
      </c>
      <c r="K110" s="65">
        <f>J110/$J$25</f>
        <v>1.8653702014821993E-3</v>
      </c>
    </row>
    <row r="111" spans="1:11" x14ac:dyDescent="0.2">
      <c r="A111" s="71">
        <v>2</v>
      </c>
      <c r="B111" s="55">
        <v>2</v>
      </c>
      <c r="C111" s="55">
        <v>3</v>
      </c>
      <c r="D111" s="55"/>
      <c r="E111" s="55"/>
      <c r="F111" s="72" t="s">
        <v>109</v>
      </c>
      <c r="G111" s="145">
        <f>+'ENERO 2025'!G111+'FEBRERO 2025'!G111</f>
        <v>0</v>
      </c>
      <c r="H111" s="145">
        <f>+'ENERO 2025'!H111+'FEBRERO 2025'!H111</f>
        <v>0</v>
      </c>
      <c r="I111" s="145"/>
      <c r="J111" s="145">
        <f t="shared" si="4"/>
        <v>0</v>
      </c>
      <c r="K111" s="53"/>
    </row>
    <row r="112" spans="1:11" x14ac:dyDescent="0.2">
      <c r="A112" s="73">
        <v>2</v>
      </c>
      <c r="B112" s="58">
        <v>2</v>
      </c>
      <c r="C112" s="58">
        <v>3</v>
      </c>
      <c r="D112" s="58">
        <v>1</v>
      </c>
      <c r="E112" s="58"/>
      <c r="F112" s="74" t="s">
        <v>110</v>
      </c>
      <c r="G112" s="146">
        <f>+'ENERO 2025'!G112+'FEBRERO 2025'!G112</f>
        <v>0</v>
      </c>
      <c r="H112" s="146">
        <f>+'ENERO 2025'!H112+'FEBRERO 2025'!H112</f>
        <v>0</v>
      </c>
      <c r="I112" s="146"/>
      <c r="J112" s="146">
        <f t="shared" si="4"/>
        <v>0</v>
      </c>
      <c r="K112" s="68"/>
    </row>
    <row r="113" spans="1:11" x14ac:dyDescent="0.2">
      <c r="A113" s="75">
        <v>2</v>
      </c>
      <c r="B113" s="62">
        <v>2</v>
      </c>
      <c r="C113" s="62">
        <v>3</v>
      </c>
      <c r="D113" s="62">
        <v>1</v>
      </c>
      <c r="E113" s="63" t="s">
        <v>35</v>
      </c>
      <c r="F113" s="76" t="s">
        <v>110</v>
      </c>
      <c r="G113" s="147">
        <f>+'ENERO 2025'!G113+'FEBRERO 2025'!G113</f>
        <v>0</v>
      </c>
      <c r="H113" s="147">
        <f>+'ENERO 2025'!H113+'FEBRERO 2025'!H113</f>
        <v>0</v>
      </c>
      <c r="I113" s="147"/>
      <c r="J113" s="147">
        <f t="shared" si="4"/>
        <v>0</v>
      </c>
      <c r="K113" s="65">
        <f>J113/$J$25</f>
        <v>0</v>
      </c>
    </row>
    <row r="114" spans="1:11" x14ac:dyDescent="0.2">
      <c r="A114" s="73">
        <v>2</v>
      </c>
      <c r="B114" s="58">
        <v>2</v>
      </c>
      <c r="C114" s="58">
        <v>3</v>
      </c>
      <c r="D114" s="58">
        <v>2</v>
      </c>
      <c r="E114" s="58"/>
      <c r="F114" s="74" t="s">
        <v>111</v>
      </c>
      <c r="G114" s="146">
        <f>+'ENERO 2025'!G114+'FEBRERO 2025'!G114</f>
        <v>0</v>
      </c>
      <c r="H114" s="146">
        <f>+'ENERO 2025'!H114+'FEBRERO 2025'!H114</f>
        <v>0</v>
      </c>
      <c r="I114" s="146"/>
      <c r="J114" s="146">
        <f t="shared" si="4"/>
        <v>0</v>
      </c>
      <c r="K114" s="68"/>
    </row>
    <row r="115" spans="1:11" x14ac:dyDescent="0.2">
      <c r="A115" s="75">
        <v>2</v>
      </c>
      <c r="B115" s="62">
        <v>2</v>
      </c>
      <c r="C115" s="62">
        <v>3</v>
      </c>
      <c r="D115" s="62">
        <v>2</v>
      </c>
      <c r="E115" s="63" t="s">
        <v>35</v>
      </c>
      <c r="F115" s="76" t="s">
        <v>111</v>
      </c>
      <c r="G115" s="147">
        <f>+'ENERO 2025'!G115+'FEBRERO 2025'!G115</f>
        <v>0</v>
      </c>
      <c r="H115" s="147">
        <f>+'ENERO 2025'!H115+'FEBRERO 2025'!H115</f>
        <v>0</v>
      </c>
      <c r="I115" s="147"/>
      <c r="J115" s="147">
        <f t="shared" si="4"/>
        <v>0</v>
      </c>
      <c r="K115" s="65">
        <f>J115/$J$25</f>
        <v>0</v>
      </c>
    </row>
    <row r="116" spans="1:11" x14ac:dyDescent="0.2">
      <c r="A116" s="71">
        <v>2</v>
      </c>
      <c r="B116" s="55">
        <v>2</v>
      </c>
      <c r="C116" s="55">
        <v>4</v>
      </c>
      <c r="D116" s="55"/>
      <c r="E116" s="55"/>
      <c r="F116" s="72" t="s">
        <v>112</v>
      </c>
      <c r="G116" s="145">
        <f>+'ENERO 2025'!G116+'FEBRERO 2025'!G116</f>
        <v>0</v>
      </c>
      <c r="H116" s="145">
        <f>+'ENERO 2025'!H116+'FEBRERO 2025'!H116</f>
        <v>24000</v>
      </c>
      <c r="I116" s="145"/>
      <c r="J116" s="145">
        <f t="shared" si="4"/>
        <v>24000</v>
      </c>
      <c r="K116" s="53"/>
    </row>
    <row r="117" spans="1:11" x14ac:dyDescent="0.2">
      <c r="A117" s="73">
        <v>2</v>
      </c>
      <c r="B117" s="58">
        <v>2</v>
      </c>
      <c r="C117" s="58">
        <v>4</v>
      </c>
      <c r="D117" s="58">
        <v>1</v>
      </c>
      <c r="E117" s="58"/>
      <c r="F117" s="74" t="s">
        <v>113</v>
      </c>
      <c r="G117" s="146">
        <f>+'ENERO 2025'!G117+'FEBRERO 2025'!G117</f>
        <v>0</v>
      </c>
      <c r="H117" s="146">
        <f>+'ENERO 2025'!H117+'FEBRERO 2025'!H117</f>
        <v>0</v>
      </c>
      <c r="I117" s="146"/>
      <c r="J117" s="146">
        <f t="shared" si="4"/>
        <v>0</v>
      </c>
      <c r="K117" s="68"/>
    </row>
    <row r="118" spans="1:11" x14ac:dyDescent="0.2">
      <c r="A118" s="75">
        <v>2</v>
      </c>
      <c r="B118" s="62">
        <v>2</v>
      </c>
      <c r="C118" s="62">
        <v>4</v>
      </c>
      <c r="D118" s="62">
        <v>1</v>
      </c>
      <c r="E118" s="63" t="s">
        <v>35</v>
      </c>
      <c r="F118" s="76" t="s">
        <v>113</v>
      </c>
      <c r="G118" s="147">
        <f>+'ENERO 2025'!G118+'FEBRERO 2025'!G118</f>
        <v>0</v>
      </c>
      <c r="H118" s="147">
        <f>+'ENERO 2025'!H118+'FEBRERO 2025'!H118</f>
        <v>0</v>
      </c>
      <c r="I118" s="147"/>
      <c r="J118" s="147">
        <f t="shared" si="4"/>
        <v>0</v>
      </c>
      <c r="K118" s="65">
        <f>J118/$J$25</f>
        <v>0</v>
      </c>
    </row>
    <row r="119" spans="1:11" x14ac:dyDescent="0.2">
      <c r="A119" s="73">
        <v>2</v>
      </c>
      <c r="B119" s="58">
        <v>2</v>
      </c>
      <c r="C119" s="58">
        <v>4</v>
      </c>
      <c r="D119" s="58">
        <v>2</v>
      </c>
      <c r="E119" s="58"/>
      <c r="F119" s="74" t="s">
        <v>114</v>
      </c>
      <c r="G119" s="146">
        <f>+'ENERO 2025'!G119+'FEBRERO 2025'!G119</f>
        <v>0</v>
      </c>
      <c r="H119" s="146">
        <f>+'ENERO 2025'!H119+'FEBRERO 2025'!H119</f>
        <v>24000</v>
      </c>
      <c r="I119" s="146"/>
      <c r="J119" s="146">
        <f t="shared" si="4"/>
        <v>24000</v>
      </c>
      <c r="K119" s="68"/>
    </row>
    <row r="120" spans="1:11" x14ac:dyDescent="0.2">
      <c r="A120" s="75">
        <v>2</v>
      </c>
      <c r="B120" s="62">
        <v>2</v>
      </c>
      <c r="C120" s="62">
        <v>4</v>
      </c>
      <c r="D120" s="62">
        <v>2</v>
      </c>
      <c r="E120" s="63" t="s">
        <v>35</v>
      </c>
      <c r="F120" s="76" t="s">
        <v>114</v>
      </c>
      <c r="G120" s="147">
        <f>+'ENERO 2025'!G120+'FEBRERO 2025'!G120</f>
        <v>0</v>
      </c>
      <c r="H120" s="147">
        <f>+'ENERO 2025'!H120+'FEBRERO 2025'!H120</f>
        <v>24000</v>
      </c>
      <c r="I120" s="147"/>
      <c r="J120" s="147">
        <f t="shared" si="4"/>
        <v>24000</v>
      </c>
      <c r="K120" s="65">
        <f>J120/$J$25</f>
        <v>1.3808742041484067E-4</v>
      </c>
    </row>
    <row r="121" spans="1:11" x14ac:dyDescent="0.2">
      <c r="A121" s="73">
        <v>2</v>
      </c>
      <c r="B121" s="58">
        <v>2</v>
      </c>
      <c r="C121" s="58">
        <v>4</v>
      </c>
      <c r="D121" s="58">
        <v>3</v>
      </c>
      <c r="E121" s="58"/>
      <c r="F121" s="74" t="s">
        <v>115</v>
      </c>
      <c r="G121" s="146">
        <f>+'ENERO 2025'!G121+'FEBRERO 2025'!G121</f>
        <v>0</v>
      </c>
      <c r="H121" s="146">
        <f>+'ENERO 2025'!H121+'FEBRERO 2025'!H121</f>
        <v>0</v>
      </c>
      <c r="I121" s="146"/>
      <c r="J121" s="146">
        <f t="shared" si="4"/>
        <v>0</v>
      </c>
      <c r="K121" s="68"/>
    </row>
    <row r="122" spans="1:11" x14ac:dyDescent="0.2">
      <c r="A122" s="75">
        <v>2</v>
      </c>
      <c r="B122" s="62">
        <v>2</v>
      </c>
      <c r="C122" s="62">
        <v>4</v>
      </c>
      <c r="D122" s="62">
        <v>3</v>
      </c>
      <c r="E122" s="63" t="s">
        <v>35</v>
      </c>
      <c r="F122" s="76" t="s">
        <v>115</v>
      </c>
      <c r="G122" s="147">
        <f>+'ENERO 2025'!G122+'FEBRERO 2025'!G122</f>
        <v>0</v>
      </c>
      <c r="H122" s="147">
        <f>+'ENERO 2025'!H122+'FEBRERO 2025'!H122</f>
        <v>0</v>
      </c>
      <c r="I122" s="147"/>
      <c r="J122" s="147">
        <f t="shared" si="4"/>
        <v>0</v>
      </c>
      <c r="K122" s="65">
        <f>J122/$J$25</f>
        <v>0</v>
      </c>
    </row>
    <row r="123" spans="1:11" x14ac:dyDescent="0.2">
      <c r="A123" s="73">
        <v>2</v>
      </c>
      <c r="B123" s="58">
        <v>2</v>
      </c>
      <c r="C123" s="58">
        <v>4</v>
      </c>
      <c r="D123" s="58">
        <v>4</v>
      </c>
      <c r="E123" s="58"/>
      <c r="F123" s="74" t="s">
        <v>116</v>
      </c>
      <c r="G123" s="146">
        <f>+'ENERO 2025'!G123+'FEBRERO 2025'!G123</f>
        <v>0</v>
      </c>
      <c r="H123" s="146">
        <f>+'ENERO 2025'!H123+'FEBRERO 2025'!H123</f>
        <v>0</v>
      </c>
      <c r="I123" s="146"/>
      <c r="J123" s="146">
        <f t="shared" si="4"/>
        <v>0</v>
      </c>
      <c r="K123" s="68"/>
    </row>
    <row r="124" spans="1:11" x14ac:dyDescent="0.2">
      <c r="A124" s="75">
        <v>2</v>
      </c>
      <c r="B124" s="62">
        <v>2</v>
      </c>
      <c r="C124" s="62">
        <v>4</v>
      </c>
      <c r="D124" s="62">
        <v>4</v>
      </c>
      <c r="E124" s="63" t="s">
        <v>35</v>
      </c>
      <c r="F124" s="76" t="s">
        <v>116</v>
      </c>
      <c r="G124" s="147">
        <f>+'ENERO 2025'!G124+'FEBRERO 2025'!G124</f>
        <v>0</v>
      </c>
      <c r="H124" s="147">
        <f>+'ENERO 2025'!H124+'FEBRERO 2025'!H124</f>
        <v>0</v>
      </c>
      <c r="I124" s="147"/>
      <c r="J124" s="147">
        <f t="shared" si="4"/>
        <v>0</v>
      </c>
      <c r="K124" s="65">
        <f>J124/$J$25</f>
        <v>0</v>
      </c>
    </row>
    <row r="125" spans="1:11" x14ac:dyDescent="0.2">
      <c r="A125" s="54">
        <v>2</v>
      </c>
      <c r="B125" s="55">
        <v>2</v>
      </c>
      <c r="C125" s="55">
        <v>5</v>
      </c>
      <c r="D125" s="55"/>
      <c r="E125" s="55"/>
      <c r="F125" s="72" t="s">
        <v>117</v>
      </c>
      <c r="G125" s="145">
        <f>+'ENERO 2025'!G125+'FEBRERO 2025'!G125</f>
        <v>0</v>
      </c>
      <c r="H125" s="145">
        <f>+'ENERO 2025'!H125+'FEBRERO 2025'!H125</f>
        <v>519625.16000000003</v>
      </c>
      <c r="I125" s="145"/>
      <c r="J125" s="145">
        <f t="shared" si="4"/>
        <v>519625.16000000003</v>
      </c>
      <c r="K125" s="53"/>
    </row>
    <row r="126" spans="1:11" x14ac:dyDescent="0.2">
      <c r="A126" s="73">
        <v>2</v>
      </c>
      <c r="B126" s="58">
        <v>2</v>
      </c>
      <c r="C126" s="58">
        <v>5</v>
      </c>
      <c r="D126" s="58">
        <v>1</v>
      </c>
      <c r="E126" s="78"/>
      <c r="F126" s="74" t="s">
        <v>118</v>
      </c>
      <c r="G126" s="146">
        <f>+'ENERO 2025'!G126+'FEBRERO 2025'!G126</f>
        <v>0</v>
      </c>
      <c r="H126" s="146">
        <f>+'ENERO 2025'!H126+'FEBRERO 2025'!H126</f>
        <v>0</v>
      </c>
      <c r="I126" s="146"/>
      <c r="J126" s="146">
        <f t="shared" si="4"/>
        <v>0</v>
      </c>
      <c r="K126" s="68"/>
    </row>
    <row r="127" spans="1:11" x14ac:dyDescent="0.2">
      <c r="A127" s="75">
        <v>2</v>
      </c>
      <c r="B127" s="62">
        <v>2</v>
      </c>
      <c r="C127" s="62">
        <v>5</v>
      </c>
      <c r="D127" s="62">
        <v>1</v>
      </c>
      <c r="E127" s="63" t="s">
        <v>35</v>
      </c>
      <c r="F127" s="76" t="s">
        <v>118</v>
      </c>
      <c r="G127" s="147">
        <f>+'ENERO 2025'!G127+'FEBRERO 2025'!G127</f>
        <v>0</v>
      </c>
      <c r="H127" s="147">
        <f>+'ENERO 2025'!H127+'FEBRERO 2025'!H127</f>
        <v>0</v>
      </c>
      <c r="I127" s="147"/>
      <c r="J127" s="147">
        <f t="shared" si="4"/>
        <v>0</v>
      </c>
      <c r="K127" s="65">
        <f>J127/$J$25</f>
        <v>0</v>
      </c>
    </row>
    <row r="128" spans="1:11" x14ac:dyDescent="0.2">
      <c r="A128" s="73">
        <v>2</v>
      </c>
      <c r="B128" s="58">
        <v>2</v>
      </c>
      <c r="C128" s="58">
        <v>5</v>
      </c>
      <c r="D128" s="58">
        <v>2</v>
      </c>
      <c r="E128" s="78"/>
      <c r="F128" s="74" t="s">
        <v>119</v>
      </c>
      <c r="G128" s="146">
        <f>+'ENERO 2025'!G128+'FEBRERO 2025'!G128</f>
        <v>0</v>
      </c>
      <c r="H128" s="146">
        <f>+'ENERO 2025'!H128+'FEBRERO 2025'!H128</f>
        <v>0</v>
      </c>
      <c r="I128" s="146"/>
      <c r="J128" s="146">
        <f t="shared" si="4"/>
        <v>0</v>
      </c>
      <c r="K128" s="68"/>
    </row>
    <row r="129" spans="1:11" x14ac:dyDescent="0.2">
      <c r="A129" s="75">
        <v>2</v>
      </c>
      <c r="B129" s="62">
        <v>2</v>
      </c>
      <c r="C129" s="62">
        <v>5</v>
      </c>
      <c r="D129" s="62">
        <v>2</v>
      </c>
      <c r="E129" s="63" t="s">
        <v>35</v>
      </c>
      <c r="F129" s="76" t="s">
        <v>120</v>
      </c>
      <c r="G129" s="147">
        <f>+'ENERO 2025'!G129+'FEBRERO 2025'!G129</f>
        <v>0</v>
      </c>
      <c r="H129" s="147">
        <f>+'ENERO 2025'!H129+'FEBRERO 2025'!H129</f>
        <v>0</v>
      </c>
      <c r="I129" s="147"/>
      <c r="J129" s="147">
        <f t="shared" si="4"/>
        <v>0</v>
      </c>
      <c r="K129" s="65">
        <f>J129/$J$25</f>
        <v>0</v>
      </c>
    </row>
    <row r="130" spans="1:11" x14ac:dyDescent="0.2">
      <c r="A130" s="73">
        <v>2</v>
      </c>
      <c r="B130" s="58">
        <v>2</v>
      </c>
      <c r="C130" s="58">
        <v>5</v>
      </c>
      <c r="D130" s="58">
        <v>3</v>
      </c>
      <c r="E130" s="78"/>
      <c r="F130" s="74" t="s">
        <v>121</v>
      </c>
      <c r="G130" s="146">
        <f>+'ENERO 2025'!G130+'FEBRERO 2025'!G130</f>
        <v>0</v>
      </c>
      <c r="H130" s="146">
        <f>+'ENERO 2025'!H130+'FEBRERO 2025'!H130</f>
        <v>519625.16000000003</v>
      </c>
      <c r="I130" s="146"/>
      <c r="J130" s="146">
        <f t="shared" si="4"/>
        <v>519625.16000000003</v>
      </c>
      <c r="K130" s="68"/>
    </row>
    <row r="131" spans="1:11" x14ac:dyDescent="0.2">
      <c r="A131" s="75">
        <v>2</v>
      </c>
      <c r="B131" s="62">
        <v>2</v>
      </c>
      <c r="C131" s="62">
        <v>5</v>
      </c>
      <c r="D131" s="62">
        <v>3</v>
      </c>
      <c r="E131" s="63" t="s">
        <v>35</v>
      </c>
      <c r="F131" s="76" t="s">
        <v>122</v>
      </c>
      <c r="G131" s="147">
        <f>+'ENERO 2025'!G131+'FEBRERO 2025'!G131</f>
        <v>0</v>
      </c>
      <c r="H131" s="147">
        <f>+'ENERO 2025'!H131+'FEBRERO 2025'!H131</f>
        <v>0</v>
      </c>
      <c r="I131" s="147"/>
      <c r="J131" s="147">
        <f t="shared" si="4"/>
        <v>0</v>
      </c>
      <c r="K131" s="65">
        <f>J131/$J$25</f>
        <v>0</v>
      </c>
    </row>
    <row r="132" spans="1:11" x14ac:dyDescent="0.2">
      <c r="A132" s="75">
        <v>2</v>
      </c>
      <c r="B132" s="62">
        <v>2</v>
      </c>
      <c r="C132" s="62">
        <v>5</v>
      </c>
      <c r="D132" s="62">
        <v>3</v>
      </c>
      <c r="E132" s="63" t="s">
        <v>37</v>
      </c>
      <c r="F132" s="76" t="s">
        <v>123</v>
      </c>
      <c r="G132" s="147">
        <f>+'ENERO 2025'!G132+'FEBRERO 2025'!G132</f>
        <v>0</v>
      </c>
      <c r="H132" s="147">
        <f>+'ENERO 2025'!H132+'FEBRERO 2025'!H132</f>
        <v>519625.16000000003</v>
      </c>
      <c r="I132" s="147"/>
      <c r="J132" s="147">
        <f t="shared" si="4"/>
        <v>519625.16000000003</v>
      </c>
      <c r="K132" s="65">
        <f>J132/$J$25</f>
        <v>2.989737413627036E-3</v>
      </c>
    </row>
    <row r="133" spans="1:11" x14ac:dyDescent="0.2">
      <c r="A133" s="75">
        <v>2</v>
      </c>
      <c r="B133" s="62">
        <v>2</v>
      </c>
      <c r="C133" s="62">
        <v>5</v>
      </c>
      <c r="D133" s="62">
        <v>3</v>
      </c>
      <c r="E133" s="63" t="s">
        <v>39</v>
      </c>
      <c r="F133" s="76" t="s">
        <v>124</v>
      </c>
      <c r="G133" s="147">
        <f>+'ENERO 2025'!G133+'FEBRERO 2025'!G133</f>
        <v>0</v>
      </c>
      <c r="H133" s="147">
        <f>+'ENERO 2025'!H133+'FEBRERO 2025'!H133</f>
        <v>0</v>
      </c>
      <c r="I133" s="147"/>
      <c r="J133" s="147">
        <f t="shared" si="4"/>
        <v>0</v>
      </c>
      <c r="K133" s="65">
        <f>J133/$J$25</f>
        <v>0</v>
      </c>
    </row>
    <row r="134" spans="1:11" x14ac:dyDescent="0.2">
      <c r="A134" s="75">
        <v>2</v>
      </c>
      <c r="B134" s="62">
        <v>2</v>
      </c>
      <c r="C134" s="62">
        <v>5</v>
      </c>
      <c r="D134" s="62">
        <v>3</v>
      </c>
      <c r="E134" s="63" t="s">
        <v>41</v>
      </c>
      <c r="F134" s="76" t="s">
        <v>125</v>
      </c>
      <c r="G134" s="147">
        <f>+'ENERO 2025'!G134+'FEBRERO 2025'!G134</f>
        <v>0</v>
      </c>
      <c r="H134" s="147">
        <f>+'ENERO 2025'!H134+'FEBRERO 2025'!H134</f>
        <v>0</v>
      </c>
      <c r="I134" s="147"/>
      <c r="J134" s="147">
        <f t="shared" si="4"/>
        <v>0</v>
      </c>
      <c r="K134" s="65">
        <f>J134/$J$25</f>
        <v>0</v>
      </c>
    </row>
    <row r="135" spans="1:11" x14ac:dyDescent="0.2">
      <c r="A135" s="75">
        <v>2</v>
      </c>
      <c r="B135" s="62">
        <v>2</v>
      </c>
      <c r="C135" s="62">
        <v>5</v>
      </c>
      <c r="D135" s="62">
        <v>3</v>
      </c>
      <c r="E135" s="63" t="s">
        <v>43</v>
      </c>
      <c r="F135" s="76" t="s">
        <v>126</v>
      </c>
      <c r="G135" s="147">
        <f>+'ENERO 2025'!G135+'FEBRERO 2025'!G135</f>
        <v>0</v>
      </c>
      <c r="H135" s="147">
        <f>+'ENERO 2025'!H135+'FEBRERO 2025'!H135</f>
        <v>0</v>
      </c>
      <c r="I135" s="147"/>
      <c r="J135" s="147">
        <f t="shared" si="4"/>
        <v>0</v>
      </c>
      <c r="K135" s="65">
        <f>J135/$J$25</f>
        <v>0</v>
      </c>
    </row>
    <row r="136" spans="1:11" x14ac:dyDescent="0.2">
      <c r="A136" s="73">
        <v>2</v>
      </c>
      <c r="B136" s="58">
        <v>2</v>
      </c>
      <c r="C136" s="58">
        <v>5</v>
      </c>
      <c r="D136" s="58">
        <v>4</v>
      </c>
      <c r="E136" s="78"/>
      <c r="F136" s="74" t="s">
        <v>127</v>
      </c>
      <c r="G136" s="146">
        <f>+'ENERO 2025'!G136+'FEBRERO 2025'!G136</f>
        <v>0</v>
      </c>
      <c r="H136" s="146">
        <f>+'ENERO 2025'!H136+'FEBRERO 2025'!H136</f>
        <v>0</v>
      </c>
      <c r="I136" s="146"/>
      <c r="J136" s="146">
        <f t="shared" si="4"/>
        <v>0</v>
      </c>
      <c r="K136" s="68"/>
    </row>
    <row r="137" spans="1:11" x14ac:dyDescent="0.2">
      <c r="A137" s="75">
        <v>2</v>
      </c>
      <c r="B137" s="62">
        <v>2</v>
      </c>
      <c r="C137" s="62">
        <v>5</v>
      </c>
      <c r="D137" s="62">
        <v>4</v>
      </c>
      <c r="E137" s="63" t="s">
        <v>35</v>
      </c>
      <c r="F137" s="76" t="s">
        <v>127</v>
      </c>
      <c r="G137" s="147">
        <f>+'ENERO 2025'!G137+'FEBRERO 2025'!G137</f>
        <v>0</v>
      </c>
      <c r="H137" s="147">
        <f>+'ENERO 2025'!H137+'FEBRERO 2025'!H137</f>
        <v>0</v>
      </c>
      <c r="I137" s="147"/>
      <c r="J137" s="147">
        <f t="shared" si="4"/>
        <v>0</v>
      </c>
      <c r="K137" s="65">
        <f>J137/$J$25</f>
        <v>0</v>
      </c>
    </row>
    <row r="138" spans="1:11" x14ac:dyDescent="0.2">
      <c r="A138" s="73">
        <v>2</v>
      </c>
      <c r="B138" s="58">
        <v>2</v>
      </c>
      <c r="C138" s="58">
        <v>5</v>
      </c>
      <c r="D138" s="58">
        <v>5</v>
      </c>
      <c r="E138" s="78"/>
      <c r="F138" s="74" t="s">
        <v>128</v>
      </c>
      <c r="G138" s="146">
        <f>+'ENERO 2025'!G138+'FEBRERO 2025'!G138</f>
        <v>0</v>
      </c>
      <c r="H138" s="146">
        <f>+'ENERO 2025'!H138+'FEBRERO 2025'!H138</f>
        <v>0</v>
      </c>
      <c r="I138" s="146"/>
      <c r="J138" s="146">
        <f t="shared" si="4"/>
        <v>0</v>
      </c>
      <c r="K138" s="68"/>
    </row>
    <row r="139" spans="1:11" x14ac:dyDescent="0.2">
      <c r="A139" s="75">
        <v>2</v>
      </c>
      <c r="B139" s="62">
        <v>2</v>
      </c>
      <c r="C139" s="62">
        <v>5</v>
      </c>
      <c r="D139" s="62">
        <v>5</v>
      </c>
      <c r="E139" s="63" t="s">
        <v>35</v>
      </c>
      <c r="F139" s="76" t="s">
        <v>128</v>
      </c>
      <c r="G139" s="147">
        <f>+'ENERO 2025'!G139+'FEBRERO 2025'!G139</f>
        <v>0</v>
      </c>
      <c r="H139" s="147">
        <f>+'ENERO 2025'!H139+'FEBRERO 2025'!H139</f>
        <v>0</v>
      </c>
      <c r="I139" s="147"/>
      <c r="J139" s="147">
        <f t="shared" si="4"/>
        <v>0</v>
      </c>
      <c r="K139" s="65">
        <f>J139/$J$25</f>
        <v>0</v>
      </c>
    </row>
    <row r="140" spans="1:11" x14ac:dyDescent="0.2">
      <c r="A140" s="73">
        <v>2</v>
      </c>
      <c r="B140" s="58">
        <v>2</v>
      </c>
      <c r="C140" s="58">
        <v>5</v>
      </c>
      <c r="D140" s="58">
        <v>6</v>
      </c>
      <c r="E140" s="78"/>
      <c r="F140" s="74" t="s">
        <v>129</v>
      </c>
      <c r="G140" s="146">
        <f>+'ENERO 2025'!G140+'FEBRERO 2025'!G140</f>
        <v>0</v>
      </c>
      <c r="H140" s="146">
        <f>+'ENERO 2025'!H140+'FEBRERO 2025'!H140</f>
        <v>0</v>
      </c>
      <c r="I140" s="146"/>
      <c r="J140" s="146">
        <f t="shared" si="4"/>
        <v>0</v>
      </c>
      <c r="K140" s="68"/>
    </row>
    <row r="141" spans="1:11" x14ac:dyDescent="0.2">
      <c r="A141" s="75">
        <v>2</v>
      </c>
      <c r="B141" s="62">
        <v>2</v>
      </c>
      <c r="C141" s="62">
        <v>5</v>
      </c>
      <c r="D141" s="62">
        <v>6</v>
      </c>
      <c r="E141" s="63" t="s">
        <v>35</v>
      </c>
      <c r="F141" s="76" t="s">
        <v>129</v>
      </c>
      <c r="G141" s="147">
        <f>+'ENERO 2025'!G141+'FEBRERO 2025'!G141</f>
        <v>0</v>
      </c>
      <c r="H141" s="147">
        <f>+'ENERO 2025'!H141+'FEBRERO 2025'!H141</f>
        <v>0</v>
      </c>
      <c r="I141" s="147"/>
      <c r="J141" s="147">
        <f t="shared" si="4"/>
        <v>0</v>
      </c>
      <c r="K141" s="65">
        <f>J141/$J$25</f>
        <v>0</v>
      </c>
    </row>
    <row r="142" spans="1:11" x14ac:dyDescent="0.2">
      <c r="A142" s="73">
        <v>2</v>
      </c>
      <c r="B142" s="58">
        <v>2</v>
      </c>
      <c r="C142" s="58">
        <v>5</v>
      </c>
      <c r="D142" s="58">
        <v>7</v>
      </c>
      <c r="E142" s="78"/>
      <c r="F142" s="74" t="s">
        <v>130</v>
      </c>
      <c r="G142" s="146">
        <f>+'ENERO 2025'!G142+'FEBRERO 2025'!G142</f>
        <v>0</v>
      </c>
      <c r="H142" s="146">
        <f>+'ENERO 2025'!H142+'FEBRERO 2025'!H142</f>
        <v>0</v>
      </c>
      <c r="I142" s="146"/>
      <c r="J142" s="146">
        <f t="shared" si="4"/>
        <v>0</v>
      </c>
      <c r="K142" s="68"/>
    </row>
    <row r="143" spans="1:11" x14ac:dyDescent="0.2">
      <c r="A143" s="75">
        <v>2</v>
      </c>
      <c r="B143" s="62">
        <v>2</v>
      </c>
      <c r="C143" s="62">
        <v>5</v>
      </c>
      <c r="D143" s="62">
        <v>7</v>
      </c>
      <c r="E143" s="63" t="s">
        <v>35</v>
      </c>
      <c r="F143" s="76" t="s">
        <v>130</v>
      </c>
      <c r="G143" s="147">
        <f>+'ENERO 2025'!G143+'FEBRERO 2025'!G143</f>
        <v>0</v>
      </c>
      <c r="H143" s="147">
        <f>+'ENERO 2025'!H143+'FEBRERO 2025'!H143</f>
        <v>0</v>
      </c>
      <c r="I143" s="147"/>
      <c r="J143" s="147">
        <f t="shared" si="4"/>
        <v>0</v>
      </c>
      <c r="K143" s="65">
        <f>J143/$J$25</f>
        <v>0</v>
      </c>
    </row>
    <row r="144" spans="1:11" x14ac:dyDescent="0.2">
      <c r="A144" s="73">
        <v>2</v>
      </c>
      <c r="B144" s="58">
        <v>2</v>
      </c>
      <c r="C144" s="58">
        <v>5</v>
      </c>
      <c r="D144" s="58">
        <v>8</v>
      </c>
      <c r="E144" s="78"/>
      <c r="F144" s="74" t="s">
        <v>131</v>
      </c>
      <c r="G144" s="146">
        <f>+'ENERO 2025'!G144+'FEBRERO 2025'!G144</f>
        <v>0</v>
      </c>
      <c r="H144" s="146">
        <f>+'ENERO 2025'!H144+'FEBRERO 2025'!H144</f>
        <v>0</v>
      </c>
      <c r="I144" s="146"/>
      <c r="J144" s="146">
        <f t="shared" si="4"/>
        <v>0</v>
      </c>
      <c r="K144" s="68"/>
    </row>
    <row r="145" spans="1:11" x14ac:dyDescent="0.2">
      <c r="A145" s="75">
        <v>2</v>
      </c>
      <c r="B145" s="62">
        <v>2</v>
      </c>
      <c r="C145" s="62">
        <v>5</v>
      </c>
      <c r="D145" s="62">
        <v>8</v>
      </c>
      <c r="E145" s="63" t="s">
        <v>35</v>
      </c>
      <c r="F145" s="76" t="s">
        <v>131</v>
      </c>
      <c r="G145" s="147">
        <f>+'ENERO 2025'!G145+'FEBRERO 2025'!G145</f>
        <v>0</v>
      </c>
      <c r="H145" s="147">
        <f>+'ENERO 2025'!H145+'FEBRERO 2025'!H145</f>
        <v>0</v>
      </c>
      <c r="I145" s="147"/>
      <c r="J145" s="147">
        <f t="shared" si="4"/>
        <v>0</v>
      </c>
      <c r="K145" s="65">
        <f>J145/$J$25</f>
        <v>0</v>
      </c>
    </row>
    <row r="146" spans="1:11" x14ac:dyDescent="0.2">
      <c r="A146" s="73">
        <v>2</v>
      </c>
      <c r="B146" s="58">
        <v>2</v>
      </c>
      <c r="C146" s="58">
        <v>5</v>
      </c>
      <c r="D146" s="58">
        <v>9</v>
      </c>
      <c r="E146" s="78"/>
      <c r="F146" s="74" t="s">
        <v>132</v>
      </c>
      <c r="G146" s="146">
        <f>+'ENERO 2025'!G146+'FEBRERO 2025'!G146</f>
        <v>0</v>
      </c>
      <c r="H146" s="146">
        <f>+'ENERO 2025'!H146+'FEBRERO 2025'!H146</f>
        <v>0</v>
      </c>
      <c r="I146" s="146"/>
      <c r="J146" s="146">
        <f t="shared" si="4"/>
        <v>0</v>
      </c>
      <c r="K146" s="68"/>
    </row>
    <row r="147" spans="1:11" x14ac:dyDescent="0.2">
      <c r="A147" s="75">
        <v>2</v>
      </c>
      <c r="B147" s="62">
        <v>2</v>
      </c>
      <c r="C147" s="62">
        <v>5</v>
      </c>
      <c r="D147" s="62">
        <v>9</v>
      </c>
      <c r="E147" s="63" t="s">
        <v>35</v>
      </c>
      <c r="F147" s="76" t="s">
        <v>133</v>
      </c>
      <c r="G147" s="147">
        <f>+'ENERO 2025'!G147+'FEBRERO 2025'!G147</f>
        <v>0</v>
      </c>
      <c r="H147" s="147">
        <f>+'ENERO 2025'!H147+'FEBRERO 2025'!H147</f>
        <v>0</v>
      </c>
      <c r="I147" s="147"/>
      <c r="J147" s="147">
        <f t="shared" si="4"/>
        <v>0</v>
      </c>
      <c r="K147" s="65">
        <f>J147/$J$25</f>
        <v>0</v>
      </c>
    </row>
    <row r="148" spans="1:11" x14ac:dyDescent="0.2">
      <c r="A148" s="54">
        <v>2</v>
      </c>
      <c r="B148" s="55">
        <v>2</v>
      </c>
      <c r="C148" s="55">
        <v>6</v>
      </c>
      <c r="D148" s="55"/>
      <c r="E148" s="55"/>
      <c r="F148" s="72" t="s">
        <v>134</v>
      </c>
      <c r="G148" s="145">
        <f>+'ENERO 2025'!G148+'FEBRERO 2025'!G148</f>
        <v>0</v>
      </c>
      <c r="H148" s="145">
        <f>+'ENERO 2025'!H148+'FEBRERO 2025'!H148</f>
        <v>0</v>
      </c>
      <c r="I148" s="145"/>
      <c r="J148" s="145">
        <f t="shared" si="4"/>
        <v>0</v>
      </c>
      <c r="K148" s="53"/>
    </row>
    <row r="149" spans="1:11" x14ac:dyDescent="0.2">
      <c r="A149" s="73">
        <v>2</v>
      </c>
      <c r="B149" s="58">
        <v>2</v>
      </c>
      <c r="C149" s="58">
        <v>6</v>
      </c>
      <c r="D149" s="58">
        <v>1</v>
      </c>
      <c r="E149" s="78"/>
      <c r="F149" s="74" t="s">
        <v>135</v>
      </c>
      <c r="G149" s="146">
        <f>+'ENERO 2025'!G149+'FEBRERO 2025'!G149</f>
        <v>0</v>
      </c>
      <c r="H149" s="146">
        <f>+'ENERO 2025'!H149+'FEBRERO 2025'!H149</f>
        <v>0</v>
      </c>
      <c r="I149" s="146"/>
      <c r="J149" s="146">
        <f t="shared" si="4"/>
        <v>0</v>
      </c>
      <c r="K149" s="68"/>
    </row>
    <row r="150" spans="1:11" x14ac:dyDescent="0.2">
      <c r="A150" s="75">
        <v>2</v>
      </c>
      <c r="B150" s="62">
        <v>2</v>
      </c>
      <c r="C150" s="62">
        <v>6</v>
      </c>
      <c r="D150" s="62">
        <v>1</v>
      </c>
      <c r="E150" s="63" t="s">
        <v>35</v>
      </c>
      <c r="F150" s="76" t="s">
        <v>135</v>
      </c>
      <c r="G150" s="147">
        <f>+'ENERO 2025'!G150+'FEBRERO 2025'!G150</f>
        <v>0</v>
      </c>
      <c r="H150" s="147">
        <f>+'ENERO 2025'!H150+'FEBRERO 2025'!H150</f>
        <v>0</v>
      </c>
      <c r="I150" s="147"/>
      <c r="J150" s="147">
        <f t="shared" si="4"/>
        <v>0</v>
      </c>
      <c r="K150" s="65">
        <f>J150/$J$25</f>
        <v>0</v>
      </c>
    </row>
    <row r="151" spans="1:11" x14ac:dyDescent="0.2">
      <c r="A151" s="73">
        <v>2</v>
      </c>
      <c r="B151" s="58">
        <v>2</v>
      </c>
      <c r="C151" s="58">
        <v>6</v>
      </c>
      <c r="D151" s="58">
        <v>2</v>
      </c>
      <c r="E151" s="58"/>
      <c r="F151" s="74" t="s">
        <v>136</v>
      </c>
      <c r="G151" s="146">
        <f>+'ENERO 2025'!G151+'FEBRERO 2025'!G151</f>
        <v>0</v>
      </c>
      <c r="H151" s="146">
        <f>+'ENERO 2025'!H151+'FEBRERO 2025'!H151</f>
        <v>0</v>
      </c>
      <c r="I151" s="146"/>
      <c r="J151" s="146">
        <f t="shared" si="4"/>
        <v>0</v>
      </c>
      <c r="K151" s="68"/>
    </row>
    <row r="152" spans="1:11" x14ac:dyDescent="0.2">
      <c r="A152" s="75">
        <v>2</v>
      </c>
      <c r="B152" s="62">
        <v>2</v>
      </c>
      <c r="C152" s="62">
        <v>6</v>
      </c>
      <c r="D152" s="62">
        <v>2</v>
      </c>
      <c r="E152" s="63" t="s">
        <v>35</v>
      </c>
      <c r="F152" s="76" t="s">
        <v>136</v>
      </c>
      <c r="G152" s="147">
        <f>+'ENERO 2025'!G152+'FEBRERO 2025'!G152</f>
        <v>0</v>
      </c>
      <c r="H152" s="147">
        <f>+'ENERO 2025'!H152+'FEBRERO 2025'!H152</f>
        <v>0</v>
      </c>
      <c r="I152" s="147"/>
      <c r="J152" s="147">
        <f t="shared" si="4"/>
        <v>0</v>
      </c>
      <c r="K152" s="65">
        <f>J152/$J$25</f>
        <v>0</v>
      </c>
    </row>
    <row r="153" spans="1:11" x14ac:dyDescent="0.2">
      <c r="A153" s="73">
        <v>2</v>
      </c>
      <c r="B153" s="58">
        <v>2</v>
      </c>
      <c r="C153" s="58">
        <v>6</v>
      </c>
      <c r="D153" s="58">
        <v>3</v>
      </c>
      <c r="E153" s="58"/>
      <c r="F153" s="74" t="s">
        <v>137</v>
      </c>
      <c r="G153" s="146">
        <f>+'ENERO 2025'!G153+'FEBRERO 2025'!G153</f>
        <v>0</v>
      </c>
      <c r="H153" s="146">
        <f>+'ENERO 2025'!H153+'FEBRERO 2025'!H153</f>
        <v>0</v>
      </c>
      <c r="I153" s="146"/>
      <c r="J153" s="146">
        <f t="shared" si="4"/>
        <v>0</v>
      </c>
      <c r="K153" s="68"/>
    </row>
    <row r="154" spans="1:11" x14ac:dyDescent="0.2">
      <c r="A154" s="75">
        <v>2</v>
      </c>
      <c r="B154" s="62">
        <v>2</v>
      </c>
      <c r="C154" s="62">
        <v>6</v>
      </c>
      <c r="D154" s="62">
        <v>3</v>
      </c>
      <c r="E154" s="63" t="s">
        <v>35</v>
      </c>
      <c r="F154" s="76" t="s">
        <v>137</v>
      </c>
      <c r="G154" s="147">
        <f>+'ENERO 2025'!G154+'FEBRERO 2025'!G154</f>
        <v>0</v>
      </c>
      <c r="H154" s="147">
        <f>+'ENERO 2025'!H154+'FEBRERO 2025'!H154</f>
        <v>0</v>
      </c>
      <c r="I154" s="147"/>
      <c r="J154" s="147">
        <f t="shared" ref="J154:J217" si="5">+G154+H154</f>
        <v>0</v>
      </c>
      <c r="K154" s="65">
        <f>J154/$J$25</f>
        <v>0</v>
      </c>
    </row>
    <row r="155" spans="1:11" x14ac:dyDescent="0.2">
      <c r="A155" s="73">
        <v>2</v>
      </c>
      <c r="B155" s="58">
        <v>2</v>
      </c>
      <c r="C155" s="58">
        <v>6</v>
      </c>
      <c r="D155" s="58">
        <v>4</v>
      </c>
      <c r="E155" s="58"/>
      <c r="F155" s="74" t="s">
        <v>138</v>
      </c>
      <c r="G155" s="146">
        <f>+'ENERO 2025'!G155+'FEBRERO 2025'!G155</f>
        <v>0</v>
      </c>
      <c r="H155" s="146">
        <f>+'ENERO 2025'!H155+'FEBRERO 2025'!H155</f>
        <v>0</v>
      </c>
      <c r="I155" s="146"/>
      <c r="J155" s="146">
        <f t="shared" si="5"/>
        <v>0</v>
      </c>
      <c r="K155" s="68"/>
    </row>
    <row r="156" spans="1:11" x14ac:dyDescent="0.2">
      <c r="A156" s="75">
        <v>2</v>
      </c>
      <c r="B156" s="62">
        <v>2</v>
      </c>
      <c r="C156" s="62">
        <v>6</v>
      </c>
      <c r="D156" s="62">
        <v>4</v>
      </c>
      <c r="E156" s="63" t="s">
        <v>35</v>
      </c>
      <c r="F156" s="76" t="s">
        <v>138</v>
      </c>
      <c r="G156" s="147">
        <f>+'ENERO 2025'!G156+'FEBRERO 2025'!G156</f>
        <v>0</v>
      </c>
      <c r="H156" s="147">
        <f>+'ENERO 2025'!H156+'FEBRERO 2025'!H156</f>
        <v>0</v>
      </c>
      <c r="I156" s="147"/>
      <c r="J156" s="147">
        <f t="shared" si="5"/>
        <v>0</v>
      </c>
      <c r="K156" s="65">
        <f>J156/$J$25</f>
        <v>0</v>
      </c>
    </row>
    <row r="157" spans="1:11" ht="25.5" x14ac:dyDescent="0.2">
      <c r="A157" s="54">
        <v>2</v>
      </c>
      <c r="B157" s="55">
        <v>2</v>
      </c>
      <c r="C157" s="55">
        <v>7</v>
      </c>
      <c r="D157" s="55"/>
      <c r="E157" s="79"/>
      <c r="F157" s="80" t="s">
        <v>139</v>
      </c>
      <c r="G157" s="148">
        <f>+'ENERO 2025'!G157+'FEBRERO 2025'!G157</f>
        <v>523061.81</v>
      </c>
      <c r="H157" s="148">
        <f>+'ENERO 2025'!H157+'FEBRERO 2025'!H157</f>
        <v>2537274.96</v>
      </c>
      <c r="I157" s="148"/>
      <c r="J157" s="148">
        <f t="shared" si="5"/>
        <v>3060336.77</v>
      </c>
      <c r="K157" s="53"/>
    </row>
    <row r="158" spans="1:11" x14ac:dyDescent="0.2">
      <c r="A158" s="73">
        <v>2</v>
      </c>
      <c r="B158" s="58">
        <v>2</v>
      </c>
      <c r="C158" s="58">
        <v>7</v>
      </c>
      <c r="D158" s="58">
        <v>1</v>
      </c>
      <c r="E158" s="58"/>
      <c r="F158" s="74" t="s">
        <v>140</v>
      </c>
      <c r="G158" s="146">
        <f>+'ENERO 2025'!G158+'FEBRERO 2025'!G158</f>
        <v>0</v>
      </c>
      <c r="H158" s="146">
        <f>+'ENERO 2025'!H158+'FEBRERO 2025'!H158</f>
        <v>625674.96</v>
      </c>
      <c r="I158" s="146"/>
      <c r="J158" s="146">
        <f t="shared" si="5"/>
        <v>625674.96</v>
      </c>
      <c r="K158" s="68"/>
    </row>
    <row r="159" spans="1:11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1" t="s">
        <v>141</v>
      </c>
      <c r="G159" s="149">
        <f>+'ENERO 2025'!G159+'FEBRERO 2025'!G159</f>
        <v>0</v>
      </c>
      <c r="H159" s="149">
        <f>+'ENERO 2025'!H159+'FEBRERO 2025'!H159</f>
        <v>278744.88</v>
      </c>
      <c r="I159" s="149"/>
      <c r="J159" s="149">
        <f t="shared" si="5"/>
        <v>278744.88</v>
      </c>
      <c r="K159" s="65">
        <f t="shared" ref="K159:K166" si="6">J159/$J$25</f>
        <v>1.6037983930435131E-3</v>
      </c>
    </row>
    <row r="160" spans="1:11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1" t="s">
        <v>142</v>
      </c>
      <c r="G160" s="149">
        <f>+'ENERO 2025'!G160+'FEBRERO 2025'!G160</f>
        <v>0</v>
      </c>
      <c r="H160" s="149">
        <f>+'ENERO 2025'!H160+'FEBRERO 2025'!H160</f>
        <v>346930.08</v>
      </c>
      <c r="I160" s="149"/>
      <c r="J160" s="149">
        <f t="shared" si="5"/>
        <v>346930.08</v>
      </c>
      <c r="K160" s="65">
        <f t="shared" si="6"/>
        <v>1.9961116588130966E-3</v>
      </c>
    </row>
    <row r="161" spans="1:11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1" t="s">
        <v>143</v>
      </c>
      <c r="G161" s="149">
        <f>+'ENERO 2025'!G161+'FEBRERO 2025'!G161</f>
        <v>0</v>
      </c>
      <c r="H161" s="149">
        <f>+'ENERO 2025'!H161+'FEBRERO 2025'!H161</f>
        <v>0</v>
      </c>
      <c r="I161" s="149"/>
      <c r="J161" s="149">
        <f t="shared" si="5"/>
        <v>0</v>
      </c>
      <c r="K161" s="65">
        <f t="shared" si="6"/>
        <v>0</v>
      </c>
    </row>
    <row r="162" spans="1:11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1" t="s">
        <v>144</v>
      </c>
      <c r="G162" s="149">
        <f>+'ENERO 2025'!G162+'FEBRERO 2025'!G162</f>
        <v>0</v>
      </c>
      <c r="H162" s="149">
        <f>+'ENERO 2025'!H162+'FEBRERO 2025'!H162</f>
        <v>0</v>
      </c>
      <c r="I162" s="149"/>
      <c r="J162" s="149">
        <f t="shared" si="5"/>
        <v>0</v>
      </c>
      <c r="K162" s="65">
        <f t="shared" si="6"/>
        <v>0</v>
      </c>
    </row>
    <row r="163" spans="1:11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1" t="s">
        <v>145</v>
      </c>
      <c r="G163" s="149">
        <f>+'ENERO 2025'!G163+'FEBRERO 2025'!G163</f>
        <v>0</v>
      </c>
      <c r="H163" s="149">
        <f>+'ENERO 2025'!H163+'FEBRERO 2025'!H163</f>
        <v>0</v>
      </c>
      <c r="I163" s="149"/>
      <c r="J163" s="149">
        <f t="shared" si="5"/>
        <v>0</v>
      </c>
      <c r="K163" s="65">
        <f t="shared" si="6"/>
        <v>0</v>
      </c>
    </row>
    <row r="164" spans="1:11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1" t="s">
        <v>146</v>
      </c>
      <c r="G164" s="149">
        <f>+'ENERO 2025'!G164+'FEBRERO 2025'!G164</f>
        <v>0</v>
      </c>
      <c r="H164" s="149">
        <f>+'ENERO 2025'!H164+'FEBRERO 2025'!H164</f>
        <v>0</v>
      </c>
      <c r="I164" s="149"/>
      <c r="J164" s="149">
        <f t="shared" si="5"/>
        <v>0</v>
      </c>
      <c r="K164" s="65">
        <f t="shared" si="6"/>
        <v>0</v>
      </c>
    </row>
    <row r="165" spans="1:11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1" t="s">
        <v>147</v>
      </c>
      <c r="G165" s="149">
        <f>+'ENERO 2025'!G165+'FEBRERO 2025'!G165</f>
        <v>0</v>
      </c>
      <c r="H165" s="149">
        <f>+'ENERO 2025'!H165+'FEBRERO 2025'!H165</f>
        <v>0</v>
      </c>
      <c r="I165" s="149"/>
      <c r="J165" s="149">
        <f t="shared" si="5"/>
        <v>0</v>
      </c>
      <c r="K165" s="65">
        <f t="shared" si="6"/>
        <v>0</v>
      </c>
    </row>
    <row r="166" spans="1:11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1" t="s">
        <v>149</v>
      </c>
      <c r="G166" s="149">
        <f>+'ENERO 2025'!G166+'FEBRERO 2025'!G166</f>
        <v>0</v>
      </c>
      <c r="H166" s="149">
        <f>+'ENERO 2025'!H166+'FEBRERO 2025'!H166</f>
        <v>0</v>
      </c>
      <c r="I166" s="149"/>
      <c r="J166" s="149">
        <f t="shared" si="5"/>
        <v>0</v>
      </c>
      <c r="K166" s="65">
        <f t="shared" si="6"/>
        <v>0</v>
      </c>
    </row>
    <row r="167" spans="1:11" x14ac:dyDescent="0.2">
      <c r="A167" s="73">
        <v>2</v>
      </c>
      <c r="B167" s="58">
        <v>2</v>
      </c>
      <c r="C167" s="58">
        <v>7</v>
      </c>
      <c r="D167" s="58">
        <v>2</v>
      </c>
      <c r="E167" s="58"/>
      <c r="F167" s="74" t="s">
        <v>150</v>
      </c>
      <c r="G167" s="146">
        <f>+'ENERO 2025'!G167+'FEBRERO 2025'!G167</f>
        <v>523061.81</v>
      </c>
      <c r="H167" s="146">
        <f>+'ENERO 2025'!H167+'FEBRERO 2025'!H167</f>
        <v>1911600</v>
      </c>
      <c r="I167" s="146"/>
      <c r="J167" s="146">
        <f t="shared" si="5"/>
        <v>2434661.81</v>
      </c>
      <c r="K167" s="68"/>
    </row>
    <row r="168" spans="1:11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1" t="s">
        <v>151</v>
      </c>
      <c r="G168" s="149">
        <f>+'ENERO 2025'!G168+'FEBRERO 2025'!G168</f>
        <v>0</v>
      </c>
      <c r="H168" s="149">
        <f>+'ENERO 2025'!H168+'FEBRERO 2025'!H168</f>
        <v>0</v>
      </c>
      <c r="I168" s="149"/>
      <c r="J168" s="149">
        <f t="shared" si="5"/>
        <v>0</v>
      </c>
      <c r="K168" s="65">
        <f t="shared" ref="K168:K176" si="7">J168/$J$25</f>
        <v>0</v>
      </c>
    </row>
    <row r="169" spans="1:11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1" t="s">
        <v>152</v>
      </c>
      <c r="G169" s="149">
        <f>+'ENERO 2025'!G169+'FEBRERO 2025'!G169</f>
        <v>0</v>
      </c>
      <c r="H169" s="149">
        <f>+'ENERO 2025'!H169+'FEBRERO 2025'!H169</f>
        <v>0</v>
      </c>
      <c r="I169" s="149"/>
      <c r="J169" s="149">
        <f t="shared" si="5"/>
        <v>0</v>
      </c>
      <c r="K169" s="65">
        <f t="shared" si="7"/>
        <v>0</v>
      </c>
    </row>
    <row r="170" spans="1:11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1" t="s">
        <v>153</v>
      </c>
      <c r="G170" s="149">
        <f>+'ENERO 2025'!G170+'FEBRERO 2025'!G170</f>
        <v>0</v>
      </c>
      <c r="H170" s="149">
        <f>+'ENERO 2025'!H170+'FEBRERO 2025'!H170</f>
        <v>0</v>
      </c>
      <c r="I170" s="149"/>
      <c r="J170" s="149">
        <f t="shared" si="5"/>
        <v>0</v>
      </c>
      <c r="K170" s="65">
        <f t="shared" si="7"/>
        <v>0</v>
      </c>
    </row>
    <row r="171" spans="1:11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1" t="s">
        <v>154</v>
      </c>
      <c r="G171" s="149">
        <f>+'ENERO 2025'!G171+'FEBRERO 2025'!G171</f>
        <v>523061.81</v>
      </c>
      <c r="H171" s="149">
        <f>+'ENERO 2025'!H171+'FEBRERO 2025'!H171</f>
        <v>1888000</v>
      </c>
      <c r="I171" s="149"/>
      <c r="J171" s="149">
        <f t="shared" si="5"/>
        <v>2411061.81</v>
      </c>
      <c r="K171" s="65">
        <f t="shared" si="7"/>
        <v>1.3872387741818197E-2</v>
      </c>
    </row>
    <row r="172" spans="1:11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1" t="s">
        <v>155</v>
      </c>
      <c r="G172" s="149">
        <f>+'ENERO 2025'!G172+'FEBRERO 2025'!G172</f>
        <v>0</v>
      </c>
      <c r="H172" s="149">
        <f>+'ENERO 2025'!H172+'FEBRERO 2025'!H172</f>
        <v>0</v>
      </c>
      <c r="I172" s="149"/>
      <c r="J172" s="149">
        <f t="shared" si="5"/>
        <v>0</v>
      </c>
      <c r="K172" s="65">
        <f t="shared" si="7"/>
        <v>0</v>
      </c>
    </row>
    <row r="173" spans="1:11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2" t="s">
        <v>156</v>
      </c>
      <c r="G173" s="144">
        <f>+'ENERO 2025'!G173+'FEBRERO 2025'!G173</f>
        <v>0</v>
      </c>
      <c r="H173" s="144">
        <f>+'ENERO 2025'!H173+'FEBRERO 2025'!H173</f>
        <v>23600</v>
      </c>
      <c r="I173" s="144"/>
      <c r="J173" s="144">
        <f t="shared" si="5"/>
        <v>23600</v>
      </c>
      <c r="K173" s="65">
        <f t="shared" si="7"/>
        <v>1.3578596340792668E-4</v>
      </c>
    </row>
    <row r="174" spans="1:11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2" t="s">
        <v>157</v>
      </c>
      <c r="G174" s="144">
        <f>+'ENERO 2025'!G174+'FEBRERO 2025'!G174</f>
        <v>0</v>
      </c>
      <c r="H174" s="144">
        <f>+'ENERO 2025'!H174+'FEBRERO 2025'!H174</f>
        <v>0</v>
      </c>
      <c r="I174" s="144"/>
      <c r="J174" s="144">
        <f t="shared" si="5"/>
        <v>0</v>
      </c>
      <c r="K174" s="65">
        <f t="shared" si="7"/>
        <v>0</v>
      </c>
    </row>
    <row r="175" spans="1:11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2" t="s">
        <v>158</v>
      </c>
      <c r="G175" s="144">
        <f>+'ENERO 2025'!G175+'FEBRERO 2025'!G175</f>
        <v>0</v>
      </c>
      <c r="H175" s="144">
        <f>+'ENERO 2025'!H175+'FEBRERO 2025'!H175</f>
        <v>0</v>
      </c>
      <c r="I175" s="144"/>
      <c r="J175" s="144">
        <f t="shared" si="5"/>
        <v>0</v>
      </c>
      <c r="K175" s="65">
        <f t="shared" si="7"/>
        <v>0</v>
      </c>
    </row>
    <row r="176" spans="1:11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2" t="s">
        <v>159</v>
      </c>
      <c r="G176" s="144">
        <f>+'ENERO 2025'!G176+'FEBRERO 2025'!G176</f>
        <v>0</v>
      </c>
      <c r="H176" s="144">
        <f>+'ENERO 2025'!H176+'FEBRERO 2025'!H176</f>
        <v>0</v>
      </c>
      <c r="I176" s="144"/>
      <c r="J176" s="144">
        <f t="shared" si="5"/>
        <v>0</v>
      </c>
      <c r="K176" s="65">
        <f t="shared" si="7"/>
        <v>0</v>
      </c>
    </row>
    <row r="177" spans="1:11" x14ac:dyDescent="0.2">
      <c r="A177" s="57">
        <v>2</v>
      </c>
      <c r="B177" s="58">
        <v>2</v>
      </c>
      <c r="C177" s="58">
        <v>7</v>
      </c>
      <c r="D177" s="58">
        <v>3</v>
      </c>
      <c r="E177" s="78"/>
      <c r="F177" s="57" t="s">
        <v>160</v>
      </c>
      <c r="G177" s="142">
        <f>+'ENERO 2025'!G177+'FEBRERO 2025'!G177</f>
        <v>0</v>
      </c>
      <c r="H177" s="142">
        <f>+'ENERO 2025'!H177+'FEBRERO 2025'!H177</f>
        <v>0</v>
      </c>
      <c r="I177" s="142"/>
      <c r="J177" s="142">
        <f t="shared" si="5"/>
        <v>0</v>
      </c>
      <c r="K177" s="68"/>
    </row>
    <row r="178" spans="1:11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143">
        <f>+'ENERO 2025'!G178+'FEBRERO 2025'!G178</f>
        <v>0</v>
      </c>
      <c r="H178" s="143">
        <f>+'ENERO 2025'!H178+'FEBRERO 2025'!H178</f>
        <v>0</v>
      </c>
      <c r="I178" s="143"/>
      <c r="J178" s="143">
        <f t="shared" si="5"/>
        <v>0</v>
      </c>
      <c r="K178" s="65">
        <f>J178/$J$25</f>
        <v>0</v>
      </c>
    </row>
    <row r="179" spans="1:11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141">
        <f>+'ENERO 2025'!G179+'FEBRERO 2025'!G179</f>
        <v>489700</v>
      </c>
      <c r="H179" s="141">
        <f>+'ENERO 2025'!H179+'FEBRERO 2025'!H179</f>
        <v>255956.79</v>
      </c>
      <c r="I179" s="141"/>
      <c r="J179" s="141">
        <f t="shared" si="5"/>
        <v>745656.79</v>
      </c>
      <c r="K179" s="53"/>
    </row>
    <row r="180" spans="1:11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142">
        <f>+'ENERO 2025'!G180+'FEBRERO 2025'!G180</f>
        <v>0</v>
      </c>
      <c r="H180" s="142">
        <f>+'ENERO 2025'!H180+'FEBRERO 2025'!H180</f>
        <v>0</v>
      </c>
      <c r="I180" s="142"/>
      <c r="J180" s="142">
        <f t="shared" si="5"/>
        <v>0</v>
      </c>
      <c r="K180" s="68"/>
    </row>
    <row r="181" spans="1:11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143">
        <f>+'ENERO 2025'!G181+'FEBRERO 2025'!G181</f>
        <v>0</v>
      </c>
      <c r="H181" s="143">
        <f>+'ENERO 2025'!H181+'FEBRERO 2025'!H181</f>
        <v>0</v>
      </c>
      <c r="I181" s="143"/>
      <c r="J181" s="143">
        <f t="shared" si="5"/>
        <v>0</v>
      </c>
      <c r="K181" s="65">
        <f>J181/$J$25</f>
        <v>0</v>
      </c>
    </row>
    <row r="182" spans="1:11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142">
        <f>+'ENERO 2025'!G182+'FEBRERO 2025'!G182</f>
        <v>0</v>
      </c>
      <c r="H182" s="142">
        <f>+'ENERO 2025'!H182+'FEBRERO 2025'!H182</f>
        <v>24536.79</v>
      </c>
      <c r="I182" s="142"/>
      <c r="J182" s="142">
        <f t="shared" si="5"/>
        <v>24536.79</v>
      </c>
      <c r="K182" s="68"/>
    </row>
    <row r="183" spans="1:11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143">
        <f>+'ENERO 2025'!G183+'FEBRERO 2025'!G183</f>
        <v>0</v>
      </c>
      <c r="H183" s="143">
        <f>+'ENERO 2025'!H183+'FEBRERO 2025'!H183</f>
        <v>24536.79</v>
      </c>
      <c r="I183" s="143"/>
      <c r="J183" s="143">
        <f t="shared" si="5"/>
        <v>24536.79</v>
      </c>
      <c r="K183" s="65">
        <f>J183/$J$25</f>
        <v>1.4117591818169412E-4</v>
      </c>
    </row>
    <row r="184" spans="1:11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142">
        <f>+'ENERO 2025'!G184+'FEBRERO 2025'!G184</f>
        <v>0</v>
      </c>
      <c r="H184" s="142">
        <f>+'ENERO 2025'!H184+'FEBRERO 2025'!H184</f>
        <v>0</v>
      </c>
      <c r="I184" s="142"/>
      <c r="J184" s="142">
        <f t="shared" si="5"/>
        <v>0</v>
      </c>
      <c r="K184" s="68"/>
    </row>
    <row r="185" spans="1:11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143">
        <f>+'ENERO 2025'!G185+'FEBRERO 2025'!G185</f>
        <v>0</v>
      </c>
      <c r="H185" s="143">
        <f>+'ENERO 2025'!H185+'FEBRERO 2025'!H185</f>
        <v>0</v>
      </c>
      <c r="I185" s="143"/>
      <c r="J185" s="143">
        <f t="shared" si="5"/>
        <v>0</v>
      </c>
      <c r="K185" s="65">
        <f>J185/$J$25</f>
        <v>0</v>
      </c>
    </row>
    <row r="186" spans="1:11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142">
        <f>+'ENERO 2025'!G186+'FEBRERO 2025'!G186</f>
        <v>0</v>
      </c>
      <c r="H186" s="142">
        <f>+'ENERO 2025'!H186+'FEBRERO 2025'!H186</f>
        <v>0</v>
      </c>
      <c r="I186" s="142"/>
      <c r="J186" s="142">
        <f t="shared" si="5"/>
        <v>0</v>
      </c>
      <c r="K186" s="68"/>
    </row>
    <row r="187" spans="1:11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143">
        <f>+'ENERO 2025'!G187+'FEBRERO 2025'!G187</f>
        <v>0</v>
      </c>
      <c r="H187" s="143">
        <f>+'ENERO 2025'!H187+'FEBRERO 2025'!H187</f>
        <v>0</v>
      </c>
      <c r="I187" s="143"/>
      <c r="J187" s="143">
        <f t="shared" si="5"/>
        <v>0</v>
      </c>
      <c r="K187" s="65">
        <f>J187/$J$25</f>
        <v>0</v>
      </c>
    </row>
    <row r="188" spans="1:11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142">
        <f>+'ENERO 2025'!G188+'FEBRERO 2025'!G188</f>
        <v>0</v>
      </c>
      <c r="H188" s="142">
        <f>+'ENERO 2025'!H188+'FEBRERO 2025'!H188</f>
        <v>10148</v>
      </c>
      <c r="I188" s="142"/>
      <c r="J188" s="142">
        <f t="shared" si="5"/>
        <v>10148</v>
      </c>
      <c r="K188" s="68"/>
    </row>
    <row r="189" spans="1:11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143">
        <f>+'ENERO 2025'!G189+'FEBRERO 2025'!G189</f>
        <v>0</v>
      </c>
      <c r="H189" s="143">
        <f>+'ENERO 2025'!H189+'FEBRERO 2025'!H189</f>
        <v>0</v>
      </c>
      <c r="I189" s="143"/>
      <c r="J189" s="143">
        <f t="shared" si="5"/>
        <v>0</v>
      </c>
      <c r="K189" s="65">
        <f>J189/$J$25</f>
        <v>0</v>
      </c>
    </row>
    <row r="190" spans="1:11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143">
        <f>+'ENERO 2025'!G190+'FEBRERO 2025'!G190</f>
        <v>0</v>
      </c>
      <c r="H190" s="143">
        <f>+'ENERO 2025'!H190+'FEBRERO 2025'!H190</f>
        <v>0</v>
      </c>
      <c r="I190" s="143"/>
      <c r="J190" s="143">
        <f t="shared" si="5"/>
        <v>0</v>
      </c>
      <c r="K190" s="65">
        <f>J190/$J$25</f>
        <v>0</v>
      </c>
    </row>
    <row r="191" spans="1:11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143">
        <f>+'ENERO 2025'!G191+'FEBRERO 2025'!G191</f>
        <v>0</v>
      </c>
      <c r="H191" s="143">
        <f>+'ENERO 2025'!H191+'FEBRERO 2025'!H191</f>
        <v>10148</v>
      </c>
      <c r="I191" s="143"/>
      <c r="J191" s="143">
        <f t="shared" si="5"/>
        <v>10148</v>
      </c>
      <c r="K191" s="65">
        <f>J191/$J$25</f>
        <v>5.8387964265408469E-5</v>
      </c>
    </row>
    <row r="192" spans="1:11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142">
        <f>+'ENERO 2025'!G192+'FEBRERO 2025'!G192</f>
        <v>0</v>
      </c>
      <c r="H192" s="142">
        <f>+'ENERO 2025'!H192+'FEBRERO 2025'!H192</f>
        <v>0</v>
      </c>
      <c r="I192" s="142"/>
      <c r="J192" s="142">
        <f t="shared" si="5"/>
        <v>0</v>
      </c>
      <c r="K192" s="68"/>
    </row>
    <row r="193" spans="1:11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143">
        <f>+'ENERO 2025'!G193+'FEBRERO 2025'!G193</f>
        <v>0</v>
      </c>
      <c r="H193" s="143">
        <f>+'ENERO 2025'!H193+'FEBRERO 2025'!H193</f>
        <v>0</v>
      </c>
      <c r="I193" s="143"/>
      <c r="J193" s="143">
        <f t="shared" si="5"/>
        <v>0</v>
      </c>
      <c r="K193" s="65">
        <f>J193/$J$25</f>
        <v>0</v>
      </c>
    </row>
    <row r="194" spans="1:11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143">
        <f>+'ENERO 2025'!G194+'FEBRERO 2025'!G194</f>
        <v>0</v>
      </c>
      <c r="H194" s="143">
        <f>+'ENERO 2025'!H194+'FEBRERO 2025'!H194</f>
        <v>0</v>
      </c>
      <c r="I194" s="143"/>
      <c r="J194" s="143">
        <f t="shared" si="5"/>
        <v>0</v>
      </c>
      <c r="K194" s="65">
        <f>J194/$J$25</f>
        <v>0</v>
      </c>
    </row>
    <row r="195" spans="1:11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143">
        <f>+'ENERO 2025'!G195+'FEBRERO 2025'!G195</f>
        <v>0</v>
      </c>
      <c r="H195" s="143">
        <f>+'ENERO 2025'!H195+'FEBRERO 2025'!H195</f>
        <v>0</v>
      </c>
      <c r="I195" s="143"/>
      <c r="J195" s="143">
        <f t="shared" si="5"/>
        <v>0</v>
      </c>
      <c r="K195" s="65">
        <f>J195/$J$25</f>
        <v>0</v>
      </c>
    </row>
    <row r="196" spans="1:11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143">
        <f>+'ENERO 2025'!G196+'FEBRERO 2025'!G196</f>
        <v>0</v>
      </c>
      <c r="H196" s="143">
        <f>+'ENERO 2025'!H196+'FEBRERO 2025'!H196</f>
        <v>0</v>
      </c>
      <c r="I196" s="143"/>
      <c r="J196" s="143">
        <f t="shared" si="5"/>
        <v>0</v>
      </c>
      <c r="K196" s="65">
        <f>J196/$J$25</f>
        <v>0</v>
      </c>
    </row>
    <row r="197" spans="1:11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142">
        <f>+'ENERO 2025'!G197+'FEBRERO 2025'!G197</f>
        <v>489700</v>
      </c>
      <c r="H197" s="142">
        <f>+'ENERO 2025'!H197+'FEBRERO 2025'!H197</f>
        <v>221272</v>
      </c>
      <c r="I197" s="142"/>
      <c r="J197" s="142">
        <f t="shared" si="5"/>
        <v>710972</v>
      </c>
      <c r="K197" s="68"/>
    </row>
    <row r="198" spans="1:11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2" t="s">
        <v>176</v>
      </c>
      <c r="G198" s="144">
        <f>+'ENERO 2025'!G198+'FEBRERO 2025'!G198</f>
        <v>489700</v>
      </c>
      <c r="H198" s="144">
        <f>+'ENERO 2025'!H198+'FEBRERO 2025'!H198</f>
        <v>0</v>
      </c>
      <c r="I198" s="144"/>
      <c r="J198" s="144">
        <f t="shared" si="5"/>
        <v>489700</v>
      </c>
      <c r="K198" s="65">
        <f t="shared" ref="K198:K203" si="8">J198/$J$25</f>
        <v>2.8175587407144784E-3</v>
      </c>
    </row>
    <row r="199" spans="1:11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2" t="s">
        <v>177</v>
      </c>
      <c r="G199" s="144">
        <f>+'ENERO 2025'!G199+'FEBRERO 2025'!G199</f>
        <v>0</v>
      </c>
      <c r="H199" s="144">
        <f>+'ENERO 2025'!H199+'FEBRERO 2025'!H199</f>
        <v>0</v>
      </c>
      <c r="I199" s="144"/>
      <c r="J199" s="144">
        <f t="shared" si="5"/>
        <v>0</v>
      </c>
      <c r="K199" s="65">
        <f t="shared" si="8"/>
        <v>0</v>
      </c>
    </row>
    <row r="200" spans="1:11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2" t="s">
        <v>178</v>
      </c>
      <c r="G200" s="144">
        <f>+'ENERO 2025'!G200+'FEBRERO 2025'!G200</f>
        <v>0</v>
      </c>
      <c r="H200" s="144">
        <f>+'ENERO 2025'!H200+'FEBRERO 2025'!H200</f>
        <v>0</v>
      </c>
      <c r="I200" s="144"/>
      <c r="J200" s="144">
        <f t="shared" si="5"/>
        <v>0</v>
      </c>
      <c r="K200" s="65">
        <f t="shared" si="8"/>
        <v>0</v>
      </c>
    </row>
    <row r="201" spans="1:11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2" t="s">
        <v>179</v>
      </c>
      <c r="G201" s="144">
        <f>+'ENERO 2025'!G201+'FEBRERO 2025'!G201</f>
        <v>0</v>
      </c>
      <c r="H201" s="144">
        <f>+'ENERO 2025'!H201+'FEBRERO 2025'!H201</f>
        <v>0</v>
      </c>
      <c r="I201" s="144"/>
      <c r="J201" s="144">
        <f t="shared" si="5"/>
        <v>0</v>
      </c>
      <c r="K201" s="65">
        <f t="shared" si="8"/>
        <v>0</v>
      </c>
    </row>
    <row r="202" spans="1:11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2" t="s">
        <v>180</v>
      </c>
      <c r="G202" s="144">
        <f>+'ENERO 2025'!G202+'FEBRERO 2025'!G202</f>
        <v>0</v>
      </c>
      <c r="H202" s="144">
        <f>+'ENERO 2025'!H202+'FEBRERO 2025'!H202</f>
        <v>48852</v>
      </c>
      <c r="I202" s="144"/>
      <c r="J202" s="144">
        <f t="shared" si="5"/>
        <v>48852</v>
      </c>
      <c r="K202" s="65">
        <f t="shared" si="8"/>
        <v>2.8107694425440823E-4</v>
      </c>
    </row>
    <row r="203" spans="1:11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2" t="s">
        <v>181</v>
      </c>
      <c r="G203" s="144">
        <f>+'ENERO 2025'!G203+'FEBRERO 2025'!G203</f>
        <v>0</v>
      </c>
      <c r="H203" s="144">
        <f>+'ENERO 2025'!H203+'FEBRERO 2025'!H203</f>
        <v>172420</v>
      </c>
      <c r="I203" s="144"/>
      <c r="J203" s="144">
        <f t="shared" si="5"/>
        <v>172420</v>
      </c>
      <c r="K203" s="65">
        <f t="shared" si="8"/>
        <v>9.9204304283028464E-4</v>
      </c>
    </row>
    <row r="204" spans="1:11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3" t="s">
        <v>182</v>
      </c>
      <c r="G204" s="150">
        <f>+'ENERO 2025'!G204+'FEBRERO 2025'!G204</f>
        <v>0</v>
      </c>
      <c r="H204" s="150">
        <f>+'ENERO 2025'!H204+'FEBRERO 2025'!H204</f>
        <v>0</v>
      </c>
      <c r="I204" s="150"/>
      <c r="J204" s="150">
        <f t="shared" si="5"/>
        <v>0</v>
      </c>
      <c r="K204" s="68"/>
    </row>
    <row r="205" spans="1:11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2" t="s">
        <v>183</v>
      </c>
      <c r="G205" s="144">
        <f>+'ENERO 2025'!G205+'FEBRERO 2025'!G205</f>
        <v>0</v>
      </c>
      <c r="H205" s="144">
        <f>+'ENERO 2025'!H205+'FEBRERO 2025'!H205</f>
        <v>0</v>
      </c>
      <c r="I205" s="144"/>
      <c r="J205" s="144">
        <f t="shared" si="5"/>
        <v>0</v>
      </c>
      <c r="K205" s="65">
        <f>J205/$J$25</f>
        <v>0</v>
      </c>
    </row>
    <row r="206" spans="1:11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2" t="s">
        <v>184</v>
      </c>
      <c r="G206" s="144">
        <f>+'ENERO 2025'!G206+'FEBRERO 2025'!G206</f>
        <v>0</v>
      </c>
      <c r="H206" s="144">
        <f>+'ENERO 2025'!H206+'FEBRERO 2025'!H206</f>
        <v>0</v>
      </c>
      <c r="I206" s="144"/>
      <c r="J206" s="144">
        <f t="shared" si="5"/>
        <v>0</v>
      </c>
      <c r="K206" s="65">
        <f>J206/$J$25</f>
        <v>0</v>
      </c>
    </row>
    <row r="207" spans="1:11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2" t="s">
        <v>185</v>
      </c>
      <c r="G207" s="144">
        <f>+'ENERO 2025'!G207+'FEBRERO 2025'!G207</f>
        <v>0</v>
      </c>
      <c r="H207" s="144">
        <f>+'ENERO 2025'!H207+'FEBRERO 2025'!H207</f>
        <v>0</v>
      </c>
      <c r="I207" s="144"/>
      <c r="J207" s="144">
        <f t="shared" si="5"/>
        <v>0</v>
      </c>
      <c r="K207" s="65">
        <f>J207/$J$25</f>
        <v>0</v>
      </c>
    </row>
    <row r="208" spans="1:11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141">
        <f>+'ENERO 2025'!G208+'FEBRERO 2025'!G208</f>
        <v>0</v>
      </c>
      <c r="H208" s="141">
        <f>+'ENERO 2025'!H208+'FEBRERO 2025'!H208</f>
        <v>0</v>
      </c>
      <c r="I208" s="141"/>
      <c r="J208" s="141">
        <f t="shared" si="5"/>
        <v>0</v>
      </c>
      <c r="K208" s="53"/>
    </row>
    <row r="209" spans="1:11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142">
        <f>+'ENERO 2025'!G209+'FEBRERO 2025'!G209</f>
        <v>0</v>
      </c>
      <c r="H209" s="142">
        <f>+'ENERO 2025'!H209+'FEBRERO 2025'!H209</f>
        <v>0</v>
      </c>
      <c r="I209" s="142"/>
      <c r="J209" s="142">
        <f t="shared" si="5"/>
        <v>0</v>
      </c>
      <c r="K209" s="68"/>
    </row>
    <row r="210" spans="1:11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2" t="s">
        <v>188</v>
      </c>
      <c r="G210" s="144">
        <f>+'ENERO 2025'!G210+'FEBRERO 2025'!G210</f>
        <v>0</v>
      </c>
      <c r="H210" s="144">
        <f>+'ENERO 2025'!H210+'FEBRERO 2025'!H210</f>
        <v>0</v>
      </c>
      <c r="I210" s="144"/>
      <c r="J210" s="144">
        <f t="shared" si="5"/>
        <v>0</v>
      </c>
      <c r="K210" s="65">
        <f>J210/$J$25</f>
        <v>0</v>
      </c>
    </row>
    <row r="211" spans="1:11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2" t="s">
        <v>189</v>
      </c>
      <c r="G211" s="144">
        <f>+'ENERO 2025'!G211+'FEBRERO 2025'!G211</f>
        <v>0</v>
      </c>
      <c r="H211" s="144">
        <f>+'ENERO 2025'!H211+'FEBRERO 2025'!H211</f>
        <v>0</v>
      </c>
      <c r="I211" s="144"/>
      <c r="J211" s="144">
        <f t="shared" si="5"/>
        <v>0</v>
      </c>
      <c r="K211" s="65">
        <f>J211/$J$25</f>
        <v>0</v>
      </c>
    </row>
    <row r="212" spans="1:11" x14ac:dyDescent="0.2">
      <c r="A212" s="71">
        <v>2</v>
      </c>
      <c r="B212" s="55">
        <v>3</v>
      </c>
      <c r="C212" s="55"/>
      <c r="D212" s="55"/>
      <c r="E212" s="55"/>
      <c r="F212" s="54" t="s">
        <v>190</v>
      </c>
      <c r="G212" s="141">
        <f>+'ENERO 2025'!G212+'FEBRERO 2025'!G212</f>
        <v>19403732.670000002</v>
      </c>
      <c r="H212" s="141">
        <f>+'ENERO 2025'!H212+'FEBRERO 2025'!H212</f>
        <v>5495008.96</v>
      </c>
      <c r="I212" s="141"/>
      <c r="J212" s="141">
        <f t="shared" si="5"/>
        <v>24898741.630000003</v>
      </c>
      <c r="K212" s="53">
        <f>J212/$J$25</f>
        <v>0.14325845846926274</v>
      </c>
    </row>
    <row r="213" spans="1:11" x14ac:dyDescent="0.2">
      <c r="A213" s="71">
        <v>2</v>
      </c>
      <c r="B213" s="55">
        <v>3</v>
      </c>
      <c r="C213" s="55">
        <v>1</v>
      </c>
      <c r="D213" s="55"/>
      <c r="E213" s="55"/>
      <c r="F213" s="54" t="s">
        <v>191</v>
      </c>
      <c r="G213" s="141">
        <f>+'ENERO 2025'!G213+'FEBRERO 2025'!G213</f>
        <v>591460.4</v>
      </c>
      <c r="H213" s="141">
        <f>+'ENERO 2025'!H213+'FEBRERO 2025'!H213</f>
        <v>841956.8</v>
      </c>
      <c r="I213" s="141"/>
      <c r="J213" s="141">
        <f t="shared" si="5"/>
        <v>1433417.2000000002</v>
      </c>
      <c r="K213" s="53"/>
    </row>
    <row r="214" spans="1:11" x14ac:dyDescent="0.2">
      <c r="A214" s="73">
        <v>2</v>
      </c>
      <c r="B214" s="58">
        <v>3</v>
      </c>
      <c r="C214" s="58">
        <v>1</v>
      </c>
      <c r="D214" s="58">
        <v>1</v>
      </c>
      <c r="E214" s="78"/>
      <c r="F214" s="57" t="s">
        <v>192</v>
      </c>
      <c r="G214" s="142">
        <f>+'ENERO 2025'!G214+'FEBRERO 2025'!G214</f>
        <v>591460.4</v>
      </c>
      <c r="H214" s="142">
        <f>+'ENERO 2025'!H214+'FEBRERO 2025'!H214</f>
        <v>841956.8</v>
      </c>
      <c r="I214" s="142"/>
      <c r="J214" s="142">
        <f t="shared" si="5"/>
        <v>1433417.2000000002</v>
      </c>
      <c r="K214" s="68"/>
    </row>
    <row r="215" spans="1:11" x14ac:dyDescent="0.2">
      <c r="A215" s="75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143">
        <f>+'ENERO 2025'!G215+'FEBRERO 2025'!G215</f>
        <v>591460.4</v>
      </c>
      <c r="H215" s="143">
        <f>+'ENERO 2025'!H215+'FEBRERO 2025'!H215</f>
        <v>841956.8</v>
      </c>
      <c r="I215" s="143"/>
      <c r="J215" s="143">
        <f t="shared" si="5"/>
        <v>1433417.2000000002</v>
      </c>
      <c r="K215" s="65">
        <f>J215/$J$25</f>
        <v>8.2473701469276579E-3</v>
      </c>
    </row>
    <row r="216" spans="1:11" x14ac:dyDescent="0.2">
      <c r="A216" s="75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143">
        <f>+'ENERO 2025'!G216+'FEBRERO 2025'!G216</f>
        <v>0</v>
      </c>
      <c r="H216" s="143">
        <f>+'ENERO 2025'!H216+'FEBRERO 2025'!H216</f>
        <v>0</v>
      </c>
      <c r="I216" s="143"/>
      <c r="J216" s="143">
        <f t="shared" si="5"/>
        <v>0</v>
      </c>
      <c r="K216" s="65">
        <f>J216/$J$25</f>
        <v>0</v>
      </c>
    </row>
    <row r="217" spans="1:11" x14ac:dyDescent="0.2">
      <c r="A217" s="73">
        <v>2</v>
      </c>
      <c r="B217" s="58">
        <v>3</v>
      </c>
      <c r="C217" s="58">
        <v>1</v>
      </c>
      <c r="D217" s="58">
        <v>2</v>
      </c>
      <c r="E217" s="78"/>
      <c r="F217" s="57" t="s">
        <v>194</v>
      </c>
      <c r="G217" s="142">
        <f>+'ENERO 2025'!G217+'FEBRERO 2025'!G217</f>
        <v>0</v>
      </c>
      <c r="H217" s="142">
        <f>+'ENERO 2025'!H217+'FEBRERO 2025'!H217</f>
        <v>0</v>
      </c>
      <c r="I217" s="142"/>
      <c r="J217" s="142">
        <f t="shared" si="5"/>
        <v>0</v>
      </c>
      <c r="K217" s="68"/>
    </row>
    <row r="218" spans="1:11" x14ac:dyDescent="0.2">
      <c r="A218" s="75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143">
        <f>+'ENERO 2025'!G218+'FEBRERO 2025'!G218</f>
        <v>0</v>
      </c>
      <c r="H218" s="143">
        <f>+'ENERO 2025'!H218+'FEBRERO 2025'!H218</f>
        <v>0</v>
      </c>
      <c r="I218" s="143"/>
      <c r="J218" s="143">
        <f t="shared" ref="J218:J281" si="9">+G218+H218</f>
        <v>0</v>
      </c>
      <c r="K218" s="65">
        <f>J218/$J$25</f>
        <v>0</v>
      </c>
    </row>
    <row r="219" spans="1:11" x14ac:dyDescent="0.2">
      <c r="A219" s="73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142">
        <f>+'ENERO 2025'!G219+'FEBRERO 2025'!G219</f>
        <v>0</v>
      </c>
      <c r="H219" s="142">
        <f>+'ENERO 2025'!H219+'FEBRERO 2025'!H219</f>
        <v>0</v>
      </c>
      <c r="I219" s="142"/>
      <c r="J219" s="142">
        <f t="shared" si="9"/>
        <v>0</v>
      </c>
      <c r="K219" s="68"/>
    </row>
    <row r="220" spans="1:11" x14ac:dyDescent="0.2">
      <c r="A220" s="75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143">
        <f>+'ENERO 2025'!G220+'FEBRERO 2025'!G220</f>
        <v>0</v>
      </c>
      <c r="H220" s="143">
        <f>+'ENERO 2025'!H220+'FEBRERO 2025'!H220</f>
        <v>0</v>
      </c>
      <c r="I220" s="143"/>
      <c r="J220" s="143">
        <f t="shared" si="9"/>
        <v>0</v>
      </c>
      <c r="K220" s="65">
        <f>J220/$J$25</f>
        <v>0</v>
      </c>
    </row>
    <row r="221" spans="1:11" x14ac:dyDescent="0.2">
      <c r="A221" s="75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143">
        <f>+'ENERO 2025'!G221+'FEBRERO 2025'!G221</f>
        <v>0</v>
      </c>
      <c r="H221" s="143">
        <f>+'ENERO 2025'!H221+'FEBRERO 2025'!H221</f>
        <v>0</v>
      </c>
      <c r="I221" s="143"/>
      <c r="J221" s="143">
        <f t="shared" si="9"/>
        <v>0</v>
      </c>
      <c r="K221" s="65">
        <f>J221/$J$25</f>
        <v>0</v>
      </c>
    </row>
    <row r="222" spans="1:11" x14ac:dyDescent="0.2">
      <c r="A222" s="75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143">
        <f>+'ENERO 2025'!G222+'FEBRERO 2025'!G222</f>
        <v>0</v>
      </c>
      <c r="H222" s="143">
        <f>+'ENERO 2025'!H222+'FEBRERO 2025'!H222</f>
        <v>0</v>
      </c>
      <c r="I222" s="143"/>
      <c r="J222" s="143">
        <f t="shared" si="9"/>
        <v>0</v>
      </c>
      <c r="K222" s="65">
        <f>J222/$J$25</f>
        <v>0</v>
      </c>
    </row>
    <row r="223" spans="1:11" x14ac:dyDescent="0.2">
      <c r="A223" s="73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142">
        <f>+'ENERO 2025'!G223+'FEBRERO 2025'!G223</f>
        <v>0</v>
      </c>
      <c r="H223" s="142">
        <f>+'ENERO 2025'!H223+'FEBRERO 2025'!H223</f>
        <v>0</v>
      </c>
      <c r="I223" s="142"/>
      <c r="J223" s="142">
        <f t="shared" si="9"/>
        <v>0</v>
      </c>
      <c r="K223" s="68"/>
    </row>
    <row r="224" spans="1:11" x14ac:dyDescent="0.2">
      <c r="A224" s="75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143">
        <f>+'ENERO 2025'!G224+'FEBRERO 2025'!G224</f>
        <v>0</v>
      </c>
      <c r="H224" s="143">
        <f>+'ENERO 2025'!H224+'FEBRERO 2025'!H224</f>
        <v>0</v>
      </c>
      <c r="I224" s="143"/>
      <c r="J224" s="143">
        <f t="shared" si="9"/>
        <v>0</v>
      </c>
      <c r="K224" s="65">
        <f>J224/$J$25</f>
        <v>0</v>
      </c>
    </row>
    <row r="225" spans="1:11" x14ac:dyDescent="0.2">
      <c r="A225" s="71">
        <v>2</v>
      </c>
      <c r="B225" s="55">
        <v>3</v>
      </c>
      <c r="C225" s="55">
        <v>2</v>
      </c>
      <c r="D225" s="55"/>
      <c r="E225" s="79"/>
      <c r="F225" s="54" t="s">
        <v>200</v>
      </c>
      <c r="G225" s="141">
        <f>+'ENERO 2025'!G225+'FEBRERO 2025'!G225</f>
        <v>61630.73</v>
      </c>
      <c r="H225" s="141">
        <f>+'ENERO 2025'!H225+'FEBRERO 2025'!H225</f>
        <v>0</v>
      </c>
      <c r="I225" s="141"/>
      <c r="J225" s="141">
        <f t="shared" si="9"/>
        <v>61630.73</v>
      </c>
      <c r="K225" s="53"/>
    </row>
    <row r="226" spans="1:11" x14ac:dyDescent="0.2">
      <c r="A226" s="73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142">
        <f>+'ENERO 2025'!G226+'FEBRERO 2025'!G226</f>
        <v>0</v>
      </c>
      <c r="H226" s="142">
        <f>+'ENERO 2025'!H226+'FEBRERO 2025'!H226</f>
        <v>0</v>
      </c>
      <c r="I226" s="142"/>
      <c r="J226" s="142">
        <f t="shared" si="9"/>
        <v>0</v>
      </c>
      <c r="K226" s="68"/>
    </row>
    <row r="227" spans="1:11" x14ac:dyDescent="0.2">
      <c r="A227" s="75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143">
        <f>+'ENERO 2025'!G227+'FEBRERO 2025'!G227</f>
        <v>0</v>
      </c>
      <c r="H227" s="143">
        <f>+'ENERO 2025'!H227+'FEBRERO 2025'!H227</f>
        <v>0</v>
      </c>
      <c r="I227" s="143"/>
      <c r="J227" s="143">
        <f t="shared" si="9"/>
        <v>0</v>
      </c>
      <c r="K227" s="65">
        <f>J227/$J$25</f>
        <v>0</v>
      </c>
    </row>
    <row r="228" spans="1:11" x14ac:dyDescent="0.2">
      <c r="A228" s="73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142">
        <f>+'ENERO 2025'!G228+'FEBRERO 2025'!G228</f>
        <v>61630.73</v>
      </c>
      <c r="H228" s="142">
        <f>+'ENERO 2025'!H228+'FEBRERO 2025'!H228</f>
        <v>0</v>
      </c>
      <c r="I228" s="142"/>
      <c r="J228" s="142">
        <f t="shared" si="9"/>
        <v>61630.73</v>
      </c>
      <c r="K228" s="68"/>
    </row>
    <row r="229" spans="1:11" x14ac:dyDescent="0.2">
      <c r="A229" s="75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143">
        <f>+'ENERO 2025'!G229+'FEBRERO 2025'!G229</f>
        <v>61630.73</v>
      </c>
      <c r="H229" s="143">
        <f>+'ENERO 2025'!H229+'FEBRERO 2025'!H229</f>
        <v>0</v>
      </c>
      <c r="I229" s="143"/>
      <c r="J229" s="143">
        <f t="shared" si="9"/>
        <v>61630.73</v>
      </c>
      <c r="K229" s="65">
        <f>J229/$J$25</f>
        <v>3.5460118849931394E-4</v>
      </c>
    </row>
    <row r="230" spans="1:11" x14ac:dyDescent="0.2">
      <c r="A230" s="73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142">
        <f>+'ENERO 2025'!G230+'FEBRERO 2025'!G230</f>
        <v>0</v>
      </c>
      <c r="H230" s="142">
        <f>+'ENERO 2025'!H230+'FEBRERO 2025'!H230</f>
        <v>0</v>
      </c>
      <c r="I230" s="142"/>
      <c r="J230" s="142">
        <f t="shared" si="9"/>
        <v>0</v>
      </c>
      <c r="K230" s="68"/>
    </row>
    <row r="231" spans="1:11" x14ac:dyDescent="0.2">
      <c r="A231" s="75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143">
        <f>+'ENERO 2025'!G231+'FEBRERO 2025'!G231</f>
        <v>0</v>
      </c>
      <c r="H231" s="143">
        <f>+'ENERO 2025'!H231+'FEBRERO 2025'!H231</f>
        <v>0</v>
      </c>
      <c r="I231" s="143"/>
      <c r="J231" s="143">
        <f t="shared" si="9"/>
        <v>0</v>
      </c>
      <c r="K231" s="65">
        <f>J231/$J$25</f>
        <v>0</v>
      </c>
    </row>
    <row r="232" spans="1:11" x14ac:dyDescent="0.2">
      <c r="A232" s="71">
        <v>2</v>
      </c>
      <c r="B232" s="55">
        <v>3</v>
      </c>
      <c r="C232" s="55">
        <v>3</v>
      </c>
      <c r="D232" s="55"/>
      <c r="E232" s="79"/>
      <c r="F232" s="54" t="s">
        <v>204</v>
      </c>
      <c r="G232" s="141">
        <f>+'ENERO 2025'!G232+'FEBRERO 2025'!G232</f>
        <v>352366.67</v>
      </c>
      <c r="H232" s="141">
        <f>+'ENERO 2025'!H232+'FEBRERO 2025'!H232</f>
        <v>193166</v>
      </c>
      <c r="I232" s="141"/>
      <c r="J232" s="141">
        <f t="shared" si="9"/>
        <v>545532.66999999993</v>
      </c>
      <c r="K232" s="53"/>
    </row>
    <row r="233" spans="1:11" x14ac:dyDescent="0.2">
      <c r="A233" s="73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142">
        <f>+'ENERO 2025'!G233+'FEBRERO 2025'!G233</f>
        <v>0</v>
      </c>
      <c r="H233" s="142">
        <f>+'ENERO 2025'!H233+'FEBRERO 2025'!H233</f>
        <v>0</v>
      </c>
      <c r="I233" s="142"/>
      <c r="J233" s="142">
        <f t="shared" si="9"/>
        <v>0</v>
      </c>
      <c r="K233" s="68"/>
    </row>
    <row r="234" spans="1:11" x14ac:dyDescent="0.2">
      <c r="A234" s="75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143">
        <f>+'ENERO 2025'!G234+'FEBRERO 2025'!G234</f>
        <v>0</v>
      </c>
      <c r="H234" s="143">
        <f>+'ENERO 2025'!H234+'FEBRERO 2025'!H234</f>
        <v>0</v>
      </c>
      <c r="I234" s="143"/>
      <c r="J234" s="143">
        <f t="shared" si="9"/>
        <v>0</v>
      </c>
      <c r="K234" s="65">
        <f>J234/$J$25</f>
        <v>0</v>
      </c>
    </row>
    <row r="235" spans="1:11" x14ac:dyDescent="0.2">
      <c r="A235" s="73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142">
        <f>+'ENERO 2025'!G235+'FEBRERO 2025'!G235</f>
        <v>352366.67</v>
      </c>
      <c r="H235" s="142">
        <f>+'ENERO 2025'!H235+'FEBRERO 2025'!H235</f>
        <v>0</v>
      </c>
      <c r="I235" s="142"/>
      <c r="J235" s="142">
        <f t="shared" si="9"/>
        <v>352366.67</v>
      </c>
      <c r="K235" s="68"/>
    </row>
    <row r="236" spans="1:11" x14ac:dyDescent="0.2">
      <c r="A236" s="75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143">
        <f>+'ENERO 2025'!G236+'FEBRERO 2025'!G236</f>
        <v>352366.67</v>
      </c>
      <c r="H236" s="143">
        <f>+'ENERO 2025'!H236+'FEBRERO 2025'!H236</f>
        <v>0</v>
      </c>
      <c r="I236" s="143"/>
      <c r="J236" s="143">
        <f t="shared" si="9"/>
        <v>352366.67</v>
      </c>
      <c r="K236" s="65">
        <f>J236/$J$25</f>
        <v>2.0273918541861427E-3</v>
      </c>
    </row>
    <row r="237" spans="1:11" x14ac:dyDescent="0.2">
      <c r="A237" s="73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142">
        <f>+'ENERO 2025'!G237+'FEBRERO 2025'!G237</f>
        <v>0</v>
      </c>
      <c r="H237" s="142">
        <f>+'ENERO 2025'!H237+'FEBRERO 2025'!H237</f>
        <v>193166</v>
      </c>
      <c r="I237" s="142"/>
      <c r="J237" s="142">
        <f t="shared" si="9"/>
        <v>193166</v>
      </c>
      <c r="K237" s="68"/>
    </row>
    <row r="238" spans="1:11" x14ac:dyDescent="0.2">
      <c r="A238" s="75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143">
        <f>+'ENERO 2025'!G238+'FEBRERO 2025'!G238</f>
        <v>0</v>
      </c>
      <c r="H238" s="143">
        <f>+'ENERO 2025'!H238+'FEBRERO 2025'!H238</f>
        <v>193166</v>
      </c>
      <c r="I238" s="143"/>
      <c r="J238" s="143">
        <f t="shared" si="9"/>
        <v>193166</v>
      </c>
      <c r="K238" s="65">
        <f>J238/$J$25</f>
        <v>1.1114081104938798E-3</v>
      </c>
    </row>
    <row r="239" spans="1:11" x14ac:dyDescent="0.2">
      <c r="A239" s="73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142">
        <f>+'ENERO 2025'!G239+'FEBRERO 2025'!G239</f>
        <v>0</v>
      </c>
      <c r="H239" s="142">
        <f>+'ENERO 2025'!H239+'FEBRERO 2025'!H239</f>
        <v>0</v>
      </c>
      <c r="I239" s="142"/>
      <c r="J239" s="142">
        <f t="shared" si="9"/>
        <v>0</v>
      </c>
      <c r="K239" s="68"/>
    </row>
    <row r="240" spans="1:11" x14ac:dyDescent="0.2">
      <c r="A240" s="75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143">
        <f>+'ENERO 2025'!G240+'FEBRERO 2025'!G240</f>
        <v>0</v>
      </c>
      <c r="H240" s="143">
        <f>+'ENERO 2025'!H240+'FEBRERO 2025'!H240</f>
        <v>0</v>
      </c>
      <c r="I240" s="143"/>
      <c r="J240" s="143">
        <f t="shared" si="9"/>
        <v>0</v>
      </c>
      <c r="K240" s="65">
        <f>J240/$J$25</f>
        <v>0</v>
      </c>
    </row>
    <row r="241" spans="1:11" x14ac:dyDescent="0.2">
      <c r="A241" s="73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142">
        <f>+'ENERO 2025'!G241+'FEBRERO 2025'!G241</f>
        <v>0</v>
      </c>
      <c r="H241" s="142">
        <f>+'ENERO 2025'!H241+'FEBRERO 2025'!H241</f>
        <v>0</v>
      </c>
      <c r="I241" s="142"/>
      <c r="J241" s="142">
        <f t="shared" si="9"/>
        <v>0</v>
      </c>
      <c r="K241" s="68"/>
    </row>
    <row r="242" spans="1:11" x14ac:dyDescent="0.2">
      <c r="A242" s="75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143">
        <f>+'ENERO 2025'!G242+'FEBRERO 2025'!G242</f>
        <v>0</v>
      </c>
      <c r="H242" s="143">
        <f>+'ENERO 2025'!H242+'FEBRERO 2025'!H242</f>
        <v>0</v>
      </c>
      <c r="I242" s="143"/>
      <c r="J242" s="143">
        <f t="shared" si="9"/>
        <v>0</v>
      </c>
      <c r="K242" s="65">
        <f>J242/$J$25</f>
        <v>0</v>
      </c>
    </row>
    <row r="243" spans="1:11" x14ac:dyDescent="0.2">
      <c r="A243" s="73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142">
        <f>+'ENERO 2025'!G243+'FEBRERO 2025'!G243</f>
        <v>0</v>
      </c>
      <c r="H243" s="142">
        <f>+'ENERO 2025'!H243+'FEBRERO 2025'!H243</f>
        <v>0</v>
      </c>
      <c r="I243" s="142"/>
      <c r="J243" s="142">
        <f t="shared" si="9"/>
        <v>0</v>
      </c>
      <c r="K243" s="68"/>
    </row>
    <row r="244" spans="1:11" x14ac:dyDescent="0.2">
      <c r="A244" s="75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143">
        <f>+'ENERO 2025'!G244+'FEBRERO 2025'!G244</f>
        <v>0</v>
      </c>
      <c r="H244" s="143">
        <f>+'ENERO 2025'!H244+'FEBRERO 2025'!H244</f>
        <v>0</v>
      </c>
      <c r="I244" s="143"/>
      <c r="J244" s="143">
        <f t="shared" si="9"/>
        <v>0</v>
      </c>
      <c r="K244" s="65">
        <f>J244/$J$25</f>
        <v>0</v>
      </c>
    </row>
    <row r="245" spans="1:11" x14ac:dyDescent="0.2">
      <c r="A245" s="71">
        <v>2</v>
      </c>
      <c r="B245" s="55">
        <v>3</v>
      </c>
      <c r="C245" s="55">
        <v>4</v>
      </c>
      <c r="D245" s="55"/>
      <c r="E245" s="79"/>
      <c r="F245" s="54" t="s">
        <v>211</v>
      </c>
      <c r="G245" s="141">
        <f>+'ENERO 2025'!G245+'FEBRERO 2025'!G245</f>
        <v>3877407.6</v>
      </c>
      <c r="H245" s="141">
        <f>+'ENERO 2025'!H245+'FEBRERO 2025'!H245</f>
        <v>308000</v>
      </c>
      <c r="I245" s="141"/>
      <c r="J245" s="141">
        <f t="shared" si="9"/>
        <v>4185407.6</v>
      </c>
      <c r="K245" s="53"/>
    </row>
    <row r="246" spans="1:11" x14ac:dyDescent="0.2">
      <c r="A246" s="73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142">
        <f>+'ENERO 2025'!G246+'FEBRERO 2025'!G246</f>
        <v>3877407.6</v>
      </c>
      <c r="H246" s="142">
        <f>+'ENERO 2025'!H246+'FEBRERO 2025'!H246</f>
        <v>308000</v>
      </c>
      <c r="I246" s="142"/>
      <c r="J246" s="142">
        <f t="shared" si="9"/>
        <v>4185407.6</v>
      </c>
      <c r="K246" s="68"/>
    </row>
    <row r="247" spans="1:11" x14ac:dyDescent="0.2">
      <c r="A247" s="75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143">
        <f>+'ENERO 2025'!G247+'FEBRERO 2025'!G247</f>
        <v>3877407.6</v>
      </c>
      <c r="H247" s="143">
        <f>+'ENERO 2025'!H247+'FEBRERO 2025'!H247</f>
        <v>308000</v>
      </c>
      <c r="I247" s="143"/>
      <c r="J247" s="143">
        <f t="shared" si="9"/>
        <v>4185407.6</v>
      </c>
      <c r="K247" s="65">
        <f>J247/$J$25</f>
        <v>2.4081339119527891E-2</v>
      </c>
    </row>
    <row r="248" spans="1:11" x14ac:dyDescent="0.2">
      <c r="A248" s="73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142">
        <f>+'ENERO 2025'!G248+'FEBRERO 2025'!G248</f>
        <v>0</v>
      </c>
      <c r="H248" s="142">
        <f>+'ENERO 2025'!H248+'FEBRERO 2025'!H248</f>
        <v>0</v>
      </c>
      <c r="I248" s="142"/>
      <c r="J248" s="142">
        <f t="shared" si="9"/>
        <v>0</v>
      </c>
      <c r="K248" s="68"/>
    </row>
    <row r="249" spans="1:11" x14ac:dyDescent="0.2">
      <c r="A249" s="75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143">
        <f>+'ENERO 2025'!G249+'FEBRERO 2025'!G249</f>
        <v>0</v>
      </c>
      <c r="H249" s="143">
        <f>+'ENERO 2025'!H249+'FEBRERO 2025'!H249</f>
        <v>0</v>
      </c>
      <c r="I249" s="143"/>
      <c r="J249" s="143">
        <f t="shared" si="9"/>
        <v>0</v>
      </c>
      <c r="K249" s="65">
        <f>J249/$J$25</f>
        <v>0</v>
      </c>
    </row>
    <row r="250" spans="1:11" x14ac:dyDescent="0.2">
      <c r="A250" s="71">
        <v>2</v>
      </c>
      <c r="B250" s="55">
        <v>3</v>
      </c>
      <c r="C250" s="55">
        <v>5</v>
      </c>
      <c r="D250" s="55"/>
      <c r="E250" s="79"/>
      <c r="F250" s="54" t="s">
        <v>214</v>
      </c>
      <c r="G250" s="141">
        <f>+'ENERO 2025'!G250+'FEBRERO 2025'!G250</f>
        <v>0</v>
      </c>
      <c r="H250" s="141">
        <f>+'ENERO 2025'!H250+'FEBRERO 2025'!H250</f>
        <v>249831.2</v>
      </c>
      <c r="I250" s="141"/>
      <c r="J250" s="141">
        <f t="shared" si="9"/>
        <v>249831.2</v>
      </c>
      <c r="K250" s="53"/>
    </row>
    <row r="251" spans="1:11" x14ac:dyDescent="0.2">
      <c r="A251" s="73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142">
        <f>+'ENERO 2025'!G251+'FEBRERO 2025'!G251</f>
        <v>0</v>
      </c>
      <c r="H251" s="142">
        <f>+'ENERO 2025'!H251+'FEBRERO 2025'!H251</f>
        <v>0</v>
      </c>
      <c r="I251" s="142"/>
      <c r="J251" s="142">
        <f t="shared" si="9"/>
        <v>0</v>
      </c>
      <c r="K251" s="68"/>
    </row>
    <row r="252" spans="1:11" x14ac:dyDescent="0.2">
      <c r="A252" s="75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143">
        <f>+'ENERO 2025'!G252+'FEBRERO 2025'!G252</f>
        <v>0</v>
      </c>
      <c r="H252" s="143">
        <f>+'ENERO 2025'!H252+'FEBRERO 2025'!H252</f>
        <v>0</v>
      </c>
      <c r="I252" s="143"/>
      <c r="J252" s="143">
        <f t="shared" si="9"/>
        <v>0</v>
      </c>
      <c r="K252" s="65">
        <f>J252/$J$25</f>
        <v>0</v>
      </c>
    </row>
    <row r="253" spans="1:11" x14ac:dyDescent="0.2">
      <c r="A253" s="73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142">
        <f>+'ENERO 2025'!G253+'FEBRERO 2025'!G253</f>
        <v>0</v>
      </c>
      <c r="H253" s="142">
        <f>+'ENERO 2025'!H253+'FEBRERO 2025'!H253</f>
        <v>0</v>
      </c>
      <c r="I253" s="142"/>
      <c r="J253" s="142">
        <f t="shared" si="9"/>
        <v>0</v>
      </c>
      <c r="K253" s="68"/>
    </row>
    <row r="254" spans="1:11" x14ac:dyDescent="0.2">
      <c r="A254" s="75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143">
        <f>+'ENERO 2025'!G254+'FEBRERO 2025'!G254</f>
        <v>0</v>
      </c>
      <c r="H254" s="143">
        <f>+'ENERO 2025'!H254+'FEBRERO 2025'!H254</f>
        <v>0</v>
      </c>
      <c r="I254" s="143"/>
      <c r="J254" s="143">
        <f t="shared" si="9"/>
        <v>0</v>
      </c>
      <c r="K254" s="65">
        <f>J254/$J$25</f>
        <v>0</v>
      </c>
    </row>
    <row r="255" spans="1:11" x14ac:dyDescent="0.2">
      <c r="A255" s="73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142">
        <f>+'ENERO 2025'!G255+'FEBRERO 2025'!G255</f>
        <v>0</v>
      </c>
      <c r="H255" s="142">
        <f>+'ENERO 2025'!H255+'FEBRERO 2025'!H255</f>
        <v>0</v>
      </c>
      <c r="I255" s="142"/>
      <c r="J255" s="142">
        <f t="shared" si="9"/>
        <v>0</v>
      </c>
      <c r="K255" s="68"/>
    </row>
    <row r="256" spans="1:11" x14ac:dyDescent="0.2">
      <c r="A256" s="75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143">
        <f>+'ENERO 2025'!G256+'FEBRERO 2025'!G256</f>
        <v>0</v>
      </c>
      <c r="H256" s="143">
        <f>+'ENERO 2025'!H256+'FEBRERO 2025'!H256</f>
        <v>0</v>
      </c>
      <c r="I256" s="143"/>
      <c r="J256" s="143">
        <f t="shared" si="9"/>
        <v>0</v>
      </c>
      <c r="K256" s="65">
        <f>J256/$J$25</f>
        <v>0</v>
      </c>
    </row>
    <row r="257" spans="1:11" x14ac:dyDescent="0.2">
      <c r="A257" s="73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142">
        <f>+'ENERO 2025'!G257+'FEBRERO 2025'!G257</f>
        <v>0</v>
      </c>
      <c r="H257" s="142">
        <f>+'ENERO 2025'!H257+'FEBRERO 2025'!H257</f>
        <v>0</v>
      </c>
      <c r="I257" s="142"/>
      <c r="J257" s="142">
        <f t="shared" si="9"/>
        <v>0</v>
      </c>
      <c r="K257" s="68"/>
    </row>
    <row r="258" spans="1:11" x14ac:dyDescent="0.2">
      <c r="A258" s="75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143">
        <f>+'ENERO 2025'!G258+'FEBRERO 2025'!G258</f>
        <v>0</v>
      </c>
      <c r="H258" s="143">
        <f>+'ENERO 2025'!H258+'FEBRERO 2025'!H258</f>
        <v>0</v>
      </c>
      <c r="I258" s="143"/>
      <c r="J258" s="143">
        <f t="shared" si="9"/>
        <v>0</v>
      </c>
      <c r="K258" s="65">
        <f>J258/$J$25</f>
        <v>0</v>
      </c>
    </row>
    <row r="259" spans="1:11" x14ac:dyDescent="0.2">
      <c r="A259" s="73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142">
        <f>+'ENERO 2025'!G259+'FEBRERO 2025'!G259</f>
        <v>0</v>
      </c>
      <c r="H259" s="142">
        <f>+'ENERO 2025'!H259+'FEBRERO 2025'!H259</f>
        <v>249831.2</v>
      </c>
      <c r="I259" s="142"/>
      <c r="J259" s="142">
        <f t="shared" si="9"/>
        <v>249831.2</v>
      </c>
      <c r="K259" s="68"/>
    </row>
    <row r="260" spans="1:11" x14ac:dyDescent="0.2">
      <c r="A260" s="75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143">
        <f>+'ENERO 2025'!G260+'FEBRERO 2025'!G260</f>
        <v>0</v>
      </c>
      <c r="H260" s="143">
        <f>+'ENERO 2025'!H260+'FEBRERO 2025'!H260</f>
        <v>249831.2</v>
      </c>
      <c r="I260" s="143"/>
      <c r="J260" s="143">
        <f t="shared" si="9"/>
        <v>249831.2</v>
      </c>
      <c r="K260" s="65">
        <f>J260/$J$25</f>
        <v>1.4374394144643396E-3</v>
      </c>
    </row>
    <row r="261" spans="1:11" x14ac:dyDescent="0.2">
      <c r="A261" s="71">
        <v>2</v>
      </c>
      <c r="B261" s="55">
        <v>3</v>
      </c>
      <c r="C261" s="55">
        <v>6</v>
      </c>
      <c r="D261" s="55"/>
      <c r="E261" s="55"/>
      <c r="F261" s="54" t="s">
        <v>220</v>
      </c>
      <c r="G261" s="141">
        <f>+'ENERO 2025'!G261+'FEBRERO 2025'!G261</f>
        <v>11630.98</v>
      </c>
      <c r="H261" s="141">
        <f>+'ENERO 2025'!H261+'FEBRERO 2025'!H261</f>
        <v>183732.33000000002</v>
      </c>
      <c r="I261" s="141"/>
      <c r="J261" s="141">
        <f t="shared" si="9"/>
        <v>195363.31000000003</v>
      </c>
      <c r="K261" s="53"/>
    </row>
    <row r="262" spans="1:11" x14ac:dyDescent="0.2">
      <c r="A262" s="73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142">
        <f>+'ENERO 2025'!G262+'FEBRERO 2025'!G262</f>
        <v>0</v>
      </c>
      <c r="H262" s="142">
        <f>+'ENERO 2025'!H262+'FEBRERO 2025'!H262</f>
        <v>989.98</v>
      </c>
      <c r="I262" s="142"/>
      <c r="J262" s="142">
        <f t="shared" si="9"/>
        <v>989.98</v>
      </c>
      <c r="K262" s="68"/>
    </row>
    <row r="263" spans="1:11" x14ac:dyDescent="0.2">
      <c r="A263" s="75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143">
        <f>+'ENERO 2025'!G263+'FEBRERO 2025'!G263</f>
        <v>0</v>
      </c>
      <c r="H263" s="143">
        <f>+'ENERO 2025'!H263+'FEBRERO 2025'!H263</f>
        <v>989.98</v>
      </c>
      <c r="I263" s="143"/>
      <c r="J263" s="143">
        <f t="shared" si="9"/>
        <v>989.98</v>
      </c>
      <c r="K263" s="65">
        <f>J263/$J$25</f>
        <v>5.695991019261833E-6</v>
      </c>
    </row>
    <row r="264" spans="1:11" x14ac:dyDescent="0.2">
      <c r="A264" s="75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143">
        <f>+'ENERO 2025'!G264+'FEBRERO 2025'!G264</f>
        <v>0</v>
      </c>
      <c r="H264" s="143">
        <f>+'ENERO 2025'!H264+'FEBRERO 2025'!H264</f>
        <v>0</v>
      </c>
      <c r="I264" s="143"/>
      <c r="J264" s="143">
        <f t="shared" si="9"/>
        <v>0</v>
      </c>
      <c r="K264" s="65">
        <f>J264/$J$25</f>
        <v>0</v>
      </c>
    </row>
    <row r="265" spans="1:11" x14ac:dyDescent="0.2">
      <c r="A265" s="75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143">
        <f>+'ENERO 2025'!G265+'FEBRERO 2025'!G265</f>
        <v>0</v>
      </c>
      <c r="H265" s="143">
        <f>+'ENERO 2025'!H265+'FEBRERO 2025'!H265</f>
        <v>0</v>
      </c>
      <c r="I265" s="143"/>
      <c r="J265" s="143">
        <f t="shared" si="9"/>
        <v>0</v>
      </c>
      <c r="K265" s="65">
        <f>J265/$J$25</f>
        <v>0</v>
      </c>
    </row>
    <row r="266" spans="1:11" x14ac:dyDescent="0.2">
      <c r="A266" s="75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143">
        <f>+'ENERO 2025'!G266+'FEBRERO 2025'!G266</f>
        <v>0</v>
      </c>
      <c r="H266" s="143">
        <f>+'ENERO 2025'!H266+'FEBRERO 2025'!H266</f>
        <v>0</v>
      </c>
      <c r="I266" s="143"/>
      <c r="J266" s="143">
        <f t="shared" si="9"/>
        <v>0</v>
      </c>
      <c r="K266" s="65">
        <f>J266/$J$25</f>
        <v>0</v>
      </c>
    </row>
    <row r="267" spans="1:11" x14ac:dyDescent="0.2">
      <c r="A267" s="75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143">
        <f>+'ENERO 2025'!G267+'FEBRERO 2025'!G267</f>
        <v>0</v>
      </c>
      <c r="H267" s="143">
        <f>+'ENERO 2025'!H267+'FEBRERO 2025'!H267</f>
        <v>0</v>
      </c>
      <c r="I267" s="143"/>
      <c r="J267" s="143">
        <f t="shared" si="9"/>
        <v>0</v>
      </c>
      <c r="K267" s="65">
        <f>J267/$J$25</f>
        <v>0</v>
      </c>
    </row>
    <row r="268" spans="1:11" x14ac:dyDescent="0.2">
      <c r="A268" s="73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142">
        <f>+'ENERO 2025'!G268+'FEBRERO 2025'!G268</f>
        <v>0</v>
      </c>
      <c r="H268" s="142">
        <f>+'ENERO 2025'!H268+'FEBRERO 2025'!H268</f>
        <v>123045.27</v>
      </c>
      <c r="I268" s="142"/>
      <c r="J268" s="142">
        <f t="shared" si="9"/>
        <v>123045.27</v>
      </c>
      <c r="K268" s="68"/>
    </row>
    <row r="269" spans="1:11" x14ac:dyDescent="0.2">
      <c r="A269" s="75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143">
        <f>+'ENERO 2025'!G269+'FEBRERO 2025'!G269</f>
        <v>0</v>
      </c>
      <c r="H269" s="143">
        <f>+'ENERO 2025'!H269+'FEBRERO 2025'!H269</f>
        <v>0</v>
      </c>
      <c r="I269" s="143"/>
      <c r="J269" s="143">
        <f t="shared" si="9"/>
        <v>0</v>
      </c>
      <c r="K269" s="65">
        <f>J269/$J$25</f>
        <v>0</v>
      </c>
    </row>
    <row r="270" spans="1:11" x14ac:dyDescent="0.2">
      <c r="A270" s="75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143">
        <f>+'ENERO 2025'!G270+'FEBRERO 2025'!G270</f>
        <v>0</v>
      </c>
      <c r="H270" s="143">
        <f>+'ENERO 2025'!H270+'FEBRERO 2025'!H270</f>
        <v>0</v>
      </c>
      <c r="I270" s="143"/>
      <c r="J270" s="143">
        <f t="shared" si="9"/>
        <v>0</v>
      </c>
      <c r="K270" s="65">
        <f>J270/$J$25</f>
        <v>0</v>
      </c>
    </row>
    <row r="271" spans="1:11" x14ac:dyDescent="0.2">
      <c r="A271" s="75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143">
        <f>+'ENERO 2025'!G271+'FEBRERO 2025'!G271</f>
        <v>0</v>
      </c>
      <c r="H271" s="143">
        <f>+'ENERO 2025'!H271+'FEBRERO 2025'!H271</f>
        <v>123045.27</v>
      </c>
      <c r="I271" s="143"/>
      <c r="J271" s="143">
        <f t="shared" si="9"/>
        <v>123045.27</v>
      </c>
      <c r="K271" s="65">
        <f>J271/$J$25</f>
        <v>7.0795849702281598E-4</v>
      </c>
    </row>
    <row r="272" spans="1:11" x14ac:dyDescent="0.2">
      <c r="A272" s="73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142">
        <f>+'ENERO 2025'!G272+'FEBRERO 2025'!G272</f>
        <v>11630.98</v>
      </c>
      <c r="H272" s="142">
        <f>+'ENERO 2025'!H272+'FEBRERO 2025'!H272</f>
        <v>59697.08</v>
      </c>
      <c r="I272" s="142"/>
      <c r="J272" s="142">
        <f t="shared" si="9"/>
        <v>71328.06</v>
      </c>
      <c r="K272" s="68"/>
    </row>
    <row r="273" spans="1:11" x14ac:dyDescent="0.2">
      <c r="A273" s="75">
        <v>2</v>
      </c>
      <c r="B273" s="62">
        <v>3</v>
      </c>
      <c r="C273" s="62">
        <v>6</v>
      </c>
      <c r="D273" s="62">
        <v>3</v>
      </c>
      <c r="E273" s="63" t="s">
        <v>41</v>
      </c>
      <c r="F273" s="82" t="s">
        <v>232</v>
      </c>
      <c r="G273" s="144">
        <f>+'ENERO 2025'!G273+'FEBRERO 2025'!G273</f>
        <v>1261.1300000000001</v>
      </c>
      <c r="H273" s="144">
        <f>+'ENERO 2025'!H273+'FEBRERO 2025'!H273</f>
        <v>0</v>
      </c>
      <c r="I273" s="144"/>
      <c r="J273" s="144">
        <f t="shared" si="9"/>
        <v>1261.1300000000001</v>
      </c>
      <c r="K273" s="65">
        <f>J273/$J$25</f>
        <v>7.2560911878236686E-6</v>
      </c>
    </row>
    <row r="274" spans="1:11" x14ac:dyDescent="0.2">
      <c r="A274" s="75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143">
        <f>+'ENERO 2025'!G274+'FEBRERO 2025'!G274</f>
        <v>0</v>
      </c>
      <c r="H274" s="143">
        <f>+'ENERO 2025'!H274+'FEBRERO 2025'!H274</f>
        <v>0</v>
      </c>
      <c r="I274" s="143"/>
      <c r="J274" s="143">
        <f t="shared" si="9"/>
        <v>0</v>
      </c>
      <c r="K274" s="65">
        <f>J274/$J$25</f>
        <v>0</v>
      </c>
    </row>
    <row r="275" spans="1:11" x14ac:dyDescent="0.2">
      <c r="A275" s="75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143">
        <f>+'ENERO 2025'!G275+'FEBRERO 2025'!G275</f>
        <v>10369.85</v>
      </c>
      <c r="H275" s="143">
        <f>+'ENERO 2025'!H275+'FEBRERO 2025'!H275</f>
        <v>59697.08</v>
      </c>
      <c r="I275" s="143"/>
      <c r="J275" s="143">
        <f t="shared" si="9"/>
        <v>70066.930000000008</v>
      </c>
      <c r="K275" s="65">
        <f>J275/$J$25</f>
        <v>4.0314006750363394E-4</v>
      </c>
    </row>
    <row r="276" spans="1:11" x14ac:dyDescent="0.2">
      <c r="A276" s="73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142">
        <f>+'ENERO 2025'!G276+'FEBRERO 2025'!G276</f>
        <v>0</v>
      </c>
      <c r="H276" s="142">
        <f>+'ENERO 2025'!H276+'FEBRERO 2025'!H276</f>
        <v>0</v>
      </c>
      <c r="I276" s="142"/>
      <c r="J276" s="142">
        <f t="shared" si="9"/>
        <v>0</v>
      </c>
      <c r="K276" s="68"/>
    </row>
    <row r="277" spans="1:11" x14ac:dyDescent="0.2">
      <c r="A277" s="75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143">
        <f>+'ENERO 2025'!G277+'FEBRERO 2025'!G277</f>
        <v>0</v>
      </c>
      <c r="H277" s="143">
        <f>+'ENERO 2025'!H277+'FEBRERO 2025'!H277</f>
        <v>0</v>
      </c>
      <c r="I277" s="143"/>
      <c r="J277" s="143">
        <f t="shared" si="9"/>
        <v>0</v>
      </c>
      <c r="K277" s="65">
        <f t="shared" ref="K277:K283" si="10">J277/$J$25</f>
        <v>0</v>
      </c>
    </row>
    <row r="278" spans="1:11" x14ac:dyDescent="0.2">
      <c r="A278" s="75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143">
        <f>+'ENERO 2025'!G278+'FEBRERO 2025'!G278</f>
        <v>0</v>
      </c>
      <c r="H278" s="143">
        <f>+'ENERO 2025'!H278+'FEBRERO 2025'!H278</f>
        <v>0</v>
      </c>
      <c r="I278" s="143"/>
      <c r="J278" s="143">
        <f t="shared" si="9"/>
        <v>0</v>
      </c>
      <c r="K278" s="65">
        <f t="shared" si="10"/>
        <v>0</v>
      </c>
    </row>
    <row r="279" spans="1:11" x14ac:dyDescent="0.2">
      <c r="A279" s="75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143">
        <f>+'ENERO 2025'!G279+'FEBRERO 2025'!G279</f>
        <v>0</v>
      </c>
      <c r="H279" s="143">
        <f>+'ENERO 2025'!H279+'FEBRERO 2025'!H279</f>
        <v>0</v>
      </c>
      <c r="I279" s="143"/>
      <c r="J279" s="143">
        <f t="shared" si="9"/>
        <v>0</v>
      </c>
      <c r="K279" s="65">
        <f t="shared" si="10"/>
        <v>0</v>
      </c>
    </row>
    <row r="280" spans="1:11" x14ac:dyDescent="0.2">
      <c r="A280" s="75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143">
        <f>+'ENERO 2025'!G280+'FEBRERO 2025'!G280</f>
        <v>0</v>
      </c>
      <c r="H280" s="143">
        <f>+'ENERO 2025'!H280+'FEBRERO 2025'!H280</f>
        <v>0</v>
      </c>
      <c r="I280" s="143"/>
      <c r="J280" s="143">
        <f t="shared" si="9"/>
        <v>0</v>
      </c>
      <c r="K280" s="65">
        <f t="shared" si="10"/>
        <v>0</v>
      </c>
    </row>
    <row r="281" spans="1:11" x14ac:dyDescent="0.2">
      <c r="A281" s="75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143">
        <f>+'ENERO 2025'!G281+'FEBRERO 2025'!G281</f>
        <v>0</v>
      </c>
      <c r="H281" s="143">
        <f>+'ENERO 2025'!H281+'FEBRERO 2025'!H281</f>
        <v>0</v>
      </c>
      <c r="I281" s="143"/>
      <c r="J281" s="143">
        <f t="shared" si="9"/>
        <v>0</v>
      </c>
      <c r="K281" s="65">
        <f t="shared" si="10"/>
        <v>0</v>
      </c>
    </row>
    <row r="282" spans="1:11" x14ac:dyDescent="0.2">
      <c r="A282" s="75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143">
        <f>+'ENERO 2025'!G282+'FEBRERO 2025'!G282</f>
        <v>0</v>
      </c>
      <c r="H282" s="143">
        <f>+'ENERO 2025'!H282+'FEBRERO 2025'!H282</f>
        <v>0</v>
      </c>
      <c r="I282" s="143"/>
      <c r="J282" s="143">
        <f t="shared" ref="J282:J345" si="11">+G282+H282</f>
        <v>0</v>
      </c>
      <c r="K282" s="65">
        <f t="shared" si="10"/>
        <v>0</v>
      </c>
    </row>
    <row r="283" spans="1:11" x14ac:dyDescent="0.2">
      <c r="A283" s="75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143">
        <f>+'ENERO 2025'!G283+'FEBRERO 2025'!G283</f>
        <v>0</v>
      </c>
      <c r="H283" s="143">
        <f>+'ENERO 2025'!H283+'FEBRERO 2025'!H283</f>
        <v>0</v>
      </c>
      <c r="I283" s="143"/>
      <c r="J283" s="143">
        <f t="shared" si="11"/>
        <v>0</v>
      </c>
      <c r="K283" s="65">
        <f t="shared" si="10"/>
        <v>0</v>
      </c>
    </row>
    <row r="284" spans="1:11" x14ac:dyDescent="0.2">
      <c r="A284" s="73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142">
        <f>+'ENERO 2025'!G284+'FEBRERO 2025'!G284</f>
        <v>0</v>
      </c>
      <c r="H284" s="142">
        <f>+'ENERO 2025'!H284+'FEBRERO 2025'!H284</f>
        <v>0</v>
      </c>
      <c r="I284" s="142"/>
      <c r="J284" s="142">
        <f t="shared" si="11"/>
        <v>0</v>
      </c>
      <c r="K284" s="68"/>
    </row>
    <row r="285" spans="1:11" x14ac:dyDescent="0.2">
      <c r="A285" s="75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143">
        <f>+'ENERO 2025'!G285+'FEBRERO 2025'!G285</f>
        <v>0</v>
      </c>
      <c r="H285" s="143">
        <f>+'ENERO 2025'!H285+'FEBRERO 2025'!H285</f>
        <v>0</v>
      </c>
      <c r="I285" s="143"/>
      <c r="J285" s="143">
        <f t="shared" si="11"/>
        <v>0</v>
      </c>
      <c r="K285" s="65">
        <f>J285/$J$25</f>
        <v>0</v>
      </c>
    </row>
    <row r="286" spans="1:11" x14ac:dyDescent="0.2">
      <c r="A286" s="54">
        <v>2</v>
      </c>
      <c r="B286" s="55">
        <v>3</v>
      </c>
      <c r="C286" s="55">
        <v>7</v>
      </c>
      <c r="D286" s="55"/>
      <c r="E286" s="55"/>
      <c r="F286" s="84" t="s">
        <v>245</v>
      </c>
      <c r="G286" s="151">
        <f>+'ENERO 2025'!G286+'FEBRERO 2025'!G286</f>
        <v>5747578.9399999995</v>
      </c>
      <c r="H286" s="151">
        <f>+'ENERO 2025'!H286+'FEBRERO 2025'!H286</f>
        <v>1343005.57</v>
      </c>
      <c r="I286" s="151"/>
      <c r="J286" s="151">
        <f t="shared" si="11"/>
        <v>7090584.5099999998</v>
      </c>
      <c r="K286" s="53"/>
    </row>
    <row r="287" spans="1:11" x14ac:dyDescent="0.2">
      <c r="A287" s="73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142">
        <f>+'ENERO 2025'!G287+'FEBRERO 2025'!G287</f>
        <v>0</v>
      </c>
      <c r="H287" s="142">
        <f>+'ENERO 2025'!H287+'FEBRERO 2025'!H287</f>
        <v>417356.97</v>
      </c>
      <c r="I287" s="142"/>
      <c r="J287" s="142">
        <f t="shared" si="11"/>
        <v>417356.97</v>
      </c>
      <c r="K287" s="68"/>
    </row>
    <row r="288" spans="1:11" x14ac:dyDescent="0.2">
      <c r="A288" s="75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143">
        <f>+'ENERO 2025'!G288+'FEBRERO 2025'!G288</f>
        <v>0</v>
      </c>
      <c r="H288" s="143">
        <f>+'ENERO 2025'!H288+'FEBRERO 2025'!H288</f>
        <v>344000</v>
      </c>
      <c r="I288" s="143"/>
      <c r="J288" s="143">
        <f t="shared" si="11"/>
        <v>344000</v>
      </c>
      <c r="K288" s="65">
        <f t="shared" ref="K288:K294" si="12">J288/$J$25</f>
        <v>1.9792530259460498E-3</v>
      </c>
    </row>
    <row r="289" spans="1:11" x14ac:dyDescent="0.2">
      <c r="A289" s="75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143">
        <f>+'ENERO 2025'!G289+'FEBRERO 2025'!G289</f>
        <v>0</v>
      </c>
      <c r="H289" s="143">
        <f>+'ENERO 2025'!H289+'FEBRERO 2025'!H289</f>
        <v>0</v>
      </c>
      <c r="I289" s="143"/>
      <c r="J289" s="143">
        <f t="shared" si="11"/>
        <v>0</v>
      </c>
      <c r="K289" s="65">
        <f t="shared" si="12"/>
        <v>0</v>
      </c>
    </row>
    <row r="290" spans="1:11" x14ac:dyDescent="0.2">
      <c r="A290" s="75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143">
        <f>+'ENERO 2025'!G290+'FEBRERO 2025'!G290</f>
        <v>0</v>
      </c>
      <c r="H290" s="143">
        <f>+'ENERO 2025'!H290+'FEBRERO 2025'!H290</f>
        <v>0</v>
      </c>
      <c r="I290" s="143"/>
      <c r="J290" s="143">
        <f t="shared" si="11"/>
        <v>0</v>
      </c>
      <c r="K290" s="65">
        <f t="shared" si="12"/>
        <v>0</v>
      </c>
    </row>
    <row r="291" spans="1:11" x14ac:dyDescent="0.2">
      <c r="A291" s="75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143">
        <f>+'ENERO 2025'!G291+'FEBRERO 2025'!G291</f>
        <v>0</v>
      </c>
      <c r="H291" s="143">
        <f>+'ENERO 2025'!H291+'FEBRERO 2025'!H291</f>
        <v>73356.97</v>
      </c>
      <c r="I291" s="143"/>
      <c r="J291" s="143">
        <f t="shared" si="11"/>
        <v>73356.97</v>
      </c>
      <c r="K291" s="65">
        <f t="shared" si="12"/>
        <v>4.2206978153120234E-4</v>
      </c>
    </row>
    <row r="292" spans="1:11" x14ac:dyDescent="0.2">
      <c r="A292" s="75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143">
        <f>+'ENERO 2025'!G292+'FEBRERO 2025'!G292</f>
        <v>0</v>
      </c>
      <c r="H292" s="143">
        <f>+'ENERO 2025'!H292+'FEBRERO 2025'!H292</f>
        <v>0</v>
      </c>
      <c r="I292" s="143"/>
      <c r="J292" s="143">
        <f t="shared" si="11"/>
        <v>0</v>
      </c>
      <c r="K292" s="65">
        <f t="shared" si="12"/>
        <v>0</v>
      </c>
    </row>
    <row r="293" spans="1:11" x14ac:dyDescent="0.2">
      <c r="A293" s="75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143">
        <f>+'ENERO 2025'!G293+'FEBRERO 2025'!G293</f>
        <v>0</v>
      </c>
      <c r="H293" s="143">
        <f>+'ENERO 2025'!H293+'FEBRERO 2025'!H293</f>
        <v>0</v>
      </c>
      <c r="I293" s="143"/>
      <c r="J293" s="143">
        <f t="shared" si="11"/>
        <v>0</v>
      </c>
      <c r="K293" s="65">
        <f t="shared" si="12"/>
        <v>0</v>
      </c>
    </row>
    <row r="294" spans="1:11" x14ac:dyDescent="0.2">
      <c r="A294" s="75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143">
        <f>+'ENERO 2025'!G294+'FEBRERO 2025'!G294</f>
        <v>0</v>
      </c>
      <c r="H294" s="143">
        <f>+'ENERO 2025'!H294+'FEBRERO 2025'!H294</f>
        <v>0</v>
      </c>
      <c r="I294" s="143"/>
      <c r="J294" s="143">
        <f t="shared" si="11"/>
        <v>0</v>
      </c>
      <c r="K294" s="65">
        <f t="shared" si="12"/>
        <v>0</v>
      </c>
    </row>
    <row r="295" spans="1:11" x14ac:dyDescent="0.2">
      <c r="A295" s="73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142">
        <f>+'ENERO 2025'!G295+'FEBRERO 2025'!G295</f>
        <v>5747578.9399999995</v>
      </c>
      <c r="H295" s="142">
        <f>+'ENERO 2025'!H295+'FEBRERO 2025'!H295</f>
        <v>925648.6</v>
      </c>
      <c r="I295" s="142"/>
      <c r="J295" s="142">
        <f t="shared" si="11"/>
        <v>6673227.5399999991</v>
      </c>
      <c r="K295" s="68"/>
    </row>
    <row r="296" spans="1:11" x14ac:dyDescent="0.2">
      <c r="A296" s="75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143">
        <f>+'ENERO 2025'!G296+'FEBRERO 2025'!G296</f>
        <v>0</v>
      </c>
      <c r="H296" s="143">
        <f>+'ENERO 2025'!H296+'FEBRERO 2025'!H296</f>
        <v>0</v>
      </c>
      <c r="I296" s="143"/>
      <c r="J296" s="143">
        <f t="shared" si="11"/>
        <v>0</v>
      </c>
      <c r="K296" s="65">
        <f t="shared" ref="K296:K302" si="13">J296/$J$25</f>
        <v>0</v>
      </c>
    </row>
    <row r="297" spans="1:11" x14ac:dyDescent="0.2">
      <c r="A297" s="75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143">
        <f>+'ENERO 2025'!G297+'FEBRERO 2025'!G297</f>
        <v>0</v>
      </c>
      <c r="H297" s="143">
        <f>+'ENERO 2025'!H297+'FEBRERO 2025'!H297</f>
        <v>0</v>
      </c>
      <c r="I297" s="143"/>
      <c r="J297" s="143">
        <f t="shared" si="11"/>
        <v>0</v>
      </c>
      <c r="K297" s="65">
        <f t="shared" si="13"/>
        <v>0</v>
      </c>
    </row>
    <row r="298" spans="1:11" x14ac:dyDescent="0.2">
      <c r="A298" s="75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143">
        <f>+'ENERO 2025'!G298+'FEBRERO 2025'!G298</f>
        <v>5096851.04</v>
      </c>
      <c r="H298" s="143">
        <f>+'ENERO 2025'!H298+'FEBRERO 2025'!H298</f>
        <v>25875</v>
      </c>
      <c r="I298" s="143"/>
      <c r="J298" s="143">
        <f t="shared" si="11"/>
        <v>5122726.04</v>
      </c>
      <c r="K298" s="65">
        <f t="shared" si="13"/>
        <v>2.9474334348147165E-2</v>
      </c>
    </row>
    <row r="299" spans="1:11" x14ac:dyDescent="0.2">
      <c r="A299" s="75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143">
        <f>+'ENERO 2025'!G299+'FEBRERO 2025'!G299</f>
        <v>0</v>
      </c>
      <c r="H299" s="143">
        <f>+'ENERO 2025'!H299+'FEBRERO 2025'!H299</f>
        <v>0</v>
      </c>
      <c r="I299" s="143"/>
      <c r="J299" s="143">
        <f t="shared" si="11"/>
        <v>0</v>
      </c>
      <c r="K299" s="65">
        <f t="shared" si="13"/>
        <v>0</v>
      </c>
    </row>
    <row r="300" spans="1:11" x14ac:dyDescent="0.2">
      <c r="A300" s="75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143">
        <f>+'ENERO 2025'!G300+'FEBRERO 2025'!G300</f>
        <v>0</v>
      </c>
      <c r="H300" s="143">
        <f>+'ENERO 2025'!H300+'FEBRERO 2025'!H300</f>
        <v>0</v>
      </c>
      <c r="I300" s="143"/>
      <c r="J300" s="143">
        <f t="shared" si="11"/>
        <v>0</v>
      </c>
      <c r="K300" s="65">
        <f t="shared" si="13"/>
        <v>0</v>
      </c>
    </row>
    <row r="301" spans="1:11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5" t="s">
        <v>260</v>
      </c>
      <c r="G301" s="152">
        <f>+'ENERO 2025'!G301+'FEBRERO 2025'!G301</f>
        <v>0</v>
      </c>
      <c r="H301" s="152">
        <f>+'ENERO 2025'!H301+'FEBRERO 2025'!H301</f>
        <v>0</v>
      </c>
      <c r="I301" s="152"/>
      <c r="J301" s="152">
        <f t="shared" si="11"/>
        <v>0</v>
      </c>
      <c r="K301" s="65">
        <f t="shared" si="13"/>
        <v>0</v>
      </c>
    </row>
    <row r="302" spans="1:11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5" t="s">
        <v>261</v>
      </c>
      <c r="G302" s="152">
        <f>+'ENERO 2025'!G302+'FEBRERO 2025'!G302</f>
        <v>650727.9</v>
      </c>
      <c r="H302" s="152">
        <f>+'ENERO 2025'!H302+'FEBRERO 2025'!H302</f>
        <v>899773.6</v>
      </c>
      <c r="I302" s="152"/>
      <c r="J302" s="152">
        <f t="shared" si="11"/>
        <v>1550501.5</v>
      </c>
      <c r="K302" s="65">
        <f t="shared" si="13"/>
        <v>8.9210313535142121E-3</v>
      </c>
    </row>
    <row r="303" spans="1:11" ht="25.5" x14ac:dyDescent="0.2">
      <c r="A303" s="54">
        <v>2</v>
      </c>
      <c r="B303" s="55">
        <v>3</v>
      </c>
      <c r="C303" s="55">
        <v>8</v>
      </c>
      <c r="D303" s="55"/>
      <c r="E303" s="55"/>
      <c r="F303" s="84" t="s">
        <v>262</v>
      </c>
      <c r="G303" s="151">
        <f>+'ENERO 2025'!G303+'FEBRERO 2025'!G303</f>
        <v>0</v>
      </c>
      <c r="H303" s="151">
        <f>+'ENERO 2025'!H303+'FEBRERO 2025'!H303</f>
        <v>0</v>
      </c>
      <c r="I303" s="151"/>
      <c r="J303" s="151">
        <f t="shared" si="11"/>
        <v>0</v>
      </c>
      <c r="K303" s="53"/>
    </row>
    <row r="304" spans="1:11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142">
        <f>+'ENERO 2025'!G304+'FEBRERO 2025'!G304</f>
        <v>0</v>
      </c>
      <c r="H304" s="142">
        <f>+'ENERO 2025'!H304+'FEBRERO 2025'!H304</f>
        <v>0</v>
      </c>
      <c r="I304" s="142"/>
      <c r="J304" s="142">
        <f t="shared" si="11"/>
        <v>0</v>
      </c>
      <c r="K304" s="68"/>
    </row>
    <row r="305" spans="1:11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143">
        <f>+'ENERO 2025'!G305+'FEBRERO 2025'!G305</f>
        <v>0</v>
      </c>
      <c r="H305" s="143">
        <f>+'ENERO 2025'!H305+'FEBRERO 2025'!H305</f>
        <v>0</v>
      </c>
      <c r="I305" s="143"/>
      <c r="J305" s="143">
        <f t="shared" si="11"/>
        <v>0</v>
      </c>
      <c r="K305" s="65">
        <f>J305/$J$25</f>
        <v>0</v>
      </c>
    </row>
    <row r="306" spans="1:11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3" t="s">
        <v>264</v>
      </c>
      <c r="G306" s="150">
        <f>+'ENERO 2025'!G306+'FEBRERO 2025'!G306</f>
        <v>0</v>
      </c>
      <c r="H306" s="150">
        <f>+'ENERO 2025'!H306+'FEBRERO 2025'!H306</f>
        <v>0</v>
      </c>
      <c r="I306" s="150"/>
      <c r="J306" s="150">
        <f t="shared" si="11"/>
        <v>0</v>
      </c>
      <c r="K306" s="68"/>
    </row>
    <row r="307" spans="1:11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2" t="s">
        <v>264</v>
      </c>
      <c r="G307" s="144">
        <f>+'ENERO 2025'!G307+'FEBRERO 2025'!G307</f>
        <v>0</v>
      </c>
      <c r="H307" s="144">
        <f>+'ENERO 2025'!H307+'FEBRERO 2025'!H307</f>
        <v>0</v>
      </c>
      <c r="I307" s="144"/>
      <c r="J307" s="144">
        <f t="shared" si="11"/>
        <v>0</v>
      </c>
      <c r="K307" s="65">
        <f>J307/$J$25</f>
        <v>0</v>
      </c>
    </row>
    <row r="308" spans="1:11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141">
        <f>+'ENERO 2025'!G308+'FEBRERO 2025'!G308</f>
        <v>8761657.3499999996</v>
      </c>
      <c r="H308" s="141">
        <f>+'ENERO 2025'!H308+'FEBRERO 2025'!H308</f>
        <v>2375317.06</v>
      </c>
      <c r="I308" s="141"/>
      <c r="J308" s="141">
        <f t="shared" si="11"/>
        <v>11136974.41</v>
      </c>
      <c r="K308" s="53"/>
    </row>
    <row r="309" spans="1:11" x14ac:dyDescent="0.2">
      <c r="A309" s="73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142">
        <f>+'ENERO 2025'!G309+'FEBRERO 2025'!G309</f>
        <v>1107347.4699999997</v>
      </c>
      <c r="H309" s="142">
        <f>+'ENERO 2025'!H309+'FEBRERO 2025'!H309</f>
        <v>0</v>
      </c>
      <c r="I309" s="142"/>
      <c r="J309" s="142">
        <f t="shared" si="11"/>
        <v>1107347.4699999997</v>
      </c>
      <c r="K309" s="68"/>
    </row>
    <row r="310" spans="1:11" x14ac:dyDescent="0.2">
      <c r="A310" s="75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143">
        <f>+'ENERO 2025'!G310+'FEBRERO 2025'!G310</f>
        <v>1107347.4699999997</v>
      </c>
      <c r="H310" s="143">
        <f>+'ENERO 2025'!H310+'FEBRERO 2025'!H310</f>
        <v>0</v>
      </c>
      <c r="I310" s="143"/>
      <c r="J310" s="143">
        <f t="shared" si="11"/>
        <v>1107347.4699999997</v>
      </c>
      <c r="K310" s="65">
        <f>J310/$J$25</f>
        <v>6.371281484800006E-3</v>
      </c>
    </row>
    <row r="311" spans="1:11" x14ac:dyDescent="0.2">
      <c r="A311" s="75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143">
        <f>+'ENERO 2025'!G311+'FEBRERO 2025'!G311</f>
        <v>0</v>
      </c>
      <c r="H311" s="143">
        <f>+'ENERO 2025'!H311+'FEBRERO 2025'!H311</f>
        <v>0</v>
      </c>
      <c r="I311" s="143"/>
      <c r="J311" s="143">
        <f t="shared" si="11"/>
        <v>0</v>
      </c>
      <c r="K311" s="65">
        <f>J311/$J$25</f>
        <v>0</v>
      </c>
    </row>
    <row r="312" spans="1:11" x14ac:dyDescent="0.2">
      <c r="A312" s="73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142">
        <f>+'ENERO 2025'!G312+'FEBRERO 2025'!G312</f>
        <v>0</v>
      </c>
      <c r="H312" s="142">
        <f>+'ENERO 2025'!H312+'FEBRERO 2025'!H312</f>
        <v>0</v>
      </c>
      <c r="I312" s="142"/>
      <c r="J312" s="142">
        <f t="shared" si="11"/>
        <v>0</v>
      </c>
      <c r="K312" s="68"/>
    </row>
    <row r="313" spans="1:11" x14ac:dyDescent="0.2">
      <c r="A313" s="75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143">
        <f>+'ENERO 2025'!G313+'FEBRERO 2025'!G313</f>
        <v>0</v>
      </c>
      <c r="H313" s="143">
        <f>+'ENERO 2025'!H313+'FEBRERO 2025'!H313</f>
        <v>0</v>
      </c>
      <c r="I313" s="143"/>
      <c r="J313" s="143">
        <f t="shared" si="11"/>
        <v>0</v>
      </c>
      <c r="K313" s="65">
        <f>J313/$J$25</f>
        <v>0</v>
      </c>
    </row>
    <row r="314" spans="1:11" x14ac:dyDescent="0.2">
      <c r="A314" s="73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142">
        <f>+'ENERO 2025'!G314+'FEBRERO 2025'!G314</f>
        <v>6625835.4700000007</v>
      </c>
      <c r="H314" s="142">
        <f>+'ENERO 2025'!H314+'FEBRERO 2025'!H314</f>
        <v>2219141.13</v>
      </c>
      <c r="I314" s="142"/>
      <c r="J314" s="142">
        <f t="shared" si="11"/>
        <v>8844976.6000000015</v>
      </c>
      <c r="K314" s="68"/>
    </row>
    <row r="315" spans="1:11" x14ac:dyDescent="0.2">
      <c r="A315" s="75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143">
        <f>+'ENERO 2025'!G315+'FEBRERO 2025'!G315</f>
        <v>6625835.4700000007</v>
      </c>
      <c r="H315" s="143">
        <f>+'ENERO 2025'!H315+'FEBRERO 2025'!H315</f>
        <v>2219141.13</v>
      </c>
      <c r="I315" s="143"/>
      <c r="J315" s="143">
        <f t="shared" si="11"/>
        <v>8844976.6000000015</v>
      </c>
      <c r="K315" s="65">
        <f>J315/$J$25</f>
        <v>5.0890833430151182E-2</v>
      </c>
    </row>
    <row r="316" spans="1:11" x14ac:dyDescent="0.2">
      <c r="A316" s="73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142">
        <f>+'ENERO 2025'!G316+'FEBRERO 2025'!G316</f>
        <v>0</v>
      </c>
      <c r="H316" s="142">
        <f>+'ENERO 2025'!H316+'FEBRERO 2025'!H316</f>
        <v>0</v>
      </c>
      <c r="I316" s="142"/>
      <c r="J316" s="142">
        <f t="shared" si="11"/>
        <v>0</v>
      </c>
      <c r="K316" s="68"/>
    </row>
    <row r="317" spans="1:11" x14ac:dyDescent="0.2">
      <c r="A317" s="75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143">
        <f>+'ENERO 2025'!G317+'FEBRERO 2025'!G317</f>
        <v>0</v>
      </c>
      <c r="H317" s="143">
        <f>+'ENERO 2025'!H317+'FEBRERO 2025'!H317</f>
        <v>0</v>
      </c>
      <c r="I317" s="143"/>
      <c r="J317" s="143">
        <f t="shared" si="11"/>
        <v>0</v>
      </c>
      <c r="K317" s="65">
        <f>J317/$J$25</f>
        <v>0</v>
      </c>
    </row>
    <row r="318" spans="1:11" x14ac:dyDescent="0.2">
      <c r="A318" s="73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142">
        <f>+'ENERO 2025'!G318+'FEBRERO 2025'!G318</f>
        <v>0</v>
      </c>
      <c r="H318" s="142">
        <f>+'ENERO 2025'!H318+'FEBRERO 2025'!H318</f>
        <v>0</v>
      </c>
      <c r="I318" s="142"/>
      <c r="J318" s="142">
        <f t="shared" si="11"/>
        <v>0</v>
      </c>
      <c r="K318" s="68"/>
    </row>
    <row r="319" spans="1:11" x14ac:dyDescent="0.2">
      <c r="A319" s="75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143">
        <f>+'ENERO 2025'!G319+'FEBRERO 2025'!G319</f>
        <v>0</v>
      </c>
      <c r="H319" s="143">
        <f>+'ENERO 2025'!H319+'FEBRERO 2025'!H319</f>
        <v>0</v>
      </c>
      <c r="I319" s="143"/>
      <c r="J319" s="143">
        <f t="shared" si="11"/>
        <v>0</v>
      </c>
      <c r="K319" s="65">
        <f>J319/$J$25</f>
        <v>0</v>
      </c>
    </row>
    <row r="320" spans="1:11" x14ac:dyDescent="0.2">
      <c r="A320" s="73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142">
        <f>+'ENERO 2025'!G320+'FEBRERO 2025'!G320</f>
        <v>569305.18999999994</v>
      </c>
      <c r="H320" s="142">
        <f>+'ENERO 2025'!H320+'FEBRERO 2025'!H320</f>
        <v>4050.01</v>
      </c>
      <c r="I320" s="142"/>
      <c r="J320" s="142">
        <f t="shared" si="11"/>
        <v>573355.19999999995</v>
      </c>
      <c r="K320" s="68"/>
    </row>
    <row r="321" spans="1:11" x14ac:dyDescent="0.2">
      <c r="A321" s="75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143">
        <f>+'ENERO 2025'!G321+'FEBRERO 2025'!G321</f>
        <v>569305.18999999994</v>
      </c>
      <c r="H321" s="143">
        <f>+'ENERO 2025'!H321+'FEBRERO 2025'!H321</f>
        <v>4050.01</v>
      </c>
      <c r="I321" s="143"/>
      <c r="J321" s="143">
        <f t="shared" si="11"/>
        <v>573355.19999999995</v>
      </c>
      <c r="K321" s="65">
        <f>J321/$J$25</f>
        <v>3.2988808562264605E-3</v>
      </c>
    </row>
    <row r="322" spans="1:11" x14ac:dyDescent="0.2">
      <c r="A322" s="73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142">
        <f>+'ENERO 2025'!G322+'FEBRERO 2025'!G322</f>
        <v>0</v>
      </c>
      <c r="H322" s="142">
        <f>+'ENERO 2025'!H322+'FEBRERO 2025'!H322</f>
        <v>0</v>
      </c>
      <c r="I322" s="142"/>
      <c r="J322" s="142">
        <f t="shared" si="11"/>
        <v>0</v>
      </c>
      <c r="K322" s="68"/>
    </row>
    <row r="323" spans="1:11" x14ac:dyDescent="0.2">
      <c r="A323" s="75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143">
        <f>+'ENERO 2025'!G323+'FEBRERO 2025'!G323</f>
        <v>0</v>
      </c>
      <c r="H323" s="143">
        <f>+'ENERO 2025'!H323+'FEBRERO 2025'!H323</f>
        <v>0</v>
      </c>
      <c r="I323" s="143"/>
      <c r="J323" s="143">
        <f t="shared" si="11"/>
        <v>0</v>
      </c>
      <c r="K323" s="65">
        <f>J323/$J$25</f>
        <v>0</v>
      </c>
    </row>
    <row r="324" spans="1:11" x14ac:dyDescent="0.2">
      <c r="A324" s="73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142">
        <f>+'ENERO 2025'!G324+'FEBRERO 2025'!G324</f>
        <v>459169.22</v>
      </c>
      <c r="H324" s="142">
        <f>+'ENERO 2025'!H324+'FEBRERO 2025'!H324</f>
        <v>0</v>
      </c>
      <c r="I324" s="142"/>
      <c r="J324" s="142">
        <f t="shared" si="11"/>
        <v>459169.22</v>
      </c>
      <c r="K324" s="68"/>
    </row>
    <row r="325" spans="1:11" x14ac:dyDescent="0.2">
      <c r="A325" s="75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143">
        <f>+'ENERO 2025'!G325+'FEBRERO 2025'!G325</f>
        <v>30401.279999999999</v>
      </c>
      <c r="H325" s="143">
        <f>+'ENERO 2025'!H325+'FEBRERO 2025'!H325</f>
        <v>0</v>
      </c>
      <c r="I325" s="143"/>
      <c r="J325" s="143">
        <f t="shared" si="11"/>
        <v>30401.279999999999</v>
      </c>
      <c r="K325" s="65">
        <f>J325/$J$25</f>
        <v>1.7491809718788698E-4</v>
      </c>
    </row>
    <row r="326" spans="1:11" x14ac:dyDescent="0.2">
      <c r="A326" s="75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143">
        <f>+'ENERO 2025'!G326+'FEBRERO 2025'!G326</f>
        <v>428767.94</v>
      </c>
      <c r="H326" s="143">
        <f>+'ENERO 2025'!H326+'FEBRERO 2025'!H326</f>
        <v>0</v>
      </c>
      <c r="I326" s="143"/>
      <c r="J326" s="143">
        <f t="shared" si="11"/>
        <v>428767.94</v>
      </c>
      <c r="K326" s="65">
        <f>J326/$J$25</f>
        <v>2.466977449632716E-3</v>
      </c>
    </row>
    <row r="327" spans="1:11" x14ac:dyDescent="0.2">
      <c r="A327" s="73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142">
        <f>+'ENERO 2025'!G327+'FEBRERO 2025'!G327</f>
        <v>0</v>
      </c>
      <c r="H327" s="142">
        <f>+'ENERO 2025'!H327+'FEBRERO 2025'!H327</f>
        <v>152125.91999999998</v>
      </c>
      <c r="I327" s="142"/>
      <c r="J327" s="142">
        <f t="shared" si="11"/>
        <v>152125.91999999998</v>
      </c>
      <c r="K327" s="68"/>
    </row>
    <row r="328" spans="1:11" x14ac:dyDescent="0.2">
      <c r="A328" s="75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143">
        <f>+'ENERO 2025'!G328+'FEBRERO 2025'!G328</f>
        <v>0</v>
      </c>
      <c r="H328" s="143">
        <f>+'ENERO 2025'!H328+'FEBRERO 2025'!H328</f>
        <v>152125.91999999998</v>
      </c>
      <c r="I328" s="143"/>
      <c r="J328" s="143">
        <f t="shared" si="11"/>
        <v>152125.91999999998</v>
      </c>
      <c r="K328" s="65">
        <f>J328/$J$25</f>
        <v>8.7527816129310079E-4</v>
      </c>
    </row>
    <row r="329" spans="1:11" x14ac:dyDescent="0.2">
      <c r="A329" s="75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143">
        <f>+'ENERO 2025'!G329+'FEBRERO 2025'!G329</f>
        <v>0</v>
      </c>
      <c r="H329" s="143">
        <f>+'ENERO 2025'!H329+'FEBRERO 2025'!H329</f>
        <v>0</v>
      </c>
      <c r="I329" s="143"/>
      <c r="J329" s="143">
        <f t="shared" si="11"/>
        <v>0</v>
      </c>
      <c r="K329" s="65">
        <f>J329/$J$25</f>
        <v>0</v>
      </c>
    </row>
    <row r="330" spans="1:11" x14ac:dyDescent="0.2">
      <c r="A330" s="71">
        <v>2</v>
      </c>
      <c r="B330" s="55">
        <v>4</v>
      </c>
      <c r="C330" s="55">
        <v>1</v>
      </c>
      <c r="D330" s="55">
        <v>2</v>
      </c>
      <c r="E330" s="55"/>
      <c r="F330" s="86" t="s">
        <v>281</v>
      </c>
      <c r="G330" s="151">
        <f>+'ENERO 2025'!G330+'FEBRERO 2025'!G330</f>
        <v>0</v>
      </c>
      <c r="H330" s="151">
        <f>+'ENERO 2025'!H330+'FEBRERO 2025'!H330</f>
        <v>160366.70000000001</v>
      </c>
      <c r="I330" s="151"/>
      <c r="J330" s="151">
        <f t="shared" si="11"/>
        <v>160366.70000000001</v>
      </c>
      <c r="K330" s="53">
        <f>+J330/J25</f>
        <v>9.226926634766931E-4</v>
      </c>
    </row>
    <row r="331" spans="1:11" x14ac:dyDescent="0.2">
      <c r="A331" s="75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143">
        <f>+'ENERO 2025'!G331+'FEBRERO 2025'!G331</f>
        <v>0</v>
      </c>
      <c r="H331" s="143">
        <f>+'ENERO 2025'!H331+'FEBRERO 2025'!H331</f>
        <v>6800</v>
      </c>
      <c r="I331" s="143"/>
      <c r="J331" s="143">
        <f t="shared" si="11"/>
        <v>6800</v>
      </c>
      <c r="K331" s="65">
        <f t="shared" ref="K331:K336" si="14">J331/$J$25</f>
        <v>3.9124769117538192E-5</v>
      </c>
    </row>
    <row r="332" spans="1:11" x14ac:dyDescent="0.2">
      <c r="A332" s="75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143">
        <f>+'ENERO 2025'!G332+'FEBRERO 2025'!G332</f>
        <v>0</v>
      </c>
      <c r="H332" s="143">
        <f>+'ENERO 2025'!H332+'FEBRERO 2025'!H332</f>
        <v>153566.70000000001</v>
      </c>
      <c r="I332" s="143"/>
      <c r="J332" s="143">
        <f t="shared" si="11"/>
        <v>153566.70000000001</v>
      </c>
      <c r="K332" s="65">
        <f t="shared" si="14"/>
        <v>8.835678943591548E-4</v>
      </c>
    </row>
    <row r="333" spans="1:11" x14ac:dyDescent="0.2">
      <c r="A333" s="75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143">
        <f>+'ENERO 2025'!G333+'FEBRERO 2025'!G333</f>
        <v>0</v>
      </c>
      <c r="H333" s="143">
        <f>+'ENERO 2025'!H333+'FEBRERO 2025'!H333</f>
        <v>0</v>
      </c>
      <c r="I333" s="143"/>
      <c r="J333" s="143">
        <f t="shared" si="11"/>
        <v>0</v>
      </c>
      <c r="K333" s="65">
        <f t="shared" si="14"/>
        <v>0</v>
      </c>
    </row>
    <row r="334" spans="1:11" x14ac:dyDescent="0.2">
      <c r="A334" s="75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143">
        <f>+'ENERO 2025'!G334+'FEBRERO 2025'!G334</f>
        <v>0</v>
      </c>
      <c r="H334" s="143">
        <f>+'ENERO 2025'!H334+'FEBRERO 2025'!H334</f>
        <v>0</v>
      </c>
      <c r="I334" s="143"/>
      <c r="J334" s="143">
        <f t="shared" si="11"/>
        <v>0</v>
      </c>
      <c r="K334" s="65">
        <f t="shared" si="14"/>
        <v>0</v>
      </c>
    </row>
    <row r="335" spans="1:11" x14ac:dyDescent="0.2">
      <c r="A335" s="75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143">
        <f>+'ENERO 2025'!G335+'FEBRERO 2025'!G335</f>
        <v>0</v>
      </c>
      <c r="H335" s="143">
        <f>+'ENERO 2025'!H335+'FEBRERO 2025'!H335</f>
        <v>0</v>
      </c>
      <c r="I335" s="143"/>
      <c r="J335" s="143">
        <f t="shared" si="11"/>
        <v>0</v>
      </c>
      <c r="K335" s="65">
        <f t="shared" si="14"/>
        <v>0</v>
      </c>
    </row>
    <row r="336" spans="1:11" x14ac:dyDescent="0.2">
      <c r="A336" s="71">
        <v>2</v>
      </c>
      <c r="B336" s="55">
        <v>6</v>
      </c>
      <c r="C336" s="55"/>
      <c r="D336" s="55"/>
      <c r="E336" s="55"/>
      <c r="F336" s="86" t="s">
        <v>287</v>
      </c>
      <c r="G336" s="151">
        <f>+'ENERO 2025'!G336+'FEBRERO 2025'!G336</f>
        <v>6461017.2600000007</v>
      </c>
      <c r="H336" s="151">
        <f>+'ENERO 2025'!H336+'FEBRERO 2025'!H336</f>
        <v>4775504.84</v>
      </c>
      <c r="I336" s="151"/>
      <c r="J336" s="151">
        <f>+G336+H336</f>
        <v>11236522.100000001</v>
      </c>
      <c r="K336" s="53">
        <f t="shared" si="14"/>
        <v>6.4650931300972866E-2</v>
      </c>
    </row>
    <row r="337" spans="1:11" x14ac:dyDescent="0.2">
      <c r="A337" s="54">
        <v>2</v>
      </c>
      <c r="B337" s="55">
        <v>6</v>
      </c>
      <c r="C337" s="55">
        <v>1</v>
      </c>
      <c r="D337" s="55"/>
      <c r="E337" s="55"/>
      <c r="F337" s="86" t="s">
        <v>288</v>
      </c>
      <c r="G337" s="151">
        <f>+'ENERO 2025'!G337+'FEBRERO 2025'!G337</f>
        <v>432420.86</v>
      </c>
      <c r="H337" s="151">
        <f>+'ENERO 2025'!H337+'FEBRERO 2025'!H337</f>
        <v>0</v>
      </c>
      <c r="I337" s="151"/>
      <c r="J337" s="151">
        <f t="shared" si="11"/>
        <v>432420.86</v>
      </c>
      <c r="K337" s="53"/>
    </row>
    <row r="338" spans="1:11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7" t="s">
        <v>289</v>
      </c>
      <c r="G338" s="150">
        <f>+'ENERO 2025'!G338+'FEBRERO 2025'!G338</f>
        <v>159283.04999999999</v>
      </c>
      <c r="H338" s="150">
        <f>+'ENERO 2025'!H338+'FEBRERO 2025'!H338</f>
        <v>0</v>
      </c>
      <c r="I338" s="150"/>
      <c r="J338" s="150">
        <f t="shared" si="11"/>
        <v>159283.04999999999</v>
      </c>
      <c r="K338" s="68"/>
    </row>
    <row r="339" spans="1:11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70" t="s">
        <v>289</v>
      </c>
      <c r="G339" s="144">
        <f>+'ENERO 2025'!G339+'FEBRERO 2025'!G339</f>
        <v>159283.04999999999</v>
      </c>
      <c r="H339" s="144">
        <f>+'ENERO 2025'!H339+'FEBRERO 2025'!H339</f>
        <v>0</v>
      </c>
      <c r="I339" s="144"/>
      <c r="J339" s="144">
        <f t="shared" si="11"/>
        <v>159283.04999999999</v>
      </c>
      <c r="K339" s="65">
        <f>J339/$J$25</f>
        <v>9.1645772876283694E-4</v>
      </c>
    </row>
    <row r="340" spans="1:11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7" t="s">
        <v>290</v>
      </c>
      <c r="G340" s="150">
        <f>+'ENERO 2025'!G340+'FEBRERO 2025'!G340</f>
        <v>0</v>
      </c>
      <c r="H340" s="150">
        <f>+'ENERO 2025'!H340+'FEBRERO 2025'!H340</f>
        <v>0</v>
      </c>
      <c r="I340" s="150"/>
      <c r="J340" s="150">
        <f t="shared" si="11"/>
        <v>0</v>
      </c>
      <c r="K340" s="68"/>
    </row>
    <row r="341" spans="1:11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70" t="s">
        <v>290</v>
      </c>
      <c r="G341" s="144">
        <f>+'ENERO 2025'!G341+'FEBRERO 2025'!G341</f>
        <v>0</v>
      </c>
      <c r="H341" s="144">
        <f>+'ENERO 2025'!H341+'FEBRERO 2025'!H341</f>
        <v>0</v>
      </c>
      <c r="I341" s="144"/>
      <c r="J341" s="144">
        <f t="shared" si="11"/>
        <v>0</v>
      </c>
      <c r="K341" s="65">
        <f>J341/$J$25</f>
        <v>0</v>
      </c>
    </row>
    <row r="342" spans="1:11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7" t="s">
        <v>291</v>
      </c>
      <c r="G342" s="150">
        <f>+'ENERO 2025'!G342+'FEBRERO 2025'!G342</f>
        <v>0</v>
      </c>
      <c r="H342" s="150">
        <f>+'ENERO 2025'!H342+'FEBRERO 2025'!H342</f>
        <v>0</v>
      </c>
      <c r="I342" s="150"/>
      <c r="J342" s="150">
        <f t="shared" si="11"/>
        <v>0</v>
      </c>
      <c r="K342" s="68"/>
    </row>
    <row r="343" spans="1:11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70" t="s">
        <v>291</v>
      </c>
      <c r="G343" s="144">
        <f>+'ENERO 2025'!G343+'FEBRERO 2025'!G343</f>
        <v>0</v>
      </c>
      <c r="H343" s="144">
        <f>+'ENERO 2025'!H343+'FEBRERO 2025'!H343</f>
        <v>0</v>
      </c>
      <c r="I343" s="144"/>
      <c r="J343" s="144">
        <f t="shared" si="11"/>
        <v>0</v>
      </c>
      <c r="K343" s="65">
        <f>J343/$J$25</f>
        <v>0</v>
      </c>
    </row>
    <row r="344" spans="1:11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7" t="s">
        <v>292</v>
      </c>
      <c r="G344" s="150">
        <f>+'ENERO 2025'!G344+'FEBRERO 2025'!G344</f>
        <v>210276</v>
      </c>
      <c r="H344" s="150">
        <f>+'ENERO 2025'!H344+'FEBRERO 2025'!H344</f>
        <v>0</v>
      </c>
      <c r="I344" s="150"/>
      <c r="J344" s="150">
        <f t="shared" si="11"/>
        <v>210276</v>
      </c>
      <c r="K344" s="68"/>
    </row>
    <row r="345" spans="1:11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70" t="s">
        <v>292</v>
      </c>
      <c r="G345" s="144">
        <f>+'ENERO 2025'!G345+'FEBRERO 2025'!G345</f>
        <v>210276</v>
      </c>
      <c r="H345" s="144">
        <f>+'ENERO 2025'!H345+'FEBRERO 2025'!H345</f>
        <v>0</v>
      </c>
      <c r="I345" s="144"/>
      <c r="J345" s="144">
        <f t="shared" si="11"/>
        <v>210276</v>
      </c>
      <c r="K345" s="65">
        <f>J345/$J$25</f>
        <v>1.2098529339646268E-3</v>
      </c>
    </row>
    <row r="346" spans="1:11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7" t="s">
        <v>293</v>
      </c>
      <c r="G346" s="150">
        <f>+'ENERO 2025'!G346+'FEBRERO 2025'!G346</f>
        <v>62861.81</v>
      </c>
      <c r="H346" s="150">
        <f>+'ENERO 2025'!H346+'FEBRERO 2025'!H346</f>
        <v>0</v>
      </c>
      <c r="I346" s="150"/>
      <c r="J346" s="150">
        <f t="shared" ref="J346:J409" si="15">+G346+H346</f>
        <v>62861.81</v>
      </c>
      <c r="K346" s="68"/>
    </row>
    <row r="347" spans="1:11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70" t="s">
        <v>293</v>
      </c>
      <c r="G347" s="144">
        <f>+'ENERO 2025'!G347+'FEBRERO 2025'!G347</f>
        <v>62861.81</v>
      </c>
      <c r="H347" s="144">
        <f>+'ENERO 2025'!H347+'FEBRERO 2025'!H347</f>
        <v>0</v>
      </c>
      <c r="I347" s="144"/>
      <c r="J347" s="144">
        <f t="shared" si="15"/>
        <v>62861.81</v>
      </c>
      <c r="K347" s="65">
        <f>J347/$J$25</f>
        <v>3.6168438272949315E-4</v>
      </c>
    </row>
    <row r="348" spans="1:11" x14ac:dyDescent="0.2">
      <c r="A348" s="88">
        <v>2</v>
      </c>
      <c r="B348" s="88">
        <v>6</v>
      </c>
      <c r="C348" s="88">
        <v>2</v>
      </c>
      <c r="D348" s="88"/>
      <c r="E348" s="88"/>
      <c r="F348" s="89" t="s">
        <v>294</v>
      </c>
      <c r="G348" s="153">
        <f>+'ENERO 2025'!G348+'FEBRERO 2025'!G348</f>
        <v>0</v>
      </c>
      <c r="H348" s="153">
        <f>+'ENERO 2025'!H348+'FEBRERO 2025'!H348</f>
        <v>0</v>
      </c>
      <c r="I348" s="153"/>
      <c r="J348" s="153">
        <f t="shared" si="15"/>
        <v>0</v>
      </c>
      <c r="K348" s="53"/>
    </row>
    <row r="349" spans="1:11" x14ac:dyDescent="0.2">
      <c r="A349" s="73">
        <v>2</v>
      </c>
      <c r="B349" s="58">
        <v>6</v>
      </c>
      <c r="C349" s="58">
        <v>2</v>
      </c>
      <c r="D349" s="58">
        <v>1</v>
      </c>
      <c r="E349" s="78"/>
      <c r="F349" s="87" t="s">
        <v>295</v>
      </c>
      <c r="G349" s="150">
        <f>+'ENERO 2025'!G349+'FEBRERO 2025'!G349</f>
        <v>0</v>
      </c>
      <c r="H349" s="150">
        <f>+'ENERO 2025'!H349+'FEBRERO 2025'!H349</f>
        <v>0</v>
      </c>
      <c r="I349" s="150"/>
      <c r="J349" s="150">
        <f t="shared" si="15"/>
        <v>0</v>
      </c>
      <c r="K349" s="68"/>
    </row>
    <row r="350" spans="1:11" x14ac:dyDescent="0.2">
      <c r="A350" s="75">
        <v>2</v>
      </c>
      <c r="B350" s="62">
        <v>6</v>
      </c>
      <c r="C350" s="62">
        <v>2</v>
      </c>
      <c r="D350" s="62">
        <v>1</v>
      </c>
      <c r="E350" s="63" t="s">
        <v>35</v>
      </c>
      <c r="F350" s="70" t="s">
        <v>295</v>
      </c>
      <c r="G350" s="144">
        <f>+'ENERO 2025'!G350+'FEBRERO 2025'!G350</f>
        <v>0</v>
      </c>
      <c r="H350" s="144">
        <f>+'ENERO 2025'!H350+'FEBRERO 2025'!H350</f>
        <v>0</v>
      </c>
      <c r="I350" s="144"/>
      <c r="J350" s="144">
        <f t="shared" si="15"/>
        <v>0</v>
      </c>
      <c r="K350" s="65">
        <f>J350/$J$25</f>
        <v>0</v>
      </c>
    </row>
    <row r="351" spans="1:11" x14ac:dyDescent="0.2">
      <c r="A351" s="73">
        <v>2</v>
      </c>
      <c r="B351" s="58">
        <v>6</v>
      </c>
      <c r="C351" s="58">
        <v>2</v>
      </c>
      <c r="D351" s="58">
        <v>2</v>
      </c>
      <c r="E351" s="78"/>
      <c r="F351" s="87" t="s">
        <v>296</v>
      </c>
      <c r="G351" s="150">
        <f>+'ENERO 2025'!G351+'FEBRERO 2025'!G351</f>
        <v>0</v>
      </c>
      <c r="H351" s="150">
        <f>+'ENERO 2025'!H351+'FEBRERO 2025'!H351</f>
        <v>0</v>
      </c>
      <c r="I351" s="150"/>
      <c r="J351" s="150">
        <f t="shared" si="15"/>
        <v>0</v>
      </c>
      <c r="K351" s="68"/>
    </row>
    <row r="352" spans="1:11" x14ac:dyDescent="0.2">
      <c r="A352" s="75">
        <v>2</v>
      </c>
      <c r="B352" s="62">
        <v>6</v>
      </c>
      <c r="C352" s="62">
        <v>2</v>
      </c>
      <c r="D352" s="62">
        <v>2</v>
      </c>
      <c r="E352" s="63" t="s">
        <v>35</v>
      </c>
      <c r="F352" s="70" t="s">
        <v>296</v>
      </c>
      <c r="G352" s="144">
        <f>+'ENERO 2025'!G352+'FEBRERO 2025'!G352</f>
        <v>0</v>
      </c>
      <c r="H352" s="144">
        <f>+'ENERO 2025'!H352+'FEBRERO 2025'!H352</f>
        <v>0</v>
      </c>
      <c r="I352" s="144"/>
      <c r="J352" s="144">
        <f t="shared" si="15"/>
        <v>0</v>
      </c>
      <c r="K352" s="65">
        <f>J352/$J$25</f>
        <v>0</v>
      </c>
    </row>
    <row r="353" spans="1:11" x14ac:dyDescent="0.2">
      <c r="A353" s="73">
        <v>2</v>
      </c>
      <c r="B353" s="58">
        <v>6</v>
      </c>
      <c r="C353" s="58">
        <v>2</v>
      </c>
      <c r="D353" s="58">
        <v>3</v>
      </c>
      <c r="E353" s="78"/>
      <c r="F353" s="87" t="s">
        <v>297</v>
      </c>
      <c r="G353" s="150">
        <f>+'ENERO 2025'!G353+'FEBRERO 2025'!G353</f>
        <v>0</v>
      </c>
      <c r="H353" s="150">
        <f>+'ENERO 2025'!H353+'FEBRERO 2025'!H353</f>
        <v>0</v>
      </c>
      <c r="I353" s="150"/>
      <c r="J353" s="150">
        <f t="shared" si="15"/>
        <v>0</v>
      </c>
      <c r="K353" s="68"/>
    </row>
    <row r="354" spans="1:11" x14ac:dyDescent="0.2">
      <c r="A354" s="75">
        <v>2</v>
      </c>
      <c r="B354" s="62">
        <v>6</v>
      </c>
      <c r="C354" s="62">
        <v>2</v>
      </c>
      <c r="D354" s="62">
        <v>3</v>
      </c>
      <c r="E354" s="63" t="s">
        <v>35</v>
      </c>
      <c r="F354" s="70" t="s">
        <v>297</v>
      </c>
      <c r="G354" s="144">
        <f>+'ENERO 2025'!G354+'FEBRERO 2025'!G354</f>
        <v>0</v>
      </c>
      <c r="H354" s="144">
        <f>+'ENERO 2025'!H354+'FEBRERO 2025'!H354</f>
        <v>0</v>
      </c>
      <c r="I354" s="144"/>
      <c r="J354" s="144">
        <f t="shared" si="15"/>
        <v>0</v>
      </c>
      <c r="K354" s="65">
        <f>J354/$J$25</f>
        <v>0</v>
      </c>
    </row>
    <row r="355" spans="1:11" x14ac:dyDescent="0.2">
      <c r="A355" s="73">
        <v>2</v>
      </c>
      <c r="B355" s="58">
        <v>6</v>
      </c>
      <c r="C355" s="58">
        <v>2</v>
      </c>
      <c r="D355" s="58">
        <v>4</v>
      </c>
      <c r="E355" s="78"/>
      <c r="F355" s="87" t="s">
        <v>298</v>
      </c>
      <c r="G355" s="150">
        <f>+'ENERO 2025'!G355+'FEBRERO 2025'!G355</f>
        <v>0</v>
      </c>
      <c r="H355" s="150">
        <f>+'ENERO 2025'!H355+'FEBRERO 2025'!H355</f>
        <v>0</v>
      </c>
      <c r="I355" s="150"/>
      <c r="J355" s="150">
        <f t="shared" si="15"/>
        <v>0</v>
      </c>
      <c r="K355" s="68"/>
    </row>
    <row r="356" spans="1:11" x14ac:dyDescent="0.2">
      <c r="A356" s="75">
        <v>2</v>
      </c>
      <c r="B356" s="62">
        <v>6</v>
      </c>
      <c r="C356" s="62">
        <v>2</v>
      </c>
      <c r="D356" s="62">
        <v>4</v>
      </c>
      <c r="E356" s="63" t="s">
        <v>35</v>
      </c>
      <c r="F356" s="70" t="s">
        <v>298</v>
      </c>
      <c r="G356" s="144">
        <f>+'ENERO 2025'!G356+'FEBRERO 2025'!G356</f>
        <v>0</v>
      </c>
      <c r="H356" s="144">
        <f>+'ENERO 2025'!H356+'FEBRERO 2025'!H356</f>
        <v>0</v>
      </c>
      <c r="I356" s="144"/>
      <c r="J356" s="144">
        <f t="shared" si="15"/>
        <v>0</v>
      </c>
      <c r="K356" s="65">
        <f>J356/$J$25</f>
        <v>0</v>
      </c>
    </row>
    <row r="357" spans="1:11" x14ac:dyDescent="0.2">
      <c r="A357" s="88">
        <v>2</v>
      </c>
      <c r="B357" s="88">
        <v>6</v>
      </c>
      <c r="C357" s="88">
        <v>3</v>
      </c>
      <c r="D357" s="88"/>
      <c r="E357" s="88"/>
      <c r="F357" s="89" t="s">
        <v>299</v>
      </c>
      <c r="G357" s="153">
        <f>+'ENERO 2025'!G357+'FEBRERO 2025'!G357</f>
        <v>6028596.4000000004</v>
      </c>
      <c r="H357" s="153">
        <f>+'ENERO 2025'!H357+'FEBRERO 2025'!H357</f>
        <v>2963024.84</v>
      </c>
      <c r="I357" s="153"/>
      <c r="J357" s="153">
        <f t="shared" si="15"/>
        <v>8991621.2400000002</v>
      </c>
      <c r="K357" s="53"/>
    </row>
    <row r="358" spans="1:11" x14ac:dyDescent="0.2">
      <c r="A358" s="73">
        <v>2</v>
      </c>
      <c r="B358" s="58">
        <v>6</v>
      </c>
      <c r="C358" s="58">
        <v>3</v>
      </c>
      <c r="D358" s="58">
        <v>1</v>
      </c>
      <c r="E358" s="78"/>
      <c r="F358" s="87" t="s">
        <v>300</v>
      </c>
      <c r="G358" s="150">
        <f>+'ENERO 2025'!G358+'FEBRERO 2025'!G358</f>
        <v>2793910</v>
      </c>
      <c r="H358" s="150">
        <f>+'ENERO 2025'!H358+'FEBRERO 2025'!H358</f>
        <v>1300994.8399999999</v>
      </c>
      <c r="I358" s="150"/>
      <c r="J358" s="150">
        <f t="shared" si="15"/>
        <v>4094904.84</v>
      </c>
      <c r="K358" s="68"/>
    </row>
    <row r="359" spans="1:11" x14ac:dyDescent="0.2">
      <c r="A359" s="75">
        <v>2</v>
      </c>
      <c r="B359" s="62">
        <v>6</v>
      </c>
      <c r="C359" s="62">
        <v>3</v>
      </c>
      <c r="D359" s="62">
        <v>1</v>
      </c>
      <c r="E359" s="63" t="s">
        <v>35</v>
      </c>
      <c r="F359" s="70" t="s">
        <v>300</v>
      </c>
      <c r="G359" s="144">
        <f>+'ENERO 2025'!G359+'FEBRERO 2025'!G359</f>
        <v>2793910</v>
      </c>
      <c r="H359" s="144">
        <f>+'ENERO 2025'!H359+'FEBRERO 2025'!H359</f>
        <v>1300994.8399999999</v>
      </c>
      <c r="I359" s="144"/>
      <c r="J359" s="144">
        <f t="shared" si="15"/>
        <v>4094904.84</v>
      </c>
      <c r="K359" s="65">
        <f>J359/$J$25</f>
        <v>2.3560618591660247E-2</v>
      </c>
    </row>
    <row r="360" spans="1:11" x14ac:dyDescent="0.2">
      <c r="A360" s="73">
        <v>2</v>
      </c>
      <c r="B360" s="58">
        <v>6</v>
      </c>
      <c r="C360" s="58">
        <v>3</v>
      </c>
      <c r="D360" s="58">
        <v>2</v>
      </c>
      <c r="E360" s="78"/>
      <c r="F360" s="87" t="s">
        <v>301</v>
      </c>
      <c r="G360" s="150">
        <f>+'ENERO 2025'!G360+'FEBRERO 2025'!G360</f>
        <v>2432782.4</v>
      </c>
      <c r="H360" s="150">
        <f>+'ENERO 2025'!H360+'FEBRERO 2025'!H360</f>
        <v>1662030</v>
      </c>
      <c r="I360" s="150"/>
      <c r="J360" s="150">
        <f t="shared" si="15"/>
        <v>4094812.4</v>
      </c>
      <c r="K360" s="68"/>
    </row>
    <row r="361" spans="1:11" x14ac:dyDescent="0.2">
      <c r="A361" s="75">
        <v>2</v>
      </c>
      <c r="B361" s="62">
        <v>6</v>
      </c>
      <c r="C361" s="62">
        <v>3</v>
      </c>
      <c r="D361" s="62">
        <v>2</v>
      </c>
      <c r="E361" s="63" t="s">
        <v>35</v>
      </c>
      <c r="F361" s="70" t="s">
        <v>301</v>
      </c>
      <c r="G361" s="144">
        <f>+'ENERO 2025'!G361+'FEBRERO 2025'!G361</f>
        <v>2432782.4</v>
      </c>
      <c r="H361" s="144">
        <f>+'ENERO 2025'!H361+'FEBRERO 2025'!H361</f>
        <v>1662030</v>
      </c>
      <c r="I361" s="144"/>
      <c r="J361" s="144">
        <f t="shared" si="15"/>
        <v>4094812.4</v>
      </c>
      <c r="K361" s="65">
        <f>J361/$J$25</f>
        <v>2.3560086724945948E-2</v>
      </c>
    </row>
    <row r="362" spans="1:11" x14ac:dyDescent="0.2">
      <c r="A362" s="73">
        <v>2</v>
      </c>
      <c r="B362" s="58">
        <v>6</v>
      </c>
      <c r="C362" s="58">
        <v>3</v>
      </c>
      <c r="D362" s="58">
        <v>3</v>
      </c>
      <c r="E362" s="78"/>
      <c r="F362" s="87" t="s">
        <v>302</v>
      </c>
      <c r="G362" s="150">
        <f>+'ENERO 2025'!G362+'FEBRERO 2025'!G362</f>
        <v>0</v>
      </c>
      <c r="H362" s="150">
        <f>+'ENERO 2025'!H362+'FEBRERO 2025'!H362</f>
        <v>0</v>
      </c>
      <c r="I362" s="150"/>
      <c r="J362" s="150">
        <f t="shared" si="15"/>
        <v>0</v>
      </c>
      <c r="K362" s="68"/>
    </row>
    <row r="363" spans="1:11" x14ac:dyDescent="0.2">
      <c r="A363" s="75">
        <v>2</v>
      </c>
      <c r="B363" s="62">
        <v>6</v>
      </c>
      <c r="C363" s="62">
        <v>3</v>
      </c>
      <c r="D363" s="62">
        <v>3</v>
      </c>
      <c r="E363" s="63" t="s">
        <v>35</v>
      </c>
      <c r="F363" s="70" t="s">
        <v>302</v>
      </c>
      <c r="G363" s="144">
        <f>+'ENERO 2025'!G363+'FEBRERO 2025'!G363</f>
        <v>0</v>
      </c>
      <c r="H363" s="144">
        <f>+'ENERO 2025'!H363+'FEBRERO 2025'!H363</f>
        <v>0</v>
      </c>
      <c r="I363" s="144"/>
      <c r="J363" s="144">
        <f t="shared" si="15"/>
        <v>0</v>
      </c>
      <c r="K363" s="65">
        <f>J363/$J$25</f>
        <v>0</v>
      </c>
    </row>
    <row r="364" spans="1:11" x14ac:dyDescent="0.2">
      <c r="A364" s="73">
        <v>2</v>
      </c>
      <c r="B364" s="58">
        <v>6</v>
      </c>
      <c r="C364" s="58">
        <v>3</v>
      </c>
      <c r="D364" s="58">
        <v>4</v>
      </c>
      <c r="E364" s="58"/>
      <c r="F364" s="87" t="s">
        <v>303</v>
      </c>
      <c r="G364" s="150">
        <f>+'ENERO 2025'!G364+'FEBRERO 2025'!G364</f>
        <v>801904</v>
      </c>
      <c r="H364" s="150">
        <f>+'ENERO 2025'!H364+'FEBRERO 2025'!H364</f>
        <v>0</v>
      </c>
      <c r="I364" s="150"/>
      <c r="J364" s="150">
        <f t="shared" si="15"/>
        <v>801904</v>
      </c>
      <c r="K364" s="68"/>
    </row>
    <row r="365" spans="1:11" x14ac:dyDescent="0.2">
      <c r="A365" s="75">
        <v>2</v>
      </c>
      <c r="B365" s="62">
        <v>6</v>
      </c>
      <c r="C365" s="62">
        <v>3</v>
      </c>
      <c r="D365" s="62">
        <v>4</v>
      </c>
      <c r="E365" s="63" t="s">
        <v>35</v>
      </c>
      <c r="F365" s="70" t="s">
        <v>303</v>
      </c>
      <c r="G365" s="144">
        <f>+'ENERO 2025'!G365+'FEBRERO 2025'!G365</f>
        <v>801904</v>
      </c>
      <c r="H365" s="144">
        <f>+'ENERO 2025'!H365+'FEBRERO 2025'!H365</f>
        <v>0</v>
      </c>
      <c r="I365" s="144"/>
      <c r="J365" s="144">
        <f t="shared" si="15"/>
        <v>801904</v>
      </c>
      <c r="K365" s="65">
        <f>J365/$J$25</f>
        <v>4.6138689491809336E-3</v>
      </c>
    </row>
    <row r="366" spans="1:11" x14ac:dyDescent="0.2">
      <c r="A366" s="54">
        <v>2</v>
      </c>
      <c r="B366" s="55">
        <v>6</v>
      </c>
      <c r="C366" s="55">
        <v>4</v>
      </c>
      <c r="D366" s="55"/>
      <c r="E366" s="79"/>
      <c r="F366" s="86" t="s">
        <v>304</v>
      </c>
      <c r="G366" s="151">
        <f>+'ENERO 2025'!G366+'FEBRERO 2025'!G366</f>
        <v>0</v>
      </c>
      <c r="H366" s="151">
        <f>+'ENERO 2025'!H366+'FEBRERO 2025'!H366</f>
        <v>0</v>
      </c>
      <c r="I366" s="151"/>
      <c r="J366" s="151">
        <f t="shared" si="15"/>
        <v>0</v>
      </c>
      <c r="K366" s="53"/>
    </row>
    <row r="367" spans="1:11" x14ac:dyDescent="0.2">
      <c r="A367" s="73">
        <v>2</v>
      </c>
      <c r="B367" s="58">
        <v>6</v>
      </c>
      <c r="C367" s="58">
        <v>4</v>
      </c>
      <c r="D367" s="58">
        <v>1</v>
      </c>
      <c r="E367" s="58"/>
      <c r="F367" s="87" t="s">
        <v>305</v>
      </c>
      <c r="G367" s="150">
        <f>+'ENERO 2025'!G367+'FEBRERO 2025'!G367</f>
        <v>0</v>
      </c>
      <c r="H367" s="150">
        <f>+'ENERO 2025'!H367+'FEBRERO 2025'!H367</f>
        <v>0</v>
      </c>
      <c r="I367" s="150"/>
      <c r="J367" s="150">
        <f t="shared" si="15"/>
        <v>0</v>
      </c>
      <c r="K367" s="68"/>
    </row>
    <row r="368" spans="1:11" x14ac:dyDescent="0.2">
      <c r="A368" s="75">
        <v>2</v>
      </c>
      <c r="B368" s="62">
        <v>6</v>
      </c>
      <c r="C368" s="62">
        <v>4</v>
      </c>
      <c r="D368" s="62">
        <v>1</v>
      </c>
      <c r="E368" s="63" t="s">
        <v>35</v>
      </c>
      <c r="F368" s="70" t="s">
        <v>305</v>
      </c>
      <c r="G368" s="144">
        <f>+'ENERO 2025'!G368+'FEBRERO 2025'!G368</f>
        <v>0</v>
      </c>
      <c r="H368" s="144">
        <f>+'ENERO 2025'!H368+'FEBRERO 2025'!H368</f>
        <v>0</v>
      </c>
      <c r="I368" s="144"/>
      <c r="J368" s="144">
        <f t="shared" si="15"/>
        <v>0</v>
      </c>
      <c r="K368" s="65">
        <f>J368/$J$25</f>
        <v>0</v>
      </c>
    </row>
    <row r="369" spans="1:11" x14ac:dyDescent="0.2">
      <c r="A369" s="73">
        <v>2</v>
      </c>
      <c r="B369" s="58">
        <v>6</v>
      </c>
      <c r="C369" s="58">
        <v>4</v>
      </c>
      <c r="D369" s="58">
        <v>2</v>
      </c>
      <c r="E369" s="58"/>
      <c r="F369" s="87" t="s">
        <v>306</v>
      </c>
      <c r="G369" s="150">
        <f>+'ENERO 2025'!G369+'FEBRERO 2025'!G369</f>
        <v>0</v>
      </c>
      <c r="H369" s="150">
        <f>+'ENERO 2025'!H369+'FEBRERO 2025'!H369</f>
        <v>0</v>
      </c>
      <c r="I369" s="150"/>
      <c r="J369" s="150">
        <f t="shared" si="15"/>
        <v>0</v>
      </c>
      <c r="K369" s="68"/>
    </row>
    <row r="370" spans="1:11" x14ac:dyDescent="0.2">
      <c r="A370" s="75">
        <v>2</v>
      </c>
      <c r="B370" s="62">
        <v>6</v>
      </c>
      <c r="C370" s="62">
        <v>4</v>
      </c>
      <c r="D370" s="62">
        <v>2</v>
      </c>
      <c r="E370" s="63" t="s">
        <v>35</v>
      </c>
      <c r="F370" s="70" t="s">
        <v>306</v>
      </c>
      <c r="G370" s="144">
        <f>+'ENERO 2025'!G370+'FEBRERO 2025'!G370</f>
        <v>0</v>
      </c>
      <c r="H370" s="144">
        <f>+'ENERO 2025'!H370+'FEBRERO 2025'!H370</f>
        <v>0</v>
      </c>
      <c r="I370" s="144"/>
      <c r="J370" s="144">
        <f t="shared" si="15"/>
        <v>0</v>
      </c>
      <c r="K370" s="65">
        <f>J370/$J$25</f>
        <v>0</v>
      </c>
    </row>
    <row r="371" spans="1:11" x14ac:dyDescent="0.2">
      <c r="A371" s="73">
        <v>2</v>
      </c>
      <c r="B371" s="58">
        <v>6</v>
      </c>
      <c r="C371" s="58">
        <v>4</v>
      </c>
      <c r="D371" s="58">
        <v>3</v>
      </c>
      <c r="E371" s="58"/>
      <c r="F371" s="87" t="s">
        <v>307</v>
      </c>
      <c r="G371" s="150">
        <f>+'ENERO 2025'!G371+'FEBRERO 2025'!G371</f>
        <v>0</v>
      </c>
      <c r="H371" s="150">
        <f>+'ENERO 2025'!H371+'FEBRERO 2025'!H371</f>
        <v>0</v>
      </c>
      <c r="I371" s="150"/>
      <c r="J371" s="150">
        <f t="shared" si="15"/>
        <v>0</v>
      </c>
      <c r="K371" s="68"/>
    </row>
    <row r="372" spans="1:11" x14ac:dyDescent="0.2">
      <c r="A372" s="75">
        <v>2</v>
      </c>
      <c r="B372" s="62">
        <v>6</v>
      </c>
      <c r="C372" s="62">
        <v>4</v>
      </c>
      <c r="D372" s="62">
        <v>3</v>
      </c>
      <c r="E372" s="63" t="s">
        <v>35</v>
      </c>
      <c r="F372" s="70" t="s">
        <v>307</v>
      </c>
      <c r="G372" s="144">
        <f>+'ENERO 2025'!G372+'FEBRERO 2025'!G372</f>
        <v>0</v>
      </c>
      <c r="H372" s="144">
        <f>+'ENERO 2025'!H372+'FEBRERO 2025'!H372</f>
        <v>0</v>
      </c>
      <c r="I372" s="144"/>
      <c r="J372" s="144">
        <f t="shared" si="15"/>
        <v>0</v>
      </c>
      <c r="K372" s="65">
        <f>J372/$J$25</f>
        <v>0</v>
      </c>
    </row>
    <row r="373" spans="1:11" x14ac:dyDescent="0.2">
      <c r="A373" s="73">
        <v>2</v>
      </c>
      <c r="B373" s="58">
        <v>6</v>
      </c>
      <c r="C373" s="58">
        <v>4</v>
      </c>
      <c r="D373" s="58">
        <v>4</v>
      </c>
      <c r="E373" s="58"/>
      <c r="F373" s="87" t="s">
        <v>308</v>
      </c>
      <c r="G373" s="150">
        <f>+'ENERO 2025'!G373+'FEBRERO 2025'!G373</f>
        <v>0</v>
      </c>
      <c r="H373" s="150">
        <f>+'ENERO 2025'!H373+'FEBRERO 2025'!H373</f>
        <v>0</v>
      </c>
      <c r="I373" s="150"/>
      <c r="J373" s="150">
        <f t="shared" si="15"/>
        <v>0</v>
      </c>
      <c r="K373" s="68"/>
    </row>
    <row r="374" spans="1:11" x14ac:dyDescent="0.2">
      <c r="A374" s="75">
        <v>2</v>
      </c>
      <c r="B374" s="62">
        <v>6</v>
      </c>
      <c r="C374" s="62">
        <v>4</v>
      </c>
      <c r="D374" s="62">
        <v>4</v>
      </c>
      <c r="E374" s="63" t="s">
        <v>35</v>
      </c>
      <c r="F374" s="70" t="s">
        <v>308</v>
      </c>
      <c r="G374" s="144">
        <f>+'ENERO 2025'!G374+'FEBRERO 2025'!G374</f>
        <v>0</v>
      </c>
      <c r="H374" s="144">
        <f>+'ENERO 2025'!H374+'FEBRERO 2025'!H374</f>
        <v>0</v>
      </c>
      <c r="I374" s="144"/>
      <c r="J374" s="144">
        <f t="shared" si="15"/>
        <v>0</v>
      </c>
      <c r="K374" s="65">
        <f>J374/$J$25</f>
        <v>0</v>
      </c>
    </row>
    <row r="375" spans="1:11" x14ac:dyDescent="0.2">
      <c r="A375" s="73">
        <v>2</v>
      </c>
      <c r="B375" s="58">
        <v>6</v>
      </c>
      <c r="C375" s="58">
        <v>4</v>
      </c>
      <c r="D375" s="58">
        <v>5</v>
      </c>
      <c r="E375" s="58"/>
      <c r="F375" s="87" t="s">
        <v>309</v>
      </c>
      <c r="G375" s="150">
        <f>+'ENERO 2025'!G375+'FEBRERO 2025'!G375</f>
        <v>0</v>
      </c>
      <c r="H375" s="150">
        <f>+'ENERO 2025'!H375+'FEBRERO 2025'!H375</f>
        <v>0</v>
      </c>
      <c r="I375" s="150"/>
      <c r="J375" s="150">
        <f t="shared" si="15"/>
        <v>0</v>
      </c>
      <c r="K375" s="68"/>
    </row>
    <row r="376" spans="1:11" x14ac:dyDescent="0.2">
      <c r="A376" s="75">
        <v>2</v>
      </c>
      <c r="B376" s="62">
        <v>6</v>
      </c>
      <c r="C376" s="62">
        <v>4</v>
      </c>
      <c r="D376" s="62">
        <v>5</v>
      </c>
      <c r="E376" s="63" t="s">
        <v>35</v>
      </c>
      <c r="F376" s="70" t="s">
        <v>309</v>
      </c>
      <c r="G376" s="144">
        <f>+'ENERO 2025'!G376+'FEBRERO 2025'!G376</f>
        <v>0</v>
      </c>
      <c r="H376" s="144">
        <f>+'ENERO 2025'!H376+'FEBRERO 2025'!H376</f>
        <v>0</v>
      </c>
      <c r="I376" s="144"/>
      <c r="J376" s="144">
        <f t="shared" si="15"/>
        <v>0</v>
      </c>
      <c r="K376" s="65">
        <f>J376/$J$25</f>
        <v>0</v>
      </c>
    </row>
    <row r="377" spans="1:11" x14ac:dyDescent="0.2">
      <c r="A377" s="73">
        <v>2</v>
      </c>
      <c r="B377" s="58">
        <v>6</v>
      </c>
      <c r="C377" s="58">
        <v>4</v>
      </c>
      <c r="D377" s="58">
        <v>6</v>
      </c>
      <c r="E377" s="58"/>
      <c r="F377" s="87" t="s">
        <v>310</v>
      </c>
      <c r="G377" s="150">
        <f>+'ENERO 2025'!G377+'FEBRERO 2025'!G377</f>
        <v>0</v>
      </c>
      <c r="H377" s="150">
        <f>+'ENERO 2025'!H377+'FEBRERO 2025'!H377</f>
        <v>0</v>
      </c>
      <c r="I377" s="150"/>
      <c r="J377" s="150">
        <f t="shared" si="15"/>
        <v>0</v>
      </c>
      <c r="K377" s="68"/>
    </row>
    <row r="378" spans="1:11" x14ac:dyDescent="0.2">
      <c r="A378" s="75">
        <v>2</v>
      </c>
      <c r="B378" s="62">
        <v>6</v>
      </c>
      <c r="C378" s="62">
        <v>4</v>
      </c>
      <c r="D378" s="62">
        <v>6</v>
      </c>
      <c r="E378" s="63" t="s">
        <v>35</v>
      </c>
      <c r="F378" s="70" t="s">
        <v>310</v>
      </c>
      <c r="G378" s="144">
        <f>+'ENERO 2025'!G378+'FEBRERO 2025'!G378</f>
        <v>0</v>
      </c>
      <c r="H378" s="144">
        <f>+'ENERO 2025'!H378+'FEBRERO 2025'!H378</f>
        <v>0</v>
      </c>
      <c r="I378" s="144"/>
      <c r="J378" s="144">
        <f t="shared" si="15"/>
        <v>0</v>
      </c>
      <c r="K378" s="65">
        <f>J378/$J$25</f>
        <v>0</v>
      </c>
    </row>
    <row r="379" spans="1:11" x14ac:dyDescent="0.2">
      <c r="A379" s="73">
        <v>2</v>
      </c>
      <c r="B379" s="58">
        <v>6</v>
      </c>
      <c r="C379" s="58">
        <v>4</v>
      </c>
      <c r="D379" s="58">
        <v>7</v>
      </c>
      <c r="E379" s="58"/>
      <c r="F379" s="87" t="s">
        <v>311</v>
      </c>
      <c r="G379" s="150">
        <f>+'ENERO 2025'!G379+'FEBRERO 2025'!G379</f>
        <v>0</v>
      </c>
      <c r="H379" s="150">
        <f>+'ENERO 2025'!H379+'FEBRERO 2025'!H379</f>
        <v>0</v>
      </c>
      <c r="I379" s="150"/>
      <c r="J379" s="150">
        <f t="shared" si="15"/>
        <v>0</v>
      </c>
      <c r="K379" s="68"/>
    </row>
    <row r="380" spans="1:11" x14ac:dyDescent="0.2">
      <c r="A380" s="75">
        <v>2</v>
      </c>
      <c r="B380" s="62">
        <v>6</v>
      </c>
      <c r="C380" s="62">
        <v>4</v>
      </c>
      <c r="D380" s="62">
        <v>7</v>
      </c>
      <c r="E380" s="63" t="s">
        <v>35</v>
      </c>
      <c r="F380" s="70" t="s">
        <v>311</v>
      </c>
      <c r="G380" s="144">
        <f>+'ENERO 2025'!G380+'FEBRERO 2025'!G380</f>
        <v>0</v>
      </c>
      <c r="H380" s="144">
        <f>+'ENERO 2025'!H380+'FEBRERO 2025'!H380</f>
        <v>0</v>
      </c>
      <c r="I380" s="144"/>
      <c r="J380" s="144">
        <f t="shared" si="15"/>
        <v>0</v>
      </c>
      <c r="K380" s="65">
        <f>J380/$J$25</f>
        <v>0</v>
      </c>
    </row>
    <row r="381" spans="1:11" x14ac:dyDescent="0.2">
      <c r="A381" s="73">
        <v>2</v>
      </c>
      <c r="B381" s="58">
        <v>6</v>
      </c>
      <c r="C381" s="58">
        <v>4</v>
      </c>
      <c r="D381" s="58">
        <v>8</v>
      </c>
      <c r="E381" s="58"/>
      <c r="F381" s="87" t="s">
        <v>312</v>
      </c>
      <c r="G381" s="150">
        <f>+'ENERO 2025'!G381+'FEBRERO 2025'!G381</f>
        <v>0</v>
      </c>
      <c r="H381" s="150">
        <f>+'ENERO 2025'!H381+'FEBRERO 2025'!H381</f>
        <v>0</v>
      </c>
      <c r="I381" s="150"/>
      <c r="J381" s="150">
        <f t="shared" si="15"/>
        <v>0</v>
      </c>
      <c r="K381" s="68"/>
    </row>
    <row r="382" spans="1:11" x14ac:dyDescent="0.2">
      <c r="A382" s="75">
        <v>2</v>
      </c>
      <c r="B382" s="62">
        <v>6</v>
      </c>
      <c r="C382" s="62">
        <v>4</v>
      </c>
      <c r="D382" s="62">
        <v>8</v>
      </c>
      <c r="E382" s="63" t="s">
        <v>35</v>
      </c>
      <c r="F382" s="70" t="s">
        <v>312</v>
      </c>
      <c r="G382" s="144">
        <f>+'ENERO 2025'!G382+'FEBRERO 2025'!G382</f>
        <v>0</v>
      </c>
      <c r="H382" s="144">
        <f>+'ENERO 2025'!H382+'FEBRERO 2025'!H382</f>
        <v>0</v>
      </c>
      <c r="I382" s="144"/>
      <c r="J382" s="144">
        <f t="shared" si="15"/>
        <v>0</v>
      </c>
      <c r="K382" s="65">
        <f>J382/$J$25</f>
        <v>0</v>
      </c>
    </row>
    <row r="383" spans="1:11" x14ac:dyDescent="0.2">
      <c r="A383" s="54">
        <v>2</v>
      </c>
      <c r="B383" s="55">
        <v>6</v>
      </c>
      <c r="C383" s="55">
        <v>5</v>
      </c>
      <c r="D383" s="55"/>
      <c r="E383" s="79"/>
      <c r="F383" s="86" t="s">
        <v>313</v>
      </c>
      <c r="G383" s="151">
        <f>+'ENERO 2025'!G383+'FEBRERO 2025'!G383</f>
        <v>0</v>
      </c>
      <c r="H383" s="151">
        <f>+'ENERO 2025'!H383+'FEBRERO 2025'!H383</f>
        <v>1812480</v>
      </c>
      <c r="I383" s="151"/>
      <c r="J383" s="151">
        <f t="shared" si="15"/>
        <v>1812480</v>
      </c>
      <c r="K383" s="53"/>
    </row>
    <row r="384" spans="1:11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7" t="s">
        <v>314</v>
      </c>
      <c r="G384" s="150">
        <f>+'ENERO 2025'!G384+'FEBRERO 2025'!G384</f>
        <v>0</v>
      </c>
      <c r="H384" s="150">
        <f>+'ENERO 2025'!H384+'FEBRERO 2025'!H384</f>
        <v>0</v>
      </c>
      <c r="I384" s="150"/>
      <c r="J384" s="150">
        <f t="shared" si="15"/>
        <v>0</v>
      </c>
      <c r="K384" s="68"/>
    </row>
    <row r="385" spans="1:11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70" t="s">
        <v>314</v>
      </c>
      <c r="G385" s="144">
        <f>+'ENERO 2025'!G385+'FEBRERO 2025'!G385</f>
        <v>0</v>
      </c>
      <c r="H385" s="144">
        <f>+'ENERO 2025'!H385+'FEBRERO 2025'!H385</f>
        <v>0</v>
      </c>
      <c r="I385" s="144"/>
      <c r="J385" s="144">
        <f t="shared" si="15"/>
        <v>0</v>
      </c>
      <c r="K385" s="65">
        <f>J385/$J$25</f>
        <v>0</v>
      </c>
    </row>
    <row r="386" spans="1:11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7" t="s">
        <v>315</v>
      </c>
      <c r="G386" s="150">
        <f>+'ENERO 2025'!G386+'FEBRERO 2025'!G386</f>
        <v>0</v>
      </c>
      <c r="H386" s="150">
        <f>+'ENERO 2025'!H386+'FEBRERO 2025'!H386</f>
        <v>1770000</v>
      </c>
      <c r="I386" s="150"/>
      <c r="J386" s="150">
        <f t="shared" si="15"/>
        <v>1770000</v>
      </c>
      <c r="K386" s="68"/>
    </row>
    <row r="387" spans="1:11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70" t="s">
        <v>315</v>
      </c>
      <c r="G387" s="144">
        <f>+'ENERO 2025'!G387+'FEBRERO 2025'!G387</f>
        <v>0</v>
      </c>
      <c r="H387" s="144">
        <f>+'ENERO 2025'!H387+'FEBRERO 2025'!H387</f>
        <v>1770000</v>
      </c>
      <c r="I387" s="144"/>
      <c r="J387" s="144">
        <f t="shared" si="15"/>
        <v>1770000</v>
      </c>
      <c r="K387" s="65">
        <f>J387/$J$25</f>
        <v>1.0183947255594501E-2</v>
      </c>
    </row>
    <row r="388" spans="1:11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7" t="s">
        <v>316</v>
      </c>
      <c r="G388" s="150">
        <f>+'ENERO 2025'!G388+'FEBRERO 2025'!G388</f>
        <v>0</v>
      </c>
      <c r="H388" s="150">
        <f>+'ENERO 2025'!H388+'FEBRERO 2025'!H388</f>
        <v>0</v>
      </c>
      <c r="I388" s="150"/>
      <c r="J388" s="150">
        <f t="shared" si="15"/>
        <v>0</v>
      </c>
      <c r="K388" s="68"/>
    </row>
    <row r="389" spans="1:11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70" t="s">
        <v>316</v>
      </c>
      <c r="G389" s="144">
        <f>+'ENERO 2025'!G389+'FEBRERO 2025'!G389</f>
        <v>0</v>
      </c>
      <c r="H389" s="144">
        <f>+'ENERO 2025'!H389+'FEBRERO 2025'!H389</f>
        <v>0</v>
      </c>
      <c r="I389" s="144"/>
      <c r="J389" s="144">
        <f t="shared" si="15"/>
        <v>0</v>
      </c>
      <c r="K389" s="65">
        <f>J389/$J$25</f>
        <v>0</v>
      </c>
    </row>
    <row r="390" spans="1:11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7" t="s">
        <v>317</v>
      </c>
      <c r="G390" s="150">
        <f>+'ENERO 2025'!G390+'FEBRERO 2025'!G390</f>
        <v>0</v>
      </c>
      <c r="H390" s="150">
        <f>+'ENERO 2025'!H390+'FEBRERO 2025'!H390</f>
        <v>0</v>
      </c>
      <c r="I390" s="150"/>
      <c r="J390" s="150">
        <f t="shared" si="15"/>
        <v>0</v>
      </c>
      <c r="K390" s="68"/>
    </row>
    <row r="391" spans="1:11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70" t="s">
        <v>317</v>
      </c>
      <c r="G391" s="144">
        <f>+'ENERO 2025'!G391+'FEBRERO 2025'!G391</f>
        <v>0</v>
      </c>
      <c r="H391" s="144">
        <f>+'ENERO 2025'!H391+'FEBRERO 2025'!H391</f>
        <v>0</v>
      </c>
      <c r="I391" s="144"/>
      <c r="J391" s="144">
        <f t="shared" si="15"/>
        <v>0</v>
      </c>
      <c r="K391" s="65">
        <f>J391/$J$25</f>
        <v>0</v>
      </c>
    </row>
    <row r="392" spans="1:11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7" t="s">
        <v>318</v>
      </c>
      <c r="G392" s="150">
        <f>+'ENERO 2025'!G392+'FEBRERO 2025'!G392</f>
        <v>0</v>
      </c>
      <c r="H392" s="150">
        <f>+'ENERO 2025'!H392+'FEBRERO 2025'!H392</f>
        <v>0</v>
      </c>
      <c r="I392" s="150"/>
      <c r="J392" s="150">
        <f t="shared" si="15"/>
        <v>0</v>
      </c>
      <c r="K392" s="68"/>
    </row>
    <row r="393" spans="1:11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70" t="s">
        <v>318</v>
      </c>
      <c r="G393" s="144">
        <f>+'ENERO 2025'!G393+'FEBRERO 2025'!G393</f>
        <v>0</v>
      </c>
      <c r="H393" s="144">
        <f>+'ENERO 2025'!H393+'FEBRERO 2025'!H393</f>
        <v>0</v>
      </c>
      <c r="I393" s="144"/>
      <c r="J393" s="144">
        <f t="shared" si="15"/>
        <v>0</v>
      </c>
      <c r="K393" s="65">
        <f>J393/$J$25</f>
        <v>0</v>
      </c>
    </row>
    <row r="394" spans="1:11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7" t="s">
        <v>319</v>
      </c>
      <c r="G394" s="150">
        <f>+'ENERO 2025'!G394+'FEBRERO 2025'!G394</f>
        <v>0</v>
      </c>
      <c r="H394" s="150">
        <f>+'ENERO 2025'!H394+'FEBRERO 2025'!H394</f>
        <v>42480</v>
      </c>
      <c r="I394" s="150"/>
      <c r="J394" s="150">
        <f t="shared" si="15"/>
        <v>42480</v>
      </c>
      <c r="K394" s="68"/>
    </row>
    <row r="395" spans="1:11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70" t="s">
        <v>319</v>
      </c>
      <c r="G395" s="144">
        <f>+'ENERO 2025'!G395+'FEBRERO 2025'!G395</f>
        <v>0</v>
      </c>
      <c r="H395" s="144">
        <f>+'ENERO 2025'!H395+'FEBRERO 2025'!H395</f>
        <v>42480</v>
      </c>
      <c r="I395" s="144"/>
      <c r="J395" s="144">
        <f t="shared" si="15"/>
        <v>42480</v>
      </c>
      <c r="K395" s="65">
        <f>J395/$J$25</f>
        <v>2.4441473413426801E-4</v>
      </c>
    </row>
    <row r="396" spans="1:11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7" t="s">
        <v>320</v>
      </c>
      <c r="G396" s="150">
        <f>+'ENERO 2025'!G396+'FEBRERO 2025'!G396</f>
        <v>0</v>
      </c>
      <c r="H396" s="150">
        <f>+'ENERO 2025'!H396+'FEBRERO 2025'!H396</f>
        <v>0</v>
      </c>
      <c r="I396" s="150"/>
      <c r="J396" s="150">
        <f t="shared" si="15"/>
        <v>0</v>
      </c>
      <c r="K396" s="68"/>
    </row>
    <row r="397" spans="1:11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70" t="s">
        <v>320</v>
      </c>
      <c r="G397" s="144">
        <f>+'ENERO 2025'!G397+'FEBRERO 2025'!G397</f>
        <v>0</v>
      </c>
      <c r="H397" s="144">
        <f>+'ENERO 2025'!H397+'FEBRERO 2025'!H397</f>
        <v>0</v>
      </c>
      <c r="I397" s="144"/>
      <c r="J397" s="144">
        <f t="shared" si="15"/>
        <v>0</v>
      </c>
      <c r="K397" s="65">
        <f>J397/$J$25</f>
        <v>0</v>
      </c>
    </row>
    <row r="398" spans="1:11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7" t="s">
        <v>321</v>
      </c>
      <c r="G398" s="150">
        <f>+'ENERO 2025'!G398+'FEBRERO 2025'!G398</f>
        <v>0</v>
      </c>
      <c r="H398" s="150">
        <f>+'ENERO 2025'!H398+'FEBRERO 2025'!H398</f>
        <v>0</v>
      </c>
      <c r="I398" s="150"/>
      <c r="J398" s="150">
        <f t="shared" si="15"/>
        <v>0</v>
      </c>
      <c r="K398" s="68"/>
    </row>
    <row r="399" spans="1:11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70" t="s">
        <v>321</v>
      </c>
      <c r="G399" s="144">
        <f>+'ENERO 2025'!G399+'FEBRERO 2025'!G399</f>
        <v>0</v>
      </c>
      <c r="H399" s="144">
        <f>+'ENERO 2025'!H399+'FEBRERO 2025'!H399</f>
        <v>0</v>
      </c>
      <c r="I399" s="144"/>
      <c r="J399" s="144">
        <f t="shared" si="15"/>
        <v>0</v>
      </c>
      <c r="K399" s="65">
        <f>J399/$J$25</f>
        <v>0</v>
      </c>
    </row>
    <row r="400" spans="1:11" x14ac:dyDescent="0.2">
      <c r="A400" s="71">
        <v>2</v>
      </c>
      <c r="B400" s="55">
        <v>6</v>
      </c>
      <c r="C400" s="55">
        <v>6</v>
      </c>
      <c r="D400" s="55"/>
      <c r="E400" s="55"/>
      <c r="F400" s="86" t="s">
        <v>322</v>
      </c>
      <c r="G400" s="151">
        <f>+'ENERO 2025'!G400+'FEBRERO 2025'!G400</f>
        <v>0</v>
      </c>
      <c r="H400" s="151">
        <f>+'ENERO 2025'!H400+'FEBRERO 2025'!H400</f>
        <v>0</v>
      </c>
      <c r="I400" s="151"/>
      <c r="J400" s="151">
        <f t="shared" si="15"/>
        <v>0</v>
      </c>
      <c r="K400" s="53">
        <f>J400/$J$25</f>
        <v>0</v>
      </c>
    </row>
    <row r="401" spans="1:11" x14ac:dyDescent="0.2">
      <c r="A401" s="73">
        <v>2</v>
      </c>
      <c r="B401" s="58">
        <v>6</v>
      </c>
      <c r="C401" s="58">
        <v>6</v>
      </c>
      <c r="D401" s="58">
        <v>1</v>
      </c>
      <c r="E401" s="78"/>
      <c r="F401" s="87" t="s">
        <v>323</v>
      </c>
      <c r="G401" s="150">
        <f>+'ENERO 2025'!G401+'FEBRERO 2025'!G401</f>
        <v>0</v>
      </c>
      <c r="H401" s="150">
        <f>+'ENERO 2025'!H401+'FEBRERO 2025'!H401</f>
        <v>0</v>
      </c>
      <c r="I401" s="150"/>
      <c r="J401" s="150">
        <f t="shared" si="15"/>
        <v>0</v>
      </c>
      <c r="K401" s="68"/>
    </row>
    <row r="402" spans="1:11" x14ac:dyDescent="0.2">
      <c r="A402" s="75">
        <v>2</v>
      </c>
      <c r="B402" s="62">
        <v>6</v>
      </c>
      <c r="C402" s="62">
        <v>6</v>
      </c>
      <c r="D402" s="62">
        <v>1</v>
      </c>
      <c r="E402" s="62" t="s">
        <v>324</v>
      </c>
      <c r="F402" s="70" t="s">
        <v>323</v>
      </c>
      <c r="G402" s="144">
        <f>+'ENERO 2025'!G402+'FEBRERO 2025'!G402</f>
        <v>0</v>
      </c>
      <c r="H402" s="144">
        <f>+'ENERO 2025'!H402+'FEBRERO 2025'!H402</f>
        <v>0</v>
      </c>
      <c r="I402" s="144"/>
      <c r="J402" s="144">
        <f t="shared" si="15"/>
        <v>0</v>
      </c>
      <c r="K402" s="65">
        <f>J402/$J$25</f>
        <v>0</v>
      </c>
    </row>
    <row r="403" spans="1:11" x14ac:dyDescent="0.2">
      <c r="A403" s="73">
        <v>2</v>
      </c>
      <c r="B403" s="58">
        <v>6</v>
      </c>
      <c r="C403" s="58">
        <v>6</v>
      </c>
      <c r="D403" s="58">
        <v>2</v>
      </c>
      <c r="E403" s="78"/>
      <c r="F403" s="87" t="s">
        <v>325</v>
      </c>
      <c r="G403" s="150">
        <f>+'ENERO 2025'!G403+'FEBRERO 2025'!G403</f>
        <v>0</v>
      </c>
      <c r="H403" s="150">
        <f>+'ENERO 2025'!H403+'FEBRERO 2025'!H403</f>
        <v>0</v>
      </c>
      <c r="I403" s="150"/>
      <c r="J403" s="150">
        <f t="shared" si="15"/>
        <v>0</v>
      </c>
      <c r="K403" s="68"/>
    </row>
    <row r="404" spans="1:11" x14ac:dyDescent="0.2">
      <c r="A404" s="75">
        <v>2</v>
      </c>
      <c r="B404" s="62">
        <v>6</v>
      </c>
      <c r="C404" s="62">
        <v>6</v>
      </c>
      <c r="D404" s="62">
        <v>2</v>
      </c>
      <c r="E404" s="62" t="s">
        <v>324</v>
      </c>
      <c r="F404" s="70" t="s">
        <v>325</v>
      </c>
      <c r="G404" s="144">
        <f>+'ENERO 2025'!G404+'FEBRERO 2025'!G404</f>
        <v>0</v>
      </c>
      <c r="H404" s="144">
        <f>+'ENERO 2025'!H404+'FEBRERO 2025'!H404</f>
        <v>0</v>
      </c>
      <c r="I404" s="144"/>
      <c r="J404" s="144">
        <f t="shared" si="15"/>
        <v>0</v>
      </c>
      <c r="K404" s="65">
        <f>J404/$J$25</f>
        <v>0</v>
      </c>
    </row>
    <row r="405" spans="1:11" x14ac:dyDescent="0.2">
      <c r="A405" s="54">
        <v>2</v>
      </c>
      <c r="B405" s="55">
        <v>6</v>
      </c>
      <c r="C405" s="55">
        <v>7</v>
      </c>
      <c r="D405" s="55"/>
      <c r="E405" s="79"/>
      <c r="F405" s="86" t="s">
        <v>326</v>
      </c>
      <c r="G405" s="151">
        <f>+'ENERO 2025'!G405+'FEBRERO 2025'!G405</f>
        <v>0</v>
      </c>
      <c r="H405" s="151">
        <f>+'ENERO 2025'!H405+'FEBRERO 2025'!H405</f>
        <v>0</v>
      </c>
      <c r="I405" s="151"/>
      <c r="J405" s="151">
        <f t="shared" si="15"/>
        <v>0</v>
      </c>
      <c r="K405" s="53"/>
    </row>
    <row r="406" spans="1:11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7" t="s">
        <v>327</v>
      </c>
      <c r="G406" s="150">
        <f>+'ENERO 2025'!G406+'FEBRERO 2025'!G406</f>
        <v>0</v>
      </c>
      <c r="H406" s="150">
        <f>+'ENERO 2025'!H406+'FEBRERO 2025'!H406</f>
        <v>0</v>
      </c>
      <c r="I406" s="150"/>
      <c r="J406" s="150">
        <f t="shared" si="15"/>
        <v>0</v>
      </c>
      <c r="K406" s="68"/>
    </row>
    <row r="407" spans="1:11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70" t="s">
        <v>327</v>
      </c>
      <c r="G407" s="144">
        <f>+'ENERO 2025'!G407+'FEBRERO 2025'!G407</f>
        <v>0</v>
      </c>
      <c r="H407" s="144">
        <f>+'ENERO 2025'!H407+'FEBRERO 2025'!H407</f>
        <v>0</v>
      </c>
      <c r="I407" s="144"/>
      <c r="J407" s="144">
        <f t="shared" si="15"/>
        <v>0</v>
      </c>
      <c r="K407" s="65">
        <f>J407/$J$25</f>
        <v>0</v>
      </c>
    </row>
    <row r="408" spans="1:11" x14ac:dyDescent="0.2">
      <c r="A408" s="73">
        <v>2</v>
      </c>
      <c r="B408" s="58">
        <v>6</v>
      </c>
      <c r="C408" s="58">
        <v>7</v>
      </c>
      <c r="D408" s="58">
        <v>2</v>
      </c>
      <c r="E408" s="58"/>
      <c r="F408" s="87" t="s">
        <v>328</v>
      </c>
      <c r="G408" s="150">
        <f>+'ENERO 2025'!G408+'FEBRERO 2025'!G408</f>
        <v>0</v>
      </c>
      <c r="H408" s="150">
        <f>+'ENERO 2025'!H408+'FEBRERO 2025'!H408</f>
        <v>0</v>
      </c>
      <c r="I408" s="150"/>
      <c r="J408" s="150">
        <f t="shared" si="15"/>
        <v>0</v>
      </c>
      <c r="K408" s="68"/>
    </row>
    <row r="409" spans="1:11" x14ac:dyDescent="0.2">
      <c r="A409" s="75">
        <v>2</v>
      </c>
      <c r="B409" s="62">
        <v>6</v>
      </c>
      <c r="C409" s="62">
        <v>7</v>
      </c>
      <c r="D409" s="62">
        <v>2</v>
      </c>
      <c r="E409" s="63" t="s">
        <v>35</v>
      </c>
      <c r="F409" s="70" t="s">
        <v>328</v>
      </c>
      <c r="G409" s="144">
        <f>+'ENERO 2025'!G409+'FEBRERO 2025'!G409</f>
        <v>0</v>
      </c>
      <c r="H409" s="144">
        <f>+'ENERO 2025'!H409+'FEBRERO 2025'!H409</f>
        <v>0</v>
      </c>
      <c r="I409" s="144"/>
      <c r="J409" s="144">
        <f t="shared" si="15"/>
        <v>0</v>
      </c>
      <c r="K409" s="65">
        <f>J409/$J$25</f>
        <v>0</v>
      </c>
    </row>
    <row r="410" spans="1:11" x14ac:dyDescent="0.2">
      <c r="A410" s="73">
        <v>2</v>
      </c>
      <c r="B410" s="58">
        <v>6</v>
      </c>
      <c r="C410" s="58">
        <v>7</v>
      </c>
      <c r="D410" s="58">
        <v>3</v>
      </c>
      <c r="E410" s="58"/>
      <c r="F410" s="87" t="s">
        <v>329</v>
      </c>
      <c r="G410" s="150">
        <f>+'ENERO 2025'!G410+'FEBRERO 2025'!G410</f>
        <v>0</v>
      </c>
      <c r="H410" s="150">
        <f>+'ENERO 2025'!H410+'FEBRERO 2025'!H410</f>
        <v>0</v>
      </c>
      <c r="I410" s="150"/>
      <c r="J410" s="150">
        <f t="shared" ref="J410:J473" si="16">+G410+H410</f>
        <v>0</v>
      </c>
      <c r="K410" s="68"/>
    </row>
    <row r="411" spans="1:11" x14ac:dyDescent="0.2">
      <c r="A411" s="75">
        <v>2</v>
      </c>
      <c r="B411" s="62">
        <v>6</v>
      </c>
      <c r="C411" s="62">
        <v>7</v>
      </c>
      <c r="D411" s="62">
        <v>3</v>
      </c>
      <c r="E411" s="63" t="s">
        <v>35</v>
      </c>
      <c r="F411" s="70" t="s">
        <v>329</v>
      </c>
      <c r="G411" s="144">
        <f>+'ENERO 2025'!G411+'FEBRERO 2025'!G411</f>
        <v>0</v>
      </c>
      <c r="H411" s="144">
        <f>+'ENERO 2025'!H411+'FEBRERO 2025'!H411</f>
        <v>0</v>
      </c>
      <c r="I411" s="144"/>
      <c r="J411" s="144">
        <f t="shared" si="16"/>
        <v>0</v>
      </c>
      <c r="K411" s="65">
        <f>J411/$J$25</f>
        <v>0</v>
      </c>
    </row>
    <row r="412" spans="1:11" x14ac:dyDescent="0.2">
      <c r="A412" s="73">
        <v>2</v>
      </c>
      <c r="B412" s="58">
        <v>6</v>
      </c>
      <c r="C412" s="58">
        <v>7</v>
      </c>
      <c r="D412" s="58">
        <v>4</v>
      </c>
      <c r="E412" s="58"/>
      <c r="F412" s="87" t="s">
        <v>330</v>
      </c>
      <c r="G412" s="150">
        <f>+'ENERO 2025'!G412+'FEBRERO 2025'!G412</f>
        <v>0</v>
      </c>
      <c r="H412" s="150">
        <f>+'ENERO 2025'!H412+'FEBRERO 2025'!H412</f>
        <v>0</v>
      </c>
      <c r="I412" s="150"/>
      <c r="J412" s="150">
        <f t="shared" si="16"/>
        <v>0</v>
      </c>
      <c r="K412" s="68"/>
    </row>
    <row r="413" spans="1:11" x14ac:dyDescent="0.2">
      <c r="A413" s="75">
        <v>2</v>
      </c>
      <c r="B413" s="62">
        <v>6</v>
      </c>
      <c r="C413" s="62">
        <v>7</v>
      </c>
      <c r="D413" s="62">
        <v>4</v>
      </c>
      <c r="E413" s="63" t="s">
        <v>35</v>
      </c>
      <c r="F413" s="70" t="s">
        <v>330</v>
      </c>
      <c r="G413" s="144">
        <f>+'ENERO 2025'!G413+'FEBRERO 2025'!G413</f>
        <v>0</v>
      </c>
      <c r="H413" s="144">
        <f>+'ENERO 2025'!H413+'FEBRERO 2025'!H413</f>
        <v>0</v>
      </c>
      <c r="I413" s="144"/>
      <c r="J413" s="144">
        <f t="shared" si="16"/>
        <v>0</v>
      </c>
      <c r="K413" s="65">
        <f>J413/$J$25</f>
        <v>0</v>
      </c>
    </row>
    <row r="414" spans="1:11" x14ac:dyDescent="0.2">
      <c r="A414" s="73">
        <v>2</v>
      </c>
      <c r="B414" s="58">
        <v>6</v>
      </c>
      <c r="C414" s="58">
        <v>7</v>
      </c>
      <c r="D414" s="58">
        <v>5</v>
      </c>
      <c r="E414" s="58"/>
      <c r="F414" s="87" t="s">
        <v>331</v>
      </c>
      <c r="G414" s="150">
        <f>+'ENERO 2025'!G414+'FEBRERO 2025'!G414</f>
        <v>0</v>
      </c>
      <c r="H414" s="150">
        <f>+'ENERO 2025'!H414+'FEBRERO 2025'!H414</f>
        <v>0</v>
      </c>
      <c r="I414" s="150"/>
      <c r="J414" s="150">
        <f t="shared" si="16"/>
        <v>0</v>
      </c>
      <c r="K414" s="68"/>
    </row>
    <row r="415" spans="1:11" x14ac:dyDescent="0.2">
      <c r="A415" s="75">
        <v>2</v>
      </c>
      <c r="B415" s="62">
        <v>6</v>
      </c>
      <c r="C415" s="62">
        <v>7</v>
      </c>
      <c r="D415" s="62">
        <v>5</v>
      </c>
      <c r="E415" s="63" t="s">
        <v>35</v>
      </c>
      <c r="F415" s="70" t="s">
        <v>331</v>
      </c>
      <c r="G415" s="144">
        <f>+'ENERO 2025'!G415+'FEBRERO 2025'!G415</f>
        <v>0</v>
      </c>
      <c r="H415" s="144">
        <f>+'ENERO 2025'!H415+'FEBRERO 2025'!H415</f>
        <v>0</v>
      </c>
      <c r="I415" s="144"/>
      <c r="J415" s="144">
        <f t="shared" si="16"/>
        <v>0</v>
      </c>
      <c r="K415" s="65">
        <f>J415/$J$25</f>
        <v>0</v>
      </c>
    </row>
    <row r="416" spans="1:11" x14ac:dyDescent="0.2">
      <c r="A416" s="73">
        <v>2</v>
      </c>
      <c r="B416" s="58">
        <v>6</v>
      </c>
      <c r="C416" s="58">
        <v>7</v>
      </c>
      <c r="D416" s="58">
        <v>6</v>
      </c>
      <c r="E416" s="58"/>
      <c r="F416" s="87" t="s">
        <v>332</v>
      </c>
      <c r="G416" s="150">
        <f>+'ENERO 2025'!G416+'FEBRERO 2025'!G416</f>
        <v>0</v>
      </c>
      <c r="H416" s="150">
        <f>+'ENERO 2025'!H416+'FEBRERO 2025'!H416</f>
        <v>0</v>
      </c>
      <c r="I416" s="150"/>
      <c r="J416" s="150">
        <f t="shared" si="16"/>
        <v>0</v>
      </c>
      <c r="K416" s="68"/>
    </row>
    <row r="417" spans="1:11" x14ac:dyDescent="0.2">
      <c r="A417" s="75">
        <v>2</v>
      </c>
      <c r="B417" s="62">
        <v>6</v>
      </c>
      <c r="C417" s="62">
        <v>7</v>
      </c>
      <c r="D417" s="62">
        <v>6</v>
      </c>
      <c r="E417" s="63" t="s">
        <v>35</v>
      </c>
      <c r="F417" s="70" t="s">
        <v>332</v>
      </c>
      <c r="G417" s="144">
        <f>+'ENERO 2025'!G417+'FEBRERO 2025'!G417</f>
        <v>0</v>
      </c>
      <c r="H417" s="144">
        <f>+'ENERO 2025'!H417+'FEBRERO 2025'!H417</f>
        <v>0</v>
      </c>
      <c r="I417" s="144"/>
      <c r="J417" s="144">
        <f t="shared" si="16"/>
        <v>0</v>
      </c>
      <c r="K417" s="65">
        <f>J417/$J$25</f>
        <v>0</v>
      </c>
    </row>
    <row r="418" spans="1:11" x14ac:dyDescent="0.2">
      <c r="A418" s="73">
        <v>2</v>
      </c>
      <c r="B418" s="58">
        <v>6</v>
      </c>
      <c r="C418" s="58">
        <v>7</v>
      </c>
      <c r="D418" s="58">
        <v>7</v>
      </c>
      <c r="E418" s="58"/>
      <c r="F418" s="87" t="s">
        <v>333</v>
      </c>
      <c r="G418" s="150">
        <f>+'ENERO 2025'!G418+'FEBRERO 2025'!G418</f>
        <v>0</v>
      </c>
      <c r="H418" s="150">
        <f>+'ENERO 2025'!H418+'FEBRERO 2025'!H418</f>
        <v>0</v>
      </c>
      <c r="I418" s="150"/>
      <c r="J418" s="150">
        <f t="shared" si="16"/>
        <v>0</v>
      </c>
      <c r="K418" s="68"/>
    </row>
    <row r="419" spans="1:11" x14ac:dyDescent="0.2">
      <c r="A419" s="75">
        <v>2</v>
      </c>
      <c r="B419" s="62">
        <v>6</v>
      </c>
      <c r="C419" s="62">
        <v>7</v>
      </c>
      <c r="D419" s="62">
        <v>7</v>
      </c>
      <c r="E419" s="63" t="s">
        <v>35</v>
      </c>
      <c r="F419" s="70" t="s">
        <v>333</v>
      </c>
      <c r="G419" s="144">
        <f>+'ENERO 2025'!G419+'FEBRERO 2025'!G419</f>
        <v>0</v>
      </c>
      <c r="H419" s="144">
        <f>+'ENERO 2025'!H419+'FEBRERO 2025'!H419</f>
        <v>0</v>
      </c>
      <c r="I419" s="144"/>
      <c r="J419" s="144">
        <f t="shared" si="16"/>
        <v>0</v>
      </c>
      <c r="K419" s="65">
        <f>J419/$J$25</f>
        <v>0</v>
      </c>
    </row>
    <row r="420" spans="1:11" x14ac:dyDescent="0.2">
      <c r="A420" s="73">
        <v>2</v>
      </c>
      <c r="B420" s="58">
        <v>6</v>
      </c>
      <c r="C420" s="58">
        <v>7</v>
      </c>
      <c r="D420" s="58">
        <v>8</v>
      </c>
      <c r="E420" s="58"/>
      <c r="F420" s="87" t="s">
        <v>334</v>
      </c>
      <c r="G420" s="150">
        <f>+'ENERO 2025'!G420+'FEBRERO 2025'!G420</f>
        <v>0</v>
      </c>
      <c r="H420" s="150">
        <f>+'ENERO 2025'!H420+'FEBRERO 2025'!H420</f>
        <v>0</v>
      </c>
      <c r="I420" s="150"/>
      <c r="J420" s="150">
        <f t="shared" si="16"/>
        <v>0</v>
      </c>
      <c r="K420" s="68"/>
    </row>
    <row r="421" spans="1:11" x14ac:dyDescent="0.2">
      <c r="A421" s="75">
        <v>2</v>
      </c>
      <c r="B421" s="62">
        <v>6</v>
      </c>
      <c r="C421" s="62">
        <v>7</v>
      </c>
      <c r="D421" s="62">
        <v>8</v>
      </c>
      <c r="E421" s="63" t="s">
        <v>35</v>
      </c>
      <c r="F421" s="70" t="s">
        <v>334</v>
      </c>
      <c r="G421" s="144">
        <f>+'ENERO 2025'!G421+'FEBRERO 2025'!G421</f>
        <v>0</v>
      </c>
      <c r="H421" s="144">
        <f>+'ENERO 2025'!H421+'FEBRERO 2025'!H421</f>
        <v>0</v>
      </c>
      <c r="I421" s="144"/>
      <c r="J421" s="144">
        <f t="shared" si="16"/>
        <v>0</v>
      </c>
      <c r="K421" s="65">
        <f>J421/$J$25</f>
        <v>0</v>
      </c>
    </row>
    <row r="422" spans="1:11" x14ac:dyDescent="0.2">
      <c r="A422" s="73">
        <v>2</v>
      </c>
      <c r="B422" s="58">
        <v>6</v>
      </c>
      <c r="C422" s="58">
        <v>7</v>
      </c>
      <c r="D422" s="58">
        <v>9</v>
      </c>
      <c r="E422" s="58"/>
      <c r="F422" s="87" t="s">
        <v>335</v>
      </c>
      <c r="G422" s="150">
        <f>+'ENERO 2025'!G422+'FEBRERO 2025'!G422</f>
        <v>0</v>
      </c>
      <c r="H422" s="150">
        <f>+'ENERO 2025'!H422+'FEBRERO 2025'!H422</f>
        <v>0</v>
      </c>
      <c r="I422" s="150"/>
      <c r="J422" s="150">
        <f t="shared" si="16"/>
        <v>0</v>
      </c>
      <c r="K422" s="68"/>
    </row>
    <row r="423" spans="1:11" x14ac:dyDescent="0.2">
      <c r="A423" s="75">
        <v>2</v>
      </c>
      <c r="B423" s="62">
        <v>6</v>
      </c>
      <c r="C423" s="62">
        <v>7</v>
      </c>
      <c r="D423" s="62">
        <v>9</v>
      </c>
      <c r="E423" s="63" t="s">
        <v>35</v>
      </c>
      <c r="F423" s="70" t="s">
        <v>335</v>
      </c>
      <c r="G423" s="144">
        <f>+'ENERO 2025'!G423+'FEBRERO 2025'!G423</f>
        <v>0</v>
      </c>
      <c r="H423" s="144">
        <f>+'ENERO 2025'!H423+'FEBRERO 2025'!H423</f>
        <v>0</v>
      </c>
      <c r="I423" s="144"/>
      <c r="J423" s="144">
        <f t="shared" si="16"/>
        <v>0</v>
      </c>
      <c r="K423" s="65">
        <f>J423/$J$25</f>
        <v>0</v>
      </c>
    </row>
    <row r="424" spans="1:11" x14ac:dyDescent="0.2">
      <c r="A424" s="71">
        <v>2</v>
      </c>
      <c r="B424" s="55">
        <v>6</v>
      </c>
      <c r="C424" s="55">
        <v>8</v>
      </c>
      <c r="D424" s="55"/>
      <c r="E424" s="55"/>
      <c r="F424" s="86" t="s">
        <v>336</v>
      </c>
      <c r="G424" s="151">
        <f>+'ENERO 2025'!G424+'FEBRERO 2025'!G424</f>
        <v>0</v>
      </c>
      <c r="H424" s="151">
        <f>+'ENERO 2025'!H424+'FEBRERO 2025'!H424</f>
        <v>0</v>
      </c>
      <c r="I424" s="151"/>
      <c r="J424" s="151">
        <f t="shared" si="16"/>
        <v>0</v>
      </c>
      <c r="K424" s="53"/>
    </row>
    <row r="425" spans="1:11" x14ac:dyDescent="0.2">
      <c r="A425" s="73">
        <v>2</v>
      </c>
      <c r="B425" s="58">
        <v>6</v>
      </c>
      <c r="C425" s="58">
        <v>8</v>
      </c>
      <c r="D425" s="58">
        <v>1</v>
      </c>
      <c r="E425" s="58"/>
      <c r="F425" s="87" t="s">
        <v>337</v>
      </c>
      <c r="G425" s="150">
        <f>+'ENERO 2025'!G425+'FEBRERO 2025'!G425</f>
        <v>0</v>
      </c>
      <c r="H425" s="150">
        <f>+'ENERO 2025'!H425+'FEBRERO 2025'!H425</f>
        <v>0</v>
      </c>
      <c r="I425" s="150"/>
      <c r="J425" s="150">
        <f t="shared" si="16"/>
        <v>0</v>
      </c>
      <c r="K425" s="68"/>
    </row>
    <row r="426" spans="1:11" x14ac:dyDescent="0.2">
      <c r="A426" s="75">
        <v>2</v>
      </c>
      <c r="B426" s="62">
        <v>6</v>
      </c>
      <c r="C426" s="62">
        <v>8</v>
      </c>
      <c r="D426" s="62">
        <v>1</v>
      </c>
      <c r="E426" s="63" t="s">
        <v>35</v>
      </c>
      <c r="F426" s="70" t="s">
        <v>337</v>
      </c>
      <c r="G426" s="144">
        <f>+'ENERO 2025'!G426+'FEBRERO 2025'!G426</f>
        <v>0</v>
      </c>
      <c r="H426" s="144">
        <f>+'ENERO 2025'!H426+'FEBRERO 2025'!H426</f>
        <v>0</v>
      </c>
      <c r="I426" s="144"/>
      <c r="J426" s="144">
        <f t="shared" si="16"/>
        <v>0</v>
      </c>
      <c r="K426" s="65">
        <f>J426/$J$25</f>
        <v>0</v>
      </c>
    </row>
    <row r="427" spans="1:11" x14ac:dyDescent="0.2">
      <c r="A427" s="73">
        <v>2</v>
      </c>
      <c r="B427" s="58">
        <v>6</v>
      </c>
      <c r="C427" s="58">
        <v>8</v>
      </c>
      <c r="D427" s="58">
        <v>2</v>
      </c>
      <c r="E427" s="58"/>
      <c r="F427" s="87" t="s">
        <v>338</v>
      </c>
      <c r="G427" s="150">
        <f>+'ENERO 2025'!G427+'FEBRERO 2025'!G427</f>
        <v>0</v>
      </c>
      <c r="H427" s="150">
        <f>+'ENERO 2025'!H427+'FEBRERO 2025'!H427</f>
        <v>0</v>
      </c>
      <c r="I427" s="150"/>
      <c r="J427" s="150">
        <f t="shared" si="16"/>
        <v>0</v>
      </c>
      <c r="K427" s="68"/>
    </row>
    <row r="428" spans="1:11" x14ac:dyDescent="0.2">
      <c r="A428" s="75">
        <v>2</v>
      </c>
      <c r="B428" s="62">
        <v>6</v>
      </c>
      <c r="C428" s="62">
        <v>8</v>
      </c>
      <c r="D428" s="62">
        <v>2</v>
      </c>
      <c r="E428" s="63" t="s">
        <v>35</v>
      </c>
      <c r="F428" s="70" t="s">
        <v>338</v>
      </c>
      <c r="G428" s="144">
        <f>+'ENERO 2025'!G428+'FEBRERO 2025'!G428</f>
        <v>0</v>
      </c>
      <c r="H428" s="144">
        <f>+'ENERO 2025'!H428+'FEBRERO 2025'!H428</f>
        <v>0</v>
      </c>
      <c r="I428" s="144"/>
      <c r="J428" s="144">
        <f t="shared" si="16"/>
        <v>0</v>
      </c>
      <c r="K428" s="65">
        <f>J428/$J$25</f>
        <v>0</v>
      </c>
    </row>
    <row r="429" spans="1:11" x14ac:dyDescent="0.2">
      <c r="A429" s="73">
        <v>2</v>
      </c>
      <c r="B429" s="58">
        <v>6</v>
      </c>
      <c r="C429" s="58">
        <v>8</v>
      </c>
      <c r="D429" s="58">
        <v>3</v>
      </c>
      <c r="E429" s="58"/>
      <c r="F429" s="87" t="s">
        <v>339</v>
      </c>
      <c r="G429" s="150">
        <f>+'ENERO 2025'!G429+'FEBRERO 2025'!G429</f>
        <v>0</v>
      </c>
      <c r="H429" s="150">
        <f>+'ENERO 2025'!H429+'FEBRERO 2025'!H429</f>
        <v>0</v>
      </c>
      <c r="I429" s="150"/>
      <c r="J429" s="150">
        <f t="shared" si="16"/>
        <v>0</v>
      </c>
      <c r="K429" s="68"/>
    </row>
    <row r="430" spans="1:11" x14ac:dyDescent="0.2">
      <c r="A430" s="75">
        <v>2</v>
      </c>
      <c r="B430" s="62">
        <v>6</v>
      </c>
      <c r="C430" s="62">
        <v>8</v>
      </c>
      <c r="D430" s="62">
        <v>3</v>
      </c>
      <c r="E430" s="63" t="s">
        <v>35</v>
      </c>
      <c r="F430" s="70" t="s">
        <v>340</v>
      </c>
      <c r="G430" s="144">
        <f>+'ENERO 2025'!G430+'FEBRERO 2025'!G430</f>
        <v>0</v>
      </c>
      <c r="H430" s="144">
        <f>+'ENERO 2025'!H430+'FEBRERO 2025'!H430</f>
        <v>0</v>
      </c>
      <c r="I430" s="144"/>
      <c r="J430" s="144">
        <f t="shared" si="16"/>
        <v>0</v>
      </c>
      <c r="K430" s="65">
        <f>J430/$J$25</f>
        <v>0</v>
      </c>
    </row>
    <row r="431" spans="1:11" x14ac:dyDescent="0.2">
      <c r="A431" s="75">
        <v>2</v>
      </c>
      <c r="B431" s="62">
        <v>6</v>
      </c>
      <c r="C431" s="62">
        <v>8</v>
      </c>
      <c r="D431" s="62">
        <v>3</v>
      </c>
      <c r="E431" s="63" t="s">
        <v>37</v>
      </c>
      <c r="F431" s="70" t="s">
        <v>341</v>
      </c>
      <c r="G431" s="144">
        <f>+'ENERO 2025'!G431+'FEBRERO 2025'!G431</f>
        <v>0</v>
      </c>
      <c r="H431" s="144">
        <f>+'ENERO 2025'!H431+'FEBRERO 2025'!H431</f>
        <v>0</v>
      </c>
      <c r="I431" s="144"/>
      <c r="J431" s="144">
        <f t="shared" si="16"/>
        <v>0</v>
      </c>
      <c r="K431" s="65">
        <f>J431/$J$25</f>
        <v>0</v>
      </c>
    </row>
    <row r="432" spans="1:11" x14ac:dyDescent="0.2">
      <c r="A432" s="73">
        <v>2</v>
      </c>
      <c r="B432" s="58">
        <v>6</v>
      </c>
      <c r="C432" s="58">
        <v>8</v>
      </c>
      <c r="D432" s="58">
        <v>4</v>
      </c>
      <c r="E432" s="58"/>
      <c r="F432" s="87" t="s">
        <v>342</v>
      </c>
      <c r="G432" s="150">
        <f>+'ENERO 2025'!G432+'FEBRERO 2025'!G432</f>
        <v>0</v>
      </c>
      <c r="H432" s="150">
        <f>+'ENERO 2025'!H432+'FEBRERO 2025'!H432</f>
        <v>0</v>
      </c>
      <c r="I432" s="150"/>
      <c r="J432" s="150">
        <f t="shared" si="16"/>
        <v>0</v>
      </c>
      <c r="K432" s="68"/>
    </row>
    <row r="433" spans="1:11" x14ac:dyDescent="0.2">
      <c r="A433" s="75">
        <v>2</v>
      </c>
      <c r="B433" s="62">
        <v>6</v>
      </c>
      <c r="C433" s="62">
        <v>8</v>
      </c>
      <c r="D433" s="62">
        <v>4</v>
      </c>
      <c r="E433" s="63" t="s">
        <v>35</v>
      </c>
      <c r="F433" s="70" t="s">
        <v>342</v>
      </c>
      <c r="G433" s="144">
        <f>+'ENERO 2025'!G433+'FEBRERO 2025'!G433</f>
        <v>0</v>
      </c>
      <c r="H433" s="144">
        <f>+'ENERO 2025'!H433+'FEBRERO 2025'!H433</f>
        <v>0</v>
      </c>
      <c r="I433" s="144"/>
      <c r="J433" s="144">
        <f t="shared" si="16"/>
        <v>0</v>
      </c>
      <c r="K433" s="65">
        <f>J433/$J$25</f>
        <v>0</v>
      </c>
    </row>
    <row r="434" spans="1:11" x14ac:dyDescent="0.2">
      <c r="A434" s="73">
        <v>2</v>
      </c>
      <c r="B434" s="58">
        <v>6</v>
      </c>
      <c r="C434" s="58">
        <v>8</v>
      </c>
      <c r="D434" s="58">
        <v>5</v>
      </c>
      <c r="E434" s="58"/>
      <c r="F434" s="87" t="s">
        <v>343</v>
      </c>
      <c r="G434" s="150">
        <f>+'ENERO 2025'!G434+'FEBRERO 2025'!G434</f>
        <v>0</v>
      </c>
      <c r="H434" s="150">
        <f>+'ENERO 2025'!H434+'FEBRERO 2025'!H434</f>
        <v>0</v>
      </c>
      <c r="I434" s="150"/>
      <c r="J434" s="150">
        <f t="shared" si="16"/>
        <v>0</v>
      </c>
      <c r="K434" s="68"/>
    </row>
    <row r="435" spans="1:11" x14ac:dyDescent="0.2">
      <c r="A435" s="75">
        <v>2</v>
      </c>
      <c r="B435" s="62">
        <v>6</v>
      </c>
      <c r="C435" s="62">
        <v>8</v>
      </c>
      <c r="D435" s="62">
        <v>5</v>
      </c>
      <c r="E435" s="63" t="s">
        <v>35</v>
      </c>
      <c r="F435" s="70" t="s">
        <v>343</v>
      </c>
      <c r="G435" s="144">
        <f>+'ENERO 2025'!G435+'FEBRERO 2025'!G435</f>
        <v>0</v>
      </c>
      <c r="H435" s="144">
        <f>+'ENERO 2025'!H435+'FEBRERO 2025'!H435</f>
        <v>0</v>
      </c>
      <c r="I435" s="144"/>
      <c r="J435" s="144">
        <f t="shared" si="16"/>
        <v>0</v>
      </c>
      <c r="K435" s="65">
        <f>J435/$J$25</f>
        <v>0</v>
      </c>
    </row>
    <row r="436" spans="1:11" x14ac:dyDescent="0.2">
      <c r="A436" s="73">
        <v>2</v>
      </c>
      <c r="B436" s="58">
        <v>6</v>
      </c>
      <c r="C436" s="58">
        <v>8</v>
      </c>
      <c r="D436" s="58">
        <v>6</v>
      </c>
      <c r="E436" s="58"/>
      <c r="F436" s="87" t="s">
        <v>344</v>
      </c>
      <c r="G436" s="150">
        <f>+'ENERO 2025'!G436+'FEBRERO 2025'!G436</f>
        <v>0</v>
      </c>
      <c r="H436" s="150">
        <f>+'ENERO 2025'!H436+'FEBRERO 2025'!H436</f>
        <v>0</v>
      </c>
      <c r="I436" s="150"/>
      <c r="J436" s="150">
        <f t="shared" si="16"/>
        <v>0</v>
      </c>
      <c r="K436" s="68"/>
    </row>
    <row r="437" spans="1:11" x14ac:dyDescent="0.2">
      <c r="A437" s="75">
        <v>2</v>
      </c>
      <c r="B437" s="62">
        <v>6</v>
      </c>
      <c r="C437" s="62">
        <v>8</v>
      </c>
      <c r="D437" s="62">
        <v>6</v>
      </c>
      <c r="E437" s="63" t="s">
        <v>35</v>
      </c>
      <c r="F437" s="70" t="s">
        <v>344</v>
      </c>
      <c r="G437" s="144">
        <f>+'ENERO 2025'!G437+'FEBRERO 2025'!G437</f>
        <v>0</v>
      </c>
      <c r="H437" s="144">
        <f>+'ENERO 2025'!H437+'FEBRERO 2025'!H437</f>
        <v>0</v>
      </c>
      <c r="I437" s="144"/>
      <c r="J437" s="144">
        <f t="shared" si="16"/>
        <v>0</v>
      </c>
      <c r="K437" s="65">
        <f>J437/$J$25</f>
        <v>0</v>
      </c>
    </row>
    <row r="438" spans="1:11" x14ac:dyDescent="0.2">
      <c r="A438" s="73">
        <v>2</v>
      </c>
      <c r="B438" s="58">
        <v>6</v>
      </c>
      <c r="C438" s="58">
        <v>8</v>
      </c>
      <c r="D438" s="58">
        <v>7</v>
      </c>
      <c r="E438" s="58"/>
      <c r="F438" s="87" t="s">
        <v>345</v>
      </c>
      <c r="G438" s="150">
        <f>+'ENERO 2025'!G438+'FEBRERO 2025'!G438</f>
        <v>0</v>
      </c>
      <c r="H438" s="150">
        <f>+'ENERO 2025'!H438+'FEBRERO 2025'!H438</f>
        <v>0</v>
      </c>
      <c r="I438" s="150"/>
      <c r="J438" s="150">
        <f t="shared" si="16"/>
        <v>0</v>
      </c>
      <c r="K438" s="68"/>
    </row>
    <row r="439" spans="1:11" x14ac:dyDescent="0.2">
      <c r="A439" s="75">
        <v>2</v>
      </c>
      <c r="B439" s="62">
        <v>6</v>
      </c>
      <c r="C439" s="62">
        <v>8</v>
      </c>
      <c r="D439" s="62">
        <v>7</v>
      </c>
      <c r="E439" s="63" t="s">
        <v>35</v>
      </c>
      <c r="F439" s="70" t="s">
        <v>345</v>
      </c>
      <c r="G439" s="144">
        <f>+'ENERO 2025'!G439+'FEBRERO 2025'!G439</f>
        <v>0</v>
      </c>
      <c r="H439" s="144">
        <f>+'ENERO 2025'!H439+'FEBRERO 2025'!H439</f>
        <v>0</v>
      </c>
      <c r="I439" s="144"/>
      <c r="J439" s="144">
        <f t="shared" si="16"/>
        <v>0</v>
      </c>
      <c r="K439" s="65">
        <f>J439/$J$25</f>
        <v>0</v>
      </c>
    </row>
    <row r="440" spans="1:11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7" t="s">
        <v>346</v>
      </c>
      <c r="G440" s="150">
        <f>+'ENERO 2025'!G440+'FEBRERO 2025'!G440</f>
        <v>0</v>
      </c>
      <c r="H440" s="150">
        <f>+'ENERO 2025'!H440+'FEBRERO 2025'!H440</f>
        <v>0</v>
      </c>
      <c r="I440" s="150"/>
      <c r="J440" s="150">
        <f t="shared" si="16"/>
        <v>0</v>
      </c>
      <c r="K440" s="68"/>
    </row>
    <row r="441" spans="1:11" x14ac:dyDescent="0.2">
      <c r="A441" s="75">
        <v>2</v>
      </c>
      <c r="B441" s="62">
        <v>6</v>
      </c>
      <c r="C441" s="62">
        <v>8</v>
      </c>
      <c r="D441" s="62">
        <v>8</v>
      </c>
      <c r="E441" s="62" t="s">
        <v>347</v>
      </c>
      <c r="F441" s="70" t="s">
        <v>348</v>
      </c>
      <c r="G441" s="144">
        <f>+'ENERO 2025'!G441+'FEBRERO 2025'!G441</f>
        <v>0</v>
      </c>
      <c r="H441" s="144">
        <f>+'ENERO 2025'!H441+'FEBRERO 2025'!H441</f>
        <v>0</v>
      </c>
      <c r="I441" s="144"/>
      <c r="J441" s="144">
        <f t="shared" si="16"/>
        <v>0</v>
      </c>
      <c r="K441" s="65">
        <f>J441/$J$25</f>
        <v>0</v>
      </c>
    </row>
    <row r="442" spans="1:11" x14ac:dyDescent="0.2">
      <c r="A442" s="75">
        <v>2</v>
      </c>
      <c r="B442" s="62">
        <v>6</v>
      </c>
      <c r="C442" s="62">
        <v>8</v>
      </c>
      <c r="D442" s="62">
        <v>8</v>
      </c>
      <c r="E442" s="62" t="s">
        <v>349</v>
      </c>
      <c r="F442" s="70" t="s">
        <v>350</v>
      </c>
      <c r="G442" s="144">
        <f>+'ENERO 2025'!G442+'FEBRERO 2025'!G442</f>
        <v>0</v>
      </c>
      <c r="H442" s="144">
        <f>+'ENERO 2025'!H442+'FEBRERO 2025'!H442</f>
        <v>0</v>
      </c>
      <c r="I442" s="144"/>
      <c r="J442" s="144">
        <f t="shared" si="16"/>
        <v>0</v>
      </c>
      <c r="K442" s="65">
        <f>J442/$J$25</f>
        <v>0</v>
      </c>
    </row>
    <row r="443" spans="1:11" x14ac:dyDescent="0.2">
      <c r="A443" s="75">
        <v>2</v>
      </c>
      <c r="B443" s="62">
        <v>6</v>
      </c>
      <c r="C443" s="62">
        <v>8</v>
      </c>
      <c r="D443" s="62">
        <v>8</v>
      </c>
      <c r="E443" s="62" t="s">
        <v>351</v>
      </c>
      <c r="F443" s="70" t="s">
        <v>352</v>
      </c>
      <c r="G443" s="144">
        <f>+'ENERO 2025'!G443+'FEBRERO 2025'!G443</f>
        <v>0</v>
      </c>
      <c r="H443" s="144">
        <f>+'ENERO 2025'!H443+'FEBRERO 2025'!H443</f>
        <v>0</v>
      </c>
      <c r="I443" s="144"/>
      <c r="J443" s="144">
        <f t="shared" si="16"/>
        <v>0</v>
      </c>
      <c r="K443" s="65">
        <f>J443/$J$25</f>
        <v>0</v>
      </c>
    </row>
    <row r="444" spans="1:11" x14ac:dyDescent="0.2">
      <c r="A444" s="73">
        <v>2</v>
      </c>
      <c r="B444" s="58">
        <v>6</v>
      </c>
      <c r="C444" s="58">
        <v>8</v>
      </c>
      <c r="D444" s="58">
        <v>9</v>
      </c>
      <c r="E444" s="58"/>
      <c r="F444" s="87" t="s">
        <v>353</v>
      </c>
      <c r="G444" s="150">
        <f>+'ENERO 2025'!G444+'FEBRERO 2025'!G444</f>
        <v>0</v>
      </c>
      <c r="H444" s="150">
        <f>+'ENERO 2025'!H444+'FEBRERO 2025'!H444</f>
        <v>0</v>
      </c>
      <c r="I444" s="150"/>
      <c r="J444" s="150">
        <f t="shared" si="16"/>
        <v>0</v>
      </c>
      <c r="K444" s="68"/>
    </row>
    <row r="445" spans="1:11" x14ac:dyDescent="0.2">
      <c r="A445" s="75">
        <v>2</v>
      </c>
      <c r="B445" s="62">
        <v>6</v>
      </c>
      <c r="C445" s="62">
        <v>8</v>
      </c>
      <c r="D445" s="62">
        <v>9</v>
      </c>
      <c r="E445" s="62" t="s">
        <v>324</v>
      </c>
      <c r="F445" s="70" t="s">
        <v>353</v>
      </c>
      <c r="G445" s="144">
        <f>+'ENERO 2025'!G445+'FEBRERO 2025'!G445</f>
        <v>0</v>
      </c>
      <c r="H445" s="144">
        <f>+'ENERO 2025'!H445+'FEBRERO 2025'!H445</f>
        <v>0</v>
      </c>
      <c r="I445" s="144"/>
      <c r="J445" s="144">
        <f t="shared" si="16"/>
        <v>0</v>
      </c>
      <c r="K445" s="65">
        <f>J445/$J$25</f>
        <v>0</v>
      </c>
    </row>
    <row r="446" spans="1:11" x14ac:dyDescent="0.2">
      <c r="A446" s="54">
        <v>2</v>
      </c>
      <c r="B446" s="55">
        <v>6</v>
      </c>
      <c r="C446" s="55">
        <v>9</v>
      </c>
      <c r="D446" s="55"/>
      <c r="E446" s="79"/>
      <c r="F446" s="86" t="s">
        <v>354</v>
      </c>
      <c r="G446" s="151">
        <f>+'ENERO 2025'!G446+'FEBRERO 2025'!G446</f>
        <v>0</v>
      </c>
      <c r="H446" s="151">
        <f>+'ENERO 2025'!H446+'FEBRERO 2025'!H446</f>
        <v>0</v>
      </c>
      <c r="I446" s="151"/>
      <c r="J446" s="151">
        <f t="shared" si="16"/>
        <v>0</v>
      </c>
      <c r="K446" s="53"/>
    </row>
    <row r="447" spans="1:11" x14ac:dyDescent="0.2">
      <c r="A447" s="73">
        <v>2</v>
      </c>
      <c r="B447" s="58">
        <v>6</v>
      </c>
      <c r="C447" s="58">
        <v>9</v>
      </c>
      <c r="D447" s="58">
        <v>1</v>
      </c>
      <c r="E447" s="58"/>
      <c r="F447" s="87" t="s">
        <v>355</v>
      </c>
      <c r="G447" s="150">
        <f>+'ENERO 2025'!G447+'FEBRERO 2025'!G447</f>
        <v>0</v>
      </c>
      <c r="H447" s="150">
        <f>+'ENERO 2025'!H447+'FEBRERO 2025'!H447</f>
        <v>0</v>
      </c>
      <c r="I447" s="150"/>
      <c r="J447" s="150">
        <f t="shared" si="16"/>
        <v>0</v>
      </c>
      <c r="K447" s="59"/>
    </row>
    <row r="448" spans="1:11" x14ac:dyDescent="0.2">
      <c r="A448" s="90">
        <v>2</v>
      </c>
      <c r="B448" s="91">
        <v>6</v>
      </c>
      <c r="C448" s="91">
        <v>9</v>
      </c>
      <c r="D448" s="91">
        <v>1</v>
      </c>
      <c r="E448" s="91" t="s">
        <v>35</v>
      </c>
      <c r="F448" s="92" t="s">
        <v>355</v>
      </c>
      <c r="G448" s="154">
        <f>+'ENERO 2025'!G448+'FEBRERO 2025'!G448</f>
        <v>0</v>
      </c>
      <c r="H448" s="154">
        <f>+'ENERO 2025'!H448+'FEBRERO 2025'!H448</f>
        <v>0</v>
      </c>
      <c r="I448" s="154"/>
      <c r="J448" s="154">
        <f t="shared" si="16"/>
        <v>0</v>
      </c>
      <c r="K448" s="65">
        <f>J448/$J$25</f>
        <v>0</v>
      </c>
    </row>
    <row r="449" spans="1:11" x14ac:dyDescent="0.2">
      <c r="A449" s="90">
        <v>2</v>
      </c>
      <c r="B449" s="91">
        <v>6</v>
      </c>
      <c r="C449" s="91">
        <v>9</v>
      </c>
      <c r="D449" s="91">
        <v>1</v>
      </c>
      <c r="E449" s="91" t="s">
        <v>37</v>
      </c>
      <c r="F449" s="92" t="s">
        <v>356</v>
      </c>
      <c r="G449" s="154">
        <f>+'ENERO 2025'!G449+'FEBRERO 2025'!G449</f>
        <v>0</v>
      </c>
      <c r="H449" s="154">
        <f>+'ENERO 2025'!H449+'FEBRERO 2025'!H449</f>
        <v>0</v>
      </c>
      <c r="I449" s="154"/>
      <c r="J449" s="154">
        <f t="shared" si="16"/>
        <v>0</v>
      </c>
      <c r="K449" s="65">
        <f>J449/$J$25</f>
        <v>0</v>
      </c>
    </row>
    <row r="450" spans="1:11" x14ac:dyDescent="0.2">
      <c r="A450" s="73">
        <v>2</v>
      </c>
      <c r="B450" s="58">
        <v>6</v>
      </c>
      <c r="C450" s="58">
        <v>9</v>
      </c>
      <c r="D450" s="58">
        <v>2</v>
      </c>
      <c r="E450" s="58"/>
      <c r="F450" s="87" t="s">
        <v>357</v>
      </c>
      <c r="G450" s="150">
        <f>+'ENERO 2025'!G450+'FEBRERO 2025'!G450</f>
        <v>0</v>
      </c>
      <c r="H450" s="150">
        <f>+'ENERO 2025'!H450+'FEBRERO 2025'!H450</f>
        <v>0</v>
      </c>
      <c r="I450" s="150"/>
      <c r="J450" s="150">
        <f t="shared" si="16"/>
        <v>0</v>
      </c>
      <c r="K450" s="68"/>
    </row>
    <row r="451" spans="1:11" x14ac:dyDescent="0.2">
      <c r="A451" s="75">
        <v>2</v>
      </c>
      <c r="B451" s="62">
        <v>6</v>
      </c>
      <c r="C451" s="62">
        <v>9</v>
      </c>
      <c r="D451" s="62">
        <v>2</v>
      </c>
      <c r="E451" s="63" t="s">
        <v>35</v>
      </c>
      <c r="F451" s="70" t="s">
        <v>357</v>
      </c>
      <c r="G451" s="144">
        <f>+'ENERO 2025'!G451+'FEBRERO 2025'!G451</f>
        <v>0</v>
      </c>
      <c r="H451" s="144">
        <f>+'ENERO 2025'!H451+'FEBRERO 2025'!H451</f>
        <v>0</v>
      </c>
      <c r="I451" s="144"/>
      <c r="J451" s="144">
        <f t="shared" si="16"/>
        <v>0</v>
      </c>
      <c r="K451" s="65">
        <f>J451/$J$25</f>
        <v>0</v>
      </c>
    </row>
    <row r="452" spans="1:11" x14ac:dyDescent="0.2">
      <c r="A452" s="75">
        <v>2</v>
      </c>
      <c r="B452" s="62">
        <v>6</v>
      </c>
      <c r="C452" s="62">
        <v>9</v>
      </c>
      <c r="D452" s="62">
        <v>2</v>
      </c>
      <c r="E452" s="63" t="s">
        <v>37</v>
      </c>
      <c r="F452" s="70" t="s">
        <v>358</v>
      </c>
      <c r="G452" s="144">
        <f>+'ENERO 2025'!G452+'FEBRERO 2025'!G452</f>
        <v>0</v>
      </c>
      <c r="H452" s="144">
        <f>+'ENERO 2025'!H452+'FEBRERO 2025'!H452</f>
        <v>0</v>
      </c>
      <c r="I452" s="144"/>
      <c r="J452" s="144">
        <f t="shared" si="16"/>
        <v>0</v>
      </c>
      <c r="K452" s="65">
        <f>J452/$J$25</f>
        <v>0</v>
      </c>
    </row>
    <row r="453" spans="1:11" x14ac:dyDescent="0.2">
      <c r="A453" s="73">
        <v>2</v>
      </c>
      <c r="B453" s="58">
        <v>6</v>
      </c>
      <c r="C453" s="58">
        <v>9</v>
      </c>
      <c r="D453" s="58">
        <v>3</v>
      </c>
      <c r="E453" s="58"/>
      <c r="F453" s="87" t="s">
        <v>359</v>
      </c>
      <c r="G453" s="150">
        <f>+'ENERO 2025'!G453+'FEBRERO 2025'!G453</f>
        <v>0</v>
      </c>
      <c r="H453" s="150">
        <f>+'ENERO 2025'!H453+'FEBRERO 2025'!H453</f>
        <v>0</v>
      </c>
      <c r="I453" s="150"/>
      <c r="J453" s="150">
        <f t="shared" si="16"/>
        <v>0</v>
      </c>
      <c r="K453" s="59"/>
    </row>
    <row r="454" spans="1:11" x14ac:dyDescent="0.2">
      <c r="A454" s="75">
        <v>2</v>
      </c>
      <c r="B454" s="62">
        <v>6</v>
      </c>
      <c r="C454" s="62">
        <v>9</v>
      </c>
      <c r="D454" s="62">
        <v>3</v>
      </c>
      <c r="E454" s="63" t="s">
        <v>35</v>
      </c>
      <c r="F454" s="70" t="s">
        <v>359</v>
      </c>
      <c r="G454" s="144">
        <f>+'ENERO 2025'!G454+'FEBRERO 2025'!G454</f>
        <v>0</v>
      </c>
      <c r="H454" s="144">
        <f>+'ENERO 2025'!H454+'FEBRERO 2025'!H454</f>
        <v>0</v>
      </c>
      <c r="I454" s="144"/>
      <c r="J454" s="144">
        <f t="shared" si="16"/>
        <v>0</v>
      </c>
      <c r="K454" s="65">
        <f>J454/$J$25</f>
        <v>0</v>
      </c>
    </row>
    <row r="455" spans="1:11" x14ac:dyDescent="0.2">
      <c r="A455" s="73">
        <v>2</v>
      </c>
      <c r="B455" s="58">
        <v>6</v>
      </c>
      <c r="C455" s="58">
        <v>9</v>
      </c>
      <c r="D455" s="58">
        <v>4</v>
      </c>
      <c r="E455" s="58"/>
      <c r="F455" s="87" t="s">
        <v>360</v>
      </c>
      <c r="G455" s="150">
        <f>+'ENERO 2025'!G455+'FEBRERO 2025'!G455</f>
        <v>0</v>
      </c>
      <c r="H455" s="150">
        <f>+'ENERO 2025'!H455+'FEBRERO 2025'!H455</f>
        <v>0</v>
      </c>
      <c r="I455" s="150"/>
      <c r="J455" s="150">
        <f t="shared" si="16"/>
        <v>0</v>
      </c>
      <c r="K455" s="68"/>
    </row>
    <row r="456" spans="1:11" x14ac:dyDescent="0.2">
      <c r="A456" s="75">
        <v>2</v>
      </c>
      <c r="B456" s="62">
        <v>6</v>
      </c>
      <c r="C456" s="62">
        <v>9</v>
      </c>
      <c r="D456" s="62">
        <v>4</v>
      </c>
      <c r="E456" s="63" t="s">
        <v>35</v>
      </c>
      <c r="F456" s="70" t="s">
        <v>360</v>
      </c>
      <c r="G456" s="144">
        <f>+'ENERO 2025'!G456+'FEBRERO 2025'!G456</f>
        <v>0</v>
      </c>
      <c r="H456" s="144">
        <f>+'ENERO 2025'!H456+'FEBRERO 2025'!H456</f>
        <v>0</v>
      </c>
      <c r="I456" s="144"/>
      <c r="J456" s="144">
        <f t="shared" si="16"/>
        <v>0</v>
      </c>
      <c r="K456" s="65">
        <f>J456/$J$25</f>
        <v>0</v>
      </c>
    </row>
    <row r="457" spans="1:11" x14ac:dyDescent="0.2">
      <c r="A457" s="73">
        <v>2</v>
      </c>
      <c r="B457" s="58">
        <v>6</v>
      </c>
      <c r="C457" s="58">
        <v>9</v>
      </c>
      <c r="D457" s="58">
        <v>5</v>
      </c>
      <c r="E457" s="58"/>
      <c r="F457" s="87" t="s">
        <v>361</v>
      </c>
      <c r="G457" s="150">
        <f>+'ENERO 2025'!G457+'FEBRERO 2025'!G457</f>
        <v>0</v>
      </c>
      <c r="H457" s="150">
        <f>+'ENERO 2025'!H457+'FEBRERO 2025'!H457</f>
        <v>0</v>
      </c>
      <c r="I457" s="150"/>
      <c r="J457" s="150">
        <f t="shared" si="16"/>
        <v>0</v>
      </c>
      <c r="K457" s="68"/>
    </row>
    <row r="458" spans="1:11" x14ac:dyDescent="0.2">
      <c r="A458" s="75">
        <v>2</v>
      </c>
      <c r="B458" s="62">
        <v>6</v>
      </c>
      <c r="C458" s="62">
        <v>9</v>
      </c>
      <c r="D458" s="62">
        <v>5</v>
      </c>
      <c r="E458" s="63" t="s">
        <v>35</v>
      </c>
      <c r="F458" s="70" t="s">
        <v>362</v>
      </c>
      <c r="G458" s="144">
        <f>+'ENERO 2025'!G458+'FEBRERO 2025'!G458</f>
        <v>0</v>
      </c>
      <c r="H458" s="144">
        <f>+'ENERO 2025'!H458+'FEBRERO 2025'!H458</f>
        <v>0</v>
      </c>
      <c r="I458" s="144"/>
      <c r="J458" s="144">
        <f t="shared" si="16"/>
        <v>0</v>
      </c>
      <c r="K458" s="65">
        <f>J458/$J$25</f>
        <v>0</v>
      </c>
    </row>
    <row r="459" spans="1:11" x14ac:dyDescent="0.2">
      <c r="A459" s="75">
        <v>2</v>
      </c>
      <c r="B459" s="62">
        <v>6</v>
      </c>
      <c r="C459" s="62">
        <v>9</v>
      </c>
      <c r="D459" s="62">
        <v>5</v>
      </c>
      <c r="E459" s="63" t="s">
        <v>37</v>
      </c>
      <c r="F459" s="70" t="s">
        <v>363</v>
      </c>
      <c r="G459" s="144">
        <f>+'ENERO 2025'!G459+'FEBRERO 2025'!G459</f>
        <v>0</v>
      </c>
      <c r="H459" s="144">
        <f>+'ENERO 2025'!H459+'FEBRERO 2025'!H459</f>
        <v>0</v>
      </c>
      <c r="I459" s="144"/>
      <c r="J459" s="144">
        <f t="shared" si="16"/>
        <v>0</v>
      </c>
      <c r="K459" s="65">
        <f>J459/$J$25</f>
        <v>0</v>
      </c>
    </row>
    <row r="460" spans="1:11" x14ac:dyDescent="0.2">
      <c r="A460" s="75">
        <v>2</v>
      </c>
      <c r="B460" s="62">
        <v>6</v>
      </c>
      <c r="C460" s="62">
        <v>9</v>
      </c>
      <c r="D460" s="62">
        <v>5</v>
      </c>
      <c r="E460" s="63" t="s">
        <v>39</v>
      </c>
      <c r="F460" s="70" t="s">
        <v>364</v>
      </c>
      <c r="G460" s="144">
        <f>+'ENERO 2025'!G460+'FEBRERO 2025'!G460</f>
        <v>0</v>
      </c>
      <c r="H460" s="144">
        <f>+'ENERO 2025'!H460+'FEBRERO 2025'!H460</f>
        <v>0</v>
      </c>
      <c r="I460" s="144"/>
      <c r="J460" s="144">
        <f t="shared" si="16"/>
        <v>0</v>
      </c>
      <c r="K460" s="65">
        <f>J460/$J$25</f>
        <v>0</v>
      </c>
    </row>
    <row r="461" spans="1:11" x14ac:dyDescent="0.2">
      <c r="A461" s="73">
        <v>2</v>
      </c>
      <c r="B461" s="58">
        <v>6</v>
      </c>
      <c r="C461" s="58">
        <v>9</v>
      </c>
      <c r="D461" s="58">
        <v>9</v>
      </c>
      <c r="E461" s="58"/>
      <c r="F461" s="87" t="s">
        <v>365</v>
      </c>
      <c r="G461" s="150">
        <f>+'ENERO 2025'!G461+'FEBRERO 2025'!G461</f>
        <v>0</v>
      </c>
      <c r="H461" s="150">
        <f>+'ENERO 2025'!H461+'FEBRERO 2025'!H461</f>
        <v>0</v>
      </c>
      <c r="I461" s="150"/>
      <c r="J461" s="150">
        <f t="shared" si="16"/>
        <v>0</v>
      </c>
      <c r="K461" s="68"/>
    </row>
    <row r="462" spans="1:11" x14ac:dyDescent="0.2">
      <c r="A462" s="75">
        <v>2</v>
      </c>
      <c r="B462" s="62">
        <v>6</v>
      </c>
      <c r="C462" s="62">
        <v>9</v>
      </c>
      <c r="D462" s="62">
        <v>9</v>
      </c>
      <c r="E462" s="63" t="s">
        <v>35</v>
      </c>
      <c r="F462" s="70" t="s">
        <v>365</v>
      </c>
      <c r="G462" s="144">
        <f>+'ENERO 2025'!G462+'FEBRERO 2025'!G462</f>
        <v>0</v>
      </c>
      <c r="H462" s="144">
        <f>+'ENERO 2025'!H462+'FEBRERO 2025'!H462</f>
        <v>0</v>
      </c>
      <c r="I462" s="144"/>
      <c r="J462" s="144">
        <f t="shared" si="16"/>
        <v>0</v>
      </c>
      <c r="K462" s="65">
        <f>J462/$J$25</f>
        <v>0</v>
      </c>
    </row>
    <row r="463" spans="1:11" x14ac:dyDescent="0.2">
      <c r="A463" s="71">
        <v>2</v>
      </c>
      <c r="B463" s="55">
        <v>7</v>
      </c>
      <c r="C463" s="55"/>
      <c r="D463" s="55"/>
      <c r="E463" s="55"/>
      <c r="F463" s="86" t="s">
        <v>366</v>
      </c>
      <c r="G463" s="151">
        <f>+'ENERO 2025'!G463+'FEBRERO 2025'!G463</f>
        <v>0</v>
      </c>
      <c r="H463" s="151">
        <f>+'ENERO 2025'!H463+'FEBRERO 2025'!H463</f>
        <v>0</v>
      </c>
      <c r="I463" s="151"/>
      <c r="J463" s="151">
        <f t="shared" si="16"/>
        <v>0</v>
      </c>
      <c r="K463" s="53">
        <f>J463/$J$25</f>
        <v>0</v>
      </c>
    </row>
    <row r="464" spans="1:11" x14ac:dyDescent="0.2">
      <c r="A464" s="71">
        <v>2</v>
      </c>
      <c r="B464" s="55">
        <v>7</v>
      </c>
      <c r="C464" s="55">
        <v>1</v>
      </c>
      <c r="D464" s="55"/>
      <c r="E464" s="55"/>
      <c r="F464" s="86" t="s">
        <v>367</v>
      </c>
      <c r="G464" s="151">
        <f>+'ENERO 2025'!G464+'FEBRERO 2025'!G464</f>
        <v>0</v>
      </c>
      <c r="H464" s="151">
        <f>+'ENERO 2025'!H464+'FEBRERO 2025'!H464</f>
        <v>0</v>
      </c>
      <c r="I464" s="151"/>
      <c r="J464" s="151">
        <f t="shared" si="16"/>
        <v>0</v>
      </c>
      <c r="K464" s="53"/>
    </row>
    <row r="465" spans="1:11" x14ac:dyDescent="0.2">
      <c r="A465" s="73">
        <v>2</v>
      </c>
      <c r="B465" s="58">
        <v>7</v>
      </c>
      <c r="C465" s="58">
        <v>1</v>
      </c>
      <c r="D465" s="58">
        <v>1</v>
      </c>
      <c r="E465" s="78"/>
      <c r="F465" s="87" t="s">
        <v>368</v>
      </c>
      <c r="G465" s="150">
        <f>+'ENERO 2025'!G465+'FEBRERO 2025'!G465</f>
        <v>0</v>
      </c>
      <c r="H465" s="150">
        <f>+'ENERO 2025'!H465+'FEBRERO 2025'!H465</f>
        <v>0</v>
      </c>
      <c r="I465" s="150"/>
      <c r="J465" s="150">
        <f t="shared" si="16"/>
        <v>0</v>
      </c>
      <c r="K465" s="68"/>
    </row>
    <row r="466" spans="1:11" x14ac:dyDescent="0.2">
      <c r="A466" s="75">
        <v>2</v>
      </c>
      <c r="B466" s="62">
        <v>7</v>
      </c>
      <c r="C466" s="62">
        <v>1</v>
      </c>
      <c r="D466" s="62">
        <v>1</v>
      </c>
      <c r="E466" s="62" t="s">
        <v>324</v>
      </c>
      <c r="F466" s="70" t="s">
        <v>368</v>
      </c>
      <c r="G466" s="144">
        <f>+'ENERO 2025'!G466+'FEBRERO 2025'!G466</f>
        <v>0</v>
      </c>
      <c r="H466" s="144">
        <f>+'ENERO 2025'!H466+'FEBRERO 2025'!H466</f>
        <v>0</v>
      </c>
      <c r="I466" s="144"/>
      <c r="J466" s="144">
        <f t="shared" si="16"/>
        <v>0</v>
      </c>
      <c r="K466" s="65">
        <f>J466/$J$25</f>
        <v>0</v>
      </c>
    </row>
    <row r="467" spans="1:11" x14ac:dyDescent="0.2">
      <c r="A467" s="73">
        <v>2</v>
      </c>
      <c r="B467" s="58">
        <v>7</v>
      </c>
      <c r="C467" s="58">
        <v>1</v>
      </c>
      <c r="D467" s="58">
        <v>2</v>
      </c>
      <c r="E467" s="78"/>
      <c r="F467" s="87" t="s">
        <v>369</v>
      </c>
      <c r="G467" s="150">
        <f>+'ENERO 2025'!G467+'FEBRERO 2025'!G467</f>
        <v>0</v>
      </c>
      <c r="H467" s="150">
        <f>+'ENERO 2025'!H467+'FEBRERO 2025'!H467</f>
        <v>0</v>
      </c>
      <c r="I467" s="150"/>
      <c r="J467" s="150">
        <f t="shared" si="16"/>
        <v>0</v>
      </c>
      <c r="K467" s="68"/>
    </row>
    <row r="468" spans="1:11" x14ac:dyDescent="0.2">
      <c r="A468" s="75">
        <v>2</v>
      </c>
      <c r="B468" s="62">
        <v>7</v>
      </c>
      <c r="C468" s="62">
        <v>1</v>
      </c>
      <c r="D468" s="62">
        <v>2</v>
      </c>
      <c r="E468" s="62" t="s">
        <v>324</v>
      </c>
      <c r="F468" s="70" t="s">
        <v>369</v>
      </c>
      <c r="G468" s="144">
        <f>+'ENERO 2025'!G468+'FEBRERO 2025'!G468</f>
        <v>0</v>
      </c>
      <c r="H468" s="144">
        <f>+'ENERO 2025'!H468+'FEBRERO 2025'!H468</f>
        <v>0</v>
      </c>
      <c r="I468" s="144"/>
      <c r="J468" s="144">
        <f t="shared" si="16"/>
        <v>0</v>
      </c>
      <c r="K468" s="65">
        <f>J468/$J$25</f>
        <v>0</v>
      </c>
    </row>
    <row r="469" spans="1:11" x14ac:dyDescent="0.2">
      <c r="A469" s="73">
        <v>2</v>
      </c>
      <c r="B469" s="58">
        <v>7</v>
      </c>
      <c r="C469" s="58">
        <v>1</v>
      </c>
      <c r="D469" s="58">
        <v>3</v>
      </c>
      <c r="E469" s="78"/>
      <c r="F469" s="87" t="s">
        <v>370</v>
      </c>
      <c r="G469" s="150">
        <f>+'ENERO 2025'!G469+'FEBRERO 2025'!G469</f>
        <v>0</v>
      </c>
      <c r="H469" s="150">
        <f>+'ENERO 2025'!H469+'FEBRERO 2025'!H469</f>
        <v>0</v>
      </c>
      <c r="I469" s="150"/>
      <c r="J469" s="150">
        <f t="shared" si="16"/>
        <v>0</v>
      </c>
      <c r="K469" s="68"/>
    </row>
    <row r="470" spans="1:11" x14ac:dyDescent="0.2">
      <c r="A470" s="75">
        <v>2</v>
      </c>
      <c r="B470" s="62">
        <v>7</v>
      </c>
      <c r="C470" s="62">
        <v>1</v>
      </c>
      <c r="D470" s="62">
        <v>3</v>
      </c>
      <c r="E470" s="62" t="s">
        <v>324</v>
      </c>
      <c r="F470" s="70" t="s">
        <v>370</v>
      </c>
      <c r="G470" s="144">
        <f>+'ENERO 2025'!G470+'FEBRERO 2025'!G470</f>
        <v>0</v>
      </c>
      <c r="H470" s="144">
        <f>+'ENERO 2025'!H470+'FEBRERO 2025'!H470</f>
        <v>0</v>
      </c>
      <c r="I470" s="144"/>
      <c r="J470" s="144">
        <f t="shared" si="16"/>
        <v>0</v>
      </c>
      <c r="K470" s="65">
        <f>J470/$J$25</f>
        <v>0</v>
      </c>
    </row>
    <row r="471" spans="1:11" x14ac:dyDescent="0.2">
      <c r="A471" s="73">
        <v>2</v>
      </c>
      <c r="B471" s="58">
        <v>7</v>
      </c>
      <c r="C471" s="58">
        <v>1</v>
      </c>
      <c r="D471" s="58">
        <v>4</v>
      </c>
      <c r="E471" s="78"/>
      <c r="F471" s="87" t="s">
        <v>371</v>
      </c>
      <c r="G471" s="150">
        <f>+'ENERO 2025'!G471+'FEBRERO 2025'!G471</f>
        <v>0</v>
      </c>
      <c r="H471" s="150">
        <f>+'ENERO 2025'!H471+'FEBRERO 2025'!H471</f>
        <v>0</v>
      </c>
      <c r="I471" s="150"/>
      <c r="J471" s="150">
        <f t="shared" si="16"/>
        <v>0</v>
      </c>
      <c r="K471" s="68"/>
    </row>
    <row r="472" spans="1:11" x14ac:dyDescent="0.2">
      <c r="A472" s="75">
        <v>2</v>
      </c>
      <c r="B472" s="62">
        <v>7</v>
      </c>
      <c r="C472" s="62">
        <v>1</v>
      </c>
      <c r="D472" s="62">
        <v>4</v>
      </c>
      <c r="E472" s="62" t="s">
        <v>324</v>
      </c>
      <c r="F472" s="70" t="s">
        <v>371</v>
      </c>
      <c r="G472" s="144">
        <f>+'ENERO 2025'!G472+'FEBRERO 2025'!G472</f>
        <v>0</v>
      </c>
      <c r="H472" s="144">
        <f>+'ENERO 2025'!H472+'FEBRERO 2025'!H472</f>
        <v>0</v>
      </c>
      <c r="I472" s="144"/>
      <c r="J472" s="144">
        <f t="shared" si="16"/>
        <v>0</v>
      </c>
      <c r="K472" s="65">
        <f>J472/$J$25</f>
        <v>0</v>
      </c>
    </row>
    <row r="473" spans="1:11" x14ac:dyDescent="0.2">
      <c r="A473" s="71">
        <v>2</v>
      </c>
      <c r="B473" s="55">
        <v>7</v>
      </c>
      <c r="C473" s="55">
        <v>2</v>
      </c>
      <c r="D473" s="55"/>
      <c r="E473" s="55"/>
      <c r="F473" s="86" t="s">
        <v>372</v>
      </c>
      <c r="G473" s="151">
        <f>+'ENERO 2025'!G473+'FEBRERO 2025'!G473</f>
        <v>0</v>
      </c>
      <c r="H473" s="151">
        <f>+'ENERO 2025'!H473+'FEBRERO 2025'!H473</f>
        <v>0</v>
      </c>
      <c r="I473" s="151"/>
      <c r="J473" s="151">
        <f t="shared" si="16"/>
        <v>0</v>
      </c>
      <c r="K473" s="53"/>
    </row>
    <row r="474" spans="1:11" x14ac:dyDescent="0.2">
      <c r="A474" s="73">
        <v>2</v>
      </c>
      <c r="B474" s="58">
        <v>7</v>
      </c>
      <c r="C474" s="58">
        <v>2</v>
      </c>
      <c r="D474" s="58">
        <v>1</v>
      </c>
      <c r="E474" s="78"/>
      <c r="F474" s="87" t="s">
        <v>373</v>
      </c>
      <c r="G474" s="150">
        <f>+'ENERO 2025'!G474+'FEBRERO 2025'!G474</f>
        <v>0</v>
      </c>
      <c r="H474" s="150">
        <f>+'ENERO 2025'!H474+'FEBRERO 2025'!H474</f>
        <v>0</v>
      </c>
      <c r="I474" s="150"/>
      <c r="J474" s="150">
        <f t="shared" ref="J474:J501" si="17">+G474+H474</f>
        <v>0</v>
      </c>
      <c r="K474" s="68"/>
    </row>
    <row r="475" spans="1:11" x14ac:dyDescent="0.2">
      <c r="A475" s="75">
        <v>2</v>
      </c>
      <c r="B475" s="62">
        <v>7</v>
      </c>
      <c r="C475" s="62">
        <v>2</v>
      </c>
      <c r="D475" s="62">
        <v>1</v>
      </c>
      <c r="E475" s="62" t="s">
        <v>324</v>
      </c>
      <c r="F475" s="70" t="s">
        <v>373</v>
      </c>
      <c r="G475" s="144">
        <f>+'ENERO 2025'!G475+'FEBRERO 2025'!G475</f>
        <v>0</v>
      </c>
      <c r="H475" s="144">
        <f>+'ENERO 2025'!H475+'FEBRERO 2025'!H475</f>
        <v>0</v>
      </c>
      <c r="I475" s="144"/>
      <c r="J475" s="144">
        <f t="shared" si="17"/>
        <v>0</v>
      </c>
      <c r="K475" s="65">
        <f>J475/$J$25</f>
        <v>0</v>
      </c>
    </row>
    <row r="476" spans="1:11" x14ac:dyDescent="0.2">
      <c r="A476" s="73">
        <v>2</v>
      </c>
      <c r="B476" s="58">
        <v>7</v>
      </c>
      <c r="C476" s="58">
        <v>2</v>
      </c>
      <c r="D476" s="58">
        <v>2</v>
      </c>
      <c r="E476" s="78"/>
      <c r="F476" s="87" t="s">
        <v>374</v>
      </c>
      <c r="G476" s="150">
        <f>+'ENERO 2025'!G476+'FEBRERO 2025'!G476</f>
        <v>0</v>
      </c>
      <c r="H476" s="150">
        <f>+'ENERO 2025'!H476+'FEBRERO 2025'!H476</f>
        <v>0</v>
      </c>
      <c r="I476" s="150"/>
      <c r="J476" s="150">
        <f t="shared" si="17"/>
        <v>0</v>
      </c>
      <c r="K476" s="68"/>
    </row>
    <row r="477" spans="1:11" x14ac:dyDescent="0.2">
      <c r="A477" s="75">
        <v>2</v>
      </c>
      <c r="B477" s="62">
        <v>7</v>
      </c>
      <c r="C477" s="62">
        <v>2</v>
      </c>
      <c r="D477" s="62">
        <v>2</v>
      </c>
      <c r="E477" s="62" t="s">
        <v>324</v>
      </c>
      <c r="F477" s="70" t="s">
        <v>374</v>
      </c>
      <c r="G477" s="144">
        <f>+'ENERO 2025'!G477+'FEBRERO 2025'!G477</f>
        <v>0</v>
      </c>
      <c r="H477" s="144">
        <f>+'ENERO 2025'!H477+'FEBRERO 2025'!H477</f>
        <v>0</v>
      </c>
      <c r="I477" s="144"/>
      <c r="J477" s="144">
        <f t="shared" si="17"/>
        <v>0</v>
      </c>
      <c r="K477" s="65">
        <f>J477/$J$25</f>
        <v>0</v>
      </c>
    </row>
    <row r="478" spans="1:11" x14ac:dyDescent="0.2">
      <c r="A478" s="73">
        <v>2</v>
      </c>
      <c r="B478" s="58">
        <v>7</v>
      </c>
      <c r="C478" s="58">
        <v>2</v>
      </c>
      <c r="D478" s="58">
        <v>3</v>
      </c>
      <c r="E478" s="78"/>
      <c r="F478" s="87" t="s">
        <v>375</v>
      </c>
      <c r="G478" s="150">
        <f>+'ENERO 2025'!G478+'FEBRERO 2025'!G478</f>
        <v>0</v>
      </c>
      <c r="H478" s="150">
        <f>+'ENERO 2025'!H478+'FEBRERO 2025'!H478</f>
        <v>0</v>
      </c>
      <c r="I478" s="150"/>
      <c r="J478" s="150">
        <f t="shared" si="17"/>
        <v>0</v>
      </c>
      <c r="K478" s="68"/>
    </row>
    <row r="479" spans="1:11" x14ac:dyDescent="0.2">
      <c r="A479" s="75">
        <v>2</v>
      </c>
      <c r="B479" s="62">
        <v>7</v>
      </c>
      <c r="C479" s="62">
        <v>2</v>
      </c>
      <c r="D479" s="62">
        <v>3</v>
      </c>
      <c r="E479" s="62" t="s">
        <v>324</v>
      </c>
      <c r="F479" s="70" t="s">
        <v>375</v>
      </c>
      <c r="G479" s="144">
        <f>+'ENERO 2025'!G479+'FEBRERO 2025'!G479</f>
        <v>0</v>
      </c>
      <c r="H479" s="144">
        <f>+'ENERO 2025'!H479+'FEBRERO 2025'!H479</f>
        <v>0</v>
      </c>
      <c r="I479" s="144"/>
      <c r="J479" s="144">
        <f t="shared" si="17"/>
        <v>0</v>
      </c>
      <c r="K479" s="65">
        <f>J479/$J$25</f>
        <v>0</v>
      </c>
    </row>
    <row r="480" spans="1:11" x14ac:dyDescent="0.2">
      <c r="A480" s="73">
        <v>2</v>
      </c>
      <c r="B480" s="58">
        <v>7</v>
      </c>
      <c r="C480" s="58">
        <v>2</v>
      </c>
      <c r="D480" s="58">
        <v>4</v>
      </c>
      <c r="E480" s="78"/>
      <c r="F480" s="87" t="s">
        <v>376</v>
      </c>
      <c r="G480" s="150">
        <f>+'ENERO 2025'!G480+'FEBRERO 2025'!G480</f>
        <v>0</v>
      </c>
      <c r="H480" s="150">
        <f>+'ENERO 2025'!H480+'FEBRERO 2025'!H480</f>
        <v>0</v>
      </c>
      <c r="I480" s="150"/>
      <c r="J480" s="150">
        <f t="shared" si="17"/>
        <v>0</v>
      </c>
      <c r="K480" s="68"/>
    </row>
    <row r="481" spans="1:11" x14ac:dyDescent="0.2">
      <c r="A481" s="75">
        <v>2</v>
      </c>
      <c r="B481" s="62">
        <v>7</v>
      </c>
      <c r="C481" s="62">
        <v>2</v>
      </c>
      <c r="D481" s="62">
        <v>4</v>
      </c>
      <c r="E481" s="62" t="s">
        <v>324</v>
      </c>
      <c r="F481" s="70" t="s">
        <v>376</v>
      </c>
      <c r="G481" s="144">
        <f>+'ENERO 2025'!G481+'FEBRERO 2025'!G481</f>
        <v>0</v>
      </c>
      <c r="H481" s="144">
        <f>+'ENERO 2025'!H481+'FEBRERO 2025'!H481</f>
        <v>0</v>
      </c>
      <c r="I481" s="144"/>
      <c r="J481" s="144">
        <f t="shared" si="17"/>
        <v>0</v>
      </c>
      <c r="K481" s="65">
        <f>J481/$J$25</f>
        <v>0</v>
      </c>
    </row>
    <row r="482" spans="1:11" x14ac:dyDescent="0.2">
      <c r="A482" s="73">
        <v>2</v>
      </c>
      <c r="B482" s="58">
        <v>7</v>
      </c>
      <c r="C482" s="58">
        <v>2</v>
      </c>
      <c r="D482" s="58">
        <v>5</v>
      </c>
      <c r="E482" s="78"/>
      <c r="F482" s="87" t="s">
        <v>377</v>
      </c>
      <c r="G482" s="150">
        <f>+'ENERO 2025'!G482+'FEBRERO 2025'!G482</f>
        <v>0</v>
      </c>
      <c r="H482" s="150">
        <f>+'ENERO 2025'!H482+'FEBRERO 2025'!H482</f>
        <v>0</v>
      </c>
      <c r="I482" s="150"/>
      <c r="J482" s="150">
        <f t="shared" si="17"/>
        <v>0</v>
      </c>
      <c r="K482" s="68"/>
    </row>
    <row r="483" spans="1:11" x14ac:dyDescent="0.2">
      <c r="A483" s="75">
        <v>2</v>
      </c>
      <c r="B483" s="62">
        <v>7</v>
      </c>
      <c r="C483" s="62">
        <v>2</v>
      </c>
      <c r="D483" s="62">
        <v>5</v>
      </c>
      <c r="E483" s="62" t="s">
        <v>324</v>
      </c>
      <c r="F483" s="70" t="s">
        <v>377</v>
      </c>
      <c r="G483" s="144">
        <f>+'ENERO 2025'!G483+'FEBRERO 2025'!G483</f>
        <v>0</v>
      </c>
      <c r="H483" s="144">
        <f>+'ENERO 2025'!H483+'FEBRERO 2025'!H483</f>
        <v>0</v>
      </c>
      <c r="I483" s="144"/>
      <c r="J483" s="144">
        <f t="shared" si="17"/>
        <v>0</v>
      </c>
      <c r="K483" s="65">
        <f>J483/$J$25</f>
        <v>0</v>
      </c>
    </row>
    <row r="484" spans="1:11" x14ac:dyDescent="0.2">
      <c r="A484" s="73">
        <v>2</v>
      </c>
      <c r="B484" s="58">
        <v>7</v>
      </c>
      <c r="C484" s="58">
        <v>2</v>
      </c>
      <c r="D484" s="58">
        <v>6</v>
      </c>
      <c r="E484" s="78"/>
      <c r="F484" s="87" t="s">
        <v>378</v>
      </c>
      <c r="G484" s="150">
        <f>+'ENERO 2025'!G484+'FEBRERO 2025'!G484</f>
        <v>0</v>
      </c>
      <c r="H484" s="150">
        <f>+'ENERO 2025'!H484+'FEBRERO 2025'!H484</f>
        <v>0</v>
      </c>
      <c r="I484" s="150"/>
      <c r="J484" s="150">
        <f t="shared" si="17"/>
        <v>0</v>
      </c>
      <c r="K484" s="68"/>
    </row>
    <row r="485" spans="1:11" x14ac:dyDescent="0.2">
      <c r="A485" s="75">
        <v>2</v>
      </c>
      <c r="B485" s="62">
        <v>7</v>
      </c>
      <c r="C485" s="62">
        <v>2</v>
      </c>
      <c r="D485" s="62">
        <v>6</v>
      </c>
      <c r="E485" s="62" t="s">
        <v>324</v>
      </c>
      <c r="F485" s="70" t="s">
        <v>378</v>
      </c>
      <c r="G485" s="144">
        <f>+'ENERO 2025'!G485+'FEBRERO 2025'!G485</f>
        <v>0</v>
      </c>
      <c r="H485" s="144">
        <f>+'ENERO 2025'!H485+'FEBRERO 2025'!H485</f>
        <v>0</v>
      </c>
      <c r="I485" s="144"/>
      <c r="J485" s="144">
        <f t="shared" si="17"/>
        <v>0</v>
      </c>
      <c r="K485" s="65">
        <f>J485/$J$25</f>
        <v>0</v>
      </c>
    </row>
    <row r="486" spans="1:11" x14ac:dyDescent="0.2">
      <c r="A486" s="73">
        <v>2</v>
      </c>
      <c r="B486" s="58">
        <v>7</v>
      </c>
      <c r="C486" s="58">
        <v>2</v>
      </c>
      <c r="D486" s="58">
        <v>7</v>
      </c>
      <c r="E486" s="78"/>
      <c r="F486" s="87" t="s">
        <v>379</v>
      </c>
      <c r="G486" s="150">
        <f>+'ENERO 2025'!G486+'FEBRERO 2025'!G486</f>
        <v>0</v>
      </c>
      <c r="H486" s="150">
        <f>+'ENERO 2025'!H486+'FEBRERO 2025'!H486</f>
        <v>0</v>
      </c>
      <c r="I486" s="150"/>
      <c r="J486" s="150">
        <f t="shared" si="17"/>
        <v>0</v>
      </c>
      <c r="K486" s="68"/>
    </row>
    <row r="487" spans="1:11" x14ac:dyDescent="0.2">
      <c r="A487" s="75">
        <v>2</v>
      </c>
      <c r="B487" s="62">
        <v>7</v>
      </c>
      <c r="C487" s="62">
        <v>2</v>
      </c>
      <c r="D487" s="62">
        <v>7</v>
      </c>
      <c r="E487" s="62" t="s">
        <v>324</v>
      </c>
      <c r="F487" s="70" t="s">
        <v>379</v>
      </c>
      <c r="G487" s="144">
        <f>+'ENERO 2025'!G487+'FEBRERO 2025'!G487</f>
        <v>0</v>
      </c>
      <c r="H487" s="144">
        <f>+'ENERO 2025'!H487+'FEBRERO 2025'!H487</f>
        <v>0</v>
      </c>
      <c r="I487" s="144"/>
      <c r="J487" s="144">
        <f t="shared" si="17"/>
        <v>0</v>
      </c>
      <c r="K487" s="65">
        <f>J487/$J$25</f>
        <v>0</v>
      </c>
    </row>
    <row r="488" spans="1:11" x14ac:dyDescent="0.2">
      <c r="A488" s="73">
        <v>2</v>
      </c>
      <c r="B488" s="58">
        <v>7</v>
      </c>
      <c r="C488" s="58">
        <v>2</v>
      </c>
      <c r="D488" s="58">
        <v>8</v>
      </c>
      <c r="E488" s="78"/>
      <c r="F488" s="87" t="s">
        <v>380</v>
      </c>
      <c r="G488" s="150">
        <f>+'ENERO 2025'!G488+'FEBRERO 2025'!G488</f>
        <v>0</v>
      </c>
      <c r="H488" s="150">
        <f>+'ENERO 2025'!H488+'FEBRERO 2025'!H488</f>
        <v>0</v>
      </c>
      <c r="I488" s="150"/>
      <c r="J488" s="150">
        <f t="shared" si="17"/>
        <v>0</v>
      </c>
      <c r="K488" s="68"/>
    </row>
    <row r="489" spans="1:11" x14ac:dyDescent="0.2">
      <c r="A489" s="75">
        <v>2</v>
      </c>
      <c r="B489" s="62">
        <v>7</v>
      </c>
      <c r="C489" s="62">
        <v>2</v>
      </c>
      <c r="D489" s="62">
        <v>8</v>
      </c>
      <c r="E489" s="62" t="s">
        <v>324</v>
      </c>
      <c r="F489" s="70" t="s">
        <v>380</v>
      </c>
      <c r="G489" s="144">
        <f>+'ENERO 2025'!G489+'FEBRERO 2025'!G489</f>
        <v>0</v>
      </c>
      <c r="H489" s="144">
        <f>+'ENERO 2025'!H489+'FEBRERO 2025'!H489</f>
        <v>0</v>
      </c>
      <c r="I489" s="144"/>
      <c r="J489" s="144">
        <f t="shared" si="17"/>
        <v>0</v>
      </c>
      <c r="K489" s="65">
        <f>J489/$J$25</f>
        <v>0</v>
      </c>
    </row>
    <row r="490" spans="1:11" x14ac:dyDescent="0.2">
      <c r="A490" s="73">
        <v>2</v>
      </c>
      <c r="B490" s="58">
        <v>7</v>
      </c>
      <c r="C490" s="58">
        <v>2</v>
      </c>
      <c r="D490" s="58">
        <v>9</v>
      </c>
      <c r="E490" s="78"/>
      <c r="F490" s="87" t="s">
        <v>381</v>
      </c>
      <c r="G490" s="150">
        <f>+'ENERO 2025'!G490+'FEBRERO 2025'!G490</f>
        <v>0</v>
      </c>
      <c r="H490" s="150">
        <f>+'ENERO 2025'!H490+'FEBRERO 2025'!H490</f>
        <v>0</v>
      </c>
      <c r="I490" s="150"/>
      <c r="J490" s="150">
        <f t="shared" si="17"/>
        <v>0</v>
      </c>
      <c r="K490" s="68"/>
    </row>
    <row r="491" spans="1:11" x14ac:dyDescent="0.2">
      <c r="A491" s="75">
        <v>2</v>
      </c>
      <c r="B491" s="62">
        <v>7</v>
      </c>
      <c r="C491" s="62">
        <v>2</v>
      </c>
      <c r="D491" s="62">
        <v>9</v>
      </c>
      <c r="E491" s="62" t="s">
        <v>324</v>
      </c>
      <c r="F491" s="70" t="s">
        <v>381</v>
      </c>
      <c r="G491" s="144">
        <f>+'ENERO 2025'!G491+'FEBRERO 2025'!G491</f>
        <v>0</v>
      </c>
      <c r="H491" s="144">
        <f>+'ENERO 2025'!H491+'FEBRERO 2025'!H491</f>
        <v>0</v>
      </c>
      <c r="I491" s="144"/>
      <c r="J491" s="144">
        <f t="shared" si="17"/>
        <v>0</v>
      </c>
      <c r="K491" s="65">
        <f>J491/$J$25</f>
        <v>0</v>
      </c>
    </row>
    <row r="492" spans="1:11" x14ac:dyDescent="0.2">
      <c r="A492" s="71">
        <v>2</v>
      </c>
      <c r="B492" s="55">
        <v>7</v>
      </c>
      <c r="C492" s="55">
        <v>3</v>
      </c>
      <c r="D492" s="55"/>
      <c r="E492" s="55"/>
      <c r="F492" s="86" t="s">
        <v>382</v>
      </c>
      <c r="G492" s="151">
        <f>+'ENERO 2025'!G492+'FEBRERO 2025'!G492</f>
        <v>0</v>
      </c>
      <c r="H492" s="151">
        <f>+'ENERO 2025'!H492+'FEBRERO 2025'!H492</f>
        <v>0</v>
      </c>
      <c r="I492" s="151"/>
      <c r="J492" s="151">
        <f t="shared" si="17"/>
        <v>0</v>
      </c>
      <c r="K492" s="53"/>
    </row>
    <row r="493" spans="1:11" x14ac:dyDescent="0.2">
      <c r="A493" s="73">
        <v>2</v>
      </c>
      <c r="B493" s="58">
        <v>7</v>
      </c>
      <c r="C493" s="58">
        <v>3</v>
      </c>
      <c r="D493" s="58">
        <v>1</v>
      </c>
      <c r="E493" s="78"/>
      <c r="F493" s="87" t="s">
        <v>383</v>
      </c>
      <c r="G493" s="150">
        <f>+'ENERO 2025'!G493+'FEBRERO 2025'!G493</f>
        <v>0</v>
      </c>
      <c r="H493" s="150">
        <f>+'ENERO 2025'!H493+'FEBRERO 2025'!H493</f>
        <v>0</v>
      </c>
      <c r="I493" s="150"/>
      <c r="J493" s="150">
        <f t="shared" si="17"/>
        <v>0</v>
      </c>
      <c r="K493" s="68"/>
    </row>
    <row r="494" spans="1:11" x14ac:dyDescent="0.2">
      <c r="A494" s="75">
        <v>2</v>
      </c>
      <c r="B494" s="62">
        <v>7</v>
      </c>
      <c r="C494" s="62">
        <v>3</v>
      </c>
      <c r="D494" s="62">
        <v>1</v>
      </c>
      <c r="E494" s="62" t="s">
        <v>324</v>
      </c>
      <c r="F494" s="70" t="s">
        <v>383</v>
      </c>
      <c r="G494" s="144">
        <f>+'ENERO 2025'!G494+'FEBRERO 2025'!G494</f>
        <v>0</v>
      </c>
      <c r="H494" s="144">
        <f>+'ENERO 2025'!H494+'FEBRERO 2025'!H494</f>
        <v>0</v>
      </c>
      <c r="I494" s="144"/>
      <c r="J494" s="144">
        <f t="shared" si="17"/>
        <v>0</v>
      </c>
      <c r="K494" s="65">
        <f>J494/$J$25</f>
        <v>0</v>
      </c>
    </row>
    <row r="495" spans="1:11" x14ac:dyDescent="0.2">
      <c r="A495" s="73">
        <v>2</v>
      </c>
      <c r="B495" s="58">
        <v>7</v>
      </c>
      <c r="C495" s="58">
        <v>3</v>
      </c>
      <c r="D495" s="58">
        <v>2</v>
      </c>
      <c r="E495" s="78"/>
      <c r="F495" s="87" t="s">
        <v>384</v>
      </c>
      <c r="G495" s="150">
        <f>+'ENERO 2025'!G495+'FEBRERO 2025'!G495</f>
        <v>0</v>
      </c>
      <c r="H495" s="150">
        <f>+'ENERO 2025'!H495+'FEBRERO 2025'!H495</f>
        <v>0</v>
      </c>
      <c r="I495" s="150"/>
      <c r="J495" s="150">
        <f t="shared" si="17"/>
        <v>0</v>
      </c>
      <c r="K495" s="68"/>
    </row>
    <row r="496" spans="1:11" x14ac:dyDescent="0.2">
      <c r="A496" s="75">
        <v>2</v>
      </c>
      <c r="B496" s="62">
        <v>7</v>
      </c>
      <c r="C496" s="62">
        <v>3</v>
      </c>
      <c r="D496" s="62">
        <v>2</v>
      </c>
      <c r="E496" s="62" t="s">
        <v>324</v>
      </c>
      <c r="F496" s="70" t="s">
        <v>384</v>
      </c>
      <c r="G496" s="144">
        <f>+'ENERO 2025'!G496+'FEBRERO 2025'!G496</f>
        <v>0</v>
      </c>
      <c r="H496" s="144">
        <f>+'ENERO 2025'!H496+'FEBRERO 2025'!H496</f>
        <v>0</v>
      </c>
      <c r="I496" s="144"/>
      <c r="J496" s="144">
        <f t="shared" si="17"/>
        <v>0</v>
      </c>
      <c r="K496" s="65">
        <f>J496/$J$25</f>
        <v>0</v>
      </c>
    </row>
    <row r="497" spans="1:11" ht="25.5" x14ac:dyDescent="0.2">
      <c r="A497" s="71">
        <v>2</v>
      </c>
      <c r="B497" s="55">
        <v>7</v>
      </c>
      <c r="C497" s="55">
        <v>4</v>
      </c>
      <c r="D497" s="55"/>
      <c r="E497" s="55"/>
      <c r="F497" s="86" t="s">
        <v>385</v>
      </c>
      <c r="G497" s="151">
        <f>+'ENERO 2025'!G497+'FEBRERO 2025'!G497</f>
        <v>0</v>
      </c>
      <c r="H497" s="151">
        <f>+'ENERO 2025'!H497+'FEBRERO 2025'!H497</f>
        <v>0</v>
      </c>
      <c r="I497" s="151"/>
      <c r="J497" s="151">
        <f t="shared" si="17"/>
        <v>0</v>
      </c>
      <c r="K497" s="53"/>
    </row>
    <row r="498" spans="1:11" x14ac:dyDescent="0.2">
      <c r="A498" s="73">
        <v>2</v>
      </c>
      <c r="B498" s="58">
        <v>7</v>
      </c>
      <c r="C498" s="58">
        <v>4</v>
      </c>
      <c r="D498" s="58">
        <v>1</v>
      </c>
      <c r="E498" s="78"/>
      <c r="F498" s="87" t="s">
        <v>386</v>
      </c>
      <c r="G498" s="150">
        <f>+'ENERO 2025'!G498+'FEBRERO 2025'!G498</f>
        <v>0</v>
      </c>
      <c r="H498" s="150">
        <f>+'ENERO 2025'!H498+'FEBRERO 2025'!H498</f>
        <v>0</v>
      </c>
      <c r="I498" s="150"/>
      <c r="J498" s="150">
        <f t="shared" si="17"/>
        <v>0</v>
      </c>
      <c r="K498" s="68"/>
    </row>
    <row r="499" spans="1:11" x14ac:dyDescent="0.2">
      <c r="A499" s="75">
        <v>2</v>
      </c>
      <c r="B499" s="62">
        <v>7</v>
      </c>
      <c r="C499" s="62">
        <v>4</v>
      </c>
      <c r="D499" s="62">
        <v>1</v>
      </c>
      <c r="E499" s="62" t="s">
        <v>324</v>
      </c>
      <c r="F499" s="70" t="s">
        <v>386</v>
      </c>
      <c r="G499" s="144">
        <f>+'ENERO 2025'!G499+'FEBRERO 2025'!G499</f>
        <v>0</v>
      </c>
      <c r="H499" s="144">
        <f>+'ENERO 2025'!H499+'FEBRERO 2025'!H499</f>
        <v>0</v>
      </c>
      <c r="I499" s="144"/>
      <c r="J499" s="144">
        <f t="shared" si="17"/>
        <v>0</v>
      </c>
      <c r="K499" s="65">
        <f>J499/$J$25</f>
        <v>0</v>
      </c>
    </row>
    <row r="500" spans="1:11" ht="25.5" x14ac:dyDescent="0.2">
      <c r="A500" s="57">
        <v>2</v>
      </c>
      <c r="B500" s="58">
        <v>7</v>
      </c>
      <c r="C500" s="58">
        <v>4</v>
      </c>
      <c r="D500" s="58">
        <v>2</v>
      </c>
      <c r="E500" s="78"/>
      <c r="F500" s="87" t="s">
        <v>387</v>
      </c>
      <c r="G500" s="150">
        <f>+'ENERO 2025'!G500+'FEBRERO 2025'!G500</f>
        <v>0</v>
      </c>
      <c r="H500" s="150">
        <f>+'ENERO 2025'!H500+'FEBRERO 2025'!H500</f>
        <v>0</v>
      </c>
      <c r="I500" s="150"/>
      <c r="J500" s="150">
        <f t="shared" si="17"/>
        <v>0</v>
      </c>
      <c r="K500" s="68"/>
    </row>
    <row r="501" spans="1:11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70" t="s">
        <v>387</v>
      </c>
      <c r="G501" s="144">
        <f>+'ENERO 2025'!G501+'FEBRERO 2025'!G501</f>
        <v>0</v>
      </c>
      <c r="H501" s="144">
        <f>+'ENERO 2025'!H501+'FEBRERO 2025'!H501</f>
        <v>0</v>
      </c>
      <c r="I501" s="144"/>
      <c r="J501" s="144">
        <f t="shared" si="17"/>
        <v>0</v>
      </c>
      <c r="K501" s="65">
        <f>J501/$J$25</f>
        <v>0</v>
      </c>
    </row>
    <row r="502" spans="1:11" ht="15" x14ac:dyDescent="0.25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5"/>
    </row>
    <row r="503" spans="1:11" ht="15" x14ac:dyDescent="0.25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</row>
    <row r="504" spans="1:11" ht="15" x14ac:dyDescent="0.25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</row>
    <row r="505" spans="1:11" ht="15" x14ac:dyDescent="0.2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</row>
    <row r="506" spans="1:11" ht="15" x14ac:dyDescent="0.25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</row>
    <row r="507" spans="1:11" ht="15" x14ac:dyDescent="0.25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</row>
    <row r="508" spans="1:11" ht="15" x14ac:dyDescent="0.25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</row>
    <row r="509" spans="1:11" ht="15" x14ac:dyDescent="0.25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</row>
    <row r="510" spans="1:11" ht="15" x14ac:dyDescent="0.25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</row>
    <row r="511" spans="1:11" ht="15" x14ac:dyDescent="0.25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A7:K7"/>
    <mergeCell ref="A2:I2"/>
    <mergeCell ref="A3:K3"/>
    <mergeCell ref="A4:K4"/>
    <mergeCell ref="A5:K5"/>
    <mergeCell ref="A6:K6"/>
    <mergeCell ref="A21:E21"/>
    <mergeCell ref="G21:I21"/>
    <mergeCell ref="A22:E22"/>
    <mergeCell ref="F22:F24"/>
    <mergeCell ref="G22:I22"/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</mergeCells>
  <pageMargins left="0.7" right="0.7" top="0.75" bottom="0.75" header="0.3" footer="0.3"/>
  <pageSetup scale="89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MARZO 2025</vt:lpstr>
      <vt:lpstr>FEBRERO 2025</vt:lpstr>
      <vt:lpstr>ENERO 2025</vt:lpstr>
      <vt:lpstr>TRIMESTRAL</vt:lpstr>
      <vt:lpstr>BIMENSUAL</vt:lpstr>
      <vt:lpstr>BIMENSUAL!Área_de_impresión</vt:lpstr>
      <vt:lpstr>TRIMESTRAL!Área_de_impresión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2025-04-21T14:39:44Z</cp:lastPrinted>
  <dcterms:created xsi:type="dcterms:W3CDTF">2025-04-03T16:35:40Z</dcterms:created>
  <dcterms:modified xsi:type="dcterms:W3CDTF">2025-08-08T19:08:39Z</dcterms:modified>
</cp:coreProperties>
</file>
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MARZO 2025\"/>
    </mc:Choice>
  </mc:AlternateContent>
  <bookViews>
    <workbookView xWindow="-120" yWindow="-120" windowWidth="21840" windowHeight="13140" tabRatio="878" firstSheet="1" activeTab="1"/>
  </bookViews>
  <sheets>
    <sheet name="RELACION DE PAGOS EMITIDOS" sheetId="14" r:id="rId1"/>
    <sheet name="RELACION ORDENES DE COMPRAS" sheetId="15" r:id="rId2"/>
    <sheet name="CONS. FUENTES FINAN" sheetId="4" r:id="rId3"/>
    <sheet name="CUENTA T FONDO 100" sheetId="13" r:id="rId4"/>
    <sheet name="CUENTA T VS" sheetId="1" r:id="rId5"/>
    <sheet name="GASTOS X ATENCION" sheetId="6" r:id="rId6"/>
    <sheet name="PLANTILLA PRESUPUESTO" sheetId="18" r:id="rId7"/>
    <sheet name="TRANSFERENCIA CORRIENTE" sheetId="16" r:id="rId8"/>
    <sheet name="VS" sheetId="17" r:id="rId9"/>
    <sheet name="OBLIGACIONES PENDIENTES" sheetId="19" r:id="rId10"/>
    <sheet name="INGR SEGUN ORIGEN" sheetId="24" r:id="rId11"/>
    <sheet name="DEUDA" sheetId="23" r:id="rId12"/>
    <sheet name="INGRESOS POR A.R.S" sheetId="21" r:id="rId13"/>
    <sheet name="GLOSA" sheetId="22" r:id="rId14"/>
  </sheets>
  <definedNames>
    <definedName name="_xlnm._FilterDatabase" localSheetId="2" hidden="1">'CONS. FUENTES FINAN'!$A$27:$J$501</definedName>
    <definedName name="_xlnm._FilterDatabase" localSheetId="1" hidden="1">'RELACION ORDENES DE COMPRAS'!$A$8:$I$110</definedName>
    <definedName name="_xlnm.Print_Area" localSheetId="2">'CONS. FUENTES FINAN'!$A$1:$J$501</definedName>
    <definedName name="_xlnm.Print_Area" localSheetId="10">'INGR SEGUN ORIGEN'!$A$1:$E$57</definedName>
    <definedName name="_xlnm.Print_Area" localSheetId="0">'RELACION DE PAGOS EMITIDOS'!$A$1:$H$227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2" l="1"/>
  <c r="G10" i="21"/>
  <c r="G14" i="21"/>
  <c r="H14" i="21" l="1"/>
  <c r="H10" i="21"/>
  <c r="G194" i="23"/>
  <c r="I194" i="23"/>
  <c r="J194" i="23"/>
  <c r="K194" i="23"/>
  <c r="L194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7" i="23"/>
  <c r="I111" i="15" l="1"/>
  <c r="I14" i="4" l="1"/>
  <c r="G15" i="4"/>
  <c r="G16" i="4"/>
  <c r="E12" i="19"/>
  <c r="E13" i="19"/>
  <c r="E37" i="24"/>
  <c r="E11" i="24"/>
  <c r="E9" i="24"/>
  <c r="E12" i="24" s="1"/>
  <c r="E44" i="24"/>
  <c r="E45" i="24" s="1"/>
  <c r="A127" i="13" l="1"/>
  <c r="B127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P127" i="13"/>
  <c r="AQ127" i="13"/>
  <c r="AR127" i="13"/>
  <c r="AS127" i="13"/>
  <c r="AT127" i="13"/>
  <c r="AU127" i="13"/>
  <c r="AV127" i="13"/>
  <c r="AW127" i="13"/>
  <c r="AX127" i="13"/>
  <c r="AY127" i="13"/>
  <c r="AZ127" i="13"/>
  <c r="BA127" i="13"/>
  <c r="BB127" i="13"/>
  <c r="BC127" i="13"/>
  <c r="BD127" i="13"/>
  <c r="BE127" i="13"/>
  <c r="BF127" i="13"/>
  <c r="BG127" i="13"/>
  <c r="BH127" i="13"/>
  <c r="BI127" i="13"/>
  <c r="BJ127" i="13"/>
  <c r="BK127" i="13"/>
  <c r="BL127" i="13"/>
  <c r="BM127" i="13"/>
  <c r="BN127" i="13"/>
  <c r="BO127" i="13"/>
  <c r="BP127" i="13"/>
  <c r="BQ127" i="13"/>
  <c r="BR127" i="13"/>
  <c r="BS127" i="13"/>
  <c r="BT127" i="13"/>
  <c r="BU127" i="13"/>
  <c r="BV127" i="13"/>
  <c r="BW127" i="13"/>
  <c r="BX127" i="13"/>
  <c r="BY127" i="13"/>
  <c r="BZ127" i="13"/>
  <c r="CA127" i="13"/>
  <c r="CB127" i="13"/>
  <c r="CC127" i="13"/>
  <c r="CD127" i="13"/>
  <c r="CE127" i="13"/>
  <c r="CF127" i="13"/>
  <c r="CG127" i="13"/>
  <c r="CH127" i="13"/>
  <c r="CI127" i="13"/>
  <c r="CJ127" i="13"/>
  <c r="CK127" i="13"/>
  <c r="CL127" i="13"/>
  <c r="CM127" i="13"/>
  <c r="CN127" i="13"/>
  <c r="CO127" i="13"/>
  <c r="CP127" i="13"/>
  <c r="CQ127" i="13"/>
  <c r="CR127" i="13"/>
  <c r="CS127" i="13"/>
  <c r="CT127" i="13"/>
  <c r="CU127" i="13"/>
  <c r="CV127" i="13"/>
  <c r="CW127" i="13"/>
  <c r="CX127" i="13"/>
  <c r="CY127" i="13"/>
  <c r="CZ127" i="13"/>
  <c r="DA127" i="13"/>
  <c r="DB127" i="13"/>
  <c r="DC127" i="13"/>
  <c r="DD127" i="13"/>
  <c r="DE127" i="13"/>
  <c r="DF127" i="13"/>
  <c r="DG127" i="13"/>
  <c r="DH127" i="13"/>
  <c r="DI127" i="13"/>
  <c r="DJ127" i="13"/>
  <c r="DK127" i="13"/>
  <c r="DL127" i="13"/>
  <c r="DM127" i="13"/>
  <c r="DN127" i="13"/>
  <c r="DO127" i="13"/>
  <c r="DP127" i="13"/>
  <c r="DQ127" i="13"/>
  <c r="DR127" i="13"/>
  <c r="DS127" i="13"/>
  <c r="DT127" i="13"/>
  <c r="DU127" i="13"/>
  <c r="DV127" i="13"/>
  <c r="DW127" i="13"/>
  <c r="DX127" i="13"/>
  <c r="DY127" i="13"/>
  <c r="DZ127" i="13"/>
  <c r="EA127" i="13"/>
  <c r="EB127" i="13"/>
  <c r="EC127" i="13"/>
  <c r="ED127" i="13"/>
  <c r="EE127" i="13"/>
  <c r="EF127" i="13"/>
  <c r="EG127" i="13"/>
  <c r="EH127" i="13"/>
  <c r="EI127" i="13"/>
  <c r="EJ127" i="13"/>
  <c r="EK127" i="13"/>
  <c r="EL127" i="13"/>
  <c r="EM127" i="13"/>
  <c r="EN127" i="13"/>
  <c r="EO127" i="13"/>
  <c r="EP127" i="13"/>
  <c r="EQ127" i="13"/>
  <c r="ER127" i="13"/>
  <c r="ES127" i="13"/>
  <c r="ET127" i="13"/>
  <c r="EU127" i="13"/>
  <c r="EV127" i="13"/>
  <c r="EW127" i="13"/>
  <c r="EX127" i="13"/>
  <c r="EY127" i="13"/>
  <c r="EZ127" i="13"/>
  <c r="FA127" i="13"/>
  <c r="FB127" i="13"/>
  <c r="FC127" i="13"/>
  <c r="FD127" i="13"/>
  <c r="FE127" i="13"/>
  <c r="FF127" i="13"/>
  <c r="FG127" i="13"/>
  <c r="FH127" i="13"/>
  <c r="FI127" i="13"/>
  <c r="FJ127" i="13"/>
  <c r="FK127" i="13"/>
  <c r="FL127" i="13"/>
  <c r="FM127" i="13"/>
  <c r="FN127" i="13"/>
  <c r="FO127" i="13"/>
  <c r="FP127" i="13"/>
  <c r="FQ127" i="13"/>
  <c r="FR127" i="13"/>
  <c r="FS127" i="13"/>
  <c r="FT127" i="13"/>
  <c r="FU127" i="13"/>
  <c r="FV127" i="13"/>
  <c r="FW127" i="13"/>
  <c r="FX127" i="13"/>
  <c r="FY127" i="13"/>
  <c r="FZ127" i="13"/>
  <c r="GA127" i="13"/>
  <c r="GB127" i="13"/>
  <c r="GC127" i="13"/>
  <c r="GD127" i="13"/>
  <c r="GE127" i="13"/>
  <c r="GF127" i="13"/>
  <c r="GG127" i="13"/>
  <c r="GH127" i="13"/>
  <c r="GI127" i="13"/>
  <c r="GJ127" i="13"/>
  <c r="GK127" i="13"/>
  <c r="GL127" i="13"/>
  <c r="GM127" i="13"/>
  <c r="GN127" i="13"/>
  <c r="GO127" i="13"/>
  <c r="GP127" i="13"/>
  <c r="GQ127" i="13"/>
  <c r="GR127" i="13"/>
  <c r="GS127" i="13"/>
  <c r="GT127" i="13"/>
  <c r="GU127" i="13"/>
  <c r="GV127" i="13"/>
  <c r="GW127" i="13"/>
  <c r="GX127" i="13"/>
  <c r="GY127" i="13"/>
  <c r="GZ127" i="13"/>
  <c r="HA127" i="13"/>
  <c r="HB127" i="13"/>
  <c r="HC127" i="13"/>
  <c r="HD127" i="13"/>
  <c r="HE127" i="13"/>
  <c r="HF127" i="13"/>
  <c r="HG127" i="13"/>
  <c r="HH127" i="13"/>
  <c r="HI127" i="13"/>
  <c r="HJ127" i="13"/>
  <c r="HK127" i="13"/>
  <c r="HL127" i="13"/>
  <c r="HM127" i="13"/>
  <c r="HN127" i="13"/>
  <c r="HO127" i="13"/>
  <c r="HP127" i="13"/>
  <c r="HQ127" i="13"/>
  <c r="HR127" i="13"/>
  <c r="HS127" i="13"/>
  <c r="HT127" i="13"/>
  <c r="HU127" i="13"/>
  <c r="HV127" i="13"/>
  <c r="HW127" i="13"/>
  <c r="HX127" i="13"/>
  <c r="HY127" i="13"/>
  <c r="HZ127" i="13"/>
  <c r="IA127" i="13"/>
  <c r="IB127" i="13"/>
  <c r="IC127" i="13"/>
  <c r="ID127" i="13"/>
  <c r="IE127" i="13"/>
  <c r="IF127" i="13"/>
  <c r="IG127" i="13"/>
  <c r="IH127" i="13"/>
  <c r="II127" i="13"/>
  <c r="IJ127" i="13"/>
  <c r="IK127" i="13"/>
  <c r="IL127" i="13"/>
  <c r="IM127" i="13"/>
  <c r="IN127" i="13"/>
  <c r="IO127" i="13"/>
  <c r="IP127" i="13"/>
  <c r="IQ127" i="13"/>
  <c r="IR127" i="13"/>
  <c r="IS127" i="13"/>
  <c r="IT127" i="13"/>
  <c r="IU127" i="13"/>
  <c r="IV127" i="13"/>
  <c r="IW127" i="13"/>
  <c r="IX127" i="13"/>
  <c r="IY127" i="13"/>
  <c r="IZ127" i="13"/>
  <c r="JA127" i="13"/>
  <c r="JB127" i="13"/>
  <c r="JC127" i="13"/>
  <c r="JD127" i="13"/>
  <c r="JE127" i="13"/>
  <c r="JF127" i="13"/>
  <c r="JG127" i="13"/>
  <c r="JH127" i="13"/>
  <c r="B126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AU126" i="13"/>
  <c r="AV126" i="13"/>
  <c r="AW126" i="13"/>
  <c r="AX126" i="13"/>
  <c r="AY126" i="13"/>
  <c r="AZ126" i="13"/>
  <c r="BA126" i="13"/>
  <c r="BB126" i="13"/>
  <c r="BC126" i="13"/>
  <c r="BD126" i="13"/>
  <c r="BE126" i="13"/>
  <c r="BF126" i="13"/>
  <c r="BG126" i="13"/>
  <c r="BH126" i="13"/>
  <c r="BI126" i="13"/>
  <c r="BJ126" i="13"/>
  <c r="BK126" i="13"/>
  <c r="BL126" i="13"/>
  <c r="BM126" i="13"/>
  <c r="BN126" i="13"/>
  <c r="BO126" i="13"/>
  <c r="BP126" i="13"/>
  <c r="BQ126" i="13"/>
  <c r="BR126" i="13"/>
  <c r="BS126" i="13"/>
  <c r="BT126" i="13"/>
  <c r="BU126" i="13"/>
  <c r="BV126" i="13"/>
  <c r="BW126" i="13"/>
  <c r="BX126" i="13"/>
  <c r="BY126" i="13"/>
  <c r="BZ126" i="13"/>
  <c r="CA126" i="13"/>
  <c r="CB126" i="13"/>
  <c r="CC126" i="13"/>
  <c r="CD126" i="13"/>
  <c r="CE126" i="13"/>
  <c r="CF126" i="13"/>
  <c r="CG126" i="13"/>
  <c r="CH126" i="13"/>
  <c r="CI126" i="13"/>
  <c r="CJ126" i="13"/>
  <c r="CK126" i="13"/>
  <c r="CL126" i="13"/>
  <c r="CM126" i="13"/>
  <c r="CN126" i="13"/>
  <c r="CO126" i="13"/>
  <c r="CP126" i="13"/>
  <c r="CQ126" i="13"/>
  <c r="CR126" i="13"/>
  <c r="CS126" i="13"/>
  <c r="CT126" i="13"/>
  <c r="CU126" i="13"/>
  <c r="CV126" i="13"/>
  <c r="CW126" i="13"/>
  <c r="CX126" i="13"/>
  <c r="CY126" i="13"/>
  <c r="CZ126" i="13"/>
  <c r="DA126" i="13"/>
  <c r="DB126" i="13"/>
  <c r="DC126" i="13"/>
  <c r="DD126" i="13"/>
  <c r="DE126" i="13"/>
  <c r="DF126" i="13"/>
  <c r="DG126" i="13"/>
  <c r="DH126" i="13"/>
  <c r="DI126" i="13"/>
  <c r="DJ126" i="13"/>
  <c r="DK126" i="13"/>
  <c r="DL126" i="13"/>
  <c r="DM126" i="13"/>
  <c r="DN126" i="13"/>
  <c r="DO126" i="13"/>
  <c r="DP126" i="13"/>
  <c r="DQ126" i="13"/>
  <c r="DR126" i="13"/>
  <c r="DS126" i="13"/>
  <c r="DT126" i="13"/>
  <c r="DU126" i="13"/>
  <c r="DV126" i="13"/>
  <c r="DW126" i="13"/>
  <c r="DX126" i="13"/>
  <c r="DY126" i="13"/>
  <c r="DZ126" i="13"/>
  <c r="EA126" i="13"/>
  <c r="EB126" i="13"/>
  <c r="EC126" i="13"/>
  <c r="ED126" i="13"/>
  <c r="EE126" i="13"/>
  <c r="EF126" i="13"/>
  <c r="EG126" i="13"/>
  <c r="EH126" i="13"/>
  <c r="EI126" i="13"/>
  <c r="EJ126" i="13"/>
  <c r="EK126" i="13"/>
  <c r="EL126" i="13"/>
  <c r="EM126" i="13"/>
  <c r="EN126" i="13"/>
  <c r="EO126" i="13"/>
  <c r="EP126" i="13"/>
  <c r="EQ126" i="13"/>
  <c r="ER126" i="13"/>
  <c r="ES126" i="13"/>
  <c r="ET126" i="13"/>
  <c r="EU126" i="13"/>
  <c r="EV126" i="13"/>
  <c r="EW126" i="13"/>
  <c r="EX126" i="13"/>
  <c r="EY126" i="13"/>
  <c r="EZ126" i="13"/>
  <c r="FA126" i="13"/>
  <c r="FB126" i="13"/>
  <c r="FC126" i="13"/>
  <c r="FD126" i="13"/>
  <c r="FE126" i="13"/>
  <c r="FF126" i="13"/>
  <c r="FG126" i="13"/>
  <c r="FH126" i="13"/>
  <c r="FI126" i="13"/>
  <c r="FJ126" i="13"/>
  <c r="FK126" i="13"/>
  <c r="FL126" i="13"/>
  <c r="FM126" i="13"/>
  <c r="FN126" i="13"/>
  <c r="FO126" i="13"/>
  <c r="FP126" i="13"/>
  <c r="FQ126" i="13"/>
  <c r="FR126" i="13"/>
  <c r="FS126" i="13"/>
  <c r="FT126" i="13"/>
  <c r="FU126" i="13"/>
  <c r="FV126" i="13"/>
  <c r="FW126" i="13"/>
  <c r="FX126" i="13"/>
  <c r="FY126" i="13"/>
  <c r="FZ126" i="13"/>
  <c r="GA126" i="13"/>
  <c r="GB126" i="13"/>
  <c r="GC126" i="13"/>
  <c r="GD126" i="13"/>
  <c r="GE126" i="13"/>
  <c r="GF126" i="13"/>
  <c r="GG126" i="13"/>
  <c r="GH126" i="13"/>
  <c r="GI126" i="13"/>
  <c r="GJ126" i="13"/>
  <c r="GK126" i="13"/>
  <c r="GL126" i="13"/>
  <c r="GM126" i="13"/>
  <c r="GN126" i="13"/>
  <c r="GO126" i="13"/>
  <c r="GP126" i="13"/>
  <c r="GQ126" i="13"/>
  <c r="GR126" i="13"/>
  <c r="GS126" i="13"/>
  <c r="GT126" i="13"/>
  <c r="GU126" i="13"/>
  <c r="GV126" i="13"/>
  <c r="GW126" i="13"/>
  <c r="GX126" i="13"/>
  <c r="GY126" i="13"/>
  <c r="GZ126" i="13"/>
  <c r="HA126" i="13"/>
  <c r="HB126" i="13"/>
  <c r="HC126" i="13"/>
  <c r="HD126" i="13"/>
  <c r="HE126" i="13"/>
  <c r="HF126" i="13"/>
  <c r="HG126" i="13"/>
  <c r="HH126" i="13"/>
  <c r="HI126" i="13"/>
  <c r="HJ126" i="13"/>
  <c r="HK126" i="13"/>
  <c r="HL126" i="13"/>
  <c r="HM126" i="13"/>
  <c r="HN126" i="13"/>
  <c r="HO126" i="13"/>
  <c r="HP126" i="13"/>
  <c r="HQ126" i="13"/>
  <c r="HR126" i="13"/>
  <c r="HS126" i="13"/>
  <c r="HT126" i="13"/>
  <c r="HU126" i="13"/>
  <c r="HV126" i="13"/>
  <c r="HW126" i="13"/>
  <c r="HX126" i="13"/>
  <c r="HY126" i="13"/>
  <c r="HZ126" i="13"/>
  <c r="IA126" i="13"/>
  <c r="IB126" i="13"/>
  <c r="IC126" i="13"/>
  <c r="ID126" i="13"/>
  <c r="IE126" i="13"/>
  <c r="IF126" i="13"/>
  <c r="IG126" i="13"/>
  <c r="IH126" i="13"/>
  <c r="II126" i="13"/>
  <c r="IJ126" i="13"/>
  <c r="IK126" i="13"/>
  <c r="IL126" i="13"/>
  <c r="IM126" i="13"/>
  <c r="IN126" i="13"/>
  <c r="IO126" i="13"/>
  <c r="IP126" i="13"/>
  <c r="IQ126" i="13"/>
  <c r="IR126" i="13"/>
  <c r="IS126" i="13"/>
  <c r="IT126" i="13"/>
  <c r="IU126" i="13"/>
  <c r="IV126" i="13"/>
  <c r="IW126" i="13"/>
  <c r="IX126" i="13"/>
  <c r="IY126" i="13"/>
  <c r="IZ126" i="13"/>
  <c r="JA126" i="13"/>
  <c r="JB126" i="13"/>
  <c r="JC126" i="13"/>
  <c r="JD126" i="13"/>
  <c r="JE126" i="13"/>
  <c r="JF126" i="13"/>
  <c r="JG126" i="13"/>
  <c r="JH126" i="13"/>
  <c r="A126" i="13"/>
  <c r="JI126" i="13"/>
  <c r="JI79" i="1"/>
  <c r="G217" i="14"/>
  <c r="JL124" i="13"/>
  <c r="JI115" i="13"/>
  <c r="JL115" i="13" s="1"/>
  <c r="JI116" i="13"/>
  <c r="JL116" i="13" s="1"/>
  <c r="JI117" i="13"/>
  <c r="JL117" i="13" s="1"/>
  <c r="JI118" i="13"/>
  <c r="JL118" i="13" s="1"/>
  <c r="JI119" i="13"/>
  <c r="JL119" i="13" s="1"/>
  <c r="JI120" i="13"/>
  <c r="JL120" i="13" s="1"/>
  <c r="JI121" i="13"/>
  <c r="JL121" i="13" s="1"/>
  <c r="JI122" i="13"/>
  <c r="JI123" i="13"/>
  <c r="JL123" i="13" s="1"/>
  <c r="JI124" i="13"/>
  <c r="C225" i="14"/>
  <c r="C223" i="14"/>
  <c r="C224" i="14"/>
  <c r="C226" i="14" l="1"/>
  <c r="JL122" i="13"/>
  <c r="H217" i="14" l="1"/>
  <c r="JL4" i="1" l="1"/>
  <c r="JL5" i="1"/>
  <c r="JL6" i="1"/>
  <c r="JL7" i="1"/>
  <c r="JL8" i="1"/>
  <c r="JL9" i="1"/>
  <c r="JL10" i="1"/>
  <c r="JL11" i="1"/>
  <c r="JL12" i="1"/>
  <c r="JL13" i="1"/>
  <c r="JL14" i="1"/>
  <c r="JL15" i="1"/>
  <c r="JL16" i="1"/>
  <c r="JL17" i="1"/>
  <c r="JL18" i="1"/>
  <c r="JL19" i="1"/>
  <c r="JL20" i="1"/>
  <c r="JL21" i="1"/>
  <c r="JL22" i="1"/>
  <c r="JL23" i="1"/>
  <c r="JL24" i="1"/>
  <c r="JL25" i="1"/>
  <c r="JL26" i="1"/>
  <c r="JL27" i="1"/>
  <c r="JL28" i="1"/>
  <c r="JL29" i="1"/>
  <c r="JL30" i="1"/>
  <c r="JL31" i="1"/>
  <c r="JL32" i="1"/>
  <c r="JL33" i="1"/>
  <c r="JL34" i="1"/>
  <c r="JL35" i="1"/>
  <c r="JL36" i="1"/>
  <c r="JL37" i="1"/>
  <c r="JL39" i="1"/>
  <c r="JL40" i="1"/>
  <c r="JL41" i="1"/>
  <c r="JL42" i="1"/>
  <c r="JL43" i="1"/>
  <c r="JL44" i="1"/>
  <c r="JL49" i="1"/>
  <c r="JL57" i="1"/>
  <c r="JL58" i="1"/>
  <c r="JL59" i="1"/>
  <c r="JL60" i="1"/>
  <c r="JL61" i="1"/>
  <c r="JL62" i="1"/>
  <c r="JL63" i="1"/>
  <c r="JL64" i="1"/>
  <c r="JL65" i="1"/>
  <c r="JL66" i="1"/>
  <c r="JL67" i="1"/>
  <c r="JL68" i="1"/>
  <c r="JL69" i="1"/>
  <c r="JL70" i="1"/>
  <c r="JL71" i="1"/>
  <c r="JL72" i="1"/>
  <c r="JL73" i="1"/>
  <c r="JL74" i="1"/>
  <c r="JL75" i="1"/>
  <c r="JL76" i="1"/>
  <c r="JL77" i="1"/>
  <c r="JL78" i="1"/>
  <c r="JL3" i="1"/>
  <c r="AW79" i="1" l="1"/>
  <c r="JJ29" i="1" l="1"/>
  <c r="JJ30" i="1"/>
  <c r="JJ31" i="1" s="1"/>
  <c r="JJ32" i="1" s="1"/>
  <c r="JJ33" i="1" s="1"/>
  <c r="JJ34" i="1" s="1"/>
  <c r="JJ35" i="1" s="1"/>
  <c r="JJ36" i="1" s="1"/>
  <c r="JJ37" i="1" s="1"/>
  <c r="JJ38" i="1" s="1"/>
  <c r="JJ39" i="1" s="1"/>
  <c r="JJ40" i="1" s="1"/>
  <c r="JJ41" i="1" s="1"/>
  <c r="JJ42" i="1" s="1"/>
  <c r="JJ43" i="1" s="1"/>
  <c r="JJ28" i="1"/>
  <c r="C37" i="14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JI99" i="13" l="1"/>
  <c r="JI100" i="13"/>
  <c r="AB81" i="13"/>
  <c r="JL100" i="13" l="1"/>
  <c r="JI78" i="1" l="1"/>
  <c r="JI57" i="1"/>
  <c r="JI58" i="1"/>
  <c r="JI59" i="1"/>
  <c r="JI60" i="1"/>
  <c r="JI61" i="1"/>
  <c r="JI62" i="1"/>
  <c r="JI63" i="1"/>
  <c r="JI64" i="1"/>
  <c r="JI65" i="1"/>
  <c r="JI66" i="1"/>
  <c r="JI67" i="1"/>
  <c r="JI68" i="1"/>
  <c r="JI69" i="1"/>
  <c r="JI70" i="1"/>
  <c r="JI71" i="1"/>
  <c r="JI72" i="1"/>
  <c r="JI73" i="1"/>
  <c r="JI74" i="1"/>
  <c r="JI75" i="1"/>
  <c r="JI76" i="1"/>
  <c r="JI77" i="1"/>
  <c r="JI23" i="1"/>
  <c r="JI24" i="1"/>
  <c r="JI25" i="1"/>
  <c r="JI26" i="1"/>
  <c r="JI27" i="1"/>
  <c r="JI28" i="1"/>
  <c r="JI29" i="1"/>
  <c r="JI30" i="1"/>
  <c r="JI31" i="1"/>
  <c r="JI32" i="1"/>
  <c r="JI33" i="1"/>
  <c r="JI34" i="1"/>
  <c r="JI35" i="1"/>
  <c r="JI36" i="1"/>
  <c r="JI37" i="1"/>
  <c r="JI38" i="1"/>
  <c r="JL38" i="1" s="1"/>
  <c r="JI39" i="1"/>
  <c r="JI40" i="1"/>
  <c r="JI41" i="1"/>
  <c r="JI42" i="1"/>
  <c r="JI43" i="1"/>
  <c r="JI44" i="1"/>
  <c r="JI45" i="1"/>
  <c r="JL45" i="1" s="1"/>
  <c r="JI46" i="1"/>
  <c r="JL46" i="1" s="1"/>
  <c r="JI47" i="1"/>
  <c r="JL47" i="1" s="1"/>
  <c r="JI48" i="1"/>
  <c r="JL48" i="1" s="1"/>
  <c r="JI49" i="1"/>
  <c r="JI50" i="1"/>
  <c r="JL50" i="1" s="1"/>
  <c r="JI51" i="1"/>
  <c r="JL51" i="1" s="1"/>
  <c r="JI52" i="1"/>
  <c r="JL52" i="1" s="1"/>
  <c r="JI53" i="1"/>
  <c r="JL53" i="1" s="1"/>
  <c r="JI54" i="1"/>
  <c r="JL54" i="1" s="1"/>
  <c r="JI55" i="1"/>
  <c r="JL55" i="1" s="1"/>
  <c r="JI56" i="1"/>
  <c r="JL56" i="1" s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A79" i="1"/>
  <c r="E194" i="23" l="1"/>
  <c r="C85" i="17"/>
  <c r="D23" i="17" l="1"/>
  <c r="D22" i="17"/>
  <c r="D34" i="17"/>
  <c r="F85" i="16" l="1"/>
  <c r="G85" i="16"/>
  <c r="H85" i="16"/>
  <c r="I85" i="16"/>
  <c r="J85" i="16"/>
  <c r="K85" i="16"/>
  <c r="L85" i="16"/>
  <c r="M85" i="16"/>
  <c r="N85" i="16"/>
  <c r="D85" i="16"/>
  <c r="M194" i="23" l="1"/>
  <c r="E14" i="21"/>
  <c r="E19" i="19"/>
  <c r="E5" i="22"/>
  <c r="E6" i="22"/>
  <c r="D6" i="22"/>
  <c r="C36" i="21"/>
  <c r="D36" i="21"/>
  <c r="E36" i="21"/>
  <c r="F36" i="21"/>
  <c r="C13" i="21"/>
  <c r="D13" i="21"/>
  <c r="C37" i="21"/>
  <c r="D37" i="21"/>
  <c r="C179" i="14" l="1"/>
  <c r="C169" i="14" l="1"/>
  <c r="C182" i="14" s="1"/>
  <c r="C168" i="14"/>
  <c r="C181" i="14" s="1"/>
  <c r="C167" i="14"/>
  <c r="C180" i="14" s="1"/>
  <c r="JI58" i="13" l="1"/>
  <c r="JL58" i="13" s="1"/>
  <c r="JI59" i="13"/>
  <c r="JL59" i="13" s="1"/>
  <c r="JI60" i="13"/>
  <c r="JL60" i="13" s="1"/>
  <c r="JI61" i="13"/>
  <c r="JL61" i="13" s="1"/>
  <c r="JI62" i="13"/>
  <c r="JL62" i="13" s="1"/>
  <c r="JI63" i="13"/>
  <c r="JL63" i="13" s="1"/>
  <c r="JI64" i="13"/>
  <c r="JL64" i="13" s="1"/>
  <c r="JI65" i="13"/>
  <c r="JL65" i="13" s="1"/>
  <c r="JI66" i="13"/>
  <c r="JL66" i="13" s="1"/>
  <c r="JI67" i="13"/>
  <c r="JL67" i="13" s="1"/>
  <c r="JI68" i="13"/>
  <c r="JL68" i="13" s="1"/>
  <c r="JI69" i="13"/>
  <c r="JL69" i="13" s="1"/>
  <c r="JI70" i="13"/>
  <c r="JL70" i="13" s="1"/>
  <c r="JI71" i="13"/>
  <c r="JL71" i="13" s="1"/>
  <c r="JI72" i="13"/>
  <c r="JL72" i="13" s="1"/>
  <c r="JI73" i="13"/>
  <c r="JL73" i="13" s="1"/>
  <c r="JI74" i="13"/>
  <c r="JL74" i="13" s="1"/>
  <c r="JI75" i="13"/>
  <c r="JL75" i="13" s="1"/>
  <c r="JI76" i="13"/>
  <c r="JL76" i="13" s="1"/>
  <c r="JI77" i="13"/>
  <c r="JL77" i="13" s="1"/>
  <c r="JI78" i="13"/>
  <c r="JL78" i="13" s="1"/>
  <c r="JI79" i="13"/>
  <c r="JL79" i="13" s="1"/>
  <c r="JI80" i="13"/>
  <c r="JL80" i="13" s="1"/>
  <c r="JI81" i="13"/>
  <c r="JL81" i="13" s="1"/>
  <c r="JI82" i="13"/>
  <c r="JL82" i="13" s="1"/>
  <c r="JI83" i="13"/>
  <c r="JL83" i="13" s="1"/>
  <c r="JI84" i="13"/>
  <c r="JL84" i="13" s="1"/>
  <c r="JI85" i="13"/>
  <c r="JL85" i="13" s="1"/>
  <c r="JI86" i="13"/>
  <c r="JL86" i="13" s="1"/>
  <c r="JI87" i="13"/>
  <c r="JL87" i="13" s="1"/>
  <c r="JI88" i="13"/>
  <c r="JL88" i="13" s="1"/>
  <c r="JI89" i="13"/>
  <c r="JL89" i="13" s="1"/>
  <c r="JI90" i="13"/>
  <c r="JL90" i="13" s="1"/>
  <c r="JI91" i="13"/>
  <c r="JL91" i="13" s="1"/>
  <c r="JI92" i="13"/>
  <c r="JL92" i="13" s="1"/>
  <c r="JI93" i="13"/>
  <c r="JL93" i="13" s="1"/>
  <c r="JI94" i="13"/>
  <c r="JL94" i="13" s="1"/>
  <c r="JI95" i="13"/>
  <c r="JL95" i="13" s="1"/>
  <c r="JI96" i="13"/>
  <c r="JL96" i="13" s="1"/>
  <c r="JI97" i="13"/>
  <c r="JL97" i="13" s="1"/>
  <c r="JI98" i="13"/>
  <c r="JL98" i="13" s="1"/>
  <c r="J83" i="18" l="1"/>
  <c r="I83" i="18"/>
  <c r="H83" i="18"/>
  <c r="J81" i="18"/>
  <c r="I81" i="18"/>
  <c r="H81" i="18"/>
  <c r="G81" i="18"/>
  <c r="J80" i="18"/>
  <c r="I80" i="18"/>
  <c r="H80" i="18"/>
  <c r="G80" i="18"/>
  <c r="J79" i="18"/>
  <c r="I79" i="18"/>
  <c r="H79" i="18"/>
  <c r="G79" i="18"/>
  <c r="J78" i="18"/>
  <c r="I78" i="18"/>
  <c r="H78" i="18"/>
  <c r="G78" i="18"/>
  <c r="J77" i="18"/>
  <c r="I77" i="18"/>
  <c r="H77" i="18"/>
  <c r="G77" i="18"/>
  <c r="J76" i="18"/>
  <c r="I76" i="18"/>
  <c r="H76" i="18"/>
  <c r="G76" i="18"/>
  <c r="J75" i="18"/>
  <c r="I75" i="18"/>
  <c r="H75" i="18"/>
  <c r="G75" i="18"/>
  <c r="J74" i="18"/>
  <c r="I74" i="18"/>
  <c r="H74" i="18"/>
  <c r="G74" i="18"/>
  <c r="L74" i="18" s="1"/>
  <c r="J73" i="18"/>
  <c r="I73" i="18"/>
  <c r="H73" i="18"/>
  <c r="G73" i="18"/>
  <c r="J71" i="18"/>
  <c r="I71" i="18"/>
  <c r="N71" i="18" s="1"/>
  <c r="H71" i="18"/>
  <c r="J70" i="18"/>
  <c r="J68" i="18" s="1"/>
  <c r="I70" i="18"/>
  <c r="H70" i="18"/>
  <c r="J69" i="18"/>
  <c r="I69" i="18"/>
  <c r="H69" i="18"/>
  <c r="G70" i="18"/>
  <c r="G69" i="18"/>
  <c r="J67" i="18"/>
  <c r="I67" i="18"/>
  <c r="H67" i="18"/>
  <c r="G67" i="18"/>
  <c r="G65" i="18" s="1"/>
  <c r="J66" i="18"/>
  <c r="I66" i="18"/>
  <c r="H66" i="18"/>
  <c r="G66" i="18"/>
  <c r="J64" i="18"/>
  <c r="I64" i="18"/>
  <c r="H64" i="18"/>
  <c r="G64" i="18"/>
  <c r="J63" i="18"/>
  <c r="I63" i="18"/>
  <c r="H63" i="18"/>
  <c r="G63" i="18"/>
  <c r="J62" i="18"/>
  <c r="I62" i="18"/>
  <c r="H62" i="18"/>
  <c r="G62" i="18"/>
  <c r="G60" i="18" s="1"/>
  <c r="J61" i="18"/>
  <c r="I61" i="18"/>
  <c r="H61" i="18"/>
  <c r="G61" i="18"/>
  <c r="J59" i="18"/>
  <c r="I59" i="18"/>
  <c r="H59" i="18"/>
  <c r="G59" i="18"/>
  <c r="J58" i="18"/>
  <c r="I58" i="18"/>
  <c r="H58" i="18"/>
  <c r="G58" i="18"/>
  <c r="J57" i="18"/>
  <c r="I57" i="18"/>
  <c r="N57" i="18" s="1"/>
  <c r="H57" i="18"/>
  <c r="M57" i="18" s="1"/>
  <c r="G57" i="18"/>
  <c r="J56" i="18"/>
  <c r="I56" i="18"/>
  <c r="H56" i="18"/>
  <c r="M56" i="18" s="1"/>
  <c r="G56" i="18"/>
  <c r="J55" i="18"/>
  <c r="I55" i="18"/>
  <c r="H55" i="18"/>
  <c r="G55" i="18"/>
  <c r="J54" i="18"/>
  <c r="I54" i="18"/>
  <c r="H54" i="18"/>
  <c r="G54" i="18"/>
  <c r="J53" i="18"/>
  <c r="I53" i="18"/>
  <c r="N53" i="18" s="1"/>
  <c r="H53" i="18"/>
  <c r="M53" i="18" s="1"/>
  <c r="G53" i="18"/>
  <c r="J52" i="18"/>
  <c r="I52" i="18"/>
  <c r="N52" i="18" s="1"/>
  <c r="H52" i="18"/>
  <c r="M52" i="18" s="1"/>
  <c r="G52" i="18"/>
  <c r="G50" i="18" s="1"/>
  <c r="J51" i="18"/>
  <c r="I51" i="18"/>
  <c r="H51" i="18"/>
  <c r="G51" i="18"/>
  <c r="J49" i="18"/>
  <c r="I49" i="18"/>
  <c r="H49" i="18"/>
  <c r="G49" i="18"/>
  <c r="L49" i="18" s="1"/>
  <c r="J48" i="18"/>
  <c r="I48" i="18"/>
  <c r="H48" i="18"/>
  <c r="G48" i="18"/>
  <c r="L48" i="18" s="1"/>
  <c r="J47" i="18"/>
  <c r="I47" i="18"/>
  <c r="H47" i="18"/>
  <c r="G47" i="18"/>
  <c r="L47" i="18" s="1"/>
  <c r="J46" i="18"/>
  <c r="I46" i="18"/>
  <c r="H46" i="18"/>
  <c r="G46" i="18"/>
  <c r="L46" i="18" s="1"/>
  <c r="J45" i="18"/>
  <c r="I45" i="18"/>
  <c r="H45" i="18"/>
  <c r="G45" i="18"/>
  <c r="L45" i="18" s="1"/>
  <c r="J44" i="18"/>
  <c r="I44" i="18"/>
  <c r="H44" i="18"/>
  <c r="G44" i="18"/>
  <c r="G42" i="18" s="1"/>
  <c r="J43" i="18"/>
  <c r="I43" i="18"/>
  <c r="H43" i="18"/>
  <c r="G43" i="18"/>
  <c r="J41" i="18"/>
  <c r="I41" i="18"/>
  <c r="H41" i="18"/>
  <c r="G41" i="18"/>
  <c r="J40" i="18"/>
  <c r="I40" i="18"/>
  <c r="H40" i="18"/>
  <c r="G40" i="18"/>
  <c r="J39" i="18"/>
  <c r="I39" i="18"/>
  <c r="H39" i="18"/>
  <c r="G39" i="18"/>
  <c r="J38" i="18"/>
  <c r="I38" i="18"/>
  <c r="H38" i="18"/>
  <c r="G38" i="18"/>
  <c r="J37" i="18"/>
  <c r="I37" i="18"/>
  <c r="H37" i="18"/>
  <c r="G37" i="18"/>
  <c r="J36" i="18"/>
  <c r="I36" i="18"/>
  <c r="H36" i="18"/>
  <c r="G36" i="18"/>
  <c r="J35" i="18"/>
  <c r="J34" i="18" s="1"/>
  <c r="I35" i="18"/>
  <c r="H35" i="18"/>
  <c r="G35" i="18"/>
  <c r="J33" i="18"/>
  <c r="I33" i="18"/>
  <c r="H33" i="18"/>
  <c r="G33" i="18"/>
  <c r="J32" i="18"/>
  <c r="I32" i="18"/>
  <c r="H32" i="18"/>
  <c r="G32" i="18"/>
  <c r="J31" i="18"/>
  <c r="I31" i="18"/>
  <c r="H31" i="18"/>
  <c r="G31" i="18"/>
  <c r="J30" i="18"/>
  <c r="I30" i="18"/>
  <c r="H30" i="18"/>
  <c r="G30" i="18"/>
  <c r="J29" i="18"/>
  <c r="I29" i="18"/>
  <c r="H29" i="18"/>
  <c r="G29" i="18"/>
  <c r="J28" i="18"/>
  <c r="I28" i="18"/>
  <c r="H28" i="18"/>
  <c r="G28" i="18"/>
  <c r="J27" i="18"/>
  <c r="I27" i="18"/>
  <c r="H27" i="18"/>
  <c r="G27" i="18"/>
  <c r="J26" i="18"/>
  <c r="I26" i="18"/>
  <c r="H26" i="18"/>
  <c r="G26" i="18"/>
  <c r="J25" i="18"/>
  <c r="I25" i="18"/>
  <c r="H25" i="18"/>
  <c r="G25" i="18"/>
  <c r="J23" i="18"/>
  <c r="I23" i="18"/>
  <c r="H23" i="18"/>
  <c r="G23" i="18"/>
  <c r="L23" i="18" s="1"/>
  <c r="J22" i="18"/>
  <c r="I22" i="18"/>
  <c r="H22" i="18"/>
  <c r="G22" i="18"/>
  <c r="J21" i="18"/>
  <c r="I21" i="18"/>
  <c r="H21" i="18"/>
  <c r="G21" i="18"/>
  <c r="J20" i="18"/>
  <c r="I20" i="18"/>
  <c r="H20" i="18"/>
  <c r="G20" i="18"/>
  <c r="L20" i="18" s="1"/>
  <c r="J19" i="18"/>
  <c r="I19" i="18"/>
  <c r="H19" i="18"/>
  <c r="G19" i="18"/>
  <c r="L19" i="18" s="1"/>
  <c r="J18" i="18"/>
  <c r="I18" i="18"/>
  <c r="H18" i="18"/>
  <c r="G18" i="18"/>
  <c r="L18" i="18" s="1"/>
  <c r="J17" i="18"/>
  <c r="I17" i="18"/>
  <c r="H17" i="18"/>
  <c r="G17" i="18"/>
  <c r="L17" i="18" s="1"/>
  <c r="J16" i="18"/>
  <c r="I16" i="18"/>
  <c r="H16" i="18"/>
  <c r="G16" i="18"/>
  <c r="J15" i="18"/>
  <c r="I15" i="18"/>
  <c r="H15" i="18"/>
  <c r="G15" i="18"/>
  <c r="J13" i="18"/>
  <c r="I13" i="18"/>
  <c r="H13" i="18"/>
  <c r="M13" i="18" s="1"/>
  <c r="G13" i="18"/>
  <c r="J12" i="18"/>
  <c r="I12" i="18"/>
  <c r="H12" i="18"/>
  <c r="M12" i="18" s="1"/>
  <c r="G12" i="18"/>
  <c r="L12" i="18" s="1"/>
  <c r="J11" i="18"/>
  <c r="I11" i="18"/>
  <c r="H11" i="18"/>
  <c r="M11" i="18" s="1"/>
  <c r="G11" i="18"/>
  <c r="L11" i="18" s="1"/>
  <c r="J10" i="18"/>
  <c r="I10" i="18"/>
  <c r="H10" i="18"/>
  <c r="G10" i="18"/>
  <c r="J9" i="18"/>
  <c r="I9" i="18"/>
  <c r="H9" i="18"/>
  <c r="G9" i="18"/>
  <c r="G8" i="18" s="1"/>
  <c r="E83" i="18"/>
  <c r="D83" i="18"/>
  <c r="C83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7" i="18"/>
  <c r="D67" i="18"/>
  <c r="C67" i="18"/>
  <c r="B67" i="18"/>
  <c r="E66" i="18"/>
  <c r="D66" i="18"/>
  <c r="C66" i="18"/>
  <c r="M66" i="18" s="1"/>
  <c r="B66" i="18"/>
  <c r="E64" i="18"/>
  <c r="D64" i="18"/>
  <c r="C64" i="18"/>
  <c r="B64" i="18"/>
  <c r="E63" i="18"/>
  <c r="D63" i="18"/>
  <c r="C63" i="18"/>
  <c r="B63" i="18"/>
  <c r="L63" i="18" s="1"/>
  <c r="E62" i="18"/>
  <c r="D62" i="18"/>
  <c r="C62" i="18"/>
  <c r="B62" i="18"/>
  <c r="L62" i="18" s="1"/>
  <c r="E61" i="18"/>
  <c r="D61" i="18"/>
  <c r="C61" i="18"/>
  <c r="B61" i="18"/>
  <c r="L61" i="18" s="1"/>
  <c r="E59" i="18"/>
  <c r="D59" i="18"/>
  <c r="C59" i="18"/>
  <c r="B59" i="18"/>
  <c r="L59" i="18" s="1"/>
  <c r="E58" i="18"/>
  <c r="D58" i="18"/>
  <c r="C58" i="18"/>
  <c r="B58" i="18"/>
  <c r="L58" i="18" s="1"/>
  <c r="E57" i="18"/>
  <c r="D57" i="18"/>
  <c r="C57" i="18"/>
  <c r="B57" i="18"/>
  <c r="L57" i="18" s="1"/>
  <c r="E56" i="18"/>
  <c r="D56" i="18"/>
  <c r="C56" i="18"/>
  <c r="B56" i="18"/>
  <c r="L56" i="18" s="1"/>
  <c r="E55" i="18"/>
  <c r="D55" i="18"/>
  <c r="C55" i="18"/>
  <c r="B55" i="18"/>
  <c r="L55" i="18" s="1"/>
  <c r="E54" i="18"/>
  <c r="D54" i="18"/>
  <c r="C54" i="18"/>
  <c r="B54" i="18"/>
  <c r="L54" i="18" s="1"/>
  <c r="E53" i="18"/>
  <c r="D53" i="18"/>
  <c r="C53" i="18"/>
  <c r="B53" i="18"/>
  <c r="L53" i="18" s="1"/>
  <c r="E52" i="18"/>
  <c r="D52" i="18"/>
  <c r="C52" i="18"/>
  <c r="B52" i="18"/>
  <c r="L52" i="18" s="1"/>
  <c r="E51" i="18"/>
  <c r="D51" i="18"/>
  <c r="C51" i="18"/>
  <c r="B51" i="18"/>
  <c r="L51" i="18" s="1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B42" i="18" s="1"/>
  <c r="E43" i="18"/>
  <c r="D43" i="18"/>
  <c r="C43" i="18"/>
  <c r="C42" i="18" s="1"/>
  <c r="B43" i="18"/>
  <c r="E41" i="18"/>
  <c r="D41" i="18"/>
  <c r="C41" i="18"/>
  <c r="B41" i="18"/>
  <c r="L41" i="18" s="1"/>
  <c r="E40" i="18"/>
  <c r="D40" i="18"/>
  <c r="C40" i="18"/>
  <c r="B40" i="18"/>
  <c r="E39" i="18"/>
  <c r="D39" i="18"/>
  <c r="C39" i="18"/>
  <c r="B39" i="18"/>
  <c r="E38" i="18"/>
  <c r="D38" i="18"/>
  <c r="C38" i="18"/>
  <c r="B38" i="18"/>
  <c r="L38" i="18" s="1"/>
  <c r="E37" i="18"/>
  <c r="D37" i="18"/>
  <c r="C37" i="18"/>
  <c r="B37" i="18"/>
  <c r="L37" i="18" s="1"/>
  <c r="E36" i="18"/>
  <c r="D36" i="18"/>
  <c r="C36" i="18"/>
  <c r="B36" i="18"/>
  <c r="L36" i="18" s="1"/>
  <c r="E35" i="18"/>
  <c r="D35" i="18"/>
  <c r="C35" i="18"/>
  <c r="B35" i="18"/>
  <c r="E33" i="18"/>
  <c r="D33" i="18"/>
  <c r="C33" i="18"/>
  <c r="M33" i="18" s="1"/>
  <c r="B33" i="18"/>
  <c r="L33" i="18" s="1"/>
  <c r="E32" i="18"/>
  <c r="D32" i="18"/>
  <c r="C32" i="18"/>
  <c r="B32" i="18"/>
  <c r="E31" i="18"/>
  <c r="D31" i="18"/>
  <c r="C31" i="18"/>
  <c r="B31" i="18"/>
  <c r="L31" i="18" s="1"/>
  <c r="E30" i="18"/>
  <c r="D30" i="18"/>
  <c r="N30" i="18" s="1"/>
  <c r="C30" i="18"/>
  <c r="M30" i="18" s="1"/>
  <c r="B30" i="18"/>
  <c r="L30" i="18" s="1"/>
  <c r="E29" i="18"/>
  <c r="D29" i="18"/>
  <c r="C29" i="18"/>
  <c r="M29" i="18" s="1"/>
  <c r="B29" i="18"/>
  <c r="L29" i="18" s="1"/>
  <c r="E28" i="18"/>
  <c r="D28" i="18"/>
  <c r="C28" i="18"/>
  <c r="B28" i="18"/>
  <c r="L28" i="18" s="1"/>
  <c r="E27" i="18"/>
  <c r="D27" i="18"/>
  <c r="C27" i="18"/>
  <c r="M27" i="18" s="1"/>
  <c r="B27" i="18"/>
  <c r="L27" i="18" s="1"/>
  <c r="E26" i="18"/>
  <c r="D26" i="18"/>
  <c r="C26" i="18"/>
  <c r="M26" i="18" s="1"/>
  <c r="B26" i="18"/>
  <c r="L26" i="18" s="1"/>
  <c r="E25" i="18"/>
  <c r="O25" i="18" s="1"/>
  <c r="D25" i="18"/>
  <c r="C25" i="18"/>
  <c r="B25" i="18"/>
  <c r="L25" i="18" s="1"/>
  <c r="E23" i="18"/>
  <c r="D23" i="18"/>
  <c r="C23" i="18"/>
  <c r="B23" i="18"/>
  <c r="E22" i="18"/>
  <c r="D22" i="18"/>
  <c r="C22" i="18"/>
  <c r="B22" i="18"/>
  <c r="L22" i="18" s="1"/>
  <c r="E21" i="18"/>
  <c r="D21" i="18"/>
  <c r="C21" i="18"/>
  <c r="B21" i="18"/>
  <c r="E20" i="18"/>
  <c r="D20" i="18"/>
  <c r="C20" i="18"/>
  <c r="B20" i="18"/>
  <c r="E19" i="18"/>
  <c r="D19" i="18"/>
  <c r="C19" i="18"/>
  <c r="B19" i="18"/>
  <c r="E18" i="18"/>
  <c r="D18" i="18"/>
  <c r="C18" i="18"/>
  <c r="B18" i="18"/>
  <c r="E17" i="18"/>
  <c r="D17" i="18"/>
  <c r="C17" i="18"/>
  <c r="B17" i="18"/>
  <c r="E16" i="18"/>
  <c r="D16" i="18"/>
  <c r="C16" i="18"/>
  <c r="B16" i="18"/>
  <c r="E15" i="18"/>
  <c r="D15" i="18"/>
  <c r="C15" i="18"/>
  <c r="B15" i="18"/>
  <c r="L15" i="18" s="1"/>
  <c r="E13" i="18"/>
  <c r="O13" i="18" s="1"/>
  <c r="D13" i="18"/>
  <c r="C13" i="18"/>
  <c r="B13" i="18"/>
  <c r="L13" i="18" s="1"/>
  <c r="E12" i="18"/>
  <c r="O12" i="18" s="1"/>
  <c r="D12" i="18"/>
  <c r="C12" i="18"/>
  <c r="B12" i="18"/>
  <c r="E11" i="18"/>
  <c r="O11" i="18" s="1"/>
  <c r="D11" i="18"/>
  <c r="C11" i="18"/>
  <c r="B11" i="18"/>
  <c r="E10" i="18"/>
  <c r="O10" i="18" s="1"/>
  <c r="D10" i="18"/>
  <c r="C10" i="18"/>
  <c r="B10" i="18"/>
  <c r="E9" i="18"/>
  <c r="D9" i="18"/>
  <c r="C9" i="18"/>
  <c r="B9" i="18"/>
  <c r="B8" i="18" s="1"/>
  <c r="H194" i="23"/>
  <c r="D17" i="22"/>
  <c r="C17" i="22"/>
  <c r="B17" i="22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Z13" i="21"/>
  <c r="Z37" i="21" s="1"/>
  <c r="Y13" i="21"/>
  <c r="Y37" i="21" s="1"/>
  <c r="X13" i="21"/>
  <c r="X37" i="21" s="1"/>
  <c r="W13" i="21"/>
  <c r="W37" i="21" s="1"/>
  <c r="V13" i="21"/>
  <c r="V37" i="21" s="1"/>
  <c r="U13" i="21"/>
  <c r="U37" i="21" s="1"/>
  <c r="T13" i="21"/>
  <c r="T37" i="21" s="1"/>
  <c r="S13" i="21"/>
  <c r="S37" i="21" s="1"/>
  <c r="R13" i="21"/>
  <c r="R37" i="21" s="1"/>
  <c r="Q13" i="21"/>
  <c r="Q37" i="21" s="1"/>
  <c r="P13" i="21"/>
  <c r="P37" i="21" s="1"/>
  <c r="O13" i="21"/>
  <c r="O37" i="21" s="1"/>
  <c r="N13" i="21"/>
  <c r="N37" i="21" s="1"/>
  <c r="M13" i="21"/>
  <c r="M37" i="21" s="1"/>
  <c r="L13" i="21"/>
  <c r="L37" i="21" s="1"/>
  <c r="K13" i="21"/>
  <c r="K37" i="21" s="1"/>
  <c r="J13" i="21"/>
  <c r="J37" i="21" s="1"/>
  <c r="I13" i="21"/>
  <c r="I37" i="21" s="1"/>
  <c r="H13" i="21"/>
  <c r="H37" i="21" s="1"/>
  <c r="G13" i="21"/>
  <c r="G37" i="21" s="1"/>
  <c r="F13" i="21"/>
  <c r="F37" i="21" s="1"/>
  <c r="E13" i="21"/>
  <c r="E37" i="21" s="1"/>
  <c r="N83" i="18"/>
  <c r="M83" i="18"/>
  <c r="J82" i="18"/>
  <c r="I82" i="18"/>
  <c r="H82" i="18"/>
  <c r="D82" i="18"/>
  <c r="C82" i="18"/>
  <c r="O81" i="18"/>
  <c r="N81" i="18"/>
  <c r="M81" i="18"/>
  <c r="O80" i="18"/>
  <c r="N80" i="18"/>
  <c r="M80" i="18"/>
  <c r="N79" i="18"/>
  <c r="O79" i="18"/>
  <c r="M79" i="18"/>
  <c r="M78" i="18"/>
  <c r="O78" i="18"/>
  <c r="N78" i="18"/>
  <c r="O77" i="18"/>
  <c r="N77" i="18"/>
  <c r="M77" i="18"/>
  <c r="O76" i="18"/>
  <c r="N76" i="18"/>
  <c r="M76" i="18"/>
  <c r="N75" i="18"/>
  <c r="O75" i="18"/>
  <c r="M75" i="18"/>
  <c r="M74" i="18"/>
  <c r="O74" i="18"/>
  <c r="N74" i="18"/>
  <c r="L73" i="18"/>
  <c r="O73" i="18"/>
  <c r="N73" i="18"/>
  <c r="M73" i="18"/>
  <c r="O71" i="18"/>
  <c r="M71" i="18"/>
  <c r="L71" i="18"/>
  <c r="N70" i="18"/>
  <c r="M70" i="18"/>
  <c r="L70" i="18"/>
  <c r="O69" i="18"/>
  <c r="N69" i="18"/>
  <c r="M69" i="18"/>
  <c r="I68" i="18"/>
  <c r="H68" i="18"/>
  <c r="E68" i="18"/>
  <c r="D68" i="18"/>
  <c r="C68" i="18"/>
  <c r="M68" i="18" s="1"/>
  <c r="B68" i="18"/>
  <c r="O67" i="18"/>
  <c r="N67" i="18"/>
  <c r="M67" i="18"/>
  <c r="J65" i="18"/>
  <c r="O66" i="18"/>
  <c r="N66" i="18"/>
  <c r="L66" i="18"/>
  <c r="I65" i="18"/>
  <c r="H65" i="18"/>
  <c r="D65" i="18"/>
  <c r="B65" i="18"/>
  <c r="O64" i="18"/>
  <c r="N64" i="18"/>
  <c r="M64" i="18"/>
  <c r="O63" i="18"/>
  <c r="N63" i="18"/>
  <c r="M63" i="18"/>
  <c r="O62" i="18"/>
  <c r="N62" i="18"/>
  <c r="M62" i="18"/>
  <c r="O61" i="18"/>
  <c r="N61" i="18"/>
  <c r="M61" i="18"/>
  <c r="J60" i="18"/>
  <c r="I60" i="18"/>
  <c r="H60" i="18"/>
  <c r="E60" i="18"/>
  <c r="O60" i="18" s="1"/>
  <c r="D60" i="18"/>
  <c r="C60" i="18"/>
  <c r="M60" i="18" s="1"/>
  <c r="O59" i="18"/>
  <c r="N59" i="18"/>
  <c r="M59" i="18"/>
  <c r="O58" i="18"/>
  <c r="N58" i="18"/>
  <c r="M58" i="18"/>
  <c r="O57" i="18"/>
  <c r="O56" i="18"/>
  <c r="N56" i="18"/>
  <c r="O55" i="18"/>
  <c r="N55" i="18"/>
  <c r="M55" i="18"/>
  <c r="O54" i="18"/>
  <c r="N54" i="18"/>
  <c r="M54" i="18"/>
  <c r="O53" i="18"/>
  <c r="J50" i="18"/>
  <c r="E50" i="18"/>
  <c r="O50" i="18" s="1"/>
  <c r="O51" i="18"/>
  <c r="N51" i="18"/>
  <c r="M51" i="18"/>
  <c r="I50" i="18"/>
  <c r="H50" i="18"/>
  <c r="D50" i="18"/>
  <c r="C50" i="18"/>
  <c r="O49" i="18"/>
  <c r="N49" i="18"/>
  <c r="M49" i="18"/>
  <c r="O48" i="18"/>
  <c r="N48" i="18"/>
  <c r="M48" i="18"/>
  <c r="O47" i="18"/>
  <c r="N47" i="18"/>
  <c r="M47" i="18"/>
  <c r="O46" i="18"/>
  <c r="N46" i="18"/>
  <c r="M46" i="18"/>
  <c r="O45" i="18"/>
  <c r="N45" i="18"/>
  <c r="M45" i="18"/>
  <c r="J42" i="18"/>
  <c r="E42" i="18"/>
  <c r="O42" i="18" s="1"/>
  <c r="N44" i="18"/>
  <c r="M44" i="18"/>
  <c r="O43" i="18"/>
  <c r="N43" i="18"/>
  <c r="M43" i="18"/>
  <c r="L43" i="18"/>
  <c r="I42" i="18"/>
  <c r="H42" i="18"/>
  <c r="D42" i="18"/>
  <c r="O41" i="18"/>
  <c r="N41" i="18"/>
  <c r="M41" i="18"/>
  <c r="O40" i="18"/>
  <c r="N40" i="18"/>
  <c r="M40" i="18"/>
  <c r="O39" i="18"/>
  <c r="N39" i="18"/>
  <c r="M39" i="18"/>
  <c r="O38" i="18"/>
  <c r="N38" i="18"/>
  <c r="M38" i="18"/>
  <c r="O37" i="18"/>
  <c r="N37" i="18"/>
  <c r="M37" i="18"/>
  <c r="E34" i="18"/>
  <c r="N36" i="18"/>
  <c r="M36" i="18"/>
  <c r="N35" i="18"/>
  <c r="M35" i="18"/>
  <c r="L35" i="18"/>
  <c r="I34" i="18"/>
  <c r="H34" i="18"/>
  <c r="D34" i="18"/>
  <c r="C34" i="18"/>
  <c r="B34" i="18"/>
  <c r="O33" i="18"/>
  <c r="N33" i="18"/>
  <c r="O32" i="18"/>
  <c r="N32" i="18"/>
  <c r="M32" i="18"/>
  <c r="O31" i="18"/>
  <c r="N31" i="18"/>
  <c r="M31" i="18"/>
  <c r="O30" i="18"/>
  <c r="O29" i="18"/>
  <c r="N29" i="18"/>
  <c r="O28" i="18"/>
  <c r="N28" i="18"/>
  <c r="M28" i="18"/>
  <c r="O27" i="18"/>
  <c r="O26" i="18"/>
  <c r="N26" i="18"/>
  <c r="N25" i="18"/>
  <c r="M25" i="18"/>
  <c r="J24" i="18"/>
  <c r="I24" i="18"/>
  <c r="H24" i="18"/>
  <c r="C24" i="18"/>
  <c r="O23" i="18"/>
  <c r="N23" i="18"/>
  <c r="M23" i="18"/>
  <c r="O22" i="18"/>
  <c r="N22" i="18"/>
  <c r="M22" i="18"/>
  <c r="O21" i="18"/>
  <c r="N21" i="18"/>
  <c r="M21" i="18"/>
  <c r="O20" i="18"/>
  <c r="N20" i="18"/>
  <c r="M20" i="18"/>
  <c r="O19" i="18"/>
  <c r="N19" i="18"/>
  <c r="M19" i="18"/>
  <c r="O18" i="18"/>
  <c r="N18" i="18"/>
  <c r="M18" i="18"/>
  <c r="O17" i="18"/>
  <c r="N17" i="18"/>
  <c r="M17" i="18"/>
  <c r="J14" i="18"/>
  <c r="E14" i="18"/>
  <c r="N16" i="18"/>
  <c r="M16" i="18"/>
  <c r="O15" i="18"/>
  <c r="N15" i="18"/>
  <c r="M15" i="18"/>
  <c r="I14" i="18"/>
  <c r="H14" i="18"/>
  <c r="D14" i="18"/>
  <c r="C14" i="18"/>
  <c r="M14" i="18" s="1"/>
  <c r="N13" i="18"/>
  <c r="N12" i="18"/>
  <c r="N11" i="18"/>
  <c r="N10" i="18"/>
  <c r="M10" i="18"/>
  <c r="O9" i="18"/>
  <c r="N9" i="18"/>
  <c r="M9" i="18"/>
  <c r="J8" i="18"/>
  <c r="I8" i="18"/>
  <c r="E8" i="18"/>
  <c r="D8" i="18"/>
  <c r="C8" i="18"/>
  <c r="B72" i="17"/>
  <c r="B71" i="17"/>
  <c r="B70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 s="1"/>
  <c r="B68" i="17"/>
  <c r="B67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B65" i="17"/>
  <c r="B64" i="17"/>
  <c r="B63" i="17"/>
  <c r="B62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 s="1"/>
  <c r="B60" i="17"/>
  <c r="B59" i="17"/>
  <c r="B58" i="17"/>
  <c r="B57" i="17"/>
  <c r="B56" i="17"/>
  <c r="B55" i="17"/>
  <c r="B54" i="17"/>
  <c r="B53" i="17"/>
  <c r="B52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0" i="17"/>
  <c r="B49" i="17"/>
  <c r="B48" i="17"/>
  <c r="B47" i="17"/>
  <c r="B46" i="17"/>
  <c r="B45" i="17"/>
  <c r="B44" i="17"/>
  <c r="N43" i="17"/>
  <c r="M43" i="17"/>
  <c r="L43" i="17"/>
  <c r="K43" i="17"/>
  <c r="J43" i="17"/>
  <c r="I43" i="17"/>
  <c r="H43" i="17"/>
  <c r="G43" i="17"/>
  <c r="F43" i="17"/>
  <c r="E43" i="17"/>
  <c r="B43" i="17" s="1"/>
  <c r="D43" i="17"/>
  <c r="C43" i="17"/>
  <c r="B42" i="17"/>
  <c r="B41" i="17"/>
  <c r="B40" i="17"/>
  <c r="B39" i="17"/>
  <c r="B38" i="17"/>
  <c r="B37" i="17"/>
  <c r="B36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4" i="17"/>
  <c r="B33" i="17"/>
  <c r="B32" i="17"/>
  <c r="B31" i="17"/>
  <c r="B30" i="17"/>
  <c r="B29" i="17"/>
  <c r="B28" i="17"/>
  <c r="B27" i="17"/>
  <c r="B26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4" i="17"/>
  <c r="B23" i="17"/>
  <c r="B22" i="17"/>
  <c r="B21" i="17"/>
  <c r="B20" i="17"/>
  <c r="B19" i="17"/>
  <c r="B18" i="17"/>
  <c r="B17" i="17"/>
  <c r="B16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4" i="17"/>
  <c r="B13" i="17"/>
  <c r="B12" i="17"/>
  <c r="B11" i="17"/>
  <c r="B10" i="17"/>
  <c r="N9" i="17"/>
  <c r="N73" i="17" s="1"/>
  <c r="M9" i="17"/>
  <c r="M73" i="17" s="1"/>
  <c r="L9" i="17"/>
  <c r="L73" i="17" s="1"/>
  <c r="K9" i="17"/>
  <c r="K73" i="17" s="1"/>
  <c r="J9" i="17"/>
  <c r="J73" i="17" s="1"/>
  <c r="I9" i="17"/>
  <c r="I73" i="17" s="1"/>
  <c r="H9" i="17"/>
  <c r="H73" i="17" s="1"/>
  <c r="G9" i="17"/>
  <c r="G73" i="17" s="1"/>
  <c r="F9" i="17"/>
  <c r="F73" i="17" s="1"/>
  <c r="E9" i="17"/>
  <c r="D9" i="17"/>
  <c r="C9" i="17"/>
  <c r="B72" i="16"/>
  <c r="B71" i="16"/>
  <c r="B70" i="16"/>
  <c r="N69" i="16"/>
  <c r="M69" i="16"/>
  <c r="L69" i="16"/>
  <c r="K69" i="16"/>
  <c r="J69" i="16"/>
  <c r="I69" i="16"/>
  <c r="H69" i="16"/>
  <c r="G69" i="16"/>
  <c r="F69" i="16"/>
  <c r="E69" i="16"/>
  <c r="D69" i="16"/>
  <c r="C69" i="16"/>
  <c r="B69" i="16" s="1"/>
  <c r="B68" i="16"/>
  <c r="B67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B65" i="16"/>
  <c r="B64" i="16"/>
  <c r="B63" i="16"/>
  <c r="B62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 s="1"/>
  <c r="B60" i="16"/>
  <c r="B59" i="16"/>
  <c r="B58" i="16"/>
  <c r="B57" i="16"/>
  <c r="B56" i="16"/>
  <c r="B55" i="16"/>
  <c r="B54" i="16"/>
  <c r="B53" i="16"/>
  <c r="B52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0" i="16"/>
  <c r="B49" i="16"/>
  <c r="B48" i="16"/>
  <c r="B47" i="16"/>
  <c r="B46" i="16"/>
  <c r="B45" i="16"/>
  <c r="B44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 s="1"/>
  <c r="B42" i="16"/>
  <c r="B41" i="16"/>
  <c r="B40" i="16"/>
  <c r="B39" i="16"/>
  <c r="B38" i="16"/>
  <c r="B37" i="16"/>
  <c r="B36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 s="1"/>
  <c r="N25" i="16"/>
  <c r="M25" i="16"/>
  <c r="L25" i="16"/>
  <c r="K25" i="16"/>
  <c r="J25" i="16"/>
  <c r="I25" i="16"/>
  <c r="H25" i="16"/>
  <c r="G25" i="16"/>
  <c r="F25" i="16"/>
  <c r="E25" i="16"/>
  <c r="D25" i="16"/>
  <c r="C25" i="16"/>
  <c r="B24" i="16"/>
  <c r="B23" i="16"/>
  <c r="B22" i="16"/>
  <c r="B21" i="16"/>
  <c r="B20" i="16"/>
  <c r="B19" i="16"/>
  <c r="B18" i="16"/>
  <c r="B17" i="16"/>
  <c r="B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4" i="16"/>
  <c r="B13" i="16"/>
  <c r="B12" i="16"/>
  <c r="B11" i="16"/>
  <c r="B10" i="16"/>
  <c r="N9" i="16"/>
  <c r="M9" i="16"/>
  <c r="L9" i="16"/>
  <c r="K9" i="16"/>
  <c r="J9" i="16"/>
  <c r="I9" i="16"/>
  <c r="H9" i="16"/>
  <c r="G9" i="16"/>
  <c r="G73" i="16" s="1"/>
  <c r="F9" i="16"/>
  <c r="E9" i="16"/>
  <c r="D9" i="16"/>
  <c r="C9" i="16"/>
  <c r="E17" i="22" l="1"/>
  <c r="E73" i="17"/>
  <c r="E85" i="17" s="1"/>
  <c r="B35" i="17"/>
  <c r="G34" i="18"/>
  <c r="B51" i="17"/>
  <c r="B25" i="17"/>
  <c r="G24" i="18"/>
  <c r="D73" i="17"/>
  <c r="D85" i="17" s="1"/>
  <c r="G14" i="18"/>
  <c r="B15" i="17"/>
  <c r="B51" i="16"/>
  <c r="L21" i="18"/>
  <c r="L16" i="18"/>
  <c r="L10" i="18"/>
  <c r="O83" i="18"/>
  <c r="N82" i="18"/>
  <c r="M82" i="18"/>
  <c r="L75" i="18"/>
  <c r="L76" i="18"/>
  <c r="L77" i="18"/>
  <c r="L78" i="18"/>
  <c r="L79" i="18"/>
  <c r="L80" i="18"/>
  <c r="L81" i="18"/>
  <c r="O70" i="18"/>
  <c r="N68" i="18"/>
  <c r="G68" i="18"/>
  <c r="L68" i="18" s="1"/>
  <c r="L69" i="18"/>
  <c r="L67" i="18"/>
  <c r="L65" i="18"/>
  <c r="N65" i="18"/>
  <c r="N60" i="18"/>
  <c r="L64" i="18"/>
  <c r="N50" i="18"/>
  <c r="M50" i="18"/>
  <c r="L44" i="18"/>
  <c r="L42" i="18"/>
  <c r="N42" i="18"/>
  <c r="M42" i="18"/>
  <c r="L39" i="18"/>
  <c r="L40" i="18"/>
  <c r="O35" i="18"/>
  <c r="L34" i="18"/>
  <c r="O34" i="18"/>
  <c r="M34" i="18"/>
  <c r="N34" i="18"/>
  <c r="L32" i="18"/>
  <c r="I72" i="18"/>
  <c r="M24" i="18"/>
  <c r="N14" i="18"/>
  <c r="O14" i="18"/>
  <c r="B9" i="17"/>
  <c r="O8" i="18"/>
  <c r="H8" i="18"/>
  <c r="H72" i="18" s="1"/>
  <c r="E82" i="18"/>
  <c r="O82" i="18" s="1"/>
  <c r="C65" i="18"/>
  <c r="M65" i="18" s="1"/>
  <c r="B60" i="18"/>
  <c r="L60" i="18" s="1"/>
  <c r="B50" i="18"/>
  <c r="L50" i="18" s="1"/>
  <c r="H73" i="16"/>
  <c r="M73" i="16"/>
  <c r="D73" i="16"/>
  <c r="N73" i="16"/>
  <c r="E24" i="18"/>
  <c r="O24" i="18" s="1"/>
  <c r="L73" i="16"/>
  <c r="K73" i="16"/>
  <c r="J73" i="16"/>
  <c r="D24" i="18"/>
  <c r="N24" i="18" s="1"/>
  <c r="I73" i="16"/>
  <c r="F73" i="16"/>
  <c r="B25" i="16"/>
  <c r="B24" i="18"/>
  <c r="B15" i="16"/>
  <c r="E73" i="16"/>
  <c r="E85" i="16" s="1"/>
  <c r="B14" i="18"/>
  <c r="B9" i="16"/>
  <c r="C72" i="18"/>
  <c r="L9" i="18"/>
  <c r="J72" i="18"/>
  <c r="O16" i="18"/>
  <c r="O36" i="18"/>
  <c r="O44" i="18"/>
  <c r="O52" i="18"/>
  <c r="E65" i="18"/>
  <c r="O65" i="18" s="1"/>
  <c r="O68" i="18"/>
  <c r="L8" i="18"/>
  <c r="N8" i="18"/>
  <c r="C73" i="17"/>
  <c r="C73" i="16"/>
  <c r="C85" i="16" s="1"/>
  <c r="B83" i="18" l="1"/>
  <c r="B82" i="18" s="1"/>
  <c r="L14" i="18"/>
  <c r="G83" i="18"/>
  <c r="L24" i="18"/>
  <c r="B73" i="17"/>
  <c r="B85" i="17" s="1"/>
  <c r="G72" i="18"/>
  <c r="M72" i="18"/>
  <c r="M8" i="18"/>
  <c r="N27" i="18"/>
  <c r="E72" i="18"/>
  <c r="O72" i="18" s="1"/>
  <c r="D72" i="18"/>
  <c r="N72" i="18" s="1"/>
  <c r="B73" i="16"/>
  <c r="B85" i="16" s="1"/>
  <c r="B72" i="18"/>
  <c r="G82" i="18" l="1"/>
  <c r="L82" i="18" s="1"/>
  <c r="L83" i="18"/>
  <c r="L72" i="18"/>
  <c r="A2" i="6"/>
  <c r="JI114" i="13" l="1"/>
  <c r="JL114" i="13" s="1"/>
  <c r="JI113" i="13"/>
  <c r="JL113" i="13" s="1"/>
  <c r="JI112" i="13"/>
  <c r="JL112" i="13" s="1"/>
  <c r="JI111" i="13"/>
  <c r="JL111" i="13" s="1"/>
  <c r="JI110" i="13"/>
  <c r="JL110" i="13" s="1"/>
  <c r="JI109" i="13"/>
  <c r="JL109" i="13" s="1"/>
  <c r="JI108" i="13"/>
  <c r="JL108" i="13" s="1"/>
  <c r="JI107" i="13"/>
  <c r="JL107" i="13" s="1"/>
  <c r="JI106" i="13"/>
  <c r="JL106" i="13" s="1"/>
  <c r="JI105" i="13"/>
  <c r="JL105" i="13" s="1"/>
  <c r="JI104" i="13"/>
  <c r="JL104" i="13" s="1"/>
  <c r="JI103" i="13"/>
  <c r="JL103" i="13" s="1"/>
  <c r="JI102" i="13"/>
  <c r="JL102" i="13" s="1"/>
  <c r="JI101" i="13"/>
  <c r="JP126" i="13"/>
  <c r="JN126" i="13"/>
  <c r="JM126" i="13"/>
  <c r="G501" i="4"/>
  <c r="G496" i="4"/>
  <c r="G491" i="4"/>
  <c r="G487" i="4"/>
  <c r="G483" i="4"/>
  <c r="G479" i="4"/>
  <c r="G475" i="4"/>
  <c r="G470" i="4"/>
  <c r="G466" i="4"/>
  <c r="G460" i="4"/>
  <c r="G458" i="4"/>
  <c r="G454" i="4"/>
  <c r="G451" i="4"/>
  <c r="G448" i="4"/>
  <c r="G443" i="4"/>
  <c r="G441" i="4"/>
  <c r="G437" i="4"/>
  <c r="G433" i="4"/>
  <c r="G430" i="4"/>
  <c r="G426" i="4"/>
  <c r="G421" i="4"/>
  <c r="G417" i="4"/>
  <c r="G413" i="4"/>
  <c r="G409" i="4"/>
  <c r="G404" i="4"/>
  <c r="G399" i="4"/>
  <c r="G395" i="4"/>
  <c r="G391" i="4"/>
  <c r="G387" i="4"/>
  <c r="G382" i="4"/>
  <c r="G378" i="4"/>
  <c r="G374" i="4"/>
  <c r="G370" i="4"/>
  <c r="G365" i="4"/>
  <c r="G361" i="4"/>
  <c r="G356" i="4"/>
  <c r="G352" i="4"/>
  <c r="G347" i="4"/>
  <c r="G343" i="4"/>
  <c r="G339" i="4"/>
  <c r="G334" i="4"/>
  <c r="G332" i="4"/>
  <c r="G329" i="4"/>
  <c r="G326" i="4"/>
  <c r="G323" i="4"/>
  <c r="G319" i="4"/>
  <c r="G315" i="4"/>
  <c r="G311" i="4"/>
  <c r="G307" i="4"/>
  <c r="G302" i="4"/>
  <c r="B10" i="6" s="1"/>
  <c r="G300" i="4"/>
  <c r="G298" i="4"/>
  <c r="G296" i="4"/>
  <c r="G293" i="4"/>
  <c r="G291" i="4"/>
  <c r="G289" i="4"/>
  <c r="G285" i="4"/>
  <c r="G282" i="4"/>
  <c r="G280" i="4"/>
  <c r="G278" i="4"/>
  <c r="G275" i="4"/>
  <c r="G273" i="4"/>
  <c r="G270" i="4"/>
  <c r="G267" i="4"/>
  <c r="G265" i="4"/>
  <c r="G263" i="4"/>
  <c r="G258" i="4"/>
  <c r="G254" i="4"/>
  <c r="G249" i="4"/>
  <c r="G244" i="4"/>
  <c r="G240" i="4"/>
  <c r="G236" i="4"/>
  <c r="G231" i="4"/>
  <c r="G227" i="4"/>
  <c r="G222" i="4"/>
  <c r="G220" i="4"/>
  <c r="G216" i="4"/>
  <c r="G211" i="4"/>
  <c r="G207" i="4"/>
  <c r="G205" i="4"/>
  <c r="G202" i="4"/>
  <c r="G200" i="4"/>
  <c r="G198" i="4"/>
  <c r="G195" i="4"/>
  <c r="G193" i="4"/>
  <c r="G190" i="4"/>
  <c r="G187" i="4"/>
  <c r="G183" i="4"/>
  <c r="G178" i="4"/>
  <c r="G175" i="4"/>
  <c r="G173" i="4"/>
  <c r="G171" i="4"/>
  <c r="G169" i="4"/>
  <c r="G166" i="4"/>
  <c r="G164" i="4"/>
  <c r="G162" i="4"/>
  <c r="G160" i="4"/>
  <c r="G156" i="4"/>
  <c r="G152" i="4"/>
  <c r="G147" i="4"/>
  <c r="G143" i="4"/>
  <c r="G139" i="4"/>
  <c r="G135" i="4"/>
  <c r="G133" i="4"/>
  <c r="G131" i="4"/>
  <c r="G127" i="4"/>
  <c r="G122" i="4"/>
  <c r="G118" i="4"/>
  <c r="G113" i="4"/>
  <c r="G108" i="4"/>
  <c r="G103" i="4"/>
  <c r="G100" i="4"/>
  <c r="G96" i="4"/>
  <c r="G92" i="4"/>
  <c r="G86" i="4"/>
  <c r="G82" i="4"/>
  <c r="G77" i="4"/>
  <c r="G75" i="4"/>
  <c r="G70" i="4"/>
  <c r="G67" i="4"/>
  <c r="G63" i="4"/>
  <c r="G61" i="4"/>
  <c r="G59" i="4"/>
  <c r="G57" i="4"/>
  <c r="G55" i="4"/>
  <c r="G50" i="4"/>
  <c r="G48" i="4"/>
  <c r="G45" i="4"/>
  <c r="G41" i="4"/>
  <c r="G39" i="4"/>
  <c r="G37" i="4"/>
  <c r="G34" i="4"/>
  <c r="G32" i="4"/>
  <c r="G30" i="4"/>
  <c r="JI57" i="13"/>
  <c r="JL57" i="13" s="1"/>
  <c r="JI56" i="13"/>
  <c r="JL56" i="13" s="1"/>
  <c r="JI55" i="13"/>
  <c r="JL55" i="13" s="1"/>
  <c r="JI54" i="13"/>
  <c r="JL54" i="13" s="1"/>
  <c r="JI53" i="13"/>
  <c r="JL53" i="13" s="1"/>
  <c r="JI52" i="13"/>
  <c r="JL52" i="13" s="1"/>
  <c r="JI51" i="13"/>
  <c r="JL51" i="13" s="1"/>
  <c r="JI50" i="13"/>
  <c r="JL50" i="13" s="1"/>
  <c r="JI49" i="13"/>
  <c r="JL49" i="13" s="1"/>
  <c r="JI48" i="13"/>
  <c r="JL48" i="13" s="1"/>
  <c r="JI47" i="13"/>
  <c r="JL47" i="13" s="1"/>
  <c r="JI46" i="13"/>
  <c r="JL46" i="13" s="1"/>
  <c r="JI45" i="13"/>
  <c r="JL45" i="13" s="1"/>
  <c r="JI44" i="13"/>
  <c r="JL44" i="13" s="1"/>
  <c r="JI43" i="13"/>
  <c r="JL43" i="13" s="1"/>
  <c r="JI42" i="13"/>
  <c r="JL42" i="13" s="1"/>
  <c r="JI41" i="13"/>
  <c r="JL41" i="13" s="1"/>
  <c r="JI40" i="13"/>
  <c r="JL40" i="13" s="1"/>
  <c r="JI39" i="13"/>
  <c r="JL39" i="13" s="1"/>
  <c r="JI38" i="13"/>
  <c r="JL38" i="13" s="1"/>
  <c r="JI37" i="13"/>
  <c r="JL37" i="13" s="1"/>
  <c r="JI36" i="13"/>
  <c r="JL36" i="13" s="1"/>
  <c r="JI35" i="13"/>
  <c r="JL35" i="13" s="1"/>
  <c r="JI34" i="13"/>
  <c r="JL34" i="13" s="1"/>
  <c r="JI33" i="13"/>
  <c r="JL33" i="13" s="1"/>
  <c r="JI32" i="13"/>
  <c r="JL32" i="13" s="1"/>
  <c r="JI31" i="13"/>
  <c r="JL31" i="13" s="1"/>
  <c r="JI30" i="13"/>
  <c r="JL30" i="13" s="1"/>
  <c r="JI29" i="13"/>
  <c r="JL29" i="13" s="1"/>
  <c r="JI28" i="13"/>
  <c r="JL28" i="13" s="1"/>
  <c r="JI27" i="13"/>
  <c r="JL27" i="13" s="1"/>
  <c r="JI26" i="13"/>
  <c r="JL26" i="13" s="1"/>
  <c r="JI25" i="13"/>
  <c r="JL25" i="13" s="1"/>
  <c r="JI24" i="13"/>
  <c r="JL24" i="13" s="1"/>
  <c r="JI23" i="13"/>
  <c r="JL23" i="13" s="1"/>
  <c r="JI22" i="13"/>
  <c r="JL22" i="13" s="1"/>
  <c r="JI21" i="13"/>
  <c r="JL21" i="13" s="1"/>
  <c r="JI20" i="13"/>
  <c r="JL20" i="13" s="1"/>
  <c r="JI19" i="13"/>
  <c r="JL19" i="13" s="1"/>
  <c r="JI18" i="13"/>
  <c r="JL18" i="13" s="1"/>
  <c r="JI17" i="13"/>
  <c r="JL17" i="13" s="1"/>
  <c r="JI16" i="13"/>
  <c r="JL16" i="13" s="1"/>
  <c r="JI15" i="13"/>
  <c r="JL15" i="13" s="1"/>
  <c r="JI14" i="13"/>
  <c r="JL14" i="13" s="1"/>
  <c r="JI13" i="13"/>
  <c r="JL13" i="13" s="1"/>
  <c r="JI12" i="13"/>
  <c r="JL12" i="13" s="1"/>
  <c r="JI11" i="13"/>
  <c r="JL11" i="13" s="1"/>
  <c r="JI10" i="13"/>
  <c r="JL10" i="13" s="1"/>
  <c r="JI9" i="13"/>
  <c r="JL9" i="13" s="1"/>
  <c r="JI8" i="13"/>
  <c r="JL8" i="13" s="1"/>
  <c r="JI7" i="13"/>
  <c r="JL7" i="13" s="1"/>
  <c r="JI6" i="13"/>
  <c r="JL6" i="13" s="1"/>
  <c r="JI5" i="13"/>
  <c r="JL5" i="13" s="1"/>
  <c r="JI4" i="13"/>
  <c r="JO3" i="13"/>
  <c r="JO126" i="13" s="1"/>
  <c r="JI3" i="13"/>
  <c r="JL3" i="13" l="1"/>
  <c r="JL4" i="13"/>
  <c r="JL101" i="13"/>
  <c r="G29" i="4"/>
  <c r="G31" i="4"/>
  <c r="G33" i="4"/>
  <c r="G36" i="4"/>
  <c r="G38" i="4"/>
  <c r="G40" i="4"/>
  <c r="G43" i="4"/>
  <c r="G47" i="4"/>
  <c r="G49" i="4"/>
  <c r="G53" i="4"/>
  <c r="G56" i="4"/>
  <c r="G58" i="4"/>
  <c r="G60" i="4"/>
  <c r="G62" i="4"/>
  <c r="G66" i="4"/>
  <c r="G69" i="4"/>
  <c r="G73" i="4"/>
  <c r="G76" i="4"/>
  <c r="G80" i="4"/>
  <c r="G84" i="4"/>
  <c r="G90" i="4"/>
  <c r="G94" i="4"/>
  <c r="G98" i="4"/>
  <c r="G101" i="4"/>
  <c r="G105" i="4"/>
  <c r="G110" i="4"/>
  <c r="G115" i="4"/>
  <c r="G120" i="4"/>
  <c r="G124" i="4"/>
  <c r="G129" i="4"/>
  <c r="G132" i="4"/>
  <c r="G134" i="4"/>
  <c r="G137" i="4"/>
  <c r="G141" i="4"/>
  <c r="G145" i="4"/>
  <c r="G150" i="4"/>
  <c r="G154" i="4"/>
  <c r="G159" i="4"/>
  <c r="G161" i="4"/>
  <c r="G163" i="4"/>
  <c r="G165" i="4"/>
  <c r="G168" i="4"/>
  <c r="G170" i="4"/>
  <c r="G172" i="4"/>
  <c r="G174" i="4"/>
  <c r="G176" i="4"/>
  <c r="G181" i="4"/>
  <c r="G185" i="4"/>
  <c r="G189" i="4"/>
  <c r="G191" i="4"/>
  <c r="G194" i="4"/>
  <c r="G196" i="4"/>
  <c r="G199" i="4"/>
  <c r="G201" i="4"/>
  <c r="G203" i="4"/>
  <c r="G206" i="4"/>
  <c r="G210" i="4"/>
  <c r="G215" i="4"/>
  <c r="G218" i="4"/>
  <c r="G221" i="4"/>
  <c r="G224" i="4"/>
  <c r="G229" i="4"/>
  <c r="G234" i="4"/>
  <c r="G238" i="4"/>
  <c r="G242" i="4"/>
  <c r="G247" i="4"/>
  <c r="G252" i="4"/>
  <c r="G256" i="4"/>
  <c r="G260" i="4"/>
  <c r="G264" i="4"/>
  <c r="G266" i="4"/>
  <c r="G269" i="4"/>
  <c r="G271" i="4"/>
  <c r="G274" i="4"/>
  <c r="G277" i="4"/>
  <c r="G279" i="4"/>
  <c r="G281" i="4"/>
  <c r="G283" i="4"/>
  <c r="G288" i="4"/>
  <c r="B29" i="6" s="1"/>
  <c r="G290" i="4"/>
  <c r="B30" i="6" s="1"/>
  <c r="G292" i="4"/>
  <c r="G294" i="4"/>
  <c r="B31" i="6" s="1"/>
  <c r="G297" i="4"/>
  <c r="G299" i="4"/>
  <c r="G301" i="4"/>
  <c r="G305" i="4"/>
  <c r="G310" i="4"/>
  <c r="G313" i="4"/>
  <c r="G317" i="4"/>
  <c r="G321" i="4"/>
  <c r="G325" i="4"/>
  <c r="G328" i="4"/>
  <c r="G331" i="4"/>
  <c r="G333" i="4"/>
  <c r="G335" i="4"/>
  <c r="G341" i="4"/>
  <c r="G345" i="4"/>
  <c r="G350" i="4"/>
  <c r="G354" i="4"/>
  <c r="G359" i="4"/>
  <c r="G363" i="4"/>
  <c r="G368" i="4"/>
  <c r="G372" i="4"/>
  <c r="G376" i="4"/>
  <c r="G380" i="4"/>
  <c r="G385" i="4"/>
  <c r="G389" i="4"/>
  <c r="G393" i="4"/>
  <c r="G397" i="4"/>
  <c r="G402" i="4"/>
  <c r="G407" i="4"/>
  <c r="G411" i="4"/>
  <c r="G415" i="4"/>
  <c r="G419" i="4"/>
  <c r="G423" i="4"/>
  <c r="G428" i="4"/>
  <c r="G431" i="4"/>
  <c r="G435" i="4"/>
  <c r="G439" i="4"/>
  <c r="G442" i="4"/>
  <c r="G445" i="4"/>
  <c r="G449" i="4"/>
  <c r="G452" i="4"/>
  <c r="G456" i="4"/>
  <c r="G459" i="4"/>
  <c r="G462" i="4"/>
  <c r="G468" i="4"/>
  <c r="G472" i="4"/>
  <c r="G477" i="4"/>
  <c r="G481" i="4"/>
  <c r="G485" i="4"/>
  <c r="G489" i="4"/>
  <c r="G494" i="4"/>
  <c r="G499" i="4"/>
  <c r="B11" i="6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GY95" i="1"/>
  <c r="GZ95" i="1"/>
  <c r="HA95" i="1"/>
  <c r="HB95" i="1"/>
  <c r="HC95" i="1"/>
  <c r="HD95" i="1"/>
  <c r="HE95" i="1"/>
  <c r="HF95" i="1"/>
  <c r="HG95" i="1"/>
  <c r="HH95" i="1"/>
  <c r="HI95" i="1"/>
  <c r="HJ95" i="1"/>
  <c r="HK95" i="1"/>
  <c r="HL95" i="1"/>
  <c r="HM95" i="1"/>
  <c r="HN95" i="1"/>
  <c r="HO95" i="1"/>
  <c r="HP95" i="1"/>
  <c r="HQ95" i="1"/>
  <c r="HR95" i="1"/>
  <c r="HS95" i="1"/>
  <c r="HT95" i="1"/>
  <c r="HU95" i="1"/>
  <c r="HV95" i="1"/>
  <c r="HW95" i="1"/>
  <c r="HX95" i="1"/>
  <c r="HY95" i="1"/>
  <c r="HZ95" i="1"/>
  <c r="IA95" i="1"/>
  <c r="IB95" i="1"/>
  <c r="IC95" i="1"/>
  <c r="ID95" i="1"/>
  <c r="IE95" i="1"/>
  <c r="IF95" i="1"/>
  <c r="IG95" i="1"/>
  <c r="IH95" i="1"/>
  <c r="II95" i="1"/>
  <c r="IJ95" i="1"/>
  <c r="IK95" i="1"/>
  <c r="IL95" i="1"/>
  <c r="IM95" i="1"/>
  <c r="IN95" i="1"/>
  <c r="IO95" i="1"/>
  <c r="IP95" i="1"/>
  <c r="IQ95" i="1"/>
  <c r="IR95" i="1"/>
  <c r="IS95" i="1"/>
  <c r="IT95" i="1"/>
  <c r="IU95" i="1"/>
  <c r="IV95" i="1"/>
  <c r="IW95" i="1"/>
  <c r="IX95" i="1"/>
  <c r="IY95" i="1"/>
  <c r="IZ95" i="1"/>
  <c r="JA95" i="1"/>
  <c r="JB95" i="1"/>
  <c r="JC95" i="1"/>
  <c r="JD95" i="1"/>
  <c r="JE95" i="1"/>
  <c r="JF95" i="1"/>
  <c r="JG95" i="1"/>
  <c r="JH95" i="1"/>
  <c r="A95" i="1"/>
  <c r="JI82" i="1"/>
  <c r="JI83" i="1"/>
  <c r="JI84" i="1"/>
  <c r="JI85" i="1"/>
  <c r="JI86" i="1"/>
  <c r="JI87" i="1"/>
  <c r="JI88" i="1"/>
  <c r="JI89" i="1"/>
  <c r="JI90" i="1"/>
  <c r="JI91" i="1"/>
  <c r="JI92" i="1"/>
  <c r="JI93" i="1"/>
  <c r="JI94" i="1"/>
  <c r="JI81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H75" i="4" s="1"/>
  <c r="AI96" i="1"/>
  <c r="H76" i="4" s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HI96" i="1"/>
  <c r="HJ96" i="1"/>
  <c r="HK96" i="1"/>
  <c r="HL96" i="1"/>
  <c r="HM96" i="1"/>
  <c r="HN96" i="1"/>
  <c r="HO96" i="1"/>
  <c r="HP96" i="1"/>
  <c r="HQ96" i="1"/>
  <c r="HR96" i="1"/>
  <c r="HS96" i="1"/>
  <c r="HT96" i="1"/>
  <c r="HU96" i="1"/>
  <c r="HV96" i="1"/>
  <c r="HW96" i="1"/>
  <c r="HX96" i="1"/>
  <c r="HY96" i="1"/>
  <c r="HZ96" i="1"/>
  <c r="IA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IN96" i="1"/>
  <c r="IO96" i="1"/>
  <c r="IP96" i="1"/>
  <c r="IQ96" i="1"/>
  <c r="IR96" i="1"/>
  <c r="IS96" i="1"/>
  <c r="IT96" i="1"/>
  <c r="IU96" i="1"/>
  <c r="IV96" i="1"/>
  <c r="IW96" i="1"/>
  <c r="IX96" i="1"/>
  <c r="IY96" i="1"/>
  <c r="IZ96" i="1"/>
  <c r="JA96" i="1"/>
  <c r="JB96" i="1"/>
  <c r="JC96" i="1"/>
  <c r="JD96" i="1"/>
  <c r="JE96" i="1"/>
  <c r="JF96" i="1"/>
  <c r="JG96" i="1"/>
  <c r="JH96" i="1"/>
  <c r="A96" i="1"/>
  <c r="JI4" i="1"/>
  <c r="JI5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I3" i="1"/>
  <c r="JL126" i="13" l="1"/>
  <c r="JL127" i="13"/>
  <c r="JL99" i="13"/>
  <c r="G450" i="4"/>
  <c r="G447" i="4"/>
  <c r="H452" i="4"/>
  <c r="I452" i="4" s="1"/>
  <c r="H449" i="4"/>
  <c r="I449" i="4" s="1"/>
  <c r="H329" i="4"/>
  <c r="I329" i="4" l="1"/>
  <c r="H147" i="4"/>
  <c r="H146" i="4" s="1"/>
  <c r="G146" i="4" l="1"/>
  <c r="I146" i="4" s="1"/>
  <c r="H311" i="4"/>
  <c r="I311" i="4" s="1"/>
  <c r="G177" i="4"/>
  <c r="I147" i="4" l="1"/>
  <c r="H211" i="4"/>
  <c r="I211" i="4" l="1"/>
  <c r="G35" i="4"/>
  <c r="JO79" i="1"/>
  <c r="JL79" i="1"/>
  <c r="JM79" i="1"/>
  <c r="JN79" i="1"/>
  <c r="JP79" i="1"/>
  <c r="JK79" i="1"/>
  <c r="H33" i="4"/>
  <c r="H37" i="4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I17" i="4"/>
  <c r="G28" i="4"/>
  <c r="G42" i="4"/>
  <c r="G44" i="4"/>
  <c r="G46" i="4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91" i="4" s="1"/>
  <c r="H32" i="4"/>
  <c r="I32" i="4" s="1"/>
  <c r="H315" i="4"/>
  <c r="H314" i="4" s="1"/>
  <c r="H294" i="4"/>
  <c r="I294" i="4" s="1"/>
  <c r="H279" i="4"/>
  <c r="H264" i="4"/>
  <c r="H238" i="4"/>
  <c r="H237" i="4" s="1"/>
  <c r="H215" i="4"/>
  <c r="H195" i="4"/>
  <c r="I195" i="4" s="1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49" i="4" s="1"/>
  <c r="I168" i="4"/>
  <c r="H499" i="4"/>
  <c r="I499" i="4" s="1"/>
  <c r="H472" i="4"/>
  <c r="H471" i="4" s="1"/>
  <c r="I471" i="4" s="1"/>
  <c r="H445" i="4"/>
  <c r="H444" i="4" s="1"/>
  <c r="I444" i="4" s="1"/>
  <c r="G114" i="4"/>
  <c r="I114" i="4" s="1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H40" i="4"/>
  <c r="I40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8" i="4"/>
  <c r="I48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7" i="4"/>
  <c r="H38" i="4"/>
  <c r="I38" i="4" s="1"/>
  <c r="H34" i="4"/>
  <c r="I34" i="4" s="1"/>
  <c r="H485" i="4"/>
  <c r="I485" i="4" s="1"/>
  <c r="H41" i="4"/>
  <c r="I41" i="4" s="1"/>
  <c r="G71" i="4"/>
  <c r="G400" i="4"/>
  <c r="G497" i="4"/>
  <c r="G348" i="4"/>
  <c r="G383" i="4"/>
  <c r="G366" i="4"/>
  <c r="G446" i="4"/>
  <c r="G27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H45" i="4"/>
  <c r="H36" i="4"/>
  <c r="H31" i="4"/>
  <c r="I31" i="4" s="1"/>
  <c r="I249" i="4"/>
  <c r="H280" i="4"/>
  <c r="I280" i="4" s="1"/>
  <c r="I426" i="4"/>
  <c r="I486" i="4"/>
  <c r="H362" i="4"/>
  <c r="I362" i="4" s="1"/>
  <c r="G473" i="4"/>
  <c r="H414" i="4"/>
  <c r="I414" i="4" s="1"/>
  <c r="I347" i="4"/>
  <c r="JI95" i="1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3" i="4"/>
  <c r="H30" i="4"/>
  <c r="I30" i="4" s="1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39" i="4"/>
  <c r="I39" i="4" s="1"/>
  <c r="H284" i="4"/>
  <c r="I284" i="4" s="1"/>
  <c r="I37" i="4"/>
  <c r="I76" i="4"/>
  <c r="I57" i="4"/>
  <c r="I33" i="4"/>
  <c r="I300" i="4"/>
  <c r="G182" i="4"/>
  <c r="B24" i="6" s="1"/>
  <c r="G107" i="4"/>
  <c r="I472" i="4"/>
  <c r="I389" i="4"/>
  <c r="H388" i="4"/>
  <c r="I388" i="4" s="1"/>
  <c r="I399" i="4"/>
  <c r="H398" i="4"/>
  <c r="I398" i="4" s="1"/>
  <c r="H372" i="4"/>
  <c r="H374" i="4"/>
  <c r="I439" i="4"/>
  <c r="I487" i="4"/>
  <c r="H73" i="4"/>
  <c r="H500" i="4"/>
  <c r="I500" i="4" s="1"/>
  <c r="I425" i="4"/>
  <c r="H29" i="4"/>
  <c r="I438" i="4"/>
  <c r="G337" i="4"/>
  <c r="G405" i="4"/>
  <c r="G357" i="4"/>
  <c r="G492" i="4"/>
  <c r="M18" i="4"/>
  <c r="I346" i="4"/>
  <c r="I248" i="4"/>
  <c r="G51" i="4"/>
  <c r="G78" i="4"/>
  <c r="G64" i="4"/>
  <c r="H498" i="4" l="1"/>
  <c r="I498" i="4" s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H35" i="4"/>
  <c r="I35" i="4" s="1"/>
  <c r="I474" i="4"/>
  <c r="H182" i="4"/>
  <c r="C24" i="6" s="1"/>
  <c r="I29" i="4"/>
  <c r="H28" i="4"/>
  <c r="I28" i="4" s="1"/>
  <c r="H130" i="4"/>
  <c r="H188" i="4"/>
  <c r="H197" i="4"/>
  <c r="H44" i="4"/>
  <c r="I44" i="4" s="1"/>
  <c r="H106" i="4"/>
  <c r="H276" i="4"/>
  <c r="H111" i="4"/>
  <c r="C21" i="6" s="1"/>
  <c r="I79" i="4"/>
  <c r="I55" i="4"/>
  <c r="H54" i="4"/>
  <c r="I54" i="4" s="1"/>
  <c r="H287" i="4"/>
  <c r="H65" i="4"/>
  <c r="I47" i="4"/>
  <c r="H46" i="4"/>
  <c r="I46" i="4" s="1"/>
  <c r="H232" i="4"/>
  <c r="C27" i="6" s="1"/>
  <c r="H42" i="4"/>
  <c r="I42" i="4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I36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JI96" i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I43" i="4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G26" i="4"/>
  <c r="B18" i="6" s="1"/>
  <c r="C26" i="6" l="1"/>
  <c r="C12" i="6"/>
  <c r="B20" i="6"/>
  <c r="I89" i="4"/>
  <c r="I320" i="4"/>
  <c r="B15" i="6"/>
  <c r="D15" i="6" s="1"/>
  <c r="I109" i="4"/>
  <c r="B25" i="6"/>
  <c r="I91" i="4"/>
  <c r="B19" i="6"/>
  <c r="D19" i="6" s="1"/>
  <c r="I245" i="4"/>
  <c r="B9" i="6"/>
  <c r="D9" i="6" s="1"/>
  <c r="M20" i="4"/>
  <c r="B37" i="6"/>
  <c r="B38" i="6" s="1"/>
  <c r="D20" i="6"/>
  <c r="H213" i="4"/>
  <c r="I90" i="4"/>
  <c r="I313" i="4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H27" i="4"/>
  <c r="I27" i="4" s="1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B14" i="6" l="1"/>
  <c r="C33" i="6"/>
  <c r="I111" i="4"/>
  <c r="B21" i="6"/>
  <c r="D21" i="6" s="1"/>
  <c r="I259" i="4"/>
  <c r="B28" i="6"/>
  <c r="D28" i="6" s="1"/>
  <c r="C14" i="6"/>
  <c r="H26" i="4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B33" i="6" l="1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M16" i="4" s="1"/>
  <c r="I463" i="4"/>
  <c r="C16" i="6"/>
  <c r="I295" i="4"/>
  <c r="G286" i="4"/>
  <c r="I286" i="4" s="1"/>
  <c r="D12" i="6"/>
  <c r="E9" i="6" s="1"/>
  <c r="C18" i="6"/>
  <c r="C34" i="6" s="1"/>
  <c r="I26" i="4"/>
  <c r="N15" i="4"/>
  <c r="H25" i="4"/>
  <c r="N19" i="4"/>
  <c r="I336" i="4"/>
  <c r="I308" i="4"/>
  <c r="C38" i="6" l="1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s="1"/>
  <c r="E33" i="6" l="1"/>
  <c r="D39" i="6"/>
  <c r="E26" i="6"/>
  <c r="E22" i="6"/>
  <c r="E30" i="6"/>
  <c r="E29" i="6"/>
  <c r="E27" i="6"/>
  <c r="E21" i="6"/>
  <c r="E24" i="6"/>
  <c r="E23" i="6"/>
  <c r="E32" i="6"/>
  <c r="E28" i="6"/>
  <c r="E31" i="6"/>
  <c r="E25" i="6"/>
  <c r="E19" i="6"/>
  <c r="E18" i="6"/>
  <c r="E20" i="6"/>
  <c r="G25" i="4"/>
  <c r="I25" i="4" s="1"/>
  <c r="I212" i="4"/>
  <c r="J26" i="4" l="1"/>
  <c r="J30" i="4"/>
  <c r="J28" i="4"/>
  <c r="J27" i="4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477" i="4"/>
  <c r="J271" i="4"/>
  <c r="J417" i="4"/>
  <c r="J178" i="4"/>
  <c r="J475" i="4"/>
  <c r="J470" i="4"/>
  <c r="J143" i="4"/>
  <c r="J87" i="4"/>
  <c r="J415" i="4"/>
  <c r="J323" i="4"/>
  <c r="E38" i="6"/>
  <c r="E16" i="6" l="1"/>
  <c r="E34" i="6"/>
  <c r="J25" i="4"/>
  <c r="C40" i="6"/>
  <c r="E12" i="6"/>
  <c r="B40" i="6"/>
  <c r="E39" i="6" l="1"/>
  <c r="D40" i="6"/>
</calcChain>
</file>

<file path=xl/comments1.xml><?xml version="1.0" encoding="utf-8"?>
<comments xmlns="http://schemas.openxmlformats.org/spreadsheetml/2006/main">
  <authors>
    <author>Libanesa Feliz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<sst xmlns="http://schemas.openxmlformats.org/spreadsheetml/2006/main" count="2815" uniqueCount="1242">
  <si>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</si>
  <si>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</si>
  <si>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</si>
  <si>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</si>
  <si>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</si>
  <si>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</si>
  <si>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</si>
  <si>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</si>
  <si>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</si>
  <si>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</si>
  <si>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</si>
  <si>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</si>
  <si>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</si>
  <si>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</si>
  <si>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</si>
  <si>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</si>
  <si>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</si>
  <si>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</si>
  <si>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</si>
  <si>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</si>
  <si>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</si>
  <si>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</si>
  <si>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</si>
  <si>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</si>
  <si>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</si>
  <si>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</si>
  <si>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</si>
  <si>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</si>
  <si>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</si>
  <si>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</si>
  <si>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</si>
  <si>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</si>
  <si>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</si>
  <si>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</si>
  <si>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</si>
  <si>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</si>
  <si>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</si>
  <si>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</si>
  <si>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</si>
  <si>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</si>
  <si>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</si>
  <si>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</si>
  <si>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</si>
  <si>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</si>
  <si>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</si>
  <si>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</si>
  <si>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</si>
  <si>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</si>
  <si>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</si>
  <si>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</si>
  <si>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</si>
  <si>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</si>
  <si>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</si>
  <si>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</si>
  <si>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</si>
  <si>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</si>
  <si>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</si>
  <si>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</si>
  <si>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</si>
  <si>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</si>
  <si>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</si>
  <si>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</si>
  <si>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</si>
  <si>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</si>
  <si>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</si>
  <si>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</si>
  <si>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</si>
  <si>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</si>
  <si>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</si>
  <si>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</si>
  <si>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</si>
  <si>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</si>
  <si>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</si>
  <si>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</si>
  <si>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</si>
  <si>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</si>
  <si>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</si>
  <si>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</si>
  <si>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</si>
  <si>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</si>
  <si>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</si>
  <si>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</si>
  <si>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</si>
  <si>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</si>
  <si>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</si>
  <si>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</si>
  <si>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</si>
  <si>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</si>
  <si>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</si>
  <si>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</si>
  <si>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</si>
  <si>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</si>
  <si>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</si>
  <si>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</si>
  <si>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</si>
  <si>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</si>
  <si>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</si>
  <si>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</si>
  <si>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</si>
  <si>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</si>
  <si>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</si>
  <si>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</si>
  <si>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</si>
  <si>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</si>
  <si>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</si>
  <si>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</si>
  <si>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</si>
  <si>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</si>
  <si>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</si>
  <si>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</si>
  <si>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</si>
  <si>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</si>
  <si>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</si>
  <si>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</si>
  <si>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</si>
  <si>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</si>
  <si>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</si>
  <si>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</si>
  <si>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</si>
  <si>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</si>
  <si>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</si>
  <si>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</si>
  <si>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</si>
  <si>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</si>
  <si>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</si>
  <si>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</si>
  <si>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</si>
  <si>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</si>
  <si>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</si>
  <si>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</si>
  <si>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</si>
  <si>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</si>
  <si>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</si>
  <si>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</si>
  <si>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</si>
  <si>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</si>
  <si>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</si>
  <si>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</si>
  <si>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</si>
  <si>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</si>
  <si>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</si>
  <si>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</si>
  <si>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</si>
  <si>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</si>
  <si>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</si>
  <si>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</si>
  <si>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</si>
  <si>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</si>
  <si>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</si>
  <si>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</si>
  <si>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</si>
  <si>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</si>
  <si>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</si>
  <si>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</si>
  <si>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</si>
  <si>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</si>
  <si>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</si>
  <si>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</si>
  <si>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</si>
  <si>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</si>
  <si>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</si>
  <si>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</si>
  <si>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</si>
  <si>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</si>
  <si>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</si>
  <si>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</si>
  <si>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</si>
  <si>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</si>
  <si>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</si>
  <si>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</si>
  <si>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</si>
  <si>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</si>
  <si>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</si>
  <si>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</si>
  <si>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</si>
  <si>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</si>
  <si>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</si>
  <si>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</si>
  <si>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</si>
  <si>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</si>
  <si>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</si>
  <si>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</si>
  <si>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</si>
  <si>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</si>
  <si>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</si>
  <si>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</si>
  <si>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</si>
  <si>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</si>
  <si>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</si>
  <si>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</si>
  <si>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</si>
  <si>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</si>
  <si>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</si>
  <si>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</si>
  <si>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</si>
  <si>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</si>
  <si>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</si>
  <si>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</si>
  <si>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</si>
  <si>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</si>
  <si>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</si>
  <si>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</si>
  <si>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</si>
  <si>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</si>
  <si>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</si>
  <si>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</si>
  <si>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</si>
  <si>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</si>
  <si>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</si>
  <si>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</si>
  <si>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</si>
  <si>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</si>
  <si>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</si>
  <si>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</si>
  <si>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</si>
  <si>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</si>
  <si>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</si>
  <si>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</si>
  <si>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</si>
  <si>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</si>
  <si>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</si>
  <si>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</si>
  <si>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</si>
  <si>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</si>
  <si>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</si>
  <si>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</si>
  <si>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</si>
  <si>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</si>
  <si>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</si>
  <si>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</si>
  <si>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</si>
  <si>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</si>
  <si>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</si>
  <si>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</si>
  <si>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</si>
  <si>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</si>
  <si>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</si>
  <si>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</si>
  <si>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</si>
  <si>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</si>
  <si>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</si>
  <si>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</si>
  <si>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</si>
  <si>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</si>
  <si>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</si>
  <si>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</si>
  <si>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</si>
  <si>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</si>
  <si>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</si>
  <si>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</si>
  <si>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</si>
  <si>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</si>
  <si>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</si>
  <si>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</si>
  <si>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</si>
  <si>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</si>
  <si>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</si>
  <si>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</si>
  <si>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</si>
  <si>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</si>
  <si>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</si>
  <si>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</si>
  <si>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</si>
  <si>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</si>
  <si>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</si>
  <si>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</si>
  <si>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</si>
  <si>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</si>
  <si>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</si>
  <si>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</si>
  <si>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</si>
  <si>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</si>
  <si>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</si>
  <si>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</si>
  <si>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</si>
  <si>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</si>
  <si>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</si>
  <si>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</si>
  <si>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</si>
  <si>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</si>
  <si>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</si>
  <si>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</si>
  <si>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</si>
  <si>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</si>
  <si>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</si>
  <si>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</si>
  <si>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</si>
  <si>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</si>
  <si>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</si>
  <si>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</si>
  <si>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</si>
  <si>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</si>
  <si>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</si>
  <si>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</si>
  <si>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</si>
  <si>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</si>
  <si>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</si>
  <si>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</si>
  <si>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</si>
  <si>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</si>
  <si>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</si>
  <si>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</si>
  <si>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</si>
  <si>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</si>
  <si>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</si>
  <si>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</si>
  <si>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</si>
  <si>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</si>
  <si>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</si>
  <si>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</si>
  <si>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</si>
  <si>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</si>
  <si>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</si>
  <si>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</si>
  <si>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</si>
  <si>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</si>
  <si>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</si>
  <si>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</si>
  <si>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</si>
  <si>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</si>
  <si>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</si>
  <si>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</si>
  <si>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</si>
  <si>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</si>
  <si>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</si>
  <si>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</si>
  <si>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</si>
  <si>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</si>
  <si>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</si>
  <si>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</si>
  <si>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</si>
  <si>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</si>
  <si>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</si>
  <si>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</si>
  <si>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</si>
  <si>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</si>
  <si>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</si>
  <si>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</si>
  <si>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</si>
  <si>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</si>
  <si>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</si>
  <si>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</si>
  <si>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</si>
  <si>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</si>
  <si>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</si>
  <si>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</si>
  <si>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</si>
  <si>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</si>
  <si>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</si>
  <si>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</si>
  <si>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</si>
  <si>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</si>
  <si>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</si>
  <si>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</si>
  <si>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</si>
  <si>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</si>
  <si>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</si>
  <si>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</si>
  <si>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</si>
  <si>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</si>
  <si>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</si>
  <si>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</si>
  <si>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</si>
  <si>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</si>
  <si>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</si>
  <si>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</si>
  <si>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</si>
  <si>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</si>
  <si>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</si>
  <si>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</si>
  <si>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</si>
  <si>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</si>
  <si>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</si>
  <si>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</si>
  <si>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</si>
  <si>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</si>
  <si>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</si>
  <si>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</si>
  <si>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</si>
  <si>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</si>
  <si>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</si>
  <si>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</si>
  <si>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</si>
  <si>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</si>
  <si>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</si>
  <si>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</si>
  <si>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</si>
  <si>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</si>
  <si>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</si>
  <si>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</si>
  <si>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</si>
  <si>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</si>
  <si>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</si>
  <si>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</si>
  <si>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</si>
  <si>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</si>
  <si>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</si>
  <si>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</si>
  <si>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</si>
  <si>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</si>
  <si>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</si>
  <si>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</si>
  <si>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</si>
  <si>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</si>
  <si>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</si>
  <si>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</si>
  <si>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</si>
  <si>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</si>
  <si>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</si>
  <si>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</si>
  <si>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</si>
  <si>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</si>
  <si>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</si>
  <si>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</si>
  <si>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</si>
  <si>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</si>
  <si>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</si>
  <si>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</si>
  <si>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</si>
  <si>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</si>
  <si>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</si>
  <si>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</si>
  <si>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</si>
  <si>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</si>
  <si>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</si>
  <si>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</si>
  <si>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>RELACION DE PAGOS EMITIDOS DURANTE EL MES</t>
  </si>
  <si>
    <t>ESTABLECIMIENTO: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</si>
  <si>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</si>
  <si>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</si>
  <si>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</si>
  <si>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</si>
  <si>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</si>
  <si>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</si>
  <si>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</si>
  <si>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ADMINISTRADOR:</t>
  </si>
  <si>
    <t>__________________________</t>
  </si>
  <si>
    <t>DIRECTOR</t>
  </si>
  <si>
    <t>ENC. DE COMPRAS:__________________________</t>
  </si>
  <si>
    <t>CERTIFICO CORRECTO:</t>
  </si>
  <si>
    <t xml:space="preserve">TOTAL COMPRAS       </t>
  </si>
  <si>
    <t>TOTAL RESUMEN</t>
  </si>
  <si>
    <t>Comparacion de precio</t>
  </si>
  <si>
    <t>Compra Menor</t>
  </si>
  <si>
    <t>Compra Directa</t>
  </si>
  <si>
    <t>MONTO</t>
  </si>
  <si>
    <t>CANTIDAD</t>
  </si>
  <si>
    <t>TIPO</t>
  </si>
  <si>
    <t xml:space="preserve">CUENTAS No. </t>
  </si>
  <si>
    <t>Valor</t>
  </si>
  <si>
    <t>No. Cta. Objetal del Gasto</t>
  </si>
  <si>
    <t>Rubro</t>
  </si>
  <si>
    <t>Beneficiario</t>
  </si>
  <si>
    <t>Fuente. Financ      (FR-VS)</t>
  </si>
  <si>
    <t>No. De Factura Fiscal NCF</t>
  </si>
  <si>
    <t>Fecha</t>
  </si>
  <si>
    <r>
      <rPr>
        <b/>
        <sz val="14"/>
        <color theme="1"/>
        <rFont val="Calibri"/>
        <family val="2"/>
        <scheme val="minor"/>
      </rPr>
      <t>ESTABLECIMIENTO</t>
    </r>
    <r>
      <rPr>
        <b/>
        <sz val="12"/>
        <color theme="1"/>
        <rFont val="Calibri"/>
        <family val="2"/>
        <scheme val="minor"/>
      </rPr>
      <t>_______________________________________________________________REGION_____________________</t>
    </r>
  </si>
  <si>
    <t>RELACIÓN DE ORDENES DE COMPRAS O SERVICIOS EFECTUADAS DURANTE EL MES</t>
  </si>
  <si>
    <t>Republica Dominicana</t>
  </si>
  <si>
    <t>Fecha de imputación: hasta el [día] de [mes] del [año]</t>
  </si>
  <si>
    <t>Fecha de registro: hasta el [día] de [mes] del [año]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</si>
  <si>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</si>
  <si>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</si>
  <si>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</si>
  <si>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</si>
  <si>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</si>
  <si>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</si>
  <si>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</si>
  <si>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</si>
  <si>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</si>
  <si>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</si>
  <si>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</si>
  <si>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</si>
  <si>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</si>
  <si>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</si>
  <si>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</si>
  <si>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</si>
  <si>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</si>
  <si>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</si>
  <si>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</si>
  <si>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</si>
  <si>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</si>
  <si>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</si>
  <si>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</si>
  <si>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</si>
  <si>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</si>
  <si>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</si>
  <si>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</si>
  <si>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</si>
  <si>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</si>
  <si>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</si>
  <si>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</si>
  <si>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</si>
  <si>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</si>
  <si>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</si>
  <si>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</si>
  <si>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</si>
  <si>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</si>
  <si>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</si>
  <si>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</si>
  <si>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</si>
  <si>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</si>
  <si>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</si>
  <si>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</si>
  <si>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</si>
  <si>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</si>
  <si>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</si>
  <si>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</si>
  <si>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</si>
  <si>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</si>
  <si>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</si>
  <si>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</si>
  <si>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</si>
  <si>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</si>
  <si>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</si>
  <si>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</si>
  <si>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</si>
  <si>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</si>
  <si>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</si>
  <si>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</si>
  <si>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</si>
  <si>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</si>
  <si>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</si>
  <si>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</si>
  <si>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</si>
  <si>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</si>
  <si>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</si>
  <si>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</si>
  <si>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</si>
  <si>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</si>
  <si>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</si>
  <si>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</si>
  <si>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</si>
  <si>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</si>
  <si>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</si>
  <si>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</si>
  <si>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</si>
  <si>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</si>
  <si>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</si>
  <si>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</si>
  <si>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</si>
  <si>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</si>
  <si>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</si>
  <si>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</si>
  <si>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</si>
  <si>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</si>
  <si>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</si>
  <si>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</si>
  <si>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</si>
  <si>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</si>
  <si>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</si>
  <si>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</si>
  <si>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</si>
  <si>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</si>
  <si>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</si>
  <si>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</si>
  <si>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</si>
  <si>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</si>
  <si>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</si>
  <si>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</si>
  <si>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</si>
  <si>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</si>
  <si>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</si>
  <si>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Ejecución de Gastos  VENTA SERVICIOS  2024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</si>
  <si>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</si>
  <si>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</si>
  <si>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</si>
  <si>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</si>
  <si>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</si>
  <si>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</si>
  <si>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</si>
  <si>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</si>
  <si>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</si>
  <si>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</si>
  <si>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</si>
  <si>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</si>
  <si>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</si>
  <si>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</si>
  <si>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</si>
  <si>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</si>
  <si>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</si>
  <si>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</si>
  <si>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</si>
  <si>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</si>
  <si>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</si>
  <si>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</si>
  <si>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</si>
  <si>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</si>
  <si>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</si>
  <si>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</si>
  <si>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</si>
  <si>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ARS</t>
  </si>
  <si>
    <t xml:space="preserve">Fecha deposito </t>
  </si>
  <si>
    <t xml:space="preserve">No. De Documento de referencia </t>
  </si>
  <si>
    <t>INGRESOS</t>
  </si>
  <si>
    <t xml:space="preserve">Sub-Total </t>
  </si>
  <si>
    <t xml:space="preserve">Venta de Servicio </t>
  </si>
  <si>
    <t>SUBSIDIADO</t>
  </si>
  <si>
    <t>CONTRIBUTIDO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</si>
  <si>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</si>
  <si>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</si>
  <si>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</si>
  <si>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</si>
  <si>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</si>
  <si>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</si>
  <si>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</si>
  <si>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</si>
  <si>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Cafetería </t>
  </si>
  <si>
    <t>Alquiler de espacios internos a terceros</t>
  </si>
  <si>
    <t>INGRESOS POR SERVICIOS PACIENTES PRIVADOS Y DIFERENCIAS POR SEGUROS MEDICOS</t>
  </si>
  <si>
    <t>Otros (Identificar Fuente )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</si>
  <si>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</si>
  <si>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</si>
  <si>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</si>
  <si>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</si>
  <si>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</si>
  <si>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</si>
  <si>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</si>
  <si>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</si>
  <si>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</si>
  <si>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</si>
  <si>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</si>
  <si>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</si>
  <si>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</si>
  <si>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</si>
  <si>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</si>
  <si>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</si>
  <si>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</si>
  <si>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</si>
  <si>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</si>
  <si>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</si>
  <si>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</si>
  <si>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</si>
  <si>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</si>
  <si>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</si>
  <si>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</si>
  <si>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</si>
  <si>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</si>
  <si>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</si>
  <si>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</si>
  <si>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</si>
  <si>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</si>
  <si>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</si>
  <si>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</si>
  <si>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</si>
  <si>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</si>
  <si>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</si>
  <si>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</si>
  <si>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</si>
  <si>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</si>
  <si>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</si>
  <si>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</si>
  <si>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</si>
  <si>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</si>
  <si>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</si>
  <si>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</si>
  <si>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</si>
  <si>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</si>
  <si>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 xml:space="preserve">                  Servicio Nacional de Salud </t>
  </si>
  <si>
    <t xml:space="preserve">RELACION DEUDA </t>
  </si>
  <si>
    <t>NO</t>
  </si>
  <si>
    <t xml:space="preserve">NOMBRES PROVEEDOR  </t>
  </si>
  <si>
    <t>AL 31 DICIEMBRE 2021</t>
  </si>
  <si>
    <t>AL 31 DICIEMBRE 2022</t>
  </si>
  <si>
    <t>TOTAL ADEUDA</t>
  </si>
  <si>
    <t xml:space="preserve">TOTAL GENERAL </t>
  </si>
  <si>
    <t>DIRECCION DE FISCALIZACION</t>
  </si>
  <si>
    <t>INGR. POR FACT DE SERV. DE INSTITUCIONES</t>
  </si>
  <si>
    <t>FONDO 100</t>
  </si>
  <si>
    <t>Proceso Realizado</t>
  </si>
  <si>
    <t># De Orden de Compras</t>
  </si>
  <si>
    <t>CONSOLIDADO GASTOS EJECUCION FINANCIERA 2025</t>
  </si>
  <si>
    <t>Ejecución de Gastos  Fondo (100) 2025</t>
  </si>
  <si>
    <t>FONDO 100(2.1)</t>
  </si>
  <si>
    <t>Años anteriores 2020</t>
  </si>
  <si>
    <t>AL 31 DICIEMBRE 2023</t>
  </si>
  <si>
    <t>Al 31 DICIEMBRE 2024</t>
  </si>
  <si>
    <t>Enero</t>
  </si>
  <si>
    <t>Febrero</t>
  </si>
  <si>
    <t>Octubre</t>
  </si>
  <si>
    <t>Bio Nuclear, SA</t>
  </si>
  <si>
    <t>Ciencia Tecnología y Consultas, SRL</t>
  </si>
  <si>
    <t>Osiris &amp; Co, SA</t>
  </si>
  <si>
    <t>Farmaco Internacional, SRL</t>
  </si>
  <si>
    <t>Bello-Lab, SRL</t>
  </si>
  <si>
    <t>Lambda Diagnósticos, SRL</t>
  </si>
  <si>
    <t>G &amp; M Gelmat Comercial, SRL</t>
  </si>
  <si>
    <t>Corporacion Medica A.G., SRL</t>
  </si>
  <si>
    <t>Macrotech Farmacéutica, SRL</t>
  </si>
  <si>
    <t>Empresa Rotricomercial, SRL</t>
  </si>
  <si>
    <t>Express Service Conserg Exsercon, SRL</t>
  </si>
  <si>
    <t>Copem Hospiclinic, SRL</t>
  </si>
  <si>
    <t>Destreza Comercial, SRL</t>
  </si>
  <si>
    <t>Q&amp;Q Medical RD, SRL</t>
  </si>
  <si>
    <t>Abrias Novo Group SRL</t>
  </si>
  <si>
    <t>NULO</t>
  </si>
  <si>
    <t>PLANETA AZUL, SA</t>
  </si>
  <si>
    <t>PRODUCTOS CANO, SRL</t>
  </si>
  <si>
    <t>INVERSIONES FH, SRL</t>
  </si>
  <si>
    <t>TROPIGAS DOMINICANA, SRL</t>
  </si>
  <si>
    <t>PAGO PROVEEDORES</t>
  </si>
  <si>
    <t>CAJA CHICA</t>
  </si>
  <si>
    <t>NOMINA</t>
  </si>
  <si>
    <t>OTROS</t>
  </si>
  <si>
    <t>AÑO 2023</t>
  </si>
  <si>
    <t>AÑO 2024</t>
  </si>
  <si>
    <t>HOSPITAL MATERNO INFANTIL SAN LORENZO DE LOS MINA</t>
  </si>
  <si>
    <t>DIRECCIÓN DE FISCALIZACIÓN Y CONTROL</t>
  </si>
  <si>
    <t>PROMESE CAL</t>
  </si>
  <si>
    <t>AL 31 DE ENERO 2025</t>
  </si>
  <si>
    <t>AL 28 DE FEBRERO 2025</t>
  </si>
  <si>
    <t>Farmaceutica Dalmasi (FARMADAL), SRL</t>
  </si>
  <si>
    <t>Medequip, SRL</t>
  </si>
  <si>
    <t>Xavier Vargas, Ingeniería Electromecánica, EIRL</t>
  </si>
  <si>
    <t>Grupo Xeron Medic SRL</t>
  </si>
  <si>
    <t>Ropharma, SRL</t>
  </si>
  <si>
    <t>P&amp;D Recycling, SRL</t>
  </si>
  <si>
    <t>Bio Nova, SRL</t>
  </si>
  <si>
    <t>Cristina  Rosario Rosario</t>
  </si>
  <si>
    <t>I.V. Biodesinfección, SRL</t>
  </si>
  <si>
    <t>Papelería E. Impresos Crishoan, SRL</t>
  </si>
  <si>
    <t>Master Clean FBE Import, SRL</t>
  </si>
  <si>
    <t>Livao Farmacéutica, SRL</t>
  </si>
  <si>
    <t>Lora &amp; Almonte Reparaciones, SRL</t>
  </si>
  <si>
    <t>Gastables del Caribe (GADECA),SRL</t>
  </si>
  <si>
    <t>Leromed Pharma, SRL</t>
  </si>
  <si>
    <t>Sean Dominican, SRL</t>
  </si>
  <si>
    <t>Insocorp, S.R.L.</t>
  </si>
  <si>
    <t>Felipe Antonio Morey Paulino</t>
  </si>
  <si>
    <t>41110000</t>
  </si>
  <si>
    <t>42180000</t>
  </si>
  <si>
    <t>42220000</t>
  </si>
  <si>
    <t>42190000</t>
  </si>
  <si>
    <t>51170000</t>
  </si>
  <si>
    <t>72100000</t>
  </si>
  <si>
    <t>42140000</t>
  </si>
  <si>
    <t>41100000</t>
  </si>
  <si>
    <t>51140000</t>
  </si>
  <si>
    <t>15100000</t>
  </si>
  <si>
    <t>42290000</t>
  </si>
  <si>
    <t>42310000</t>
  </si>
  <si>
    <t>42130000</t>
  </si>
  <si>
    <t>42270000</t>
  </si>
  <si>
    <t>51160000</t>
  </si>
  <si>
    <t>76120000</t>
  </si>
  <si>
    <t>51100000</t>
  </si>
  <si>
    <t>82120000</t>
  </si>
  <si>
    <t>51190000</t>
  </si>
  <si>
    <t>76100000</t>
  </si>
  <si>
    <t>47120000</t>
  </si>
  <si>
    <t>56100000</t>
  </si>
  <si>
    <t>50110000</t>
  </si>
  <si>
    <t>50100000</t>
  </si>
  <si>
    <t>85120000</t>
  </si>
  <si>
    <t>50130000</t>
  </si>
  <si>
    <t>51120000</t>
  </si>
  <si>
    <t>27110000</t>
  </si>
  <si>
    <t>Compras por Debajo del Umbral</t>
  </si>
  <si>
    <t>Compras Menores</t>
  </si>
  <si>
    <t>FR/VS</t>
  </si>
  <si>
    <t>Hospifar, SRL</t>
  </si>
  <si>
    <t>Bio Win, SRL</t>
  </si>
  <si>
    <t>BRONTILLO</t>
  </si>
  <si>
    <t>Ventas Diversas Farmaceuticas, SRL (VENDIFAR)</t>
  </si>
  <si>
    <t>GA INTERPRISE IMPORT, SRL</t>
  </si>
  <si>
    <t>D, CORA INDUSTRIAL, S.R.L</t>
  </si>
  <si>
    <t xml:space="preserve">VARA, SRL. </t>
  </si>
  <si>
    <t>RONAJUS FARMACEUTICA SRL</t>
  </si>
  <si>
    <t>Morami, SRL</t>
  </si>
  <si>
    <t>Caribbean Integrated Solutions, SRL</t>
  </si>
  <si>
    <t>SLYKING GROUP, SRL</t>
  </si>
  <si>
    <t xml:space="preserve">FARMACIA RUTH </t>
  </si>
  <si>
    <t>Air Liquide Dominicana, SAS</t>
  </si>
  <si>
    <t>LE.F.P CONSULTORES SRL</t>
  </si>
  <si>
    <t>SUPLIMED,SRL</t>
  </si>
  <si>
    <t>PRODUCTOS MEDICINALES, SRL</t>
  </si>
  <si>
    <t>UNIQUE REPRESENTACIONES, S.R.L</t>
  </si>
  <si>
    <t>Delia Josefina Tatis Perdomo</t>
  </si>
  <si>
    <t>OSEAANA HEALTHCARE, S.R.L</t>
  </si>
  <si>
    <t>Jorsa Multiservices, SRL</t>
  </si>
  <si>
    <t>Inversiones Yaye S.R.L</t>
  </si>
  <si>
    <t>ROPHARMA, SRL</t>
  </si>
  <si>
    <t xml:space="preserve">J. JIREH EQUIPOS MEDICOS SRL </t>
  </si>
  <si>
    <t>PLASTIFAR, S.A</t>
  </si>
  <si>
    <t>REFRICLIMA HF, SRL</t>
  </si>
  <si>
    <t xml:space="preserve">PATRIA RIVAS LABORATORIO CLINICO </t>
  </si>
  <si>
    <t>Miguelina  Vasquez Castillo</t>
  </si>
  <si>
    <t>Gestiones Sanitarias &amp; Ambientales, SRL (GESA)</t>
  </si>
  <si>
    <t>JT Investdent, SRL</t>
  </si>
  <si>
    <t>Farach, SA</t>
  </si>
  <si>
    <t>Gerenfar, S.R.L.</t>
  </si>
  <si>
    <t xml:space="preserve">GRUPO LIVAO SRL </t>
  </si>
  <si>
    <t xml:space="preserve">LEHAIM SUMINISTROS SRL </t>
  </si>
  <si>
    <t>OSIRIS &amp; CO,, S. A. (OSISA)</t>
  </si>
  <si>
    <t>SMART SUPPLY MEDICAL DOMINICANA, SRL</t>
  </si>
  <si>
    <t>Tu Amigo, SRL</t>
  </si>
  <si>
    <t>DISTRIBUIDORA RICCA E SANA DI M.C SRL</t>
  </si>
  <si>
    <t xml:space="preserve"> Empresas Cabod, EIRL</t>
  </si>
  <si>
    <t xml:space="preserve">CUENTAS POR PAGAR A: </t>
  </si>
  <si>
    <t>PAGOS CORRESPONDIENTES AL MES : MARZO 2025</t>
  </si>
  <si>
    <t>P&amp;D RECYCLING, SRL</t>
  </si>
  <si>
    <t>FACT B1500000304</t>
  </si>
  <si>
    <t>FACT B1500000868</t>
  </si>
  <si>
    <t>LEFP CONSULTORES, SRL</t>
  </si>
  <si>
    <t>FACT B1500000342</t>
  </si>
  <si>
    <t>IV BIODESINFECCION, SRL</t>
  </si>
  <si>
    <t>FACT B1500000279</t>
  </si>
  <si>
    <t>ORTRO CHEMICAL, SRL</t>
  </si>
  <si>
    <t>FACT B1500000367</t>
  </si>
  <si>
    <t>FACT B1500001471</t>
  </si>
  <si>
    <t>E450000005356, E450000005368, E450000006369</t>
  </si>
  <si>
    <t>LORA &amp; ALMONTE REPARACIONES, SRL</t>
  </si>
  <si>
    <t>FACT B1500000194</t>
  </si>
  <si>
    <t>HOSPAL MEDICAL, SRL</t>
  </si>
  <si>
    <t>FACT B1500017801</t>
  </si>
  <si>
    <t>DIUCAM GROUP, SRL</t>
  </si>
  <si>
    <t>FACT B1500000007</t>
  </si>
  <si>
    <t>GTA ELEVATORS, SRL</t>
  </si>
  <si>
    <t>FACT B1500000019</t>
  </si>
  <si>
    <t>ALTICE DOMINICANA, SA</t>
  </si>
  <si>
    <t>FACT E450000012705 Y E450000012909</t>
  </si>
  <si>
    <t>CENTRO DE LA SANGRE Y ESPECIALIDADES</t>
  </si>
  <si>
    <t>LABORATORIO CLINICO LICDA PATRIA M RIVAS, SRL</t>
  </si>
  <si>
    <t>FACT E450000007781, E450000007785, E450000007701 E450000007797</t>
  </si>
  <si>
    <t>FACT B1500000395 Y B1500000396</t>
  </si>
  <si>
    <t>FACT B1500002310</t>
  </si>
  <si>
    <t>FACT E450000005381</t>
  </si>
  <si>
    <t>FACT B1500001278</t>
  </si>
  <si>
    <t>FACT E45000001114</t>
  </si>
  <si>
    <t>LILIAN YOMAIRA ENCARNACION</t>
  </si>
  <si>
    <t>JESUS FERMIN MARTINEZ LOPEZ</t>
  </si>
  <si>
    <t>FACT B1500000423</t>
  </si>
  <si>
    <t>SUPLIMED</t>
  </si>
  <si>
    <t>FACT B1500005690, B1500005703, B1500005706</t>
  </si>
  <si>
    <t>BILLY DRAY GONZALEZ GONZALEZ</t>
  </si>
  <si>
    <t>COLABORACION PARA ESTUDIO ANGIOTOMOGRAFIA CEREBRAL, PARA EL PACIENTE JESUS GOZALEZ</t>
  </si>
  <si>
    <t>HECTOR BIENVENIDO DIAZ BURGOS</t>
  </si>
  <si>
    <t>PAGO POR LA PLATAFORMA DATA INSTALADA EN LA INSTITUCION</t>
  </si>
  <si>
    <t>OLEGARIO GUERRERO</t>
  </si>
  <si>
    <t>PAGO DE SERVICIO DE PINTADO EXTERIOR PARA CORREGIR Y REPARAR TUBERIA DE AGUA, COLOCACION DE CERAMICA EN AREA DE EMERGENCIA DEL HOSPITAL, SEGÚN ORDEN DE COMPRA 1933</t>
  </si>
  <si>
    <t>MARIE LAURE MONTREVIL</t>
  </si>
  <si>
    <t>COLABORACION PARA REALIZAR ESTUDIO DE ELECTROENCEFALOGRAMA A LA PACIENTE INTERNA NAIKA BELLEIRE</t>
  </si>
  <si>
    <t>ROXANNA JOSELYN CHEVALIER DE MEDINA</t>
  </si>
  <si>
    <t>COLABORACION PARA LA JORNDA DE RESIDENTES DE ANESTESIOLOGIA 2025</t>
  </si>
  <si>
    <t>DOCTORES MALLEN GUERRA</t>
  </si>
  <si>
    <t>COT. DM-COT009852-1</t>
  </si>
  <si>
    <t>SOLUCIONES DE SERVICIOS Y TECNICAS ALTADIS, SRL</t>
  </si>
  <si>
    <t>PAGO DE FACT NCF NO. B1500000100</t>
  </si>
  <si>
    <t>TONER DEPOT MULTISERVICIOS EORG, SRL</t>
  </si>
  <si>
    <t>FACT B1500008336</t>
  </si>
  <si>
    <t>ADLER AMICIS VALDEZ MARMOLEJOS</t>
  </si>
  <si>
    <t>FACT B1500000255</t>
  </si>
  <si>
    <t>CENTRO DE ESTUDIOS MEDICOS Y DIAGNOSTICOS POR IMÁGENES, SRL</t>
  </si>
  <si>
    <t>FACTS NCF B1500000364 Y B1500000370</t>
  </si>
  <si>
    <t>FACT B1500000426</t>
  </si>
  <si>
    <t>COLEGIO DOMINICANO DE PROFESIONALES DE ENFERMERIA</t>
  </si>
  <si>
    <t>COLABORACION DE UN 50% PARA EL XVIII CONGRESO NACIONAL DE ENFERMERIA</t>
  </si>
  <si>
    <t>PLANETA AZUL. SA</t>
  </si>
  <si>
    <t>FACT NCF E450000009903, E450000001760</t>
  </si>
  <si>
    <t>FACT NCF E450000009389, E450000009385</t>
  </si>
  <si>
    <t>FACT NCF E450000009396, E450000009390, E450000006400</t>
  </si>
  <si>
    <t>FACT NCF B1500000257</t>
  </si>
  <si>
    <t>FACT NCF E450000005393</t>
  </si>
  <si>
    <t>ELIGIUM, SRL</t>
  </si>
  <si>
    <t>PAGO DE FACT NCF NO. B1500000021</t>
  </si>
  <si>
    <t>INGENIERIA Y CONSTRUCCIONES FASUMER, SRL</t>
  </si>
  <si>
    <t>PAGO DE FACT NCF NO B1500000151</t>
  </si>
  <si>
    <t>MANTENERGIA ELECTRICA Y ABASTECIMIENTOS, SRL</t>
  </si>
  <si>
    <t>PAGO FACT NCF NO. B1500000163</t>
  </si>
  <si>
    <t>PROYEFIC PROYECTOS DE CONSTRUCCION EFICIENTE, SRL</t>
  </si>
  <si>
    <t>PAGO DE FACT NCF NO. B1500000005</t>
  </si>
  <si>
    <t>PAGO DE FACT NCF NO. B1500000306</t>
  </si>
  <si>
    <t>FACT B1500000196</t>
  </si>
  <si>
    <t>DELMIRA GARCIA</t>
  </si>
  <si>
    <t>REPOSICION DEL FONDO DE CAJA CHICA RECIBOS 40266 AL 40302</t>
  </si>
  <si>
    <t>RUDDY SEGURA</t>
  </si>
  <si>
    <t>PAGO DE FACT NCF NO B1100000032</t>
  </si>
  <si>
    <t>NELSON YNFANTE VELAZQUEZ</t>
  </si>
  <si>
    <t>PAGO DE FACT NCF NO. B1100000031</t>
  </si>
  <si>
    <t>ALEXANDER MENDEZ CONTRERAS</t>
  </si>
  <si>
    <t>PAGO DE FACT NCF NO B1100000033</t>
  </si>
  <si>
    <t>FREDDY OSCAR RODRIGUEZ RIVAS</t>
  </si>
  <si>
    <t>COLABORACION PARA CAVAR HOYO</t>
  </si>
  <si>
    <t>ESTABLECIMIENTO:HOSPITAL MATERNO INFANTIL SAN LORENZO DE LOS MINA</t>
  </si>
  <si>
    <t>HSLM-DAF-CD-2025-0178</t>
  </si>
  <si>
    <t>HSLM-DAF-CD-2025-0180</t>
  </si>
  <si>
    <t>HSLM-DAF-CD-2025-0179</t>
  </si>
  <si>
    <t>HSLM-DAF-CD-2025-0181</t>
  </si>
  <si>
    <t>HSLM-DAF-CD-2025-0183</t>
  </si>
  <si>
    <t>HSLM-DAF-CM-2025-0050</t>
  </si>
  <si>
    <t>HSLM-DAF-CD-2025-0184</t>
  </si>
  <si>
    <t>HSLM-DAF-CD-2025-0182</t>
  </si>
  <si>
    <t>HSLM-DAF-CM-2025-0051</t>
  </si>
  <si>
    <t>HSLM-DAF-CM-2025-0052</t>
  </si>
  <si>
    <t>HSLM-DAF-CM-2025-0053</t>
  </si>
  <si>
    <t>HSLM-DAF-CD-2025-0185</t>
  </si>
  <si>
    <t>HSLM-DAF-CD-2025-0186</t>
  </si>
  <si>
    <t>HSLM-DAF-CD-2025-0188</t>
  </si>
  <si>
    <t>HSLM-DAF-CD-2025-0187</t>
  </si>
  <si>
    <t>HSLM-DAF-CD-2025-0189</t>
  </si>
  <si>
    <t>HSLM-DAF-CD-2025-0190</t>
  </si>
  <si>
    <t>HSLM-DAF-CD-2025-0192</t>
  </si>
  <si>
    <t>HSLM-DAF-CD-2025-0191</t>
  </si>
  <si>
    <t>HSLM-DAF-CD-2025-0193</t>
  </si>
  <si>
    <t>HSLM-DAF-CD-2025-0195</t>
  </si>
  <si>
    <t>HSLM-DAF-CD-2025-0194</t>
  </si>
  <si>
    <t>HSLM-DAF-CD-2025-0196</t>
  </si>
  <si>
    <t>HSLM-DAF-CM-2025-0054</t>
  </si>
  <si>
    <t>HSLM-DAF-CD-2025-0198</t>
  </si>
  <si>
    <t>HSLM-DAF-CD-2025-0199</t>
  </si>
  <si>
    <t>HSLM-DAF-CD-2025-0200</t>
  </si>
  <si>
    <t>HSLM-DAF-CD-2025-0197</t>
  </si>
  <si>
    <t>HSLM-DAF-CM-2025-0055</t>
  </si>
  <si>
    <t>HSLM-DAF-CD-2025-0201</t>
  </si>
  <si>
    <t>HSLM-DAF-CD-2025-0202</t>
  </si>
  <si>
    <t>HSLM-DAF-CD-2025-0203</t>
  </si>
  <si>
    <t>HSLM-DAF-CM-2025-0056</t>
  </si>
  <si>
    <t>HSLM-DAF-CM-2025-0057</t>
  </si>
  <si>
    <t>HSLM-DAF-CD-2025-0204</t>
  </si>
  <si>
    <t>HSLM-DAF-CD-2025-0205</t>
  </si>
  <si>
    <t>HSLM-DAF-CM-2025-0058</t>
  </si>
  <si>
    <t>HSLM-DAF-CD-2025-0206</t>
  </si>
  <si>
    <t>HSLM-DAF-CD-2025-0207</t>
  </si>
  <si>
    <t>HSLM-DAF-CD-2025-0208</t>
  </si>
  <si>
    <t>HSLM-DAF-CD-2025-0209</t>
  </si>
  <si>
    <t>HSLM-DAF-CM-2025-0061</t>
  </si>
  <si>
    <t>HSLM-DAF-CM-2025-0060</t>
  </si>
  <si>
    <t>HSLM-DAF-CM-2025-0059</t>
  </si>
  <si>
    <t>HSLM-DAF-CD-2025-0210</t>
  </si>
  <si>
    <t>HSLM-DAF-CD-2025-0212</t>
  </si>
  <si>
    <t>HSLM-DAF-CD-2025-0213</t>
  </si>
  <si>
    <t>HSLM-DAF-CD-2025-0211</t>
  </si>
  <si>
    <t>HSLM-DAF-CD-2025-0214</t>
  </si>
  <si>
    <t>HSLM-DAF-CD-2025-0215</t>
  </si>
  <si>
    <t>HSLM-DAF-CM-2025-0062</t>
  </si>
  <si>
    <t>HSLM-DAF-CD-2025-0218</t>
  </si>
  <si>
    <t>HSLM-DAF-CD-2025-0216</t>
  </si>
  <si>
    <t>HSLM-DAF-CM-2025-0063</t>
  </si>
  <si>
    <t>HSLM-DAF-CD-2025-0217</t>
  </si>
  <si>
    <t>HSLM-DAF-CD-2025-0219</t>
  </si>
  <si>
    <t>HSLM-DAF-CD-2025-0220</t>
  </si>
  <si>
    <t>HSLM-DAF-CD-2025-0222</t>
  </si>
  <si>
    <t>HSLM-DAF-CD-2025-0223</t>
  </si>
  <si>
    <t>HSLM-DAF-CD-2025-0224</t>
  </si>
  <si>
    <t>HSLM-DAF-CD-2025-0221</t>
  </si>
  <si>
    <t>HSLM-DAF-CD-2025-0225</t>
  </si>
  <si>
    <t>HSLM-DAF-CD-2025-0226</t>
  </si>
  <si>
    <t>HSLM-DAF-CD-2025-0227</t>
  </si>
  <si>
    <t>HSLM-DAF-CM-2025-0065</t>
  </si>
  <si>
    <t>HSLM-DAF-CM-2025-0064</t>
  </si>
  <si>
    <t>HSLM-DAF-CD-2025-0228</t>
  </si>
  <si>
    <t>HSLM-DAF-CD-2025-0229</t>
  </si>
  <si>
    <t>HSLM-DAF-CM-2025-0066</t>
  </si>
  <si>
    <t>HSLM-DAF-CD-2025-0230</t>
  </si>
  <si>
    <t>HSLM-DAF-CM-2025-0067</t>
  </si>
  <si>
    <t>HSLM-DAF-CD-2025-0231</t>
  </si>
  <si>
    <t>HSLM-DAF-CD-2025-0232</t>
  </si>
  <si>
    <t>HSLM-DAF-CD-2025-0233</t>
  </si>
  <si>
    <t>HSLM-DAF-CD-2025-0235</t>
  </si>
  <si>
    <t>HSLM-DAF-CD-2025-0234</t>
  </si>
  <si>
    <t>HSLM-DAF-CM-2025-0068</t>
  </si>
  <si>
    <t>HSLM-DAF-CD-2025-0236</t>
  </si>
  <si>
    <t>HSLM-DAF-CD-2025-0237</t>
  </si>
  <si>
    <t>HSLM-DAF-CD-2025-0238</t>
  </si>
  <si>
    <t>HSLM-DAF-CD-2025-0239</t>
  </si>
  <si>
    <t>HSLM-DAF-CD-2025-0240</t>
  </si>
  <si>
    <t>HSLM-DAF-CM-2025-0069</t>
  </si>
  <si>
    <t>HSLM-DAF-CM-2025-0070</t>
  </si>
  <si>
    <t>HSLM-DAF-CD-2025-0241</t>
  </si>
  <si>
    <t>HSLM-DAF-CD-2025-0242</t>
  </si>
  <si>
    <t>HSLM-DAF-CM-2025-0071</t>
  </si>
  <si>
    <t>HSLM-DAF-CM-2025-0073</t>
  </si>
  <si>
    <t>HSLM-DAF-CM-2025-0072</t>
  </si>
  <si>
    <t>HSLM-DAF-CD-2025-0243</t>
  </si>
  <si>
    <t>HSLM-DAF-CD-2025-0244</t>
  </si>
  <si>
    <t>HSLM-DAF-CD-2025-0245</t>
  </si>
  <si>
    <t>HSLM-DAF-CM-2025-0074</t>
  </si>
  <si>
    <t>HSLM-DAF-CM-2025-0075</t>
  </si>
  <si>
    <t>HSLM-DAF-CD-2025-0246</t>
  </si>
  <si>
    <t>HSLM-DAF-CD-2025-0247</t>
  </si>
  <si>
    <t>HSLM-DAF-CM-2025-0076</t>
  </si>
  <si>
    <t>HSLM-DAF-CD-2025-0249</t>
  </si>
  <si>
    <t>HSLM-DAF-CD-2025-0248</t>
  </si>
  <si>
    <t>HSLM-DAF-CD-2025-0252</t>
  </si>
  <si>
    <t>HSLM-DAF-CD-2025-0250</t>
  </si>
  <si>
    <t>HSLM-DAF-CD-2025-0251</t>
  </si>
  <si>
    <t xml:space="preserve">Eligium, EIRL </t>
  </si>
  <si>
    <t>Baucomer, SRL</t>
  </si>
  <si>
    <t>Doctores Mallen Guerra, SA</t>
  </si>
  <si>
    <t>Gapiezo SRL</t>
  </si>
  <si>
    <t>SSP Servisalud Premium, SRL</t>
  </si>
  <si>
    <t>Nifarmed, SRL</t>
  </si>
  <si>
    <t>Farnasa, SRL</t>
  </si>
  <si>
    <t>Mantenergia Electrica y Abastecimientos, SRL</t>
  </si>
  <si>
    <t>Artris Medical, SRL</t>
  </si>
  <si>
    <t>Grupo Irmaceli Services, S.R.L.</t>
  </si>
  <si>
    <t xml:space="preserve">Farmaco Quimica Nacional, SA </t>
  </si>
  <si>
    <t xml:space="preserve">Sandry Gomez Rodriguez </t>
  </si>
  <si>
    <t>51150000</t>
  </si>
  <si>
    <t>40100000</t>
  </si>
  <si>
    <t>56110000</t>
  </si>
  <si>
    <t>52130000</t>
  </si>
  <si>
    <t>73150000</t>
  </si>
  <si>
    <t>42200000</t>
  </si>
  <si>
    <t>46190000</t>
  </si>
  <si>
    <t>44100000</t>
  </si>
  <si>
    <t>51180000</t>
  </si>
  <si>
    <t>50190000</t>
  </si>
  <si>
    <t>51210000</t>
  </si>
  <si>
    <t>12160000</t>
  </si>
  <si>
    <t>81100000</t>
  </si>
  <si>
    <t>PROYEFIC INGENIERIA Y SERVICIOS, SRL</t>
  </si>
  <si>
    <t>CANCELADO</t>
  </si>
  <si>
    <t>PAGO DE FACT B1500000162</t>
  </si>
  <si>
    <t>NOMINA POR PAGAR INCENTIVO</t>
  </si>
  <si>
    <t>NOMINA INCENTIVO</t>
  </si>
  <si>
    <t>COMISIONES BANCARIAS</t>
  </si>
  <si>
    <t>COMISIONES BANCARIAS MES DE MARZO 2025</t>
  </si>
  <si>
    <t>wilson  Frias</t>
  </si>
  <si>
    <t>Ameriline Pharmaceutical, SRL</t>
  </si>
  <si>
    <t>Insocorp, SRL</t>
  </si>
  <si>
    <t>Laboratorios Rhyno, SRL</t>
  </si>
  <si>
    <t>Hauspital, SRL</t>
  </si>
  <si>
    <t>CRISTINA ROSARIO ROSARIO</t>
  </si>
  <si>
    <t>Dumas Pharmaceuticals, S.R.L.</t>
  </si>
  <si>
    <t>Súper Laptop Browsing, SRL</t>
  </si>
  <si>
    <t>CORPORACION DEL ACUEDUCTO Y ALCANTARILLADO DE SANTO DOMINGO</t>
  </si>
  <si>
    <t>Galed Supplies Med, SRL</t>
  </si>
  <si>
    <t>A&amp;S Importadora Medicas, SRL</t>
  </si>
  <si>
    <t>Distribuidora Latino, SRL</t>
  </si>
  <si>
    <t>Oficclin Comercial, SRL</t>
  </si>
  <si>
    <t>Margayu, SRL</t>
  </si>
  <si>
    <t>GRUPO GARMOF, SRL</t>
  </si>
  <si>
    <t>FARACH S A</t>
  </si>
  <si>
    <t>Hospal Medica, SRL</t>
  </si>
  <si>
    <t>BIO NOVA, SRL</t>
  </si>
  <si>
    <t>AGROGLOBAL EXPORT E IMPORT, SRL</t>
  </si>
  <si>
    <t>PAPELERIA E IMPRESOS CRISHOAN, SRL</t>
  </si>
  <si>
    <t>Diucam Group SRL</t>
  </si>
  <si>
    <t>Distribuidora Ricca E Sana DI M.C, SRL</t>
  </si>
  <si>
    <t>First Medical Depot By Guzman, SRL</t>
  </si>
  <si>
    <t>PLASTIFAR,SA</t>
  </si>
  <si>
    <t>HOSPITAL MATERNO INFANTIL SAN LORENZO DE LOS MINAS</t>
  </si>
  <si>
    <t>BAUCOMER, SRL</t>
  </si>
  <si>
    <t>INGENIERIA TECNOLOGIA Y SERVICIOS OROZCO SRL</t>
  </si>
  <si>
    <t>Pharmasem, SRL</t>
  </si>
  <si>
    <t>Food Caraballo &amp; Núñez, SRL</t>
  </si>
  <si>
    <t>Trasts Meds &amp; Devices, SRL</t>
  </si>
  <si>
    <t>PAGO DE FACT NCF B1500000262 POR ADQUISICION DE MATERIALES FERRETEROS SEGUN O/C HSLM-2024-01182.</t>
  </si>
  <si>
    <t>PAGO DE FACT NCF B1500000262 POR ADQUISICION DE BASE P/ FOTOCELDA SEGUN O/C HSLM-2024-01182.</t>
  </si>
  <si>
    <t>PAGO NCF B1500000444 POR ADQUSICION DE MEDICAMENTOS SEGUN O/C HSLM-2025-00024</t>
  </si>
  <si>
    <t>PAGO DE FACT NCF B1500000196 Y B1500000206 POR ADQUISICION DE EQUIPOS MEDICOS SEGUN O/C HSLM-2024-01162.</t>
  </si>
  <si>
    <t>PAGO DE FACT NCF B1500000206 POR ADQUISICION DE UTILES MEDICOS SEGUN O/C HSLM-2024-01162.</t>
  </si>
  <si>
    <t>PAGO DE FACT NCF B1500000038 POR ADQUISICION DE SOFTWARE DETECTOR DIGITAL DE RAYOS X SEGUN O/C HSLM-2025-00078.</t>
  </si>
  <si>
    <t>PAGO DE FACT NCF B1500000319 POR ADQUISICION DE DETECTOR DIGITAL, PORTATIL E INALAMBRICO SEGUN O/C HSLM-2025-00036.</t>
  </si>
  <si>
    <t>PAGO DE FACT NCF B1500000109 POR ADQUISICION DE MEDICAMENTOS Y UTILES MEDICOS SEGUN O/C HSLM-2025-00107.</t>
  </si>
  <si>
    <t>PAGO DE FACT NCF B1500000786 POR ADQUISICION DE MEDICAMENTOS Y UTILES MEDICOS SEGUN O/C HSLM-2025-00097.</t>
  </si>
  <si>
    <t>PAGO DE FACT NCF B1500000370 POR ADQUISICION DE MEDICAMENTOS Y UTILES MEDICOS SEGUN O/C HSLM-2025-00034.</t>
  </si>
  <si>
    <t>PAGO DE FACT NCF  B1500001259 POR ADQUISICION DE MEDICAMENTOS SEGUN O/C HSLM-2025-00133.</t>
  </si>
  <si>
    <t>PAGO DE FACT NCF B1500000891 POR ADQUISICION DE MEDICAMENTOS Y UTIL MEDICO SEGUN O/C HSLM-2025-00071.</t>
  </si>
  <si>
    <t>PAGO DE FACT NCF B1500000161 POR ADQUISICION DE CD LECTOR SEGUN O/C HSLM-2025-00013.</t>
  </si>
  <si>
    <t>PAGO DE FACT NCF B1500000162 POR ADQUISICION DE EQUIPOS TECNOLOGICOS SEGUN O/C HSLM-2025-00069.</t>
  </si>
  <si>
    <t>PAGO DE FACT NCF B1500000163 POR ADQUISICION DE COMPUTADORAS SEGUN O/C HSLM-2025-00080.</t>
  </si>
  <si>
    <t>PAGO DE FACT NCF B1500004721 POR ADQUISICION DE MEDICAMENTOS SEGUN O/C HSLM-2025-00182.</t>
  </si>
  <si>
    <t>PAGO DE FACT NCF B1500004642 POR ADQUISICION DE UTILES MEDICOS Y MEDICAMENTOS SEGUN O/C HSLM-2025-00179.</t>
  </si>
  <si>
    <t>PAGO DE FACT NCF B1500000185 POR ADQUISICION DE INSUMOS DE ODONTOLOGIA SEGUN O/C HSLM-2024-01399.</t>
  </si>
  <si>
    <t>PAGO DE FACT NCF B1500000185 POR ADQUISICION DE SET DE PUNTAS DE CAVITRON SEGUN O/C HSLM-2024-01399.</t>
  </si>
  <si>
    <t>LIQUIDACION DE ACUERDO DE PAGO D/F 12/02/2025 SEGUN DOCUMENTACION ANEXA POR SUMINISTRO DE AGUA.</t>
  </si>
  <si>
    <t>PAGO DE FACT NCF B1500000106 POR ADQUISICION DE MATERIAL DE LIMPIEZA SEGUN O/C HSLM-2025-00063.</t>
  </si>
  <si>
    <t>PAGO DE FACT NCF B1500000055 POR ADQUISICION DE UTILES MEDICOS SEGUN O/C HSLM-2025-00185.</t>
  </si>
  <si>
    <t>PAGO DE FACT NCF B1500000902 POR ADQUISICION DE AVAGARD JABON QUIRURGICO SEGUN O/C HSLM-2025-00088.</t>
  </si>
  <si>
    <t>PAGO DE FACT NCF B1500000901 POR ADQUISICION DE JABON CLORHEXIDINA SEGUN O/C HSLM-2025-00087.</t>
  </si>
  <si>
    <t>PAGO DE FACT NCF B1500000054 POR ADQUISICION DE UTILES MEDICOS SEGUN O/C HSLM-2025-00162.</t>
  </si>
  <si>
    <t>PAGO DE FACT NCF B1500000055 POR ADQUISICION DE UTILES MEDICOS SEGUN O/C HSLM-2025-00125.</t>
  </si>
  <si>
    <t>PAGO DE FACT NCF B1500000004 POR REPARACION Y MANTENIMIENTO DE MUROS Y PASILLOS DE AREA DE PARTO SEGUN O/C HSLM-2025-00116.</t>
  </si>
  <si>
    <t>PAGO DE FACT NCF B1500000003 POR REPARACION DEL PASILLO  AREA DE PARTO SEGUNDO NIVEL SEGUN O/C HSLM-2025-00117.</t>
  </si>
  <si>
    <t>PAGO DE FACT NCF B1500002380 POR ADQUISICION DE MEDICAMENTOS Y UTILES MEDICOS SEGUN O/C HSLM-2025-00098.</t>
  </si>
  <si>
    <t>PAGO DE FACT NCF B1500001012 POR ADQUISICION DE UTILES MEDICOS SEGUN O/C HSLM-2025-00184.</t>
  </si>
  <si>
    <t>PAGO DE FACT NCF B1500000108 POR ADQUISICION DE SILLA EN METAL CON BRAZOS SEGUN O/C HSLM-2024-01312.</t>
  </si>
  <si>
    <t>PAGO DE FACT NCF B1500000052 POR ADQUISICION DE ALIMENTOS, SERVILLETAS, CHIPERO Y FOSFORO SEGUN O/C HSLM-2025-00021.</t>
  </si>
  <si>
    <t>PAGO DE FACT NCF B1500000570 POR ADQUISICION DE UTILES MEDICOS SEGUN O/C HSLM-2025-00149.</t>
  </si>
  <si>
    <t>PAGO DE FACT NCF B1500000052 POR ADQUISICION DE UTILES MEDICOS SEGUN O/C HSLM-2025-00150.</t>
  </si>
  <si>
    <t>PAGO DE FACT NCF B1500000267 POR ADQUISICION DE ALIMENTOS SEGUN O/C HSLM-2025-00081.</t>
  </si>
  <si>
    <t>PAGO DE FACT NCF B1500000109 POR ADQUISICION DE SILLON EN METAL CON BRAZOS TAPIZADOS SEGUN O/C HSLM-2024-01340.</t>
  </si>
  <si>
    <t>PAGO DE FACT NCF B1500000132 POR ADQUISICION DE PINTURAS SEGUN O/C HSLM-2024-01120.</t>
  </si>
  <si>
    <t>PAGO DE FACT NCF B1500000172 POR ADQUISICION DE MEDICAMENTOS Y UTILES MEDICOS SEGUN O/C HSLM-2025-00128.</t>
  </si>
  <si>
    <t>PAGO DE FACT NCF B1500001071 POR ADQUISICION DE MEDICAMENTOS SEGUN O/C HSLM-2025-00082.</t>
  </si>
  <si>
    <t>PAGO DE FACT NCF E450000004670 POR ADQUISICION DE INSUMOS DE LABORATORIO SEGUN O/C HSLM-2025-00146.</t>
  </si>
  <si>
    <t>PAGO DE FACT NCF B1500000291 POR ADQUISICION DE GASOIL SEGUN O/C HSLM-2025-00123.</t>
  </si>
  <si>
    <t>PAGO DE FACT NCF B1500000056 POR ADQUISICION DE PLACA DE ELECTROCAUTERIO SEGUN O/C HSLM-2025-00137.</t>
  </si>
  <si>
    <t>PAGO DE FACT NCF B1500002285 POR ADQUISICION DE INSUMOS DE LABORATORIO Y ROLLO DE PRINTER SEGUN O/C HSLM-2025-00140.</t>
  </si>
  <si>
    <t>PAGO DE FACT NCF B15000001556 POR ADQUISICION DE UTILES MEDICOS SEGUN O/C HSLM-2025-00110.</t>
  </si>
  <si>
    <t>PAGO DE FACT NCF E450000000503 POR ADQUISICION DE MEDICAMENTOS SEGUN O/C HSLM-2025-00061.</t>
  </si>
  <si>
    <t>PAGO DE FACT NCF B1500017514 POR ADQUISICION DE KIT RETRACTOR COLORECTAL SEGUN O/C HSLM-2025-00168.</t>
  </si>
  <si>
    <t>PAGO DE FACT NCF B1500016309 POR ADQUISICION DE INSUMOS DE LABORATORIO SEGUN O/C HSLM-2025-00142.</t>
  </si>
  <si>
    <t>PAGO DE FACT NCF B1500001024 POR ADQUISICION DE INSUMOS DE LABORATORIO SEGUN O/C HSLM-2025-00102.</t>
  </si>
  <si>
    <t>PAGO DE FACT NCF B1500000705 POR ADQUISICION DE ALIMENTOS SEGUN O/C HSLM-2025-00094.</t>
  </si>
  <si>
    <t>PAGO DE FACT NCF B1500000030 POR ADQUISICION DE CAMA CUNA PARA PEDIATRIA Y ARCHIVERO DE METAL SEGUN O/C HSLM-2025-00101.</t>
  </si>
  <si>
    <t>PAGO DE FACT NCF B1500000242 POR SERVICIO DE REPARACION  DEL SISTEMA DE AGUA HELADA DE LAS HABITACIONES DEL LADO ESTE SEGUNDO NIVEL SEGUN O/C HSLM-2025-00120.</t>
  </si>
  <si>
    <t>PAGO DE FACT NCF B1500000241 POR SERVICIO DE REPARACION DEL SISTEMA DE AGUA HELADA DE LAS HABITACIONES DE LADO OESTE SEGUN O/C HSLM-2025-00121.</t>
  </si>
  <si>
    <t>PAGO DE FACT NF B1500001013 POR ADQUISICION DE UTILES MEDICOS SEGUN O/C HSLM-2025-00186.</t>
  </si>
  <si>
    <t>PAGO DE FACT NCF B1500000371 POR ADQUISICION DE DETECTOR DIGITAL INALAMBRICO SEGUN O/C HSLM-                         2025-00172.</t>
  </si>
  <si>
    <t>PAGO DE FACT NCF B1500000108 POR ADQUISICION DE MEDICAMENTOS Y UTILES MEDICOS SEGUN O/C HSLM-2025-00111.</t>
  </si>
  <si>
    <t>PAGO DE FACT NCF B1500000302 POR ADQUISICION DE MATERIAL IMPRESO Y SELLO PRETINTADOS SEGUN O/C HSLM-2024-00606.</t>
  </si>
  <si>
    <t>PAGO DE FACT NCF B1500000268 POR ADQUISICION DE ALIMENTOS SEGUN O/C HSLM-2025-00099.</t>
  </si>
  <si>
    <t>PAGO DE FACT NCF B1500000372 POR ADQUISICION DE AGUA OXIGENADA Y GUANTES ESTERIL SEGUN O/C HSLM-2025-00131.</t>
  </si>
  <si>
    <t>PAGO DE FACT NCF B1500002113 POR ADQUISICION DE REACTIVOS Y UTIL MEDICO SEGUN O/C HSLM-2025-00104.</t>
  </si>
  <si>
    <t>PAGO DE FACT NCF B1500001646 POR ADQUISICION DE MATERIAL IMPRESO SEGUN O/C HSLM-2025-00139.</t>
  </si>
  <si>
    <t>PAGO DE FACT NCF B1500000008 POR ADQUISICION DE ALIMENTOS, SERVILLETAS Y PAPEL DE ALUMINIO SEGUN O/C HSLM-2025-00106.</t>
  </si>
  <si>
    <t>PAGO DE FACT NCF B1500000334 POR ADQUISICION DE LECHE ENFAMIL NEURO PRO PREMATURE SEGUN O/C HSLM-2025-00086.</t>
  </si>
  <si>
    <t>PAGO DE FACT NCF E450000003130 POR ADQUISICION DE SERVICIO DE AGUA CORRESPONDIENTE AL MES DE MARZO 2025.</t>
  </si>
  <si>
    <t>PAGO DE FACT NCF B1500000151 POR ADQUISICION DE UTILES MEDICOS SEGUN O/C HSLM-2025-00174.</t>
  </si>
  <si>
    <t>PAGO DE FACT NCF B1500000171 POR ADQUISICION DE MEDICAMENTOS Y UTILES MEDICOS SEGUN O/C HSLM-2025-00122.</t>
  </si>
  <si>
    <t>PAGO DE FACT NCF B1500000111 POR ADQUISICION DE UTILES MEDICOS SEGUN O/C HSLM-2025-00151.</t>
  </si>
  <si>
    <t>PAGO DE FACT NCF B1500000114 POR ADQUISICION DE MEDICAMENTOS Y UTILES MEDICOS SEGUN O/C HSLM-2025-00173.</t>
  </si>
  <si>
    <t>PAGO DE FACT NCF B1500000493 POR ADQUISICION DE TORRE DE LAPAROSCOPIA SEGUN O/C HSLM-2025-00163.</t>
  </si>
  <si>
    <t>PAGO DE FACT NCF B1500000039 POR ADQUISICION DE CAMARA LAPAROSCOPICA, FUEN DE LUZ , MONITORES Y SISTEMA DE INSUFLACION SEGUN O/C HSLM-2025-00169.</t>
  </si>
  <si>
    <t>PAGO DE FACT NCF E450000000043 POR ADQUISICION DE DESECHABLES SEGUN O/C HSLM-2024-01073.</t>
  </si>
  <si>
    <t>HOSANLORE.NOMINA SUELDO PERSONAL DE VIGILANCIA MARZO 2025</t>
  </si>
  <si>
    <t>PAGO FACTURA NCF B1500000558 POR ADQUISICION DE UTILES MEDICOS SEGUN O/C HSLM-2025-00230.</t>
  </si>
  <si>
    <t>HOSANLORE.NOMINA SUELDO TEMPORAL MARZO 2025</t>
  </si>
  <si>
    <t>PAGO NCF B1500000559 POR ADQUISICION DE UTILES MEDICOS SEGUN O/C HSLM-2025-00238.</t>
  </si>
  <si>
    <t>PAGO FACTURA NCF B1500000560 POR ADQUISICION DE MEDICAMENTOS SEGUN O/C HSLM-2025-00240.</t>
  </si>
  <si>
    <t>PAGO DE FACT NCF B1500000379 POR ADQUISICION DE VENTILADOR ADULTO-PEDIATRICO-NEONATAL SEGUN O/C HSLM-2025-00187.</t>
  </si>
  <si>
    <t>PAGO DE FACT NCF B1500000117 POR ADQUISICION DE UTILES MEDICOS SEGUN O/C HSLM-2025-00189.</t>
  </si>
  <si>
    <t>PAGO  DE FACT NCF B1500001651 POR ADQUISICION DE MATERIAL IMPRESO Y FOLDERS, SEGUN O/C HSLM-2025-00153.</t>
  </si>
  <si>
    <t>HOSANLORE.NOMINA SUELDO FIJO MARZO 2025</t>
  </si>
  <si>
    <t>PAGO DE FACT NCF B1500000522 POR ADQUISICION DE FUNDAS PLASTICAS SEGUN O/C HSLM-2025-00171.</t>
  </si>
  <si>
    <t>PAGO DE FACT NCF B1500001642 POR ADQUISICION DE MATERIAL DE OFICINA SEGUN O/C HSLM-2025-00092.</t>
  </si>
  <si>
    <t>PAGO DE FACT NCF B1500001018 POR ADQUISICION DE UTILES MEDICOS SEGUN O/C HSLM-2025-00201.</t>
  </si>
  <si>
    <t>PAGO DE FACT NCF B1500001280 POR ADQUISICION DE MEDICAMENTOS SEGUN O/C HSLM-2025-00232.</t>
  </si>
  <si>
    <t>PAGO DE FACT NCF E450000000521 POR ADQUISICION DE MEDICAMENTOS SEGUN O/C HSLM-2025-00070.</t>
  </si>
  <si>
    <t>PAGO DE FACT NCF B1500002232 POR ADQUISICION DE INSUMOS DE LABORATORIO SEGUN O/C HSLM-2024-01306.</t>
  </si>
  <si>
    <t>PAGO DE FACT NCF B1500000050 POR ADQUISICION DE UTILES MEDICOS SEGUN O/C HSLM-2025-00241.</t>
  </si>
  <si>
    <t>PAGO DE FACT NCF B1500000064 POR ADQUISICION DE UTILES MEDICOS SEGUN O/C HSLM-2025-00219.</t>
  </si>
  <si>
    <t>PAGO DE FACT NCF E450000000618 POR ADQUISICION DE MEDICAMENTOS SEGUN O/C HSLM-2025-00236.</t>
  </si>
  <si>
    <t>PAGO DE FACT NCF B1500001275 POR ADQUISICION DE MEDICAMENTOS SEGUN O/C HSLM-2025-00222.</t>
  </si>
  <si>
    <t>PAGO DE FACT NCF B1500000182 POR ADQUISICION DE FLUJOMETROS CON ROSCA SEGUN O/C HSLM-2025-00193.</t>
  </si>
  <si>
    <t>PAGO DE FACT NCF B1500001203 POR ADQUISICION DE UTILES MEDICOS SEGUN O/C HSLM-2025-00218.</t>
  </si>
  <si>
    <t>PAGO DE FACT NCF B1500000065 POR ADQUISICION DE UTILES MEDICOS SEGUN O/C HSLM-2025-00225.</t>
  </si>
  <si>
    <t>PAGO DE FACT NCF B1500000035 POR ADQUISICION DE ZAFACONES SEGUN O/C HSLM-2025-00196.</t>
  </si>
  <si>
    <t>PAGO DE FACT NCF B1500000066 POR ADQUISICION DE PLACA DE ELECTROCAUTERIO SEGUN O/C HSLM-2025-00226.</t>
  </si>
  <si>
    <t>PAGO DE FACT NCF B1500000057 POR ADQUISICION DE LENTE DE LAPARASCOPIA SEGUN O/C HSLM-2025-00157.</t>
  </si>
  <si>
    <t>PAGO DE FACT NCF B1500000373 POR ADQUISICION DE UTILES MEDICOS SEGUN O/C HSLM-2025-00231.</t>
  </si>
  <si>
    <t>PAGO DE FACT NCF B1500001277 POR ADQUISICION DE MEDICAMENTOS SEGUN O/C HSLM-2025-00227.</t>
  </si>
  <si>
    <t>PAGO DE FACT NCF B1500000968 POR ADQUISICION DE MEDICAMENTOS SEGUN O/C HSLM-2025-00204.</t>
  </si>
  <si>
    <t>PAGO DE FACT NCF B1500001127 POR ADQUISICION DE MEDICAMENTOS SEGUN O/C HSLM-2025-00235.</t>
  </si>
  <si>
    <t>PAGO DE FACT NCF B1500001282 POR ADQUISICION DE MEDICAMENTOS SEGUN O/C HSLM-2025-00234.</t>
  </si>
  <si>
    <t>PAGO DE FACT NCF B1500000374 POR ADQUISICION DE MEDICAMENTOS SEGUN O/C HSLM-2025-00233.</t>
  </si>
  <si>
    <t>PAGO DE FACT NCF B1500004758 POR ADQUISICION DE MEDICAMENTOS SEGUN O/C HSLM-2025-00247.</t>
  </si>
  <si>
    <t>PAGO DE FACT NCF B1500000712 POR ADQUISICION DE ALIMENTOS SEGUN O/C HSLM-2025-00208.</t>
  </si>
  <si>
    <t>PAGO DE FACT NCF E450000000591 POR ADQUISICION DE UTILES MEDICOS SEGUN O/C HSLM-2025-00105.</t>
  </si>
  <si>
    <t>PAGO DE FACT NCF B1500000377 POR ADQUISICION DE PRODUCTOS FARMACEUTICOS Y DESINFECTANTE WESCOCIDE SEGUN O/C HSLM-2025-00245.</t>
  </si>
  <si>
    <t>PAGO DE FACT NCF B1500000359 POR ADQUISICION DE MEDICAMENTOS SEGUN O/C HSLM-2025-00221.</t>
  </si>
  <si>
    <t>PAGO DE FACT NCF B1500000023 POR ADQUISICION DE MEDICAMENTOS SEGUN O/C HSLM-2025-00206.</t>
  </si>
  <si>
    <t>PAGO DE FACT NCF  B1500000711 POR ADQUISICION DE ALIMENTOS SEGUN O/C HSLM-2025-00210.</t>
  </si>
  <si>
    <t>PAGO DE FACT NCF B1500001455 POR ADQUISICION DE MEDICAMENTOS SEGUN O/C HSLM-2025-00246.</t>
  </si>
  <si>
    <t>PAGO DE FACT NCF B1500000358 POR ADQUISICION DE MEDICAMENTOS SEGUN O/C HSLM-2025-00126.</t>
  </si>
  <si>
    <t>PAGO DE FACT NCF E450000000702 POR ADQUISICION DE UTILES MEDICOS SEGUN O/C HSLM-2025-00249.</t>
  </si>
  <si>
    <t>PAGO DE FACT NCF B1500000109 POR ADQUISICION DE ALIMENTOS E INSUMOS DE DESPENSA SEGUN O/C HSLM-                                                                                                                  2025-00244.</t>
  </si>
  <si>
    <t>PAGO DE FACT NCF B1500000005 POR ADQUISICION DE ELECTRODOS NEUROLINE SEGUN O/C HSLM-2025-00197.</t>
  </si>
  <si>
    <t>PAGO DE FACT NCF B1500000173 POR ADQUISICION DE MEDICAMENTOS SEGUN O/C HSLM-2025-00155.</t>
  </si>
  <si>
    <t>PAGO DE FACT NCF B1500001288 POR ADQUISICION DE MEDICAMENTOS SEGUN O/C HSLM-2025-00269.</t>
  </si>
  <si>
    <t>PAGO DE FACT NCF  B1500001290 POR ADQUISICION DE MEDICAMENTOS SEGUN O/C HSLM-2025-00278.</t>
  </si>
  <si>
    <t>PAGO DE FACT NCF B1500000375 POR ADQUISICION DE UTILES MEDICOS SEGUN O/C HSLM-2025-00223.</t>
  </si>
  <si>
    <t>PAGO DE FACT NCF B1500000361 POR ADQUISICION DE MEDICAMENTOS SEGUN O/C HSLM-2025-00228.</t>
  </si>
  <si>
    <t>PAGO DE FACT NCF B1500000376 POR ADQUISICION DE UTILES MEDICOS SEGUN O/C HSLM-                                                                                                2025-00224.</t>
  </si>
  <si>
    <t>Pago de Fact NCF No. B1500000950, por adquisicion de util medico, según orden de compra HSLM-2024-01035</t>
  </si>
  <si>
    <t>Pago Fact NCF No. B1500001027, por adquisicion de util medico, según orden de compra HSLM-2025-00266</t>
  </si>
  <si>
    <t>Pago Fact NCF No. B1500001028, por adquisicion de util medico, según orden de compra HSLM-2025-00267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</si>
  <si>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</si>
  <si>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</si>
  <si>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</si>
  <si>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</si>
  <si>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</si>
  <si>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</si>
  <si>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</si>
  <si>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</si>
  <si>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</si>
  <si>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</si>
  <si>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18/03/2025</t>
  </si>
  <si>
    <t>19/03/2025</t>
  </si>
  <si>
    <t>20/03/2025</t>
  </si>
  <si>
    <t>21/03/2025</t>
  </si>
  <si>
    <t>24/03/2025</t>
  </si>
  <si>
    <t>25/03/2025</t>
  </si>
  <si>
    <t>27/03/2025</t>
  </si>
  <si>
    <t>28/03/2025</t>
  </si>
  <si>
    <t>31/03/2025</t>
  </si>
  <si>
    <t>RESUMEN</t>
  </si>
  <si>
    <t>TOTAL GENERAL</t>
  </si>
  <si>
    <t xml:space="preserve">valor de Transferencia o Cheque </t>
  </si>
  <si>
    <t>Odontologia (facturacion servicios no contemplado en Plan Basico)</t>
  </si>
  <si>
    <t>Aportes provenientes de convenios Institucionales</t>
  </si>
  <si>
    <t>Cuenta Núm.</t>
  </si>
  <si>
    <t>Balance en libro</t>
  </si>
  <si>
    <t>Balance en Banco</t>
  </si>
  <si>
    <t>Balance Conciliado</t>
  </si>
  <si>
    <t>____________________________________</t>
  </si>
  <si>
    <t>___________________________________</t>
  </si>
  <si>
    <t>________________________________</t>
  </si>
  <si>
    <r>
      <t xml:space="preserve">Establecimiento:      HOSPITAL MATERNO INFANTIL SAN LORENZO DE LOS MINA    Mes:   MARZO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</si>
  <si>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.</t>
  </si>
  <si>
    <t>FONDO 100(2.3)</t>
  </si>
  <si>
    <t>FONDO 100(2.6)</t>
  </si>
  <si>
    <t>ARS MAPHRE</t>
  </si>
  <si>
    <t>ARS RENACER, SA</t>
  </si>
  <si>
    <t>ARS FUTURO</t>
  </si>
  <si>
    <t>ARS ASEMAP</t>
  </si>
  <si>
    <t>ARS YUNEN</t>
  </si>
  <si>
    <t>ARS META SALUD</t>
  </si>
  <si>
    <t>ARS PRIMERA</t>
  </si>
  <si>
    <t>ARS MONUMENTAL</t>
  </si>
  <si>
    <t>ARS APS</t>
  </si>
  <si>
    <t>ARS SEMMA</t>
  </si>
  <si>
    <t>OTROS APORTES</t>
  </si>
  <si>
    <t>Bajo las funciones que nos asisten certificamos que el valor de los ingresos percibidos durante el mes de marzo de 2025, correspondieron a un monto de RD$108,365,700.73</t>
  </si>
  <si>
    <t>Dado a los 31 dias del mes de marzo del año 2025.</t>
  </si>
  <si>
    <t>010-390450-6</t>
  </si>
  <si>
    <t>DETALLE OBLIGACIONES CONTRAÍDAS PENDIENTES AL 31 DE MARZO 2025</t>
  </si>
  <si>
    <t>MARZO 2025</t>
  </si>
  <si>
    <t>BAAM &amp; ASOCIADOS</t>
  </si>
  <si>
    <t>Bio Desinfeccion, SRL</t>
  </si>
  <si>
    <t>Food Caraballo &amp; Nuñez</t>
  </si>
  <si>
    <t>Construvio Group, SRL</t>
  </si>
  <si>
    <t>Q&amp;Q Medical, SRL</t>
  </si>
  <si>
    <t>Hospitronica</t>
  </si>
  <si>
    <t>Cabod</t>
  </si>
  <si>
    <t>CEM Caribbean Equipment Medical</t>
  </si>
  <si>
    <t xml:space="preserve">ALCALDIA SANTO DOMINGO ESTE </t>
  </si>
  <si>
    <t>Global Multi-Pharma Dominicana THM, SRL</t>
  </si>
  <si>
    <t xml:space="preserve">REGULATORY </t>
  </si>
  <si>
    <t>Ciencia Tecnología y Consultas, SRL (CIENTEC)</t>
  </si>
  <si>
    <t>JM Distribución, SRL</t>
  </si>
  <si>
    <t>Super Latop Browsing SRL</t>
  </si>
  <si>
    <t>Agua Planeta Azul, SA</t>
  </si>
  <si>
    <t>31 DE MARZO 2025</t>
  </si>
  <si>
    <t>FUENTE FINANCIMIENTO</t>
  </si>
  <si>
    <t>VS/FG</t>
  </si>
  <si>
    <t>CONCEPTO</t>
  </si>
  <si>
    <t>SENASA POR ATENCION ODONTOLOGICA</t>
  </si>
  <si>
    <t>PAGO APLICADO EN EL MES DE DICIEMBRE CUBRIENDO DESDE ENERO A ABRIL RD$100,000.00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</si>
</sst>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dd/mm/yyyy;@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 Light"/>
      <family val="1"/>
      <scheme val="maj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0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8"/>
      <color theme="1"/>
      <name val="Times New Roman"/>
      <family val="1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 Light"/>
      <family val="2"/>
      <scheme val="maj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</cellStyleXfs>
  <cellXfs count="55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45" fillId="13" borderId="1" xfId="0" applyFont="1" applyFill="1" applyBorder="1" applyAlignment="1">
      <alignment horizontal="center" vertical="center" wrapText="1"/>
    </xf>
    <xf numFmtId="0" fontId="45" fillId="13" borderId="1" xfId="0" applyFont="1" applyFill="1" applyBorder="1" applyAlignment="1">
      <alignment horizontal="left" vertical="center" wrapText="1"/>
    </xf>
    <xf numFmtId="43" fontId="45" fillId="13" borderId="1" xfId="6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43" fontId="46" fillId="0" borderId="1" xfId="6" applyFont="1" applyFill="1" applyBorder="1"/>
    <xf numFmtId="43" fontId="46" fillId="0" borderId="1" xfId="6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7" fillId="0" borderId="1" xfId="0" applyFont="1" applyBorder="1"/>
    <xf numFmtId="0" fontId="43" fillId="0" borderId="0" xfId="0" applyFont="1"/>
    <xf numFmtId="43" fontId="43" fillId="15" borderId="1" xfId="6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left" vertical="center" wrapText="1"/>
    </xf>
    <xf numFmtId="43" fontId="43" fillId="16" borderId="1" xfId="6" applyFont="1" applyFill="1" applyBorder="1" applyAlignment="1">
      <alignment horizontal="center" vertical="center" wrapText="1"/>
    </xf>
    <xf numFmtId="0" fontId="43" fillId="16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7" borderId="1" xfId="6" applyFont="1" applyFill="1" applyBorder="1" applyAlignment="1">
      <alignment wrapText="1"/>
    </xf>
    <xf numFmtId="43" fontId="0" fillId="17" borderId="1" xfId="6" applyFont="1" applyFill="1" applyBorder="1"/>
    <xf numFmtId="0" fontId="43" fillId="17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6" borderId="1" xfId="0" applyNumberFormat="1" applyFont="1" applyFill="1" applyBorder="1" applyAlignment="1">
      <alignment horizontal="center" vertical="center" wrapText="1"/>
    </xf>
    <xf numFmtId="165" fontId="43" fillId="15" borderId="1" xfId="0" applyNumberFormat="1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right" wrapText="1"/>
    </xf>
    <xf numFmtId="43" fontId="43" fillId="17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7" borderId="0" xfId="0" applyFill="1"/>
    <xf numFmtId="43" fontId="43" fillId="17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7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8" fillId="0" borderId="0" xfId="0" applyFont="1"/>
    <xf numFmtId="0" fontId="43" fillId="19" borderId="40" xfId="0" applyFont="1" applyFill="1" applyBorder="1" applyAlignment="1">
      <alignment horizontal="center" vertical="center"/>
    </xf>
    <xf numFmtId="0" fontId="43" fillId="19" borderId="41" xfId="0" applyFont="1" applyFill="1" applyBorder="1" applyAlignment="1">
      <alignment horizontal="center" vertical="center"/>
    </xf>
    <xf numFmtId="0" fontId="43" fillId="19" borderId="4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" fontId="0" fillId="0" borderId="1" xfId="0" applyNumberFormat="1" applyBorder="1"/>
    <xf numFmtId="0" fontId="0" fillId="20" borderId="1" xfId="0" applyFill="1" applyBorder="1"/>
    <xf numFmtId="1" fontId="0" fillId="0" borderId="7" xfId="0" applyNumberFormat="1" applyBorder="1"/>
    <xf numFmtId="44" fontId="0" fillId="0" borderId="0" xfId="0" applyNumberFormat="1"/>
    <xf numFmtId="0" fontId="50" fillId="0" borderId="1" xfId="0" applyFont="1" applyBorder="1"/>
    <xf numFmtId="0" fontId="0" fillId="21" borderId="1" xfId="0" applyFill="1" applyBorder="1"/>
    <xf numFmtId="0" fontId="43" fillId="21" borderId="0" xfId="0" applyFont="1" applyFill="1" applyAlignment="1">
      <alignment horizontal="center" vertical="center" wrapText="1"/>
    </xf>
    <xf numFmtId="0" fontId="0" fillId="21" borderId="0" xfId="0" applyFill="1"/>
    <xf numFmtId="43" fontId="0" fillId="0" borderId="0" xfId="6" applyFont="1"/>
    <xf numFmtId="0" fontId="53" fillId="0" borderId="0" xfId="5" applyFont="1"/>
    <xf numFmtId="0" fontId="56" fillId="0" borderId="0" xfId="5" applyFont="1"/>
    <xf numFmtId="43" fontId="56" fillId="0" borderId="0" xfId="6" applyFont="1" applyFill="1" applyAlignment="1"/>
    <xf numFmtId="0" fontId="57" fillId="0" borderId="0" xfId="5" applyFont="1"/>
    <xf numFmtId="0" fontId="57" fillId="0" borderId="0" xfId="5" applyFont="1" applyAlignment="1">
      <alignment horizontal="left"/>
    </xf>
    <xf numFmtId="43" fontId="58" fillId="0" borderId="0" xfId="6" applyFont="1"/>
    <xf numFmtId="0" fontId="58" fillId="0" borderId="0" xfId="0" applyFont="1"/>
    <xf numFmtId="43" fontId="58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59" fillId="22" borderId="1" xfId="5" applyFont="1" applyFill="1" applyBorder="1" applyAlignment="1">
      <alignment horizontal="center" vertical="center"/>
    </xf>
    <xf numFmtId="0" fontId="59" fillId="23" borderId="1" xfId="5" applyFont="1" applyFill="1" applyBorder="1" applyAlignment="1">
      <alignment horizontal="center" vertical="center"/>
    </xf>
    <xf numFmtId="43" fontId="59" fillId="23" borderId="1" xfId="6" applyFont="1" applyFill="1" applyBorder="1" applyAlignment="1">
      <alignment horizontal="center" vertical="center"/>
    </xf>
    <xf numFmtId="0" fontId="53" fillId="0" borderId="1" xfId="5" applyFont="1" applyBorder="1" applyAlignment="1">
      <alignment horizontal="center"/>
    </xf>
    <xf numFmtId="0" fontId="53" fillId="0" borderId="1" xfId="5" applyFont="1" applyBorder="1" applyAlignment="1">
      <alignment horizontal="left" vertical="center"/>
    </xf>
    <xf numFmtId="43" fontId="53" fillId="0" borderId="1" xfId="6" applyFont="1" applyFill="1" applyBorder="1" applyAlignment="1">
      <alignment vertical="center"/>
    </xf>
    <xf numFmtId="43" fontId="53" fillId="0" borderId="1" xfId="6" applyFont="1" applyFill="1" applyBorder="1" applyAlignment="1">
      <alignment horizontal="left" vertical="center"/>
    </xf>
    <xf numFmtId="43" fontId="53" fillId="0" borderId="1" xfId="10" applyFont="1" applyFill="1" applyBorder="1" applyAlignment="1"/>
    <xf numFmtId="43" fontId="53" fillId="0" borderId="1" xfId="6" applyFont="1" applyFill="1" applyBorder="1" applyAlignment="1"/>
    <xf numFmtId="43" fontId="60" fillId="3" borderId="1" xfId="6" applyFont="1" applyFill="1" applyBorder="1" applyAlignment="1">
      <alignment horizontal="center" wrapText="1"/>
    </xf>
    <xf numFmtId="43" fontId="59" fillId="20" borderId="1" xfId="5" applyNumberFormat="1" applyFont="1" applyFill="1" applyBorder="1" applyAlignment="1">
      <alignment vertical="center"/>
    </xf>
    <xf numFmtId="43" fontId="59" fillId="20" borderId="1" xfId="5" applyNumberFormat="1" applyFont="1" applyFill="1" applyBorder="1" applyAlignment="1">
      <alignment horizontal="center" vertical="center"/>
    </xf>
    <xf numFmtId="43" fontId="59" fillId="20" borderId="1" xfId="6" applyFont="1" applyFill="1" applyBorder="1" applyAlignment="1">
      <alignment horizontal="center" vertical="center"/>
    </xf>
    <xf numFmtId="43" fontId="59" fillId="20" borderId="1" xfId="10" applyFont="1" applyFill="1" applyBorder="1" applyAlignment="1"/>
    <xf numFmtId="43" fontId="53" fillId="0" borderId="1" xfId="5" applyNumberFormat="1" applyFont="1" applyBorder="1" applyAlignment="1">
      <alignment vertical="center"/>
    </xf>
    <xf numFmtId="43" fontId="53" fillId="0" borderId="1" xfId="5" applyNumberFormat="1" applyFont="1" applyBorder="1" applyAlignment="1">
      <alignment horizontal="left" vertical="center"/>
    </xf>
    <xf numFmtId="43" fontId="61" fillId="0" borderId="1" xfId="10" applyFont="1" applyFill="1" applyBorder="1" applyAlignment="1">
      <alignment horizontal="center"/>
    </xf>
    <xf numFmtId="43" fontId="30" fillId="0" borderId="1" xfId="10" applyFont="1" applyFill="1" applyBorder="1" applyAlignment="1"/>
    <xf numFmtId="43" fontId="59" fillId="0" borderId="1" xfId="6" applyFont="1" applyFill="1" applyBorder="1" applyAlignment="1">
      <alignment horizontal="center"/>
    </xf>
    <xf numFmtId="43" fontId="61" fillId="0" borderId="1" xfId="6" applyFont="1" applyFill="1" applyBorder="1" applyAlignment="1">
      <alignment horizontal="center"/>
    </xf>
    <xf numFmtId="43" fontId="59" fillId="23" borderId="1" xfId="5" applyNumberFormat="1" applyFont="1" applyFill="1" applyBorder="1" applyAlignment="1">
      <alignment horizontal="center" vertical="center"/>
    </xf>
    <xf numFmtId="0" fontId="59" fillId="3" borderId="0" xfId="5" applyFont="1" applyFill="1" applyAlignment="1">
      <alignment horizontal="center" vertical="center"/>
    </xf>
    <xf numFmtId="43" fontId="59" fillId="3" borderId="0" xfId="5" applyNumberFormat="1" applyFont="1" applyFill="1" applyAlignment="1">
      <alignment horizontal="center" vertical="center"/>
    </xf>
    <xf numFmtId="43" fontId="59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3" fillId="0" borderId="0" xfId="10" applyFont="1" applyFill="1" applyBorder="1" applyAlignment="1"/>
    <xf numFmtId="43" fontId="53" fillId="0" borderId="0" xfId="6" applyFont="1" applyFill="1" applyBorder="1" applyAlignment="1"/>
    <xf numFmtId="17" fontId="53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3" fillId="0" borderId="0" xfId="5" applyNumberFormat="1" applyFont="1"/>
    <xf numFmtId="0" fontId="59" fillId="0" borderId="0" xfId="5" applyFont="1" applyAlignment="1">
      <alignment horizontal="left" vertical="center"/>
    </xf>
    <xf numFmtId="0" fontId="59" fillId="0" borderId="0" xfId="5" applyFont="1" applyAlignment="1">
      <alignment horizontal="center" vertical="center"/>
    </xf>
    <xf numFmtId="43" fontId="59" fillId="0" borderId="0" xfId="6" applyFont="1" applyFill="1" applyBorder="1" applyAlignment="1">
      <alignment horizontal="center" vertical="center"/>
    </xf>
    <xf numFmtId="17" fontId="62" fillId="0" borderId="0" xfId="5" applyNumberFormat="1" applyFont="1" applyAlignment="1">
      <alignment horizontal="left"/>
    </xf>
    <xf numFmtId="43" fontId="62" fillId="0" borderId="0" xfId="10" applyFont="1" applyFill="1" applyBorder="1" applyAlignment="1"/>
    <xf numFmtId="43" fontId="62" fillId="0" borderId="0" xfId="5" applyNumberFormat="1" applyFont="1"/>
    <xf numFmtId="0" fontId="62" fillId="0" borderId="0" xfId="5" applyFont="1"/>
    <xf numFmtId="43" fontId="62" fillId="0" borderId="0" xfId="6" applyFont="1" applyFill="1" applyBorder="1" applyAlignment="1"/>
    <xf numFmtId="0" fontId="59" fillId="0" borderId="0" xfId="5" applyFont="1" applyAlignment="1">
      <alignment horizontal="left"/>
    </xf>
    <xf numFmtId="43" fontId="59" fillId="0" borderId="0" xfId="5" applyNumberFormat="1" applyFont="1"/>
    <xf numFmtId="0" fontId="53" fillId="0" borderId="0" xfId="5" applyFont="1" applyAlignment="1">
      <alignment horizontal="left"/>
    </xf>
    <xf numFmtId="0" fontId="33" fillId="23" borderId="2" xfId="5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9" fontId="38" fillId="3" borderId="1" xfId="9" applyFont="1" applyFill="1" applyBorder="1" applyAlignment="1">
      <alignment horizontal="right" vertical="center"/>
    </xf>
    <xf numFmtId="4" fontId="38" fillId="0" borderId="1" xfId="3" applyNumberFormat="1" applyFont="1" applyBorder="1" applyAlignment="1">
      <alignment horizontal="center" vertical="center"/>
    </xf>
    <xf numFmtId="0" fontId="33" fillId="23" borderId="1" xfId="5" applyFont="1" applyFill="1" applyBorder="1" applyAlignment="1">
      <alignment horizontal="center" wrapText="1"/>
    </xf>
    <xf numFmtId="4" fontId="33" fillId="23" borderId="1" xfId="3" applyNumberFormat="1" applyFont="1" applyFill="1" applyBorder="1" applyAlignment="1">
      <alignment horizontal="right" vertical="center"/>
    </xf>
    <xf numFmtId="0" fontId="65" fillId="3" borderId="0" xfId="5" applyFont="1" applyFill="1" applyAlignment="1">
      <alignment horizontal="center"/>
    </xf>
    <xf numFmtId="3" fontId="65" fillId="3" borderId="0" xfId="5" applyNumberFormat="1" applyFont="1" applyFill="1" applyAlignment="1">
      <alignment horizontal="center" vertical="center"/>
    </xf>
    <xf numFmtId="0" fontId="66" fillId="0" borderId="0" xfId="0" applyFont="1"/>
    <xf numFmtId="0" fontId="43" fillId="19" borderId="1" xfId="0" applyFont="1" applyFill="1" applyBorder="1" applyAlignment="1">
      <alignment horizontal="center" vertical="center" wrapText="1"/>
    </xf>
    <xf numFmtId="0" fontId="43" fillId="19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8" fillId="0" borderId="1" xfId="11" applyFont="1" applyBorder="1" applyAlignment="1">
      <alignment vertical="center"/>
    </xf>
    <xf numFmtId="43" fontId="0" fillId="0" borderId="1" xfId="6" applyFont="1" applyFill="1" applyBorder="1" applyAlignment="1"/>
    <xf numFmtId="0" fontId="68" fillId="0" borderId="1" xfId="13" applyFont="1" applyBorder="1" applyAlignment="1">
      <alignment vertical="center"/>
    </xf>
    <xf numFmtId="0" fontId="68" fillId="0" borderId="1" xfId="0" applyFont="1" applyBorder="1" applyAlignment="1">
      <alignment vertical="center"/>
    </xf>
    <xf numFmtId="0" fontId="68" fillId="0" borderId="1" xfId="14" applyFont="1" applyBorder="1" applyAlignment="1">
      <alignment vertical="center"/>
    </xf>
    <xf numFmtId="0" fontId="68" fillId="0" borderId="1" xfId="15" applyFont="1" applyBorder="1" applyAlignment="1">
      <alignment vertical="center"/>
    </xf>
    <xf numFmtId="0" fontId="68" fillId="0" borderId="1" xfId="16" applyFont="1" applyBorder="1" applyAlignment="1">
      <alignment vertical="center"/>
    </xf>
    <xf numFmtId="0" fontId="68" fillId="0" borderId="1" xfId="12" applyFont="1" applyBorder="1" applyAlignment="1">
      <alignment vertical="center"/>
    </xf>
    <xf numFmtId="43" fontId="43" fillId="13" borderId="4" xfId="0" applyNumberFormat="1" applyFont="1" applyFill="1" applyBorder="1"/>
    <xf numFmtId="43" fontId="43" fillId="13" borderId="1" xfId="0" applyNumberFormat="1" applyFont="1" applyFill="1" applyBorder="1"/>
    <xf numFmtId="0" fontId="2" fillId="3" borderId="0" xfId="1" applyFill="1"/>
    <xf numFmtId="0" fontId="0" fillId="3" borderId="1" xfId="0" applyFill="1" applyBorder="1"/>
    <xf numFmtId="14" fontId="0" fillId="3" borderId="1" xfId="0" applyNumberFormat="1" applyFill="1" applyBorder="1"/>
    <xf numFmtId="1" fontId="0" fillId="3" borderId="1" xfId="0" applyNumberFormat="1" applyFill="1" applyBorder="1"/>
    <xf numFmtId="44" fontId="0" fillId="3" borderId="0" xfId="0" applyNumberFormat="1" applyFill="1"/>
    <xf numFmtId="0" fontId="59" fillId="23" borderId="1" xfId="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6" fillId="0" borderId="1" xfId="0" applyNumberFormat="1" applyFont="1" applyBorder="1" applyAlignment="1">
      <alignment horizontal="center"/>
    </xf>
    <xf numFmtId="43" fontId="39" fillId="0" borderId="1" xfId="6" applyFont="1" applyBorder="1" applyAlignment="1">
      <alignment horizontal="center"/>
    </xf>
    <xf numFmtId="0" fontId="39" fillId="0" borderId="1" xfId="6" applyNumberFormat="1" applyFont="1" applyBorder="1" applyAlignment="1">
      <alignment horizontal="center"/>
    </xf>
    <xf numFmtId="0" fontId="40" fillId="0" borderId="1" xfId="0" applyNumberFormat="1" applyFont="1" applyBorder="1" applyAlignment="1">
      <alignment horizontal="center"/>
    </xf>
    <xf numFmtId="0" fontId="43" fillId="0" borderId="1" xfId="0" applyNumberFormat="1" applyFont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43" fontId="43" fillId="0" borderId="1" xfId="6" applyFont="1" applyBorder="1" applyAlignment="1">
      <alignment horizontal="center"/>
    </xf>
    <xf numFmtId="43" fontId="0" fillId="0" borderId="6" xfId="6" applyFont="1" applyBorder="1" applyAlignment="1">
      <alignment horizontal="right"/>
    </xf>
    <xf numFmtId="43" fontId="0" fillId="0" borderId="6" xfId="6" applyFont="1" applyBorder="1"/>
    <xf numFmtId="1" fontId="46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166" fontId="45" fillId="13" borderId="1" xfId="0" applyNumberFormat="1" applyFont="1" applyFill="1" applyBorder="1" applyAlignment="1">
      <alignment horizontal="center" vertical="center" wrapText="1"/>
    </xf>
    <xf numFmtId="166" fontId="46" fillId="0" borderId="1" xfId="0" applyNumberFormat="1" applyFont="1" applyBorder="1" applyAlignment="1">
      <alignment horizontal="center"/>
    </xf>
    <xf numFmtId="166" fontId="0" fillId="0" borderId="0" xfId="0" applyNumberFormat="1"/>
    <xf numFmtId="43" fontId="45" fillId="13" borderId="1" xfId="6" applyFont="1" applyFill="1" applyBorder="1" applyAlignment="1">
      <alignment horizontal="left" vertical="center" wrapText="1"/>
    </xf>
    <xf numFmtId="1" fontId="46" fillId="0" borderId="1" xfId="0" applyNumberFormat="1" applyFont="1" applyBorder="1" applyAlignment="1">
      <alignment horizontal="left" wrapText="1"/>
    </xf>
    <xf numFmtId="0" fontId="0" fillId="3" borderId="2" xfId="0" applyFill="1" applyBorder="1" applyAlignment="1">
      <alignment vertical="center" wrapText="1"/>
    </xf>
    <xf numFmtId="43" fontId="43" fillId="0" borderId="0" xfId="6" applyFont="1"/>
    <xf numFmtId="43" fontId="40" fillId="0" borderId="0" xfId="6" applyFont="1" applyAlignment="1">
      <alignment horizontal="center"/>
    </xf>
    <xf numFmtId="43" fontId="43" fillId="19" borderId="41" xfId="6" applyFont="1" applyFill="1" applyBorder="1" applyAlignment="1">
      <alignment horizontal="center" vertical="center" wrapText="1"/>
    </xf>
    <xf numFmtId="43" fontId="0" fillId="3" borderId="1" xfId="6" applyFont="1" applyFill="1" applyBorder="1"/>
    <xf numFmtId="43" fontId="43" fillId="20" borderId="1" xfId="6" applyFont="1" applyFill="1" applyBorder="1"/>
    <xf numFmtId="43" fontId="43" fillId="21" borderId="1" xfId="6" applyFont="1" applyFill="1" applyBorder="1"/>
    <xf numFmtId="43" fontId="43" fillId="21" borderId="0" xfId="6" applyFont="1" applyFill="1"/>
    <xf numFmtId="43" fontId="43" fillId="0" borderId="0" xfId="6" applyFont="1" applyAlignment="1">
      <alignment horizontal="center"/>
    </xf>
    <xf numFmtId="166" fontId="0" fillId="0" borderId="1" xfId="0" applyNumberFormat="1" applyBorder="1"/>
    <xf numFmtId="43" fontId="0" fillId="0" borderId="20" xfId="6" applyFont="1" applyBorder="1"/>
    <xf numFmtId="43" fontId="0" fillId="0" borderId="38" xfId="6" applyFont="1" applyBorder="1"/>
    <xf numFmtId="9" fontId="4" fillId="4" borderId="1" xfId="9" applyFont="1" applyFill="1" applyBorder="1" applyAlignment="1">
      <alignment vertical="top"/>
    </xf>
    <xf numFmtId="10" fontId="38" fillId="3" borderId="1" xfId="9" applyNumberFormat="1" applyFont="1" applyFill="1" applyBorder="1" applyAlignment="1">
      <alignment horizontal="right" vertical="center"/>
    </xf>
    <xf numFmtId="10" fontId="33" fillId="23" borderId="1" xfId="9" applyNumberFormat="1" applyFont="1" applyFill="1" applyBorder="1" applyAlignment="1">
      <alignment horizontal="center" vertical="center"/>
    </xf>
    <xf numFmtId="0" fontId="39" fillId="17" borderId="27" xfId="0" applyFont="1" applyFill="1" applyBorder="1" applyAlignment="1">
      <alignment horizontal="center"/>
    </xf>
    <xf numFmtId="0" fontId="39" fillId="11" borderId="46" xfId="0" applyFont="1" applyFill="1" applyBorder="1" applyAlignment="1">
      <alignment horizontal="center"/>
    </xf>
    <xf numFmtId="0" fontId="39" fillId="11" borderId="41" xfId="0" applyFont="1" applyFill="1" applyBorder="1" applyAlignment="1">
      <alignment horizontal="center"/>
    </xf>
    <xf numFmtId="0" fontId="39" fillId="11" borderId="47" xfId="0" applyFont="1" applyFill="1" applyBorder="1" applyAlignment="1">
      <alignment horizontal="center"/>
    </xf>
    <xf numFmtId="0" fontId="39" fillId="17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" fontId="0" fillId="0" borderId="1" xfId="0" applyNumberFormat="1" applyBorder="1"/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7" xfId="0" applyFont="1" applyBorder="1"/>
    <xf numFmtId="0" fontId="43" fillId="0" borderId="45" xfId="0" applyFont="1" applyBorder="1"/>
    <xf numFmtId="44" fontId="43" fillId="0" borderId="45" xfId="8" applyFont="1" applyBorder="1"/>
    <xf numFmtId="44" fontId="43" fillId="0" borderId="38" xfId="8" applyFont="1" applyBorder="1"/>
    <xf numFmtId="0" fontId="43" fillId="0" borderId="0" xfId="0" applyFont="1" applyAlignment="1">
      <alignment horizontal="left"/>
    </xf>
    <xf numFmtId="43" fontId="43" fillId="17" borderId="1" xfId="6" applyFont="1" applyFill="1" applyBorder="1"/>
    <xf numFmtId="43" fontId="39" fillId="15" borderId="1" xfId="6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wrapText="1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left"/>
    </xf>
    <xf numFmtId="17" fontId="43" fillId="0" borderId="0" xfId="0" applyNumberFormat="1" applyFont="1"/>
    <xf numFmtId="0" fontId="43" fillId="0" borderId="16" xfId="0" applyFont="1" applyBorder="1"/>
    <xf numFmtId="43" fontId="48" fillId="3" borderId="20" xfId="6" applyFont="1" applyFill="1" applyBorder="1" applyAlignment="1">
      <alignment horizontal="center"/>
    </xf>
    <xf numFmtId="43" fontId="1" fillId="3" borderId="20" xfId="6" applyFont="1" applyFill="1" applyBorder="1"/>
    <xf numFmtId="4" fontId="0" fillId="0" borderId="0" xfId="0" applyNumberFormat="1"/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left" wrapText="1"/>
    </xf>
    <xf numFmtId="0" fontId="48" fillId="0" borderId="1" xfId="0" applyFont="1" applyBorder="1" applyAlignment="1">
      <alignment horizontal="justify" vertical="center"/>
    </xf>
    <xf numFmtId="0" fontId="48" fillId="0" borderId="1" xfId="0" applyFont="1" applyBorder="1"/>
    <xf numFmtId="0" fontId="46" fillId="0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3" fillId="0" borderId="6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/>
    </xf>
    <xf numFmtId="0" fontId="43" fillId="0" borderId="1" xfId="0" applyFont="1" applyBorder="1" applyAlignment="1">
      <alignment horizontal="left"/>
    </xf>
    <xf numFmtId="0" fontId="39" fillId="0" borderId="1" xfId="0" applyFont="1" applyBorder="1" applyAlignment="1"/>
    <xf numFmtId="0" fontId="39" fillId="0" borderId="1" xfId="0" applyFont="1" applyBorder="1"/>
    <xf numFmtId="0" fontId="48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9" fillId="0" borderId="41" xfId="0" applyFont="1" applyBorder="1" applyAlignment="1">
      <alignment horizontal="center"/>
    </xf>
    <xf numFmtId="0" fontId="39" fillId="0" borderId="41" xfId="0" applyFont="1" applyBorder="1" applyAlignment="1">
      <alignment horizontal="center" wrapText="1"/>
    </xf>
    <xf numFmtId="0" fontId="39" fillId="0" borderId="47" xfId="0" applyFont="1" applyBorder="1" applyAlignment="1">
      <alignment horizontal="center"/>
    </xf>
    <xf numFmtId="0" fontId="48" fillId="3" borderId="36" xfId="0" applyFont="1" applyFill="1" applyBorder="1" applyAlignment="1">
      <alignment horizontal="center"/>
    </xf>
    <xf numFmtId="0" fontId="48" fillId="3" borderId="36" xfId="0" applyFont="1" applyFill="1" applyBorder="1" applyAlignment="1">
      <alignment horizontal="center" wrapText="1"/>
    </xf>
    <xf numFmtId="43" fontId="48" fillId="3" borderId="35" xfId="6" applyFont="1" applyFill="1" applyBorder="1" applyAlignment="1">
      <alignment horizontal="center"/>
    </xf>
    <xf numFmtId="43" fontId="1" fillId="0" borderId="20" xfId="6" applyFont="1" applyFill="1" applyBorder="1"/>
    <xf numFmtId="0" fontId="0" fillId="0" borderId="45" xfId="0" applyBorder="1"/>
    <xf numFmtId="0" fontId="0" fillId="0" borderId="45" xfId="0" applyBorder="1" applyAlignment="1">
      <alignment horizontal="center"/>
    </xf>
    <xf numFmtId="0" fontId="48" fillId="3" borderId="36" xfId="0" applyFont="1" applyFill="1" applyBorder="1" applyAlignment="1">
      <alignment horizontal="left" wrapText="1"/>
    </xf>
    <xf numFmtId="43" fontId="43" fillId="14" borderId="32" xfId="6" applyFont="1" applyFill="1" applyBorder="1" applyAlignment="1"/>
    <xf numFmtId="166" fontId="0" fillId="0" borderId="1" xfId="0" applyNumberFormat="1" applyBorder="1" applyAlignment="1"/>
    <xf numFmtId="1" fontId="46" fillId="0" borderId="1" xfId="1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justify" vertical="center"/>
    </xf>
    <xf numFmtId="0" fontId="0" fillId="0" borderId="1" xfId="0" applyFont="1" applyFill="1" applyBorder="1" applyAlignment="1"/>
    <xf numFmtId="43" fontId="1" fillId="0" borderId="1" xfId="6" applyFont="1" applyFill="1" applyBorder="1" applyAlignment="1"/>
    <xf numFmtId="43" fontId="0" fillId="0" borderId="1" xfId="0" applyNumberFormat="1" applyFont="1" applyFill="1" applyBorder="1" applyAlignment="1"/>
    <xf numFmtId="166" fontId="43" fillId="0" borderId="1" xfId="0" applyNumberFormat="1" applyFont="1" applyBorder="1" applyAlignment="1"/>
    <xf numFmtId="166" fontId="43" fillId="0" borderId="1" xfId="0" applyNumberFormat="1" applyFont="1" applyBorder="1"/>
    <xf numFmtId="0" fontId="71" fillId="24" borderId="1" xfId="0" applyFont="1" applyFill="1" applyBorder="1" applyAlignment="1">
      <alignment horizontal="center"/>
    </xf>
    <xf numFmtId="0" fontId="71" fillId="24" borderId="5" xfId="0" applyFont="1" applyFill="1" applyBorder="1"/>
    <xf numFmtId="0" fontId="0" fillId="0" borderId="2" xfId="0" applyFill="1" applyBorder="1" applyAlignment="1">
      <alignment vertical="center" wrapText="1"/>
    </xf>
    <xf numFmtId="14" fontId="0" fillId="0" borderId="1" xfId="0" applyNumberFormat="1" applyFill="1" applyBorder="1"/>
    <xf numFmtId="1" fontId="0" fillId="0" borderId="1" xfId="0" applyNumberFormat="1" applyFill="1" applyBorder="1"/>
    <xf numFmtId="0" fontId="0" fillId="0" borderId="1" xfId="0" applyFill="1" applyBorder="1"/>
    <xf numFmtId="14" fontId="51" fillId="0" borderId="1" xfId="5" applyNumberFormat="1" applyFont="1" applyFill="1" applyBorder="1"/>
    <xf numFmtId="0" fontId="0" fillId="0" borderId="2" xfId="0" applyFont="1" applyFill="1" applyBorder="1" applyAlignment="1">
      <alignment wrapText="1"/>
    </xf>
    <xf numFmtId="1" fontId="0" fillId="0" borderId="1" xfId="0" applyNumberFormat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wrapText="1"/>
    </xf>
    <xf numFmtId="0" fontId="0" fillId="0" borderId="2" xfId="0" applyFont="1" applyFill="1" applyBorder="1"/>
    <xf numFmtId="43" fontId="0" fillId="0" borderId="1" xfId="6" applyFont="1" applyFill="1" applyBorder="1"/>
    <xf numFmtId="43" fontId="72" fillId="0" borderId="1" xfId="6" applyFont="1" applyFill="1" applyBorder="1"/>
    <xf numFmtId="43" fontId="51" fillId="0" borderId="1" xfId="6" applyFont="1" applyFill="1" applyBorder="1"/>
    <xf numFmtId="43" fontId="71" fillId="0" borderId="0" xfId="6" applyFont="1"/>
    <xf numFmtId="43" fontId="50" fillId="0" borderId="1" xfId="6" applyFont="1" applyBorder="1"/>
    <xf numFmtId="43" fontId="50" fillId="0" borderId="1" xfId="6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50" fillId="0" borderId="1" xfId="0" applyFont="1" applyFill="1" applyBorder="1"/>
    <xf numFmtId="43" fontId="43" fillId="0" borderId="1" xfId="6" applyFont="1" applyFill="1" applyBorder="1"/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5" borderId="50" xfId="0" applyFill="1" applyBorder="1"/>
    <xf numFmtId="0" fontId="0" fillId="25" borderId="50" xfId="0" applyFill="1" applyBorder="1" applyAlignment="1">
      <alignment wrapText="1"/>
    </xf>
    <xf numFmtId="43" fontId="43" fillId="25" borderId="51" xfId="6" applyFont="1" applyFill="1" applyBorder="1"/>
    <xf numFmtId="0" fontId="43" fillId="25" borderId="50" xfId="0" applyFont="1" applyFill="1" applyBorder="1"/>
    <xf numFmtId="43" fontId="69" fillId="0" borderId="1" xfId="6" applyFont="1" applyBorder="1" applyAlignment="1">
      <alignment horizontal="left" vertical="center"/>
    </xf>
    <xf numFmtId="14" fontId="69" fillId="0" borderId="1" xfId="6" applyNumberFormat="1" applyFont="1" applyBorder="1" applyAlignment="1">
      <alignment horizontal="left" vertical="center"/>
    </xf>
    <xf numFmtId="14" fontId="69" fillId="0" borderId="3" xfId="6" applyNumberFormat="1" applyFont="1" applyBorder="1" applyAlignment="1">
      <alignment horizontal="left" vertical="center"/>
    </xf>
    <xf numFmtId="43" fontId="43" fillId="19" borderId="1" xfId="6" applyFont="1" applyFill="1" applyBorder="1" applyAlignment="1">
      <alignment vertical="center" wrapText="1"/>
    </xf>
    <xf numFmtId="0" fontId="50" fillId="0" borderId="1" xfId="0" applyFont="1" applyBorder="1" applyAlignment="1">
      <alignment horizontal="justify" vertical="center"/>
    </xf>
    <xf numFmtId="0" fontId="50" fillId="0" borderId="1" xfId="0" applyFont="1" applyBorder="1" applyAlignment="1">
      <alignment horizontal="left" wrapText="1"/>
    </xf>
    <xf numFmtId="166" fontId="43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0" fontId="43" fillId="0" borderId="1" xfId="9" applyNumberFormat="1" applyFont="1" applyBorder="1" applyAlignment="1">
      <alignment horizontal="center"/>
    </xf>
    <xf numFmtId="43" fontId="0" fillId="0" borderId="20" xfId="6" applyFont="1" applyBorder="1" applyAlignment="1">
      <alignment horizontal="center"/>
    </xf>
    <xf numFmtId="43" fontId="0" fillId="0" borderId="0" xfId="0" applyNumberFormat="1" applyAlignment="1">
      <alignment horizontal="center"/>
    </xf>
    <xf numFmtId="43" fontId="43" fillId="0" borderId="38" xfId="0" applyNumberFormat="1" applyFont="1" applyBorder="1" applyAlignment="1">
      <alignment horizontal="center"/>
    </xf>
    <xf numFmtId="0" fontId="39" fillId="0" borderId="41" xfId="0" applyFont="1" applyBorder="1" applyAlignment="1">
      <alignment horizontal="left"/>
    </xf>
    <xf numFmtId="0" fontId="70" fillId="3" borderId="36" xfId="0" applyFont="1" applyFill="1" applyBorder="1" applyAlignment="1">
      <alignment horizontal="left"/>
    </xf>
    <xf numFmtId="0" fontId="70" fillId="3" borderId="1" xfId="0" applyFont="1" applyFill="1" applyBorder="1" applyAlignment="1">
      <alignment horizontal="left"/>
    </xf>
    <xf numFmtId="0" fontId="50" fillId="3" borderId="1" xfId="0" applyFont="1" applyFill="1" applyBorder="1" applyAlignment="1">
      <alignment horizontal="left"/>
    </xf>
    <xf numFmtId="0" fontId="5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50" fillId="0" borderId="45" xfId="0" applyFont="1" applyBorder="1" applyAlignment="1">
      <alignment horizontal="left"/>
    </xf>
    <xf numFmtId="0" fontId="0" fillId="25" borderId="50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9" fillId="0" borderId="40" xfId="0" applyFont="1" applyBorder="1" applyAlignment="1">
      <alignment horizontal="left"/>
    </xf>
    <xf numFmtId="166" fontId="48" fillId="3" borderId="34" xfId="0" applyNumberFormat="1" applyFont="1" applyFill="1" applyBorder="1" applyAlignment="1">
      <alignment horizontal="left"/>
    </xf>
    <xf numFmtId="166" fontId="48" fillId="3" borderId="22" xfId="0" applyNumberFormat="1" applyFont="1" applyFill="1" applyBorder="1" applyAlignment="1">
      <alignment horizontal="left"/>
    </xf>
    <xf numFmtId="166" fontId="0" fillId="3" borderId="22" xfId="0" applyNumberFormat="1" applyFont="1" applyFill="1" applyBorder="1" applyAlignment="1">
      <alignment horizontal="left"/>
    </xf>
    <xf numFmtId="166" fontId="0" fillId="3" borderId="37" xfId="0" applyNumberFormat="1" applyFont="1" applyFill="1" applyBorder="1" applyAlignment="1">
      <alignment horizontal="left"/>
    </xf>
    <xf numFmtId="0" fontId="43" fillId="0" borderId="0" xfId="0" applyFont="1" applyAlignment="1">
      <alignment horizontal="left" wrapText="1"/>
    </xf>
    <xf numFmtId="0" fontId="48" fillId="3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43" fillId="0" borderId="1" xfId="0" applyFont="1" applyBorder="1" applyAlignment="1">
      <alignment horizontal="left" wrapText="1"/>
    </xf>
    <xf numFmtId="0" fontId="43" fillId="0" borderId="45" xfId="0" applyFont="1" applyBorder="1" applyAlignment="1">
      <alignment horizontal="left" wrapText="1"/>
    </xf>
    <xf numFmtId="0" fontId="43" fillId="25" borderId="50" xfId="0" applyFont="1" applyFill="1" applyBorder="1" applyAlignment="1">
      <alignment horizontal="left" wrapText="1"/>
    </xf>
    <xf numFmtId="0" fontId="0" fillId="25" borderId="50" xfId="0" applyFill="1" applyBorder="1" applyAlignment="1">
      <alignment horizontal="center"/>
    </xf>
    <xf numFmtId="166" fontId="43" fillId="0" borderId="34" xfId="0" applyNumberFormat="1" applyFont="1" applyBorder="1" applyAlignment="1">
      <alignment horizontal="center"/>
    </xf>
    <xf numFmtId="166" fontId="43" fillId="0" borderId="36" xfId="0" applyNumberFormat="1" applyFont="1" applyBorder="1" applyAlignment="1">
      <alignment horizontal="center"/>
    </xf>
    <xf numFmtId="166" fontId="43" fillId="0" borderId="35" xfId="0" applyNumberFormat="1" applyFont="1" applyBorder="1" applyAlignment="1">
      <alignment horizontal="center"/>
    </xf>
    <xf numFmtId="166" fontId="43" fillId="0" borderId="37" xfId="0" applyNumberFormat="1" applyFont="1" applyBorder="1" applyAlignment="1">
      <alignment horizontal="center"/>
    </xf>
    <xf numFmtId="166" fontId="43" fillId="0" borderId="45" xfId="0" applyNumberFormat="1" applyFont="1" applyBorder="1" applyAlignment="1">
      <alignment horizontal="center"/>
    </xf>
    <xf numFmtId="166" fontId="0" fillId="0" borderId="21" xfId="0" applyNumberFormat="1" applyBorder="1" applyAlignment="1">
      <alignment horizontal="left"/>
    </xf>
    <xf numFmtId="166" fontId="0" fillId="0" borderId="3" xfId="0" applyNumberFormat="1" applyBorder="1" applyAlignment="1">
      <alignment horizontal="left"/>
    </xf>
    <xf numFmtId="0" fontId="43" fillId="0" borderId="0" xfId="0" applyFont="1" applyAlignment="1">
      <alignment horizontal="center"/>
    </xf>
    <xf numFmtId="0" fontId="4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0" fontId="43" fillId="14" borderId="26" xfId="0" applyFont="1" applyFill="1" applyBorder="1" applyAlignment="1">
      <alignment horizontal="right"/>
    </xf>
    <xf numFmtId="0" fontId="43" fillId="14" borderId="32" xfId="0" applyFont="1" applyFill="1" applyBorder="1" applyAlignment="1">
      <alignment horizontal="right"/>
    </xf>
    <xf numFmtId="166" fontId="0" fillId="0" borderId="0" xfId="0" applyNumberFormat="1" applyAlignment="1">
      <alignment horizontal="center"/>
    </xf>
    <xf numFmtId="0" fontId="40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Border="1" applyAlignment="1">
      <alignment horizontal="center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4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43" fontId="41" fillId="0" borderId="16" xfId="6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9" fillId="18" borderId="2" xfId="0" applyFont="1" applyFill="1" applyBorder="1" applyAlignment="1">
      <alignment horizontal="center" vertical="center" wrapText="1"/>
    </xf>
    <xf numFmtId="0" fontId="39" fillId="18" borderId="7" xfId="0" applyFont="1" applyFill="1" applyBorder="1" applyAlignment="1">
      <alignment horizontal="center" vertical="center" wrapText="1"/>
    </xf>
    <xf numFmtId="0" fontId="39" fillId="18" borderId="6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3" fillId="17" borderId="5" xfId="0" applyFont="1" applyFill="1" applyBorder="1" applyAlignment="1">
      <alignment horizontal="center"/>
    </xf>
    <xf numFmtId="0" fontId="43" fillId="17" borderId="4" xfId="0" applyFont="1" applyFill="1" applyBorder="1" applyAlignment="1">
      <alignment horizontal="center"/>
    </xf>
    <xf numFmtId="0" fontId="43" fillId="17" borderId="3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9" fillId="17" borderId="49" xfId="0" applyFont="1" applyFill="1" applyBorder="1" applyAlignment="1">
      <alignment horizontal="center"/>
    </xf>
    <xf numFmtId="0" fontId="39" fillId="17" borderId="5" xfId="0" applyFont="1" applyFill="1" applyBorder="1" applyAlignment="1">
      <alignment horizontal="center"/>
    </xf>
    <xf numFmtId="0" fontId="39" fillId="17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48" xfId="0" applyFont="1" applyFill="1" applyBorder="1" applyAlignment="1">
      <alignment horizontal="center"/>
    </xf>
    <xf numFmtId="0" fontId="40" fillId="0" borderId="32" xfId="0" applyFont="1" applyBorder="1" applyAlignment="1">
      <alignment horizontal="center"/>
    </xf>
    <xf numFmtId="0" fontId="39" fillId="17" borderId="43" xfId="0" applyFont="1" applyFill="1" applyBorder="1" applyAlignment="1">
      <alignment horizontal="center"/>
    </xf>
    <xf numFmtId="0" fontId="39" fillId="17" borderId="44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43" fillId="20" borderId="1" xfId="0" applyFont="1" applyFill="1" applyBorder="1" applyAlignment="1">
      <alignment horizontal="center" vertical="center" wrapText="1"/>
    </xf>
    <xf numFmtId="0" fontId="43" fillId="20" borderId="5" xfId="0" applyFont="1" applyFill="1" applyBorder="1" applyAlignment="1">
      <alignment horizontal="center" vertical="center" wrapText="1"/>
    </xf>
    <xf numFmtId="0" fontId="43" fillId="20" borderId="3" xfId="0" applyFont="1" applyFill="1" applyBorder="1" applyAlignment="1">
      <alignment horizontal="center" vertical="center" wrapText="1"/>
    </xf>
    <xf numFmtId="0" fontId="43" fillId="21" borderId="5" xfId="0" applyFont="1" applyFill="1" applyBorder="1" applyAlignment="1">
      <alignment horizontal="center" vertical="center" wrapText="1"/>
    </xf>
    <xf numFmtId="0" fontId="43" fillId="21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41" fillId="0" borderId="0" xfId="0" applyFont="1" applyAlignment="1">
      <alignment horizontal="center"/>
    </xf>
    <xf numFmtId="0" fontId="43" fillId="19" borderId="1" xfId="0" applyFont="1" applyFill="1" applyBorder="1" applyAlignment="1">
      <alignment horizontal="center"/>
    </xf>
    <xf numFmtId="0" fontId="43" fillId="0" borderId="39" xfId="0" applyFont="1" applyBorder="1" applyAlignment="1">
      <alignment horizontal="left"/>
    </xf>
    <xf numFmtId="0" fontId="43" fillId="3" borderId="2" xfId="0" applyFont="1" applyFill="1" applyBorder="1" applyAlignment="1">
      <alignment horizontal="center" vertical="center"/>
    </xf>
    <xf numFmtId="0" fontId="43" fillId="3" borderId="7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3" fillId="13" borderId="5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59" fillId="23" borderId="42" xfId="5" applyFont="1" applyFill="1" applyBorder="1" applyAlignment="1">
      <alignment horizontal="center" vertical="center"/>
    </xf>
    <xf numFmtId="0" fontId="59" fillId="20" borderId="1" xfId="5" applyFont="1" applyFill="1" applyBorder="1" applyAlignment="1">
      <alignment horizontal="center" vertical="center"/>
    </xf>
    <xf numFmtId="0" fontId="59" fillId="23" borderId="1" xfId="5" applyFont="1" applyFill="1" applyBorder="1" applyAlignment="1">
      <alignment horizontal="center" vertical="center"/>
    </xf>
    <xf numFmtId="0" fontId="52" fillId="0" borderId="0" xfId="5" applyFont="1" applyAlignment="1">
      <alignment horizontal="center"/>
    </xf>
    <xf numFmtId="0" fontId="54" fillId="0" borderId="0" xfId="5" applyFont="1" applyAlignment="1">
      <alignment horizontal="center"/>
    </xf>
    <xf numFmtId="0" fontId="55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59" fillId="22" borderId="28" xfId="5" applyFont="1" applyFill="1" applyBorder="1" applyAlignment="1">
      <alignment horizontal="center" vertical="center"/>
    </xf>
    <xf numFmtId="0" fontId="59" fillId="22" borderId="42" xfId="5" applyFont="1" applyFill="1" applyBorder="1" applyAlignment="1">
      <alignment horizontal="center" vertical="center"/>
    </xf>
    <xf numFmtId="0" fontId="59" fillId="23" borderId="43" xfId="5" applyFont="1" applyFill="1" applyBorder="1" applyAlignment="1">
      <alignment horizontal="center" vertical="center"/>
    </xf>
    <xf numFmtId="0" fontId="59" fillId="23" borderId="44" xfId="5" applyFont="1" applyFill="1" applyBorder="1" applyAlignment="1">
      <alignment horizontal="center" vertical="center"/>
    </xf>
    <xf numFmtId="0" fontId="56" fillId="0" borderId="0" xfId="5" applyFont="1" applyAlignment="1">
      <alignment horizontal="center" wrapText="1"/>
    </xf>
    <xf numFmtId="0" fontId="56" fillId="0" borderId="0" xfId="5" applyFont="1" applyAlignment="1">
      <alignment horizontal="center"/>
    </xf>
  </cellXfs>
  <cellStyles count="17">
    <cellStyle name="Millares" xfId="6" builtinId="3"/>
    <cellStyle name="Millares 2" xfId="3"/>
    <cellStyle name="Millares 2 2" xfId="4"/>
    <cellStyle name="Millares 2 4" xfId="10"/>
    <cellStyle name="Millares 3" xfId="7"/>
    <cellStyle name="Moneda" xfId="8" builtinId="4"/>
    <cellStyle name="Normal" xfId="0" builtinId="0"/>
    <cellStyle name="Normal 10" xfId="13"/>
    <cellStyle name="Normal 11" xfId="14"/>
    <cellStyle name="Normal 12 3" xfId="16"/>
    <cellStyle name="Normal 17" xfId="11"/>
    <cellStyle name="Normal 2" xfId="1"/>
    <cellStyle name="Normal 2 2" xfId="5"/>
    <cellStyle name="Normal 2 4" xfId="12"/>
    <cellStyle name="Normal 9" xfId="15"/>
    <cellStyle name="Porcentaje" xfId="9" builtinId="5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58511</xdr:colOff>
      <xdr:row>0</xdr:row>
      <xdr:rowOff>91168</xdr:rowOff>
    </xdr:from>
    <xdr:to>
      <xdr:col>1</xdr:col>
      <xdr:colOff>834208</xdr:colOff>
      <xdr:row>3</xdr:row>
      <xdr:rowOff>148318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1" y="91168"/>
          <a:ext cx="1566612" cy="618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2219325</xdr:colOff>
      <xdr:row>2</xdr:row>
      <xdr:rowOff>210608</xdr:rowOff>
    </xdr:from>
    <xdr:ext cx="1304925" cy="456142"/>
    <xdr:pic>
      <xdr:nvPicPr>
        <xdr:cNvPr id="2" name="Imagen 1">
          <a:extLst>
            <a:ext uri="{FF2B5EF4-FFF2-40B4-BE49-F238E27FC236}">
              <a16:creationId xmlns:a16="http://schemas.microsoft.com/office/drawing/2014/main" xmlns="" id="{BEB0E77B-E60C-499E-AA30-E79B408F3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5492" y="591608"/>
          <a:ext cx="1304925" cy="456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249998</xdr:colOff>
      <xdr:row>0</xdr:row>
      <xdr:rowOff>208572</xdr:rowOff>
    </xdr:from>
    <xdr:to>
      <xdr:col>13</xdr:col>
      <xdr:colOff>360405</xdr:colOff>
      <xdr:row>3</xdr:row>
      <xdr:rowOff>171622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61B00640-E973-49DE-A178-92036C310B46}"/>
            </a:ext>
          </a:extLst>
        </xdr:cNvPr>
        <xdr:cNvSpPr/>
      </xdr:nvSpPr>
      <xdr:spPr>
        <a:xfrm>
          <a:off x="11584748" y="208572"/>
          <a:ext cx="900982" cy="6774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LOGO</a:t>
          </a:r>
        </a:p>
      </xdr:txBody>
    </xdr:sp>
    <xdr:clientData/>
  </xdr:twoCellAnchor>
  <xdr:twoCellAnchor>
    <xdr:from>
      <xdr:col>0</xdr:col>
      <xdr:colOff>514865</xdr:colOff>
      <xdr:row>1</xdr:row>
      <xdr:rowOff>9697</xdr:rowOff>
    </xdr:from>
    <xdr:to>
      <xdr:col>0</xdr:col>
      <xdr:colOff>1414731</xdr:colOff>
      <xdr:row>4</xdr:row>
      <xdr:rowOff>10847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5501D967-CC0C-47E9-AC1A-6CCADC38437D}"/>
            </a:ext>
          </a:extLst>
        </xdr:cNvPr>
        <xdr:cNvSpPr/>
      </xdr:nvSpPr>
      <xdr:spPr>
        <a:xfrm>
          <a:off x="514865" y="247822"/>
          <a:ext cx="899866" cy="6774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LOGO MIN.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(si</a:t>
          </a:r>
          <a:r>
            <a:rPr lang="en-US" sz="1100" baseline="0">
              <a:solidFill>
                <a:sysClr val="windowText" lastClr="000000"/>
              </a:solidFill>
            </a:rPr>
            <a:t> aplica)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26"/>
  <sheetViews>
    <sheetView view="pageBreakPreview" topLeftCell="A148" zoomScale="112" zoomScaleNormal="90" zoomScaleSheetLayoutView="112" workbookViewId="0">
      <selection activeCell="D223" sqref="D223"/>
    </sheetView>
  </sheetViews>
  <sheetFormatPr baseColWidth="10" defaultRowHeight="15" x14ac:dyDescent="0.25"/>
  <cols>
    <col min="1" max="1" width="11.85546875" style="290" bestFit="1" customWidth="1"/>
    <col min="2" max="2" width="17.7109375" style="391" customWidth="1"/>
    <col min="3" max="4" width="18.85546875" style="391" customWidth="1"/>
    <col min="5" max="5" width="51.5703125" style="287" customWidth="1"/>
    <col min="6" max="6" width="43.28515625" style="287" customWidth="1"/>
    <col min="7" max="7" width="15.140625" style="190" bestFit="1" customWidth="1"/>
    <col min="8" max="8" width="16.42578125" customWidth="1"/>
  </cols>
  <sheetData>
    <row r="5" spans="1:8" x14ac:dyDescent="0.25">
      <c r="A5" s="437" t="s">
        <v>425</v>
      </c>
      <c r="B5" s="437"/>
      <c r="C5" s="437"/>
      <c r="D5" s="437"/>
      <c r="E5" s="437"/>
      <c r="F5" s="437"/>
      <c r="G5" s="437"/>
      <c r="H5" s="437"/>
    </row>
    <row r="6" spans="1:8" x14ac:dyDescent="0.25">
      <c r="A6" s="438" t="s">
        <v>426</v>
      </c>
      <c r="B6" s="438"/>
      <c r="C6" s="438"/>
      <c r="D6" s="438"/>
      <c r="E6" s="438"/>
      <c r="F6" s="438"/>
      <c r="G6" s="438"/>
      <c r="H6" s="438"/>
    </row>
    <row r="7" spans="1:8" x14ac:dyDescent="0.25">
      <c r="A7" s="439" t="s">
        <v>883</v>
      </c>
      <c r="B7" s="439"/>
      <c r="C7" s="439"/>
      <c r="D7" s="439"/>
      <c r="E7" s="439"/>
      <c r="F7" s="439"/>
      <c r="G7" s="439"/>
      <c r="H7" s="439"/>
    </row>
    <row r="8" spans="1:8" x14ac:dyDescent="0.25">
      <c r="A8" s="443"/>
      <c r="B8" s="443"/>
      <c r="C8" s="443"/>
      <c r="D8" s="443"/>
      <c r="E8" s="443"/>
      <c r="F8" s="443"/>
      <c r="G8" s="443"/>
      <c r="H8" s="443"/>
    </row>
    <row r="9" spans="1:8" s="132" customFormat="1" x14ac:dyDescent="0.25">
      <c r="A9" s="440" t="s">
        <v>799</v>
      </c>
      <c r="B9" s="440"/>
      <c r="C9" s="440"/>
      <c r="D9" s="440"/>
      <c r="E9" s="440"/>
      <c r="F9" s="440"/>
      <c r="G9" s="440"/>
      <c r="H9" s="440"/>
    </row>
    <row r="10" spans="1:8" ht="27" x14ac:dyDescent="0.25">
      <c r="A10" s="288" t="s">
        <v>374</v>
      </c>
      <c r="B10" s="133" t="s">
        <v>428</v>
      </c>
      <c r="C10" s="133" t="s">
        <v>429</v>
      </c>
      <c r="D10" s="133" t="s">
        <v>430</v>
      </c>
      <c r="E10" s="134" t="s">
        <v>431</v>
      </c>
      <c r="F10" s="291" t="s">
        <v>432</v>
      </c>
      <c r="G10" s="135" t="s">
        <v>433</v>
      </c>
      <c r="H10" s="135" t="s">
        <v>434</v>
      </c>
    </row>
    <row r="11" spans="1:8" ht="15.75" x14ac:dyDescent="0.3">
      <c r="A11" s="289">
        <v>45719</v>
      </c>
      <c r="B11" s="276"/>
      <c r="C11" s="136">
        <v>58</v>
      </c>
      <c r="D11" s="136"/>
      <c r="E11" s="286" t="s">
        <v>800</v>
      </c>
      <c r="F11" s="292" t="s">
        <v>801</v>
      </c>
      <c r="G11" s="137">
        <v>760000</v>
      </c>
      <c r="H11" s="138">
        <v>722000</v>
      </c>
    </row>
    <row r="12" spans="1:8" ht="15.75" x14ac:dyDescent="0.3">
      <c r="A12" s="289">
        <v>45719</v>
      </c>
      <c r="B12" s="276"/>
      <c r="C12" s="136">
        <v>59</v>
      </c>
      <c r="D12" s="136"/>
      <c r="E12" s="286" t="s">
        <v>784</v>
      </c>
      <c r="F12" s="292" t="s">
        <v>802</v>
      </c>
      <c r="G12" s="137">
        <v>192930</v>
      </c>
      <c r="H12" s="138">
        <v>184755</v>
      </c>
    </row>
    <row r="13" spans="1:8" ht="15.75" x14ac:dyDescent="0.3">
      <c r="A13" s="289">
        <v>45721</v>
      </c>
      <c r="B13" s="276"/>
      <c r="C13" s="136">
        <v>60</v>
      </c>
      <c r="D13" s="136"/>
      <c r="E13" s="286" t="s">
        <v>803</v>
      </c>
      <c r="F13" s="292" t="s">
        <v>804</v>
      </c>
      <c r="G13" s="137">
        <v>48852</v>
      </c>
      <c r="H13" s="138">
        <v>46782</v>
      </c>
    </row>
    <row r="14" spans="1:8" ht="15.75" x14ac:dyDescent="0.3">
      <c r="A14" s="289">
        <v>45721</v>
      </c>
      <c r="B14" s="276"/>
      <c r="C14" s="136">
        <v>61</v>
      </c>
      <c r="D14" s="136"/>
      <c r="E14" s="286" t="s">
        <v>805</v>
      </c>
      <c r="F14" s="292" t="s">
        <v>806</v>
      </c>
      <c r="G14" s="137">
        <v>188564</v>
      </c>
      <c r="H14" s="138">
        <v>180574</v>
      </c>
    </row>
    <row r="15" spans="1:8" ht="15.75" x14ac:dyDescent="0.3">
      <c r="A15" s="289">
        <v>45721</v>
      </c>
      <c r="B15" s="276"/>
      <c r="C15" s="136">
        <v>62</v>
      </c>
      <c r="D15" s="136"/>
      <c r="E15" s="286" t="s">
        <v>807</v>
      </c>
      <c r="F15" s="292" t="s">
        <v>808</v>
      </c>
      <c r="G15" s="137">
        <v>42000</v>
      </c>
      <c r="H15" s="138">
        <v>39900</v>
      </c>
    </row>
    <row r="16" spans="1:8" ht="15.75" x14ac:dyDescent="0.3">
      <c r="A16" s="289">
        <v>45721</v>
      </c>
      <c r="B16" s="276"/>
      <c r="C16" s="136">
        <v>63</v>
      </c>
      <c r="D16" s="136"/>
      <c r="E16" s="286" t="s">
        <v>698</v>
      </c>
      <c r="F16" s="292" t="s">
        <v>809</v>
      </c>
      <c r="G16" s="137">
        <v>172000</v>
      </c>
      <c r="H16" s="138">
        <v>170573.26</v>
      </c>
    </row>
    <row r="17" spans="1:8" ht="15.75" x14ac:dyDescent="0.3">
      <c r="A17" s="289">
        <v>45721</v>
      </c>
      <c r="B17" s="276"/>
      <c r="C17" s="136">
        <v>64</v>
      </c>
      <c r="D17" s="136"/>
      <c r="E17" s="286" t="s">
        <v>699</v>
      </c>
      <c r="F17" s="292" t="s">
        <v>810</v>
      </c>
      <c r="G17" s="137">
        <v>55029</v>
      </c>
      <c r="H17" s="138">
        <v>55029</v>
      </c>
    </row>
    <row r="18" spans="1:8" ht="15.75" x14ac:dyDescent="0.3">
      <c r="A18" s="289">
        <v>45722</v>
      </c>
      <c r="B18" s="276"/>
      <c r="C18" s="136">
        <v>65</v>
      </c>
      <c r="D18" s="136"/>
      <c r="E18" s="286" t="s">
        <v>811</v>
      </c>
      <c r="F18" s="292" t="s">
        <v>812</v>
      </c>
      <c r="G18" s="137">
        <v>41305.019999999997</v>
      </c>
      <c r="H18" s="138">
        <v>39555.019999999997</v>
      </c>
    </row>
    <row r="19" spans="1:8" ht="15.75" x14ac:dyDescent="0.3">
      <c r="A19" s="289">
        <v>45722</v>
      </c>
      <c r="B19" s="276"/>
      <c r="C19" s="136">
        <v>66</v>
      </c>
      <c r="D19" s="136"/>
      <c r="E19" s="286" t="s">
        <v>813</v>
      </c>
      <c r="F19" s="292" t="s">
        <v>814</v>
      </c>
      <c r="G19" s="137">
        <v>34220</v>
      </c>
      <c r="H19" s="138">
        <v>32770</v>
      </c>
    </row>
    <row r="20" spans="1:8" ht="15.75" x14ac:dyDescent="0.3">
      <c r="A20" s="289">
        <v>45722</v>
      </c>
      <c r="B20" s="276"/>
      <c r="C20" s="136">
        <v>67</v>
      </c>
      <c r="D20" s="136"/>
      <c r="E20" s="286" t="s">
        <v>815</v>
      </c>
      <c r="F20" s="292" t="s">
        <v>816</v>
      </c>
      <c r="G20" s="137">
        <v>473584</v>
      </c>
      <c r="H20" s="138">
        <v>451814</v>
      </c>
    </row>
    <row r="21" spans="1:8" ht="15.75" x14ac:dyDescent="0.3">
      <c r="A21" s="289">
        <v>45722</v>
      </c>
      <c r="B21" s="276"/>
      <c r="C21" s="136">
        <v>68</v>
      </c>
      <c r="D21" s="136"/>
      <c r="E21" s="286" t="s">
        <v>844</v>
      </c>
      <c r="F21" s="292" t="s">
        <v>845</v>
      </c>
      <c r="G21" s="137">
        <v>61500</v>
      </c>
      <c r="H21" s="138">
        <v>58425</v>
      </c>
    </row>
    <row r="22" spans="1:8" ht="15.75" x14ac:dyDescent="0.3">
      <c r="A22" s="289">
        <v>45723</v>
      </c>
      <c r="B22" s="276"/>
      <c r="C22" s="136">
        <v>69</v>
      </c>
      <c r="D22" s="136"/>
      <c r="E22" s="286" t="s">
        <v>817</v>
      </c>
      <c r="F22" s="292" t="s">
        <v>818</v>
      </c>
      <c r="G22" s="137">
        <v>636067.19999999995</v>
      </c>
      <c r="H22" s="138">
        <v>609115.19999999995</v>
      </c>
    </row>
    <row r="23" spans="1:8" ht="15.75" x14ac:dyDescent="0.3">
      <c r="A23" s="289">
        <v>45727</v>
      </c>
      <c r="B23" s="276"/>
      <c r="C23" s="136">
        <v>70</v>
      </c>
      <c r="D23" s="136"/>
      <c r="E23" s="286" t="s">
        <v>819</v>
      </c>
      <c r="F23" s="292" t="s">
        <v>820</v>
      </c>
      <c r="G23" s="137">
        <v>211191.19</v>
      </c>
      <c r="H23" s="138">
        <v>211191.19</v>
      </c>
    </row>
    <row r="24" spans="1:8" ht="28.5" x14ac:dyDescent="0.3">
      <c r="A24" s="289">
        <v>45727</v>
      </c>
      <c r="B24" s="276"/>
      <c r="C24" s="136">
        <v>71</v>
      </c>
      <c r="D24" s="136"/>
      <c r="E24" s="286" t="s">
        <v>696</v>
      </c>
      <c r="F24" s="292" t="s">
        <v>823</v>
      </c>
      <c r="G24" s="137">
        <v>36420</v>
      </c>
      <c r="H24" s="138">
        <v>36420</v>
      </c>
    </row>
    <row r="25" spans="1:8" ht="15.75" x14ac:dyDescent="0.3">
      <c r="A25" s="289">
        <v>45727</v>
      </c>
      <c r="B25" s="276"/>
      <c r="C25" s="136">
        <v>72</v>
      </c>
      <c r="D25" s="136"/>
      <c r="E25" s="286" t="s">
        <v>821</v>
      </c>
      <c r="F25" s="292" t="s">
        <v>824</v>
      </c>
      <c r="G25" s="137">
        <v>188500</v>
      </c>
      <c r="H25" s="138">
        <v>179075</v>
      </c>
    </row>
    <row r="26" spans="1:8" ht="15.75" x14ac:dyDescent="0.3">
      <c r="A26" s="289">
        <v>45727</v>
      </c>
      <c r="B26" s="276"/>
      <c r="C26" s="136">
        <v>73</v>
      </c>
      <c r="D26" s="136"/>
      <c r="E26" s="286" t="s">
        <v>822</v>
      </c>
      <c r="F26" s="292" t="s">
        <v>825</v>
      </c>
      <c r="G26" s="137">
        <v>2150</v>
      </c>
      <c r="H26" s="138">
        <v>2042.5</v>
      </c>
    </row>
    <row r="27" spans="1:8" ht="15.75" x14ac:dyDescent="0.3">
      <c r="A27" s="289">
        <v>45727</v>
      </c>
      <c r="B27" s="276"/>
      <c r="C27" s="136">
        <v>74</v>
      </c>
      <c r="D27" s="136"/>
      <c r="E27" s="286" t="s">
        <v>699</v>
      </c>
      <c r="F27" s="292" t="s">
        <v>826</v>
      </c>
      <c r="G27" s="137">
        <v>23868</v>
      </c>
      <c r="H27" s="138">
        <v>23868</v>
      </c>
    </row>
    <row r="28" spans="1:8" ht="15.75" x14ac:dyDescent="0.3">
      <c r="A28" s="289">
        <v>45727</v>
      </c>
      <c r="B28" s="276"/>
      <c r="C28" s="136">
        <v>75</v>
      </c>
      <c r="D28" s="136"/>
      <c r="E28" s="286" t="s">
        <v>697</v>
      </c>
      <c r="F28" s="292" t="s">
        <v>827</v>
      </c>
      <c r="G28" s="137">
        <v>85575</v>
      </c>
      <c r="H28" s="138">
        <v>81296.25</v>
      </c>
    </row>
    <row r="29" spans="1:8" ht="15.75" x14ac:dyDescent="0.3">
      <c r="A29" s="302">
        <v>45728</v>
      </c>
      <c r="B29" s="2"/>
      <c r="C29" s="338">
        <v>76</v>
      </c>
      <c r="D29" s="2"/>
      <c r="E29" s="335" t="s">
        <v>848</v>
      </c>
      <c r="F29" s="335" t="s">
        <v>849</v>
      </c>
      <c r="G29" s="125">
        <v>282823.65000000002</v>
      </c>
      <c r="H29" s="125">
        <v>270839.59999999998</v>
      </c>
    </row>
    <row r="30" spans="1:8" ht="15.75" x14ac:dyDescent="0.3">
      <c r="A30" s="289">
        <v>45730</v>
      </c>
      <c r="B30" s="276"/>
      <c r="C30" s="136">
        <v>77</v>
      </c>
      <c r="D30" s="136"/>
      <c r="E30" s="286" t="s">
        <v>696</v>
      </c>
      <c r="F30" s="292" t="s">
        <v>828</v>
      </c>
      <c r="G30" s="137">
        <v>14000</v>
      </c>
      <c r="H30" s="138">
        <v>14000</v>
      </c>
    </row>
    <row r="31" spans="1:8" ht="15.75" x14ac:dyDescent="0.3">
      <c r="A31" s="289">
        <v>45730</v>
      </c>
      <c r="B31" s="276"/>
      <c r="C31" s="136">
        <v>78</v>
      </c>
      <c r="D31" s="136"/>
      <c r="E31" s="286" t="s">
        <v>846</v>
      </c>
      <c r="F31" s="292" t="s">
        <v>847</v>
      </c>
      <c r="G31" s="137">
        <v>107609.37</v>
      </c>
      <c r="H31" s="138">
        <v>103049.65</v>
      </c>
    </row>
    <row r="32" spans="1:8" ht="15.75" x14ac:dyDescent="0.3">
      <c r="A32" s="289">
        <v>45730</v>
      </c>
      <c r="B32" s="276"/>
      <c r="C32" s="136">
        <v>79</v>
      </c>
      <c r="D32" s="136"/>
      <c r="E32" s="286" t="s">
        <v>829</v>
      </c>
      <c r="F32" s="292"/>
      <c r="G32" s="137">
        <v>20000</v>
      </c>
      <c r="H32" s="138">
        <v>20000</v>
      </c>
    </row>
    <row r="33" spans="1:8" ht="15.75" x14ac:dyDescent="0.3">
      <c r="A33" s="289">
        <v>45735</v>
      </c>
      <c r="B33" s="276"/>
      <c r="C33" s="136">
        <v>80</v>
      </c>
      <c r="D33" s="136"/>
      <c r="E33" s="286" t="s">
        <v>850</v>
      </c>
      <c r="F33" s="292" t="s">
        <v>851</v>
      </c>
      <c r="G33" s="137">
        <v>26845</v>
      </c>
      <c r="H33" s="138">
        <v>25707.5</v>
      </c>
    </row>
    <row r="34" spans="1:8" ht="15.75" x14ac:dyDescent="0.3">
      <c r="A34" s="289">
        <v>45735</v>
      </c>
      <c r="B34" s="276"/>
      <c r="C34" s="136">
        <v>81</v>
      </c>
      <c r="D34" s="136"/>
      <c r="E34" s="286" t="s">
        <v>830</v>
      </c>
      <c r="F34" s="292" t="s">
        <v>831</v>
      </c>
      <c r="G34" s="137">
        <v>8000</v>
      </c>
      <c r="H34" s="138">
        <v>7600</v>
      </c>
    </row>
    <row r="35" spans="1:8" ht="15.75" x14ac:dyDescent="0.3">
      <c r="A35" s="289">
        <v>45735</v>
      </c>
      <c r="B35" s="276"/>
      <c r="C35" s="136">
        <v>82</v>
      </c>
      <c r="D35" s="136"/>
      <c r="E35" s="286" t="s">
        <v>832</v>
      </c>
      <c r="F35" s="292" t="s">
        <v>833</v>
      </c>
      <c r="G35" s="137">
        <v>225000</v>
      </c>
      <c r="H35" s="138">
        <v>213750</v>
      </c>
    </row>
    <row r="36" spans="1:8" ht="28.5" x14ac:dyDescent="0.3">
      <c r="A36" s="289">
        <v>45740</v>
      </c>
      <c r="B36" s="276"/>
      <c r="C36" s="136">
        <v>83</v>
      </c>
      <c r="D36" s="136"/>
      <c r="E36" s="286" t="s">
        <v>852</v>
      </c>
      <c r="F36" s="292" t="s">
        <v>853</v>
      </c>
      <c r="G36" s="137">
        <v>83800</v>
      </c>
      <c r="H36" s="138">
        <v>79610</v>
      </c>
    </row>
    <row r="37" spans="1:8" ht="15.75" x14ac:dyDescent="0.3">
      <c r="A37" s="289">
        <v>45740</v>
      </c>
      <c r="B37" s="276"/>
      <c r="C37" s="136">
        <f>+C36+1</f>
        <v>84</v>
      </c>
      <c r="D37" s="136"/>
      <c r="E37" s="286" t="s">
        <v>850</v>
      </c>
      <c r="F37" s="292" t="s">
        <v>861</v>
      </c>
      <c r="G37" s="137">
        <v>31152</v>
      </c>
      <c r="H37" s="138">
        <v>29832</v>
      </c>
    </row>
    <row r="38" spans="1:8" ht="15.75" x14ac:dyDescent="0.3">
      <c r="A38" s="289">
        <v>45740</v>
      </c>
      <c r="B38" s="276"/>
      <c r="C38" s="136">
        <f t="shared" ref="C38:C50" si="0">+C37+1</f>
        <v>85</v>
      </c>
      <c r="D38" s="136"/>
      <c r="E38" s="286" t="s">
        <v>699</v>
      </c>
      <c r="F38" s="292" t="s">
        <v>862</v>
      </c>
      <c r="G38" s="137">
        <v>22542</v>
      </c>
      <c r="H38" s="138">
        <v>22542</v>
      </c>
    </row>
    <row r="39" spans="1:8" ht="15.75" x14ac:dyDescent="0.3">
      <c r="A39" s="289">
        <v>45742</v>
      </c>
      <c r="B39" s="276"/>
      <c r="C39" s="136">
        <f t="shared" si="0"/>
        <v>86</v>
      </c>
      <c r="D39" s="136"/>
      <c r="E39" s="286" t="s">
        <v>830</v>
      </c>
      <c r="F39" s="292" t="s">
        <v>854</v>
      </c>
      <c r="G39" s="137">
        <v>24000</v>
      </c>
      <c r="H39" s="138">
        <v>22800</v>
      </c>
    </row>
    <row r="40" spans="1:8" ht="15.75" x14ac:dyDescent="0.3">
      <c r="A40" s="289">
        <v>45743</v>
      </c>
      <c r="B40" s="276"/>
      <c r="C40" s="136">
        <f t="shared" si="0"/>
        <v>87</v>
      </c>
      <c r="D40" s="136"/>
      <c r="E40" s="286" t="s">
        <v>811</v>
      </c>
      <c r="F40" s="292" t="s">
        <v>872</v>
      </c>
      <c r="G40" s="137">
        <v>105649.96</v>
      </c>
      <c r="H40" s="138">
        <v>101173.27</v>
      </c>
    </row>
    <row r="41" spans="1:8" ht="28.5" x14ac:dyDescent="0.3">
      <c r="A41" s="289">
        <v>45743</v>
      </c>
      <c r="B41" s="276"/>
      <c r="C41" s="136">
        <f t="shared" si="0"/>
        <v>88</v>
      </c>
      <c r="D41" s="136"/>
      <c r="E41" s="286" t="s">
        <v>855</v>
      </c>
      <c r="F41" s="292" t="s">
        <v>856</v>
      </c>
      <c r="G41" s="137">
        <v>40000</v>
      </c>
      <c r="H41" s="138">
        <v>40000</v>
      </c>
    </row>
    <row r="42" spans="1:8" ht="15.75" x14ac:dyDescent="0.3">
      <c r="A42" s="289">
        <v>45743</v>
      </c>
      <c r="B42" s="276"/>
      <c r="C42" s="136">
        <f t="shared" si="0"/>
        <v>89</v>
      </c>
      <c r="D42" s="136"/>
      <c r="E42" s="286" t="s">
        <v>857</v>
      </c>
      <c r="F42" s="292" t="s">
        <v>858</v>
      </c>
      <c r="G42" s="137">
        <v>14000</v>
      </c>
      <c r="H42" s="138">
        <v>14000</v>
      </c>
    </row>
    <row r="43" spans="1:8" ht="15.75" x14ac:dyDescent="0.3">
      <c r="A43" s="289">
        <v>45743</v>
      </c>
      <c r="B43" s="276"/>
      <c r="C43" s="136">
        <f>+C42+1</f>
        <v>90</v>
      </c>
      <c r="D43" s="136"/>
      <c r="E43" s="286" t="s">
        <v>857</v>
      </c>
      <c r="F43" s="292" t="s">
        <v>859</v>
      </c>
      <c r="G43" s="137">
        <v>11640</v>
      </c>
      <c r="H43" s="138">
        <v>11640</v>
      </c>
    </row>
    <row r="44" spans="1:8" ht="28.5" x14ac:dyDescent="0.3">
      <c r="A44" s="289">
        <v>45743</v>
      </c>
      <c r="B44" s="276"/>
      <c r="C44" s="136">
        <f t="shared" si="0"/>
        <v>91</v>
      </c>
      <c r="D44" s="136"/>
      <c r="E44" s="286" t="s">
        <v>857</v>
      </c>
      <c r="F44" s="292" t="s">
        <v>860</v>
      </c>
      <c r="G44" s="137">
        <v>23580</v>
      </c>
      <c r="H44" s="138">
        <v>23580</v>
      </c>
    </row>
    <row r="45" spans="1:8" ht="15.75" x14ac:dyDescent="0.3">
      <c r="A45" s="289">
        <v>45744</v>
      </c>
      <c r="B45" s="276"/>
      <c r="C45" s="136">
        <f t="shared" si="0"/>
        <v>92</v>
      </c>
      <c r="D45" s="136"/>
      <c r="E45" s="286" t="s">
        <v>863</v>
      </c>
      <c r="F45" s="292" t="s">
        <v>864</v>
      </c>
      <c r="G45" s="137">
        <v>272580</v>
      </c>
      <c r="H45" s="138">
        <v>261030</v>
      </c>
    </row>
    <row r="46" spans="1:8" ht="15.75" x14ac:dyDescent="0.3">
      <c r="A46" s="289">
        <v>45744</v>
      </c>
      <c r="B46" s="276"/>
      <c r="C46" s="136">
        <f t="shared" si="0"/>
        <v>93</v>
      </c>
      <c r="D46" s="136"/>
      <c r="E46" s="286" t="s">
        <v>867</v>
      </c>
      <c r="F46" s="292" t="s">
        <v>1013</v>
      </c>
      <c r="G46" s="137">
        <v>248711.41</v>
      </c>
      <c r="H46" s="138">
        <v>238172.79</v>
      </c>
    </row>
    <row r="47" spans="1:8" ht="15.75" x14ac:dyDescent="0.3">
      <c r="A47" s="289">
        <v>45744</v>
      </c>
      <c r="B47" s="276"/>
      <c r="C47" s="136">
        <f t="shared" si="0"/>
        <v>94</v>
      </c>
      <c r="D47" s="136"/>
      <c r="E47" s="286" t="s">
        <v>865</v>
      </c>
      <c r="F47" s="292" t="s">
        <v>866</v>
      </c>
      <c r="G47" s="137">
        <v>271800.26</v>
      </c>
      <c r="H47" s="138">
        <v>260283.3</v>
      </c>
    </row>
    <row r="48" spans="1:8" ht="15.75" x14ac:dyDescent="0.3">
      <c r="A48" s="289">
        <v>45744</v>
      </c>
      <c r="B48" s="276"/>
      <c r="C48" s="136">
        <f t="shared" si="0"/>
        <v>95</v>
      </c>
      <c r="D48" s="136"/>
      <c r="E48" s="286" t="s">
        <v>867</v>
      </c>
      <c r="F48" s="292" t="s">
        <v>868</v>
      </c>
      <c r="G48" s="137">
        <v>230085.84</v>
      </c>
      <c r="H48" s="138">
        <v>220336.44</v>
      </c>
    </row>
    <row r="49" spans="1:8" ht="28.5" x14ac:dyDescent="0.3">
      <c r="A49" s="289">
        <v>45747</v>
      </c>
      <c r="B49" s="276"/>
      <c r="C49" s="136">
        <f t="shared" si="0"/>
        <v>96</v>
      </c>
      <c r="D49" s="136"/>
      <c r="E49" s="286" t="s">
        <v>869</v>
      </c>
      <c r="F49" s="292" t="s">
        <v>870</v>
      </c>
      <c r="G49" s="137">
        <v>272432.5</v>
      </c>
      <c r="H49" s="138">
        <v>260888.75</v>
      </c>
    </row>
    <row r="50" spans="1:8" ht="15.75" x14ac:dyDescent="0.3">
      <c r="A50" s="289">
        <v>45747</v>
      </c>
      <c r="B50" s="276"/>
      <c r="C50" s="136">
        <f t="shared" si="0"/>
        <v>97</v>
      </c>
      <c r="D50" s="136"/>
      <c r="E50" s="286" t="s">
        <v>800</v>
      </c>
      <c r="F50" s="292" t="s">
        <v>871</v>
      </c>
      <c r="G50" s="137">
        <v>760000</v>
      </c>
      <c r="H50" s="138">
        <v>722000</v>
      </c>
    </row>
    <row r="51" spans="1:8" ht="15.75" x14ac:dyDescent="0.3">
      <c r="A51" s="289">
        <v>45747</v>
      </c>
      <c r="B51" s="276"/>
      <c r="C51" s="136">
        <v>98</v>
      </c>
      <c r="D51" s="136"/>
      <c r="E51" s="286" t="s">
        <v>1014</v>
      </c>
      <c r="F51" s="292" t="s">
        <v>1015</v>
      </c>
      <c r="G51" s="137">
        <v>5231553.59</v>
      </c>
      <c r="H51" s="138">
        <v>5231553.59</v>
      </c>
    </row>
    <row r="52" spans="1:8" ht="15.75" x14ac:dyDescent="0.3">
      <c r="A52" s="289">
        <v>45719</v>
      </c>
      <c r="B52" s="276"/>
      <c r="C52" s="136"/>
      <c r="D52" s="136">
        <v>37197</v>
      </c>
      <c r="E52" s="286" t="s">
        <v>695</v>
      </c>
      <c r="F52" s="292" t="s">
        <v>695</v>
      </c>
      <c r="G52" s="137">
        <v>0</v>
      </c>
      <c r="H52" s="138">
        <v>0</v>
      </c>
    </row>
    <row r="53" spans="1:8" ht="42.75" x14ac:dyDescent="0.3">
      <c r="A53" s="289">
        <v>45719</v>
      </c>
      <c r="B53" s="276"/>
      <c r="C53" s="136"/>
      <c r="D53" s="136">
        <v>37198</v>
      </c>
      <c r="E53" s="286" t="s">
        <v>834</v>
      </c>
      <c r="F53" s="292" t="s">
        <v>835</v>
      </c>
      <c r="G53" s="137">
        <v>26000</v>
      </c>
      <c r="H53" s="138">
        <v>26000</v>
      </c>
    </row>
    <row r="54" spans="1:8" ht="28.5" x14ac:dyDescent="0.3">
      <c r="A54" s="289">
        <v>45719</v>
      </c>
      <c r="B54" s="276"/>
      <c r="C54" s="136"/>
      <c r="D54" s="136">
        <v>37199</v>
      </c>
      <c r="E54" s="286" t="s">
        <v>836</v>
      </c>
      <c r="F54" s="292" t="s">
        <v>837</v>
      </c>
      <c r="G54" s="137">
        <v>14000</v>
      </c>
      <c r="H54" s="138">
        <v>14000</v>
      </c>
    </row>
    <row r="55" spans="1:8" ht="71.25" x14ac:dyDescent="0.3">
      <c r="A55" s="289">
        <v>45727</v>
      </c>
      <c r="B55" s="276"/>
      <c r="C55" s="136"/>
      <c r="D55" s="136">
        <v>37200</v>
      </c>
      <c r="E55" s="286" t="s">
        <v>838</v>
      </c>
      <c r="F55" s="292" t="s">
        <v>839</v>
      </c>
      <c r="G55" s="137">
        <v>30102.04</v>
      </c>
      <c r="H55" s="138">
        <v>25000</v>
      </c>
    </row>
    <row r="56" spans="1:8" ht="42.75" x14ac:dyDescent="0.3">
      <c r="A56" s="289">
        <v>45728</v>
      </c>
      <c r="B56" s="276"/>
      <c r="C56" s="136"/>
      <c r="D56" s="136">
        <v>37201</v>
      </c>
      <c r="E56" s="286" t="s">
        <v>840</v>
      </c>
      <c r="F56" s="292" t="s">
        <v>841</v>
      </c>
      <c r="G56" s="137">
        <v>10000</v>
      </c>
      <c r="H56" s="138">
        <v>10000</v>
      </c>
    </row>
    <row r="57" spans="1:8" ht="15.75" x14ac:dyDescent="0.3">
      <c r="A57" s="289">
        <v>45733</v>
      </c>
      <c r="B57" s="276"/>
      <c r="C57" s="136"/>
      <c r="D57" s="136">
        <v>37202</v>
      </c>
      <c r="E57" s="286" t="s">
        <v>695</v>
      </c>
      <c r="F57" s="292" t="s">
        <v>695</v>
      </c>
      <c r="G57" s="137">
        <v>0</v>
      </c>
      <c r="H57" s="138">
        <v>0</v>
      </c>
    </row>
    <row r="58" spans="1:8" ht="28.5" x14ac:dyDescent="0.3">
      <c r="A58" s="289">
        <v>45734</v>
      </c>
      <c r="B58" s="276"/>
      <c r="C58" s="136"/>
      <c r="D58" s="136">
        <v>37203</v>
      </c>
      <c r="E58" s="286" t="s">
        <v>842</v>
      </c>
      <c r="F58" s="292" t="s">
        <v>843</v>
      </c>
      <c r="G58" s="137">
        <v>34020</v>
      </c>
      <c r="H58" s="138">
        <v>34020</v>
      </c>
    </row>
    <row r="59" spans="1:8" ht="28.5" x14ac:dyDescent="0.3">
      <c r="A59" s="289">
        <v>45735</v>
      </c>
      <c r="B59" s="276"/>
      <c r="C59" s="136"/>
      <c r="D59" s="136">
        <v>37204</v>
      </c>
      <c r="E59" s="286" t="s">
        <v>873</v>
      </c>
      <c r="F59" s="292" t="s">
        <v>874</v>
      </c>
      <c r="G59" s="137">
        <v>51304.69</v>
      </c>
      <c r="H59" s="138">
        <v>51304.69</v>
      </c>
    </row>
    <row r="60" spans="1:8" ht="15.75" x14ac:dyDescent="0.3">
      <c r="A60" s="289">
        <v>45740</v>
      </c>
      <c r="B60" s="276"/>
      <c r="C60" s="136"/>
      <c r="D60" s="136">
        <v>37205</v>
      </c>
      <c r="E60" s="286" t="s">
        <v>875</v>
      </c>
      <c r="F60" s="292" t="s">
        <v>876</v>
      </c>
      <c r="G60" s="137">
        <v>21673.47</v>
      </c>
      <c r="H60" s="138">
        <v>18000</v>
      </c>
    </row>
    <row r="61" spans="1:8" ht="15.75" x14ac:dyDescent="0.3">
      <c r="A61" s="289">
        <v>45740</v>
      </c>
      <c r="B61" s="276"/>
      <c r="C61" s="136"/>
      <c r="D61" s="136">
        <v>37206</v>
      </c>
      <c r="E61" s="286" t="s">
        <v>877</v>
      </c>
      <c r="F61" s="292" t="s">
        <v>878</v>
      </c>
      <c r="G61" s="137">
        <v>18061.22</v>
      </c>
      <c r="H61" s="138">
        <v>15000</v>
      </c>
    </row>
    <row r="62" spans="1:8" ht="15.75" x14ac:dyDescent="0.3">
      <c r="A62" s="289">
        <v>45741</v>
      </c>
      <c r="B62" s="276"/>
      <c r="C62" s="136"/>
      <c r="D62" s="136">
        <v>37207</v>
      </c>
      <c r="E62" s="286" t="s">
        <v>879</v>
      </c>
      <c r="F62" s="292" t="s">
        <v>880</v>
      </c>
      <c r="G62" s="137">
        <v>18061.22</v>
      </c>
      <c r="H62" s="138">
        <v>15000</v>
      </c>
    </row>
    <row r="63" spans="1:8" ht="15.75" x14ac:dyDescent="0.3">
      <c r="A63" s="289">
        <v>45742</v>
      </c>
      <c r="B63" s="276"/>
      <c r="C63" s="136"/>
      <c r="D63" s="136">
        <v>37208</v>
      </c>
      <c r="E63" s="286" t="s">
        <v>881</v>
      </c>
      <c r="F63" s="292" t="s">
        <v>882</v>
      </c>
      <c r="G63" s="137">
        <v>3400</v>
      </c>
      <c r="H63" s="138">
        <v>3400</v>
      </c>
    </row>
    <row r="64" spans="1:8" ht="28.5" x14ac:dyDescent="0.3">
      <c r="A64" s="289">
        <v>45747</v>
      </c>
      <c r="B64" s="276"/>
      <c r="C64" s="136"/>
      <c r="D64" s="136"/>
      <c r="E64" s="286" t="s">
        <v>1016</v>
      </c>
      <c r="F64" s="292" t="s">
        <v>1017</v>
      </c>
      <c r="G64" s="137">
        <v>8323.8700000000008</v>
      </c>
      <c r="H64" s="138">
        <v>8323.8700000000008</v>
      </c>
    </row>
    <row r="65" spans="1:8" ht="42.75" x14ac:dyDescent="0.3">
      <c r="A65" s="289" t="s">
        <v>1170</v>
      </c>
      <c r="B65" s="276">
        <v>547</v>
      </c>
      <c r="C65" s="136"/>
      <c r="D65" s="136"/>
      <c r="E65" s="286" t="s">
        <v>1018</v>
      </c>
      <c r="F65" s="292" t="s">
        <v>1048</v>
      </c>
      <c r="G65" s="137">
        <v>136100.09</v>
      </c>
      <c r="H65" s="138">
        <v>130333.14</v>
      </c>
    </row>
    <row r="66" spans="1:8" ht="42.75" x14ac:dyDescent="0.3">
      <c r="A66" s="289" t="s">
        <v>1170</v>
      </c>
      <c r="B66" s="276">
        <v>551</v>
      </c>
      <c r="C66" s="136"/>
      <c r="D66" s="136"/>
      <c r="E66" s="286" t="s">
        <v>1018</v>
      </c>
      <c r="F66" s="292" t="s">
        <v>1049</v>
      </c>
      <c r="G66" s="137">
        <v>3199.97</v>
      </c>
      <c r="H66" s="138">
        <v>3064.38</v>
      </c>
    </row>
    <row r="67" spans="1:8" ht="28.5" x14ac:dyDescent="0.3">
      <c r="A67" s="289" t="s">
        <v>1170</v>
      </c>
      <c r="B67" s="276">
        <v>554</v>
      </c>
      <c r="C67" s="136"/>
      <c r="D67" s="136"/>
      <c r="E67" s="286" t="s">
        <v>1019</v>
      </c>
      <c r="F67" s="292" t="s">
        <v>1050</v>
      </c>
      <c r="G67" s="137">
        <v>86700</v>
      </c>
      <c r="H67" s="138">
        <v>82365</v>
      </c>
    </row>
    <row r="68" spans="1:8" ht="42.75" x14ac:dyDescent="0.3">
      <c r="A68" s="289" t="s">
        <v>1170</v>
      </c>
      <c r="B68" s="276">
        <v>558</v>
      </c>
      <c r="C68" s="136"/>
      <c r="D68" s="136"/>
      <c r="E68" s="286" t="s">
        <v>1020</v>
      </c>
      <c r="F68" s="292" t="s">
        <v>1051</v>
      </c>
      <c r="G68" s="137">
        <v>999401</v>
      </c>
      <c r="H68" s="138">
        <v>957053.5</v>
      </c>
    </row>
    <row r="69" spans="1:8" ht="42.75" x14ac:dyDescent="0.3">
      <c r="A69" s="289" t="s">
        <v>1170</v>
      </c>
      <c r="B69" s="276">
        <v>562</v>
      </c>
      <c r="C69" s="136"/>
      <c r="D69" s="136"/>
      <c r="E69" s="286" t="s">
        <v>1020</v>
      </c>
      <c r="F69" s="292" t="s">
        <v>1052</v>
      </c>
      <c r="G69" s="137">
        <v>265051.59999999998</v>
      </c>
      <c r="H69" s="138">
        <v>253820.6</v>
      </c>
    </row>
    <row r="70" spans="1:8" ht="57" x14ac:dyDescent="0.3">
      <c r="A70" s="289" t="s">
        <v>1170</v>
      </c>
      <c r="B70" s="276">
        <v>566</v>
      </c>
      <c r="C70" s="136"/>
      <c r="D70" s="136"/>
      <c r="E70" s="286" t="s">
        <v>1021</v>
      </c>
      <c r="F70" s="292" t="s">
        <v>1053</v>
      </c>
      <c r="G70" s="137">
        <v>1968240</v>
      </c>
      <c r="H70" s="138">
        <v>1884840</v>
      </c>
    </row>
    <row r="71" spans="1:8" ht="57" x14ac:dyDescent="0.3">
      <c r="A71" s="289" t="s">
        <v>1170</v>
      </c>
      <c r="B71" s="276">
        <v>570</v>
      </c>
      <c r="C71" s="136"/>
      <c r="D71" s="136"/>
      <c r="E71" s="286" t="s">
        <v>722</v>
      </c>
      <c r="F71" s="292" t="s">
        <v>1054</v>
      </c>
      <c r="G71" s="137">
        <v>873200</v>
      </c>
      <c r="H71" s="138">
        <v>836200</v>
      </c>
    </row>
    <row r="72" spans="1:8" ht="42.75" x14ac:dyDescent="0.3">
      <c r="A72" s="289" t="s">
        <v>1170</v>
      </c>
      <c r="B72" s="276">
        <v>574</v>
      </c>
      <c r="C72" s="136"/>
      <c r="D72" s="136"/>
      <c r="E72" s="286" t="s">
        <v>686</v>
      </c>
      <c r="F72" s="292" t="s">
        <v>1055</v>
      </c>
      <c r="G72" s="137">
        <v>264711.59999999998</v>
      </c>
      <c r="H72" s="138">
        <v>252030</v>
      </c>
    </row>
    <row r="73" spans="1:8" ht="42.75" x14ac:dyDescent="0.3">
      <c r="A73" s="289" t="s">
        <v>1170</v>
      </c>
      <c r="B73" s="276">
        <v>578</v>
      </c>
      <c r="C73" s="136"/>
      <c r="D73" s="136"/>
      <c r="E73" s="286" t="s">
        <v>1022</v>
      </c>
      <c r="F73" s="292" t="s">
        <v>1056</v>
      </c>
      <c r="G73" s="137">
        <v>240515</v>
      </c>
      <c r="H73" s="138">
        <v>230271.25</v>
      </c>
    </row>
    <row r="74" spans="1:8" ht="42.75" x14ac:dyDescent="0.3">
      <c r="A74" s="289" t="s">
        <v>1170</v>
      </c>
      <c r="B74" s="276">
        <v>582</v>
      </c>
      <c r="C74" s="136"/>
      <c r="D74" s="136"/>
      <c r="E74" s="286" t="s">
        <v>1023</v>
      </c>
      <c r="F74" s="292" t="s">
        <v>1057</v>
      </c>
      <c r="G74" s="137">
        <v>267156.5</v>
      </c>
      <c r="H74" s="138">
        <v>254722.75</v>
      </c>
    </row>
    <row r="75" spans="1:8" ht="42.75" x14ac:dyDescent="0.3">
      <c r="A75" s="289" t="s">
        <v>1170</v>
      </c>
      <c r="B75" s="276">
        <v>586</v>
      </c>
      <c r="C75" s="136"/>
      <c r="D75" s="136"/>
      <c r="E75" s="286" t="s">
        <v>715</v>
      </c>
      <c r="F75" s="292" t="s">
        <v>1058</v>
      </c>
      <c r="G75" s="137">
        <v>151000</v>
      </c>
      <c r="H75" s="138">
        <v>143450</v>
      </c>
    </row>
    <row r="76" spans="1:8" ht="42.75" x14ac:dyDescent="0.3">
      <c r="A76" s="289" t="s">
        <v>1171</v>
      </c>
      <c r="B76" s="276">
        <v>591</v>
      </c>
      <c r="C76" s="136"/>
      <c r="D76" s="136"/>
      <c r="E76" s="286" t="s">
        <v>1024</v>
      </c>
      <c r="F76" s="292" t="s">
        <v>1059</v>
      </c>
      <c r="G76" s="137">
        <v>126100</v>
      </c>
      <c r="H76" s="138">
        <v>120470</v>
      </c>
    </row>
    <row r="77" spans="1:8" ht="42.75" x14ac:dyDescent="0.3">
      <c r="A77" s="289" t="s">
        <v>1171</v>
      </c>
      <c r="B77" s="276">
        <v>595</v>
      </c>
      <c r="C77" s="136"/>
      <c r="D77" s="136"/>
      <c r="E77" s="286" t="s">
        <v>1025</v>
      </c>
      <c r="F77" s="292" t="s">
        <v>1060</v>
      </c>
      <c r="G77" s="137">
        <v>6490</v>
      </c>
      <c r="H77" s="138">
        <v>6215</v>
      </c>
    </row>
    <row r="78" spans="1:8" ht="42.75" x14ac:dyDescent="0.3">
      <c r="A78" s="289" t="s">
        <v>1171</v>
      </c>
      <c r="B78" s="276">
        <v>599</v>
      </c>
      <c r="C78" s="136"/>
      <c r="D78" s="136"/>
      <c r="E78" s="286" t="s">
        <v>1025</v>
      </c>
      <c r="F78" s="292" t="s">
        <v>1061</v>
      </c>
      <c r="G78" s="137">
        <v>57230</v>
      </c>
      <c r="H78" s="138">
        <v>54805</v>
      </c>
    </row>
    <row r="79" spans="1:8" ht="42.75" x14ac:dyDescent="0.3">
      <c r="A79" s="289" t="s">
        <v>1171</v>
      </c>
      <c r="B79" s="276">
        <v>603</v>
      </c>
      <c r="C79" s="136"/>
      <c r="D79" s="136"/>
      <c r="E79" s="286" t="s">
        <v>1025</v>
      </c>
      <c r="F79" s="292" t="s">
        <v>1062</v>
      </c>
      <c r="G79" s="137">
        <v>120360</v>
      </c>
      <c r="H79" s="138">
        <v>115260</v>
      </c>
    </row>
    <row r="80" spans="1:8" ht="42.75" x14ac:dyDescent="0.3">
      <c r="A80" s="289" t="s">
        <v>1171</v>
      </c>
      <c r="B80" s="276">
        <v>607</v>
      </c>
      <c r="C80" s="136"/>
      <c r="D80" s="136"/>
      <c r="E80" s="286" t="s">
        <v>726</v>
      </c>
      <c r="F80" s="292" t="s">
        <v>1063</v>
      </c>
      <c r="G80" s="137">
        <v>90000</v>
      </c>
      <c r="H80" s="138">
        <v>85500</v>
      </c>
    </row>
    <row r="81" spans="1:8" ht="42.75" x14ac:dyDescent="0.3">
      <c r="A81" s="289" t="s">
        <v>1171</v>
      </c>
      <c r="B81" s="276">
        <v>611</v>
      </c>
      <c r="C81" s="136"/>
      <c r="D81" s="136"/>
      <c r="E81" s="286" t="s">
        <v>725</v>
      </c>
      <c r="F81" s="292" t="s">
        <v>1064</v>
      </c>
      <c r="G81" s="137">
        <v>272190</v>
      </c>
      <c r="H81" s="138">
        <v>260295</v>
      </c>
    </row>
    <row r="82" spans="1:8" ht="42.75" x14ac:dyDescent="0.3">
      <c r="A82" s="289" t="s">
        <v>1171</v>
      </c>
      <c r="B82" s="276">
        <v>615</v>
      </c>
      <c r="C82" s="136"/>
      <c r="D82" s="136"/>
      <c r="E82" s="286" t="s">
        <v>788</v>
      </c>
      <c r="F82" s="292" t="s">
        <v>1065</v>
      </c>
      <c r="G82" s="137">
        <v>235078.8</v>
      </c>
      <c r="H82" s="138">
        <v>225117.83</v>
      </c>
    </row>
    <row r="83" spans="1:8" ht="42.75" x14ac:dyDescent="0.3">
      <c r="A83" s="289" t="s">
        <v>1171</v>
      </c>
      <c r="B83" s="276">
        <v>619</v>
      </c>
      <c r="C83" s="136"/>
      <c r="D83" s="136"/>
      <c r="E83" s="286" t="s">
        <v>788</v>
      </c>
      <c r="F83" s="292" t="s">
        <v>1066</v>
      </c>
      <c r="G83" s="137">
        <v>15930</v>
      </c>
      <c r="H83" s="138">
        <v>15255</v>
      </c>
    </row>
    <row r="84" spans="1:8" ht="42.75" x14ac:dyDescent="0.3">
      <c r="A84" s="289" t="s">
        <v>1171</v>
      </c>
      <c r="B84" s="276">
        <v>624</v>
      </c>
      <c r="C84" s="136"/>
      <c r="D84" s="136"/>
      <c r="E84" s="286" t="s">
        <v>1026</v>
      </c>
      <c r="F84" s="292" t="s">
        <v>1067</v>
      </c>
      <c r="G84" s="137">
        <v>1959489.3</v>
      </c>
      <c r="H84" s="138">
        <v>1959489.3</v>
      </c>
    </row>
    <row r="85" spans="1:8" ht="42.75" x14ac:dyDescent="0.3">
      <c r="A85" s="289" t="s">
        <v>1172</v>
      </c>
      <c r="B85" s="276">
        <v>626</v>
      </c>
      <c r="C85" s="136"/>
      <c r="D85" s="136"/>
      <c r="E85" s="286" t="s">
        <v>694</v>
      </c>
      <c r="F85" s="292" t="s">
        <v>1068</v>
      </c>
      <c r="G85" s="137">
        <v>160215.06</v>
      </c>
      <c r="H85" s="138">
        <v>153364.24</v>
      </c>
    </row>
    <row r="86" spans="1:8" ht="42.75" x14ac:dyDescent="0.3">
      <c r="A86" s="289" t="s">
        <v>1173</v>
      </c>
      <c r="B86" s="276">
        <v>632</v>
      </c>
      <c r="C86" s="136"/>
      <c r="D86" s="136"/>
      <c r="E86" s="286" t="s">
        <v>692</v>
      </c>
      <c r="F86" s="292" t="s">
        <v>1069</v>
      </c>
      <c r="G86" s="137">
        <v>186440</v>
      </c>
      <c r="H86" s="138">
        <v>178540</v>
      </c>
    </row>
    <row r="87" spans="1:8" ht="42.75" x14ac:dyDescent="0.3">
      <c r="A87" s="289" t="s">
        <v>1173</v>
      </c>
      <c r="B87" s="276">
        <v>655</v>
      </c>
      <c r="C87" s="136"/>
      <c r="D87" s="136"/>
      <c r="E87" s="286" t="s">
        <v>1024</v>
      </c>
      <c r="F87" s="292" t="s">
        <v>1070</v>
      </c>
      <c r="G87" s="137">
        <v>268000</v>
      </c>
      <c r="H87" s="138">
        <v>254600</v>
      </c>
    </row>
    <row r="88" spans="1:8" ht="42.75" x14ac:dyDescent="0.3">
      <c r="A88" s="289" t="s">
        <v>1173</v>
      </c>
      <c r="B88" s="276">
        <v>661</v>
      </c>
      <c r="C88" s="136"/>
      <c r="D88" s="136"/>
      <c r="E88" s="286" t="s">
        <v>1024</v>
      </c>
      <c r="F88" s="292" t="s">
        <v>1071</v>
      </c>
      <c r="G88" s="137">
        <v>14300</v>
      </c>
      <c r="H88" s="138">
        <v>13585</v>
      </c>
    </row>
    <row r="89" spans="1:8" ht="42.75" x14ac:dyDescent="0.3">
      <c r="A89" s="289" t="s">
        <v>1173</v>
      </c>
      <c r="B89" s="276">
        <v>665</v>
      </c>
      <c r="C89" s="136"/>
      <c r="D89" s="136"/>
      <c r="E89" s="286" t="s">
        <v>692</v>
      </c>
      <c r="F89" s="292" t="s">
        <v>1072</v>
      </c>
      <c r="G89" s="137">
        <v>235823</v>
      </c>
      <c r="H89" s="138">
        <v>225830.5</v>
      </c>
    </row>
    <row r="90" spans="1:8" ht="42.75" x14ac:dyDescent="0.3">
      <c r="A90" s="289" t="s">
        <v>1173</v>
      </c>
      <c r="B90" s="276">
        <v>669</v>
      </c>
      <c r="C90" s="136"/>
      <c r="D90" s="136"/>
      <c r="E90" s="286" t="s">
        <v>687</v>
      </c>
      <c r="F90" s="292" t="s">
        <v>1073</v>
      </c>
      <c r="G90" s="137">
        <v>270000</v>
      </c>
      <c r="H90" s="138">
        <v>256500</v>
      </c>
    </row>
    <row r="91" spans="1:8" ht="57" x14ac:dyDescent="0.3">
      <c r="A91" s="289" t="s">
        <v>1173</v>
      </c>
      <c r="B91" s="276">
        <v>673</v>
      </c>
      <c r="C91" s="136"/>
      <c r="D91" s="136"/>
      <c r="E91" s="286" t="s">
        <v>1027</v>
      </c>
      <c r="F91" s="292" t="s">
        <v>1074</v>
      </c>
      <c r="G91" s="137">
        <v>1091212.08</v>
      </c>
      <c r="H91" s="138">
        <v>1044974.28</v>
      </c>
    </row>
    <row r="92" spans="1:8" ht="42.75" x14ac:dyDescent="0.3">
      <c r="A92" s="289" t="s">
        <v>1173</v>
      </c>
      <c r="B92" s="276">
        <v>677</v>
      </c>
      <c r="C92" s="136"/>
      <c r="D92" s="136"/>
      <c r="E92" s="286" t="s">
        <v>1027</v>
      </c>
      <c r="F92" s="292" t="s">
        <v>1075</v>
      </c>
      <c r="G92" s="137">
        <v>1692916.74</v>
      </c>
      <c r="H92" s="138">
        <v>1621182.98</v>
      </c>
    </row>
    <row r="93" spans="1:8" ht="42.75" x14ac:dyDescent="0.3">
      <c r="A93" s="289" t="s">
        <v>1173</v>
      </c>
      <c r="B93" s="276">
        <v>681</v>
      </c>
      <c r="C93" s="136"/>
      <c r="D93" s="136"/>
      <c r="E93" s="286" t="s">
        <v>1028</v>
      </c>
      <c r="F93" s="292" t="s">
        <v>1076</v>
      </c>
      <c r="G93" s="137">
        <v>239647.5</v>
      </c>
      <c r="H93" s="138">
        <v>229241.25</v>
      </c>
    </row>
    <row r="94" spans="1:8" ht="42.75" x14ac:dyDescent="0.3">
      <c r="A94" s="289" t="s">
        <v>1173</v>
      </c>
      <c r="B94" s="276">
        <v>685</v>
      </c>
      <c r="C94" s="136"/>
      <c r="D94" s="136"/>
      <c r="E94" s="286" t="s">
        <v>683</v>
      </c>
      <c r="F94" s="292" t="s">
        <v>1077</v>
      </c>
      <c r="G94" s="137">
        <v>129664</v>
      </c>
      <c r="H94" s="138">
        <v>123180.8</v>
      </c>
    </row>
    <row r="95" spans="1:8" ht="42.75" x14ac:dyDescent="0.3">
      <c r="A95" s="289" t="s">
        <v>1173</v>
      </c>
      <c r="B95" s="276">
        <v>689</v>
      </c>
      <c r="C95" s="136"/>
      <c r="D95" s="136"/>
      <c r="E95" s="286" t="s">
        <v>694</v>
      </c>
      <c r="F95" s="292" t="s">
        <v>1078</v>
      </c>
      <c r="G95" s="137">
        <v>241546</v>
      </c>
      <c r="H95" s="138">
        <v>231311</v>
      </c>
    </row>
    <row r="96" spans="1:8" ht="57" x14ac:dyDescent="0.3">
      <c r="A96" s="289" t="s">
        <v>1174</v>
      </c>
      <c r="B96" s="276">
        <v>693</v>
      </c>
      <c r="C96" s="136"/>
      <c r="D96" s="136"/>
      <c r="E96" s="286" t="s">
        <v>1029</v>
      </c>
      <c r="F96" s="292" t="s">
        <v>1079</v>
      </c>
      <c r="G96" s="137">
        <v>242795.2</v>
      </c>
      <c r="H96" s="138">
        <v>232148.2</v>
      </c>
    </row>
    <row r="97" spans="1:8" ht="42.75" x14ac:dyDescent="0.3">
      <c r="A97" s="289" t="s">
        <v>1174</v>
      </c>
      <c r="B97" s="276">
        <v>697</v>
      </c>
      <c r="C97" s="136"/>
      <c r="D97" s="136"/>
      <c r="E97" s="286" t="s">
        <v>1030</v>
      </c>
      <c r="F97" s="292" t="s">
        <v>1080</v>
      </c>
      <c r="G97" s="137">
        <v>208010.4</v>
      </c>
      <c r="H97" s="138">
        <v>199196.4</v>
      </c>
    </row>
    <row r="98" spans="1:8" ht="42.75" x14ac:dyDescent="0.3">
      <c r="A98" s="289" t="s">
        <v>1174</v>
      </c>
      <c r="B98" s="276">
        <v>701</v>
      </c>
      <c r="C98" s="136"/>
      <c r="D98" s="136"/>
      <c r="E98" s="286" t="s">
        <v>692</v>
      </c>
      <c r="F98" s="292" t="s">
        <v>1081</v>
      </c>
      <c r="G98" s="137">
        <v>203078</v>
      </c>
      <c r="H98" s="138">
        <v>194473</v>
      </c>
    </row>
    <row r="99" spans="1:8" ht="42.75" x14ac:dyDescent="0.3">
      <c r="A99" s="289" t="s">
        <v>1174</v>
      </c>
      <c r="B99" s="276">
        <v>705</v>
      </c>
      <c r="C99" s="136"/>
      <c r="D99" s="136"/>
      <c r="E99" s="286" t="s">
        <v>1031</v>
      </c>
      <c r="F99" s="292" t="s">
        <v>1082</v>
      </c>
      <c r="G99" s="137">
        <v>264630</v>
      </c>
      <c r="H99" s="138">
        <v>251398.5</v>
      </c>
    </row>
    <row r="100" spans="1:8" ht="57" x14ac:dyDescent="0.3">
      <c r="A100" s="289" t="s">
        <v>1174</v>
      </c>
      <c r="B100" s="276">
        <v>709</v>
      </c>
      <c r="C100" s="136"/>
      <c r="D100" s="136"/>
      <c r="E100" s="286" t="s">
        <v>694</v>
      </c>
      <c r="F100" s="292" t="s">
        <v>1083</v>
      </c>
      <c r="G100" s="137">
        <v>241546</v>
      </c>
      <c r="H100" s="138">
        <v>231311</v>
      </c>
    </row>
    <row r="101" spans="1:8" ht="42.75" x14ac:dyDescent="0.3">
      <c r="A101" s="289" t="s">
        <v>1174</v>
      </c>
      <c r="B101" s="276">
        <v>717</v>
      </c>
      <c r="C101" s="136"/>
      <c r="D101" s="136"/>
      <c r="E101" s="286" t="s">
        <v>1032</v>
      </c>
      <c r="F101" s="292" t="s">
        <v>1084</v>
      </c>
      <c r="G101" s="137">
        <v>203654.83</v>
      </c>
      <c r="H101" s="138">
        <v>195025.39</v>
      </c>
    </row>
    <row r="102" spans="1:8" ht="42.75" x14ac:dyDescent="0.3">
      <c r="A102" s="289" t="s">
        <v>1174</v>
      </c>
      <c r="B102" s="276">
        <v>721</v>
      </c>
      <c r="C102" s="136"/>
      <c r="D102" s="136"/>
      <c r="E102" s="286" t="s">
        <v>714</v>
      </c>
      <c r="F102" s="292" t="s">
        <v>1085</v>
      </c>
      <c r="G102" s="137">
        <v>265496</v>
      </c>
      <c r="H102" s="138">
        <v>252736</v>
      </c>
    </row>
    <row r="103" spans="1:8" ht="42.75" x14ac:dyDescent="0.3">
      <c r="A103" s="289" t="s">
        <v>1174</v>
      </c>
      <c r="B103" s="276">
        <v>725</v>
      </c>
      <c r="C103" s="136"/>
      <c r="D103" s="136"/>
      <c r="E103" s="286" t="s">
        <v>790</v>
      </c>
      <c r="F103" s="292" t="s">
        <v>1086</v>
      </c>
      <c r="G103" s="137">
        <v>92000</v>
      </c>
      <c r="H103" s="138">
        <v>87400</v>
      </c>
    </row>
    <row r="104" spans="1:8" ht="42.75" x14ac:dyDescent="0.3">
      <c r="A104" s="289" t="s">
        <v>1174</v>
      </c>
      <c r="B104" s="276">
        <v>729</v>
      </c>
      <c r="C104" s="136"/>
      <c r="D104" s="136"/>
      <c r="E104" s="286" t="s">
        <v>680</v>
      </c>
      <c r="F104" s="292" t="s">
        <v>1087</v>
      </c>
      <c r="G104" s="137">
        <v>407143.97</v>
      </c>
      <c r="H104" s="138">
        <v>407143.97</v>
      </c>
    </row>
    <row r="105" spans="1:8" ht="42.75" x14ac:dyDescent="0.3">
      <c r="A105" s="289" t="s">
        <v>1174</v>
      </c>
      <c r="B105" s="276">
        <v>733</v>
      </c>
      <c r="C105" s="136"/>
      <c r="D105" s="136"/>
      <c r="E105" s="286" t="s">
        <v>795</v>
      </c>
      <c r="F105" s="292" t="s">
        <v>1088</v>
      </c>
      <c r="G105" s="137">
        <v>554000</v>
      </c>
      <c r="H105" s="138">
        <v>550044.43999999994</v>
      </c>
    </row>
    <row r="106" spans="1:8" ht="57" x14ac:dyDescent="0.3">
      <c r="A106" s="289" t="s">
        <v>1174</v>
      </c>
      <c r="B106" s="276">
        <v>737</v>
      </c>
      <c r="C106" s="136"/>
      <c r="D106" s="136"/>
      <c r="E106" s="286" t="s">
        <v>687</v>
      </c>
      <c r="F106" s="292" t="s">
        <v>1089</v>
      </c>
      <c r="G106" s="137">
        <v>188800</v>
      </c>
      <c r="H106" s="138">
        <v>180800</v>
      </c>
    </row>
    <row r="107" spans="1:8" ht="57" x14ac:dyDescent="0.3">
      <c r="A107" s="289" t="s">
        <v>1174</v>
      </c>
      <c r="B107" s="276">
        <v>741</v>
      </c>
      <c r="C107" s="136"/>
      <c r="D107" s="136"/>
      <c r="E107" s="286" t="s">
        <v>685</v>
      </c>
      <c r="F107" s="292" t="s">
        <v>1090</v>
      </c>
      <c r="G107" s="137">
        <v>577254.80000000005</v>
      </c>
      <c r="H107" s="138">
        <v>548401.6</v>
      </c>
    </row>
    <row r="108" spans="1:8" ht="42.75" x14ac:dyDescent="0.3">
      <c r="A108" s="289" t="s">
        <v>1175</v>
      </c>
      <c r="B108" s="276">
        <v>747</v>
      </c>
      <c r="C108" s="136"/>
      <c r="D108" s="136"/>
      <c r="E108" s="286" t="s">
        <v>682</v>
      </c>
      <c r="F108" s="292" t="s">
        <v>1091</v>
      </c>
      <c r="G108" s="137">
        <v>256060</v>
      </c>
      <c r="H108" s="138">
        <v>245210</v>
      </c>
    </row>
    <row r="109" spans="1:8" ht="42.75" x14ac:dyDescent="0.3">
      <c r="A109" s="289" t="s">
        <v>1175</v>
      </c>
      <c r="B109" s="276">
        <v>751</v>
      </c>
      <c r="C109" s="136"/>
      <c r="D109" s="136"/>
      <c r="E109" s="286" t="s">
        <v>1033</v>
      </c>
      <c r="F109" s="292" t="s">
        <v>1092</v>
      </c>
      <c r="G109" s="137">
        <v>54720</v>
      </c>
      <c r="H109" s="138">
        <v>54720</v>
      </c>
    </row>
    <row r="110" spans="1:8" ht="42.75" x14ac:dyDescent="0.3">
      <c r="A110" s="289" t="s">
        <v>1175</v>
      </c>
      <c r="B110" s="276">
        <v>757</v>
      </c>
      <c r="C110" s="136"/>
      <c r="D110" s="136"/>
      <c r="E110" s="286" t="s">
        <v>1034</v>
      </c>
      <c r="F110" s="292" t="s">
        <v>1093</v>
      </c>
      <c r="G110" s="137">
        <v>32450</v>
      </c>
      <c r="H110" s="138">
        <v>31075</v>
      </c>
    </row>
    <row r="111" spans="1:8" ht="42.75" x14ac:dyDescent="0.3">
      <c r="A111" s="289" t="s">
        <v>1175</v>
      </c>
      <c r="B111" s="276">
        <v>761</v>
      </c>
      <c r="C111" s="136"/>
      <c r="D111" s="136"/>
      <c r="E111" s="286" t="s">
        <v>1035</v>
      </c>
      <c r="F111" s="292" t="s">
        <v>1094</v>
      </c>
      <c r="G111" s="137">
        <v>113775</v>
      </c>
      <c r="H111" s="138">
        <v>108086.25</v>
      </c>
    </row>
    <row r="112" spans="1:8" ht="42.75" x14ac:dyDescent="0.3">
      <c r="A112" s="289" t="s">
        <v>1175</v>
      </c>
      <c r="B112" s="276">
        <v>765</v>
      </c>
      <c r="C112" s="136"/>
      <c r="D112" s="136"/>
      <c r="E112" s="286" t="s">
        <v>684</v>
      </c>
      <c r="F112" s="292" t="s">
        <v>1095</v>
      </c>
      <c r="G112" s="137">
        <v>116040</v>
      </c>
      <c r="H112" s="138">
        <v>110760</v>
      </c>
    </row>
    <row r="113" spans="1:8" ht="42.75" x14ac:dyDescent="0.3">
      <c r="A113" s="289" t="s">
        <v>1175</v>
      </c>
      <c r="B113" s="276">
        <v>769</v>
      </c>
      <c r="C113" s="136"/>
      <c r="D113" s="136"/>
      <c r="E113" s="286" t="s">
        <v>1036</v>
      </c>
      <c r="F113" s="292" t="s">
        <v>1096</v>
      </c>
      <c r="G113" s="137">
        <v>220000</v>
      </c>
      <c r="H113" s="138">
        <v>209000</v>
      </c>
    </row>
    <row r="114" spans="1:8" ht="57" x14ac:dyDescent="0.3">
      <c r="A114" s="289" t="s">
        <v>1175</v>
      </c>
      <c r="B114" s="276">
        <v>775</v>
      </c>
      <c r="C114" s="136"/>
      <c r="D114" s="136"/>
      <c r="E114" s="286" t="s">
        <v>712</v>
      </c>
      <c r="F114" s="292" t="s">
        <v>1097</v>
      </c>
      <c r="G114" s="137">
        <v>75933</v>
      </c>
      <c r="H114" s="138">
        <v>72715.5</v>
      </c>
    </row>
    <row r="115" spans="1:8" ht="71.25" x14ac:dyDescent="0.3">
      <c r="A115" s="289" t="s">
        <v>1176</v>
      </c>
      <c r="B115" s="276">
        <v>780</v>
      </c>
      <c r="C115" s="136"/>
      <c r="D115" s="136"/>
      <c r="E115" s="286" t="s">
        <v>713</v>
      </c>
      <c r="F115" s="292" t="s">
        <v>1098</v>
      </c>
      <c r="G115" s="137">
        <v>1583621.56</v>
      </c>
      <c r="H115" s="138">
        <v>1516518.6950000001</v>
      </c>
    </row>
    <row r="116" spans="1:8" ht="57" x14ac:dyDescent="0.3">
      <c r="A116" s="289" t="s">
        <v>1176</v>
      </c>
      <c r="B116" s="276">
        <v>784</v>
      </c>
      <c r="C116" s="136"/>
      <c r="D116" s="136"/>
      <c r="E116" s="286" t="s">
        <v>713</v>
      </c>
      <c r="F116" s="292" t="s">
        <v>1099</v>
      </c>
      <c r="G116" s="137">
        <v>1583621.56</v>
      </c>
      <c r="H116" s="138">
        <v>1516518.7</v>
      </c>
    </row>
    <row r="117" spans="1:8" ht="42.75" x14ac:dyDescent="0.3">
      <c r="A117" s="289" t="s">
        <v>1176</v>
      </c>
      <c r="B117" s="276">
        <v>789</v>
      </c>
      <c r="C117" s="136"/>
      <c r="D117" s="136"/>
      <c r="E117" s="286" t="s">
        <v>683</v>
      </c>
      <c r="F117" s="292" t="s">
        <v>1100</v>
      </c>
      <c r="G117" s="137">
        <v>661624</v>
      </c>
      <c r="H117" s="138">
        <v>632564</v>
      </c>
    </row>
    <row r="118" spans="1:8" ht="57" x14ac:dyDescent="0.3">
      <c r="A118" s="289" t="s">
        <v>1176</v>
      </c>
      <c r="B118" s="276">
        <v>793</v>
      </c>
      <c r="C118" s="136"/>
      <c r="D118" s="136"/>
      <c r="E118" s="286" t="s">
        <v>722</v>
      </c>
      <c r="F118" s="292" t="s">
        <v>1101</v>
      </c>
      <c r="G118" s="137">
        <v>1649999.99</v>
      </c>
      <c r="H118" s="138">
        <v>1580084.74</v>
      </c>
    </row>
    <row r="119" spans="1:8" ht="42.75" x14ac:dyDescent="0.3">
      <c r="A119" s="289" t="s">
        <v>1176</v>
      </c>
      <c r="B119" s="276">
        <v>797</v>
      </c>
      <c r="C119" s="136"/>
      <c r="D119" s="136"/>
      <c r="E119" s="286" t="s">
        <v>686</v>
      </c>
      <c r="F119" s="292" t="s">
        <v>1102</v>
      </c>
      <c r="G119" s="137">
        <v>268539.7</v>
      </c>
      <c r="H119" s="138">
        <v>255341.45</v>
      </c>
    </row>
    <row r="120" spans="1:8" ht="57" x14ac:dyDescent="0.3">
      <c r="A120" s="289" t="s">
        <v>1176</v>
      </c>
      <c r="B120" s="276">
        <v>801</v>
      </c>
      <c r="C120" s="136"/>
      <c r="D120" s="136"/>
      <c r="E120" s="286" t="s">
        <v>779</v>
      </c>
      <c r="F120" s="292" t="s">
        <v>1103</v>
      </c>
      <c r="G120" s="137">
        <v>771838</v>
      </c>
      <c r="H120" s="138">
        <v>739133</v>
      </c>
    </row>
    <row r="121" spans="1:8" ht="42.75" x14ac:dyDescent="0.3">
      <c r="A121" s="289" t="s">
        <v>1176</v>
      </c>
      <c r="B121" s="276">
        <v>805</v>
      </c>
      <c r="C121" s="136"/>
      <c r="D121" s="136"/>
      <c r="E121" s="286" t="s">
        <v>1031</v>
      </c>
      <c r="F121" s="292" t="s">
        <v>1104</v>
      </c>
      <c r="G121" s="137">
        <v>564972.5</v>
      </c>
      <c r="H121" s="138">
        <v>536723.87</v>
      </c>
    </row>
    <row r="122" spans="1:8" ht="57" x14ac:dyDescent="0.3">
      <c r="A122" s="289" t="s">
        <v>1176</v>
      </c>
      <c r="B122" s="276">
        <v>809</v>
      </c>
      <c r="C122" s="136"/>
      <c r="D122" s="136"/>
      <c r="E122" s="286" t="s">
        <v>1023</v>
      </c>
      <c r="F122" s="292" t="s">
        <v>1105</v>
      </c>
      <c r="G122" s="137">
        <v>61544</v>
      </c>
      <c r="H122" s="138">
        <v>58727.8</v>
      </c>
    </row>
    <row r="123" spans="1:8" ht="42.75" x14ac:dyDescent="0.3">
      <c r="A123" s="289" t="s">
        <v>1176</v>
      </c>
      <c r="B123" s="276">
        <v>812</v>
      </c>
      <c r="C123" s="136"/>
      <c r="D123" s="136"/>
      <c r="E123" s="286" t="s">
        <v>711</v>
      </c>
      <c r="F123" s="292" t="s">
        <v>1106</v>
      </c>
      <c r="G123" s="137">
        <v>20663.36</v>
      </c>
      <c r="H123" s="138">
        <v>19778.259999999998</v>
      </c>
    </row>
    <row r="124" spans="1:8" ht="42.75" x14ac:dyDescent="0.3">
      <c r="A124" s="289" t="s">
        <v>1177</v>
      </c>
      <c r="B124" s="276">
        <v>820</v>
      </c>
      <c r="C124" s="136"/>
      <c r="D124" s="136"/>
      <c r="E124" s="286" t="s">
        <v>1037</v>
      </c>
      <c r="F124" s="292" t="s">
        <v>1107</v>
      </c>
      <c r="G124" s="137">
        <v>271754</v>
      </c>
      <c r="H124" s="138">
        <v>260239</v>
      </c>
    </row>
    <row r="125" spans="1:8" ht="57" x14ac:dyDescent="0.3">
      <c r="A125" s="289" t="s">
        <v>1177</v>
      </c>
      <c r="B125" s="276">
        <v>824</v>
      </c>
      <c r="C125" s="136"/>
      <c r="D125" s="136"/>
      <c r="E125" s="286" t="s">
        <v>1038</v>
      </c>
      <c r="F125" s="292" t="s">
        <v>1108</v>
      </c>
      <c r="G125" s="137">
        <v>679000.24</v>
      </c>
      <c r="H125" s="138"/>
    </row>
    <row r="126" spans="1:8" ht="42.75" x14ac:dyDescent="0.3">
      <c r="A126" s="289" t="s">
        <v>1177</v>
      </c>
      <c r="B126" s="276">
        <v>828</v>
      </c>
      <c r="C126" s="136"/>
      <c r="D126" s="136"/>
      <c r="E126" s="286" t="s">
        <v>722</v>
      </c>
      <c r="F126" s="292" t="s">
        <v>1109</v>
      </c>
      <c r="G126" s="137">
        <v>19520</v>
      </c>
      <c r="H126" s="138"/>
    </row>
    <row r="127" spans="1:8" ht="42.75" x14ac:dyDescent="0.3">
      <c r="A127" s="289" t="s">
        <v>1178</v>
      </c>
      <c r="B127" s="276">
        <v>838</v>
      </c>
      <c r="C127" s="136"/>
      <c r="D127" s="136"/>
      <c r="E127" s="286" t="s">
        <v>1026</v>
      </c>
      <c r="F127" s="292" t="s">
        <v>1110</v>
      </c>
      <c r="G127" s="137">
        <v>60535</v>
      </c>
      <c r="H127" s="138"/>
    </row>
    <row r="128" spans="1:8" ht="42.75" x14ac:dyDescent="0.3">
      <c r="A128" s="289" t="s">
        <v>1178</v>
      </c>
      <c r="B128" s="276">
        <v>842</v>
      </c>
      <c r="C128" s="136"/>
      <c r="D128" s="136"/>
      <c r="E128" s="286" t="s">
        <v>1039</v>
      </c>
      <c r="F128" s="292" t="s">
        <v>1111</v>
      </c>
      <c r="G128" s="137">
        <v>214760</v>
      </c>
      <c r="H128" s="138"/>
    </row>
    <row r="129" spans="1:8" ht="42.75" x14ac:dyDescent="0.3">
      <c r="A129" s="289" t="s">
        <v>1178</v>
      </c>
      <c r="B129" s="276">
        <v>846</v>
      </c>
      <c r="C129" s="136"/>
      <c r="D129" s="136"/>
      <c r="E129" s="286" t="s">
        <v>714</v>
      </c>
      <c r="F129" s="292" t="s">
        <v>1112</v>
      </c>
      <c r="G129" s="137">
        <v>257756</v>
      </c>
      <c r="H129" s="138"/>
    </row>
    <row r="130" spans="1:8" ht="42.75" x14ac:dyDescent="0.3">
      <c r="A130" s="289" t="s">
        <v>1178</v>
      </c>
      <c r="B130" s="276">
        <v>850</v>
      </c>
      <c r="C130" s="136"/>
      <c r="D130" s="136"/>
      <c r="E130" s="286" t="s">
        <v>686</v>
      </c>
      <c r="F130" s="292" t="s">
        <v>1113</v>
      </c>
      <c r="G130" s="137">
        <v>208010.4</v>
      </c>
      <c r="H130" s="138"/>
    </row>
    <row r="131" spans="1:8" ht="42.75" x14ac:dyDescent="0.3">
      <c r="A131" s="289" t="s">
        <v>1178</v>
      </c>
      <c r="B131" s="276">
        <v>854</v>
      </c>
      <c r="C131" s="136"/>
      <c r="D131" s="136"/>
      <c r="E131" s="286" t="s">
        <v>686</v>
      </c>
      <c r="F131" s="292" t="s">
        <v>1114</v>
      </c>
      <c r="G131" s="137">
        <v>30892.95</v>
      </c>
      <c r="H131" s="138"/>
    </row>
    <row r="132" spans="1:8" ht="47.25" x14ac:dyDescent="0.3">
      <c r="A132" s="289" t="s">
        <v>1178</v>
      </c>
      <c r="B132" s="276">
        <v>858</v>
      </c>
      <c r="C132" s="136"/>
      <c r="D132" s="136"/>
      <c r="E132" s="286" t="s">
        <v>1040</v>
      </c>
      <c r="F132" s="336" t="s">
        <v>1115</v>
      </c>
      <c r="G132" s="137">
        <v>1882100</v>
      </c>
      <c r="H132" s="138"/>
    </row>
    <row r="133" spans="1:8" ht="57" x14ac:dyDescent="0.3">
      <c r="A133" s="289" t="s">
        <v>1178</v>
      </c>
      <c r="B133" s="276">
        <v>862</v>
      </c>
      <c r="C133" s="136"/>
      <c r="D133" s="136"/>
      <c r="E133" s="286" t="s">
        <v>1021</v>
      </c>
      <c r="F133" s="292" t="s">
        <v>1116</v>
      </c>
      <c r="G133" s="137">
        <v>1787700</v>
      </c>
      <c r="H133" s="138"/>
    </row>
    <row r="134" spans="1:8" ht="42.75" x14ac:dyDescent="0.3">
      <c r="A134" s="289" t="s">
        <v>1178</v>
      </c>
      <c r="B134" s="276">
        <v>867</v>
      </c>
      <c r="C134" s="136"/>
      <c r="D134" s="136"/>
      <c r="E134" s="286" t="s">
        <v>1041</v>
      </c>
      <c r="F134" s="292" t="s">
        <v>1117</v>
      </c>
      <c r="G134" s="137">
        <v>334708.95</v>
      </c>
      <c r="H134" s="138"/>
    </row>
    <row r="135" spans="1:8" ht="28.5" x14ac:dyDescent="0.3">
      <c r="A135" s="289" t="s">
        <v>1178</v>
      </c>
      <c r="B135" s="276">
        <v>871</v>
      </c>
      <c r="C135" s="136"/>
      <c r="D135" s="136"/>
      <c r="E135" s="286" t="s">
        <v>1042</v>
      </c>
      <c r="F135" s="292" t="s">
        <v>1118</v>
      </c>
      <c r="G135" s="137">
        <v>45000</v>
      </c>
      <c r="H135" s="138"/>
    </row>
    <row r="136" spans="1:8" ht="15.75" x14ac:dyDescent="0.3">
      <c r="A136" s="289" t="s">
        <v>1178</v>
      </c>
      <c r="B136" s="276">
        <v>872</v>
      </c>
      <c r="C136" s="136"/>
      <c r="D136" s="136"/>
      <c r="E136" s="286" t="s">
        <v>1043</v>
      </c>
      <c r="F136" s="186" t="s">
        <v>1119</v>
      </c>
      <c r="G136" s="137">
        <v>141954</v>
      </c>
      <c r="H136" s="138"/>
    </row>
    <row r="137" spans="1:8" ht="28.5" x14ac:dyDescent="0.3">
      <c r="A137" s="289" t="s">
        <v>1178</v>
      </c>
      <c r="B137" s="276">
        <v>874</v>
      </c>
      <c r="C137" s="136"/>
      <c r="D137" s="136"/>
      <c r="E137" s="286" t="s">
        <v>1042</v>
      </c>
      <c r="F137" s="292" t="s">
        <v>1120</v>
      </c>
      <c r="G137" s="137">
        <v>1277768.97</v>
      </c>
      <c r="H137" s="138"/>
    </row>
    <row r="138" spans="1:8" ht="30" x14ac:dyDescent="0.3">
      <c r="A138" s="289" t="s">
        <v>1178</v>
      </c>
      <c r="B138" s="276">
        <v>878</v>
      </c>
      <c r="C138" s="136"/>
      <c r="D138" s="136"/>
      <c r="E138" s="286" t="s">
        <v>1043</v>
      </c>
      <c r="F138" s="400" t="s">
        <v>1121</v>
      </c>
      <c r="G138" s="137">
        <v>1056640</v>
      </c>
      <c r="H138" s="138"/>
    </row>
    <row r="139" spans="1:8" ht="15.75" x14ac:dyDescent="0.3">
      <c r="A139" s="289" t="s">
        <v>1178</v>
      </c>
      <c r="B139" s="276">
        <v>885</v>
      </c>
      <c r="C139" s="136"/>
      <c r="D139" s="136"/>
      <c r="E139" s="286" t="s">
        <v>1043</v>
      </c>
      <c r="F139" s="186" t="s">
        <v>1122</v>
      </c>
      <c r="G139" s="137">
        <v>1518000</v>
      </c>
      <c r="H139" s="138"/>
    </row>
    <row r="140" spans="1:8" ht="15.75" x14ac:dyDescent="0.3">
      <c r="A140" s="289" t="s">
        <v>1178</v>
      </c>
      <c r="B140" s="276">
        <v>889</v>
      </c>
      <c r="C140" s="136"/>
      <c r="D140" s="136"/>
      <c r="E140" s="286" t="s">
        <v>1044</v>
      </c>
      <c r="F140" s="186" t="s">
        <v>1123</v>
      </c>
      <c r="G140" s="137">
        <v>1177510.2</v>
      </c>
      <c r="H140" s="138"/>
    </row>
    <row r="141" spans="1:8" ht="15.75" x14ac:dyDescent="0.3">
      <c r="A141" s="289" t="s">
        <v>1178</v>
      </c>
      <c r="B141" s="276">
        <v>893</v>
      </c>
      <c r="C141" s="136"/>
      <c r="D141" s="136"/>
      <c r="E141" s="286" t="s">
        <v>686</v>
      </c>
      <c r="F141" s="186" t="s">
        <v>1124</v>
      </c>
      <c r="G141" s="137">
        <v>272521</v>
      </c>
      <c r="H141" s="138"/>
    </row>
    <row r="142" spans="1:8" ht="15.75" x14ac:dyDescent="0.3">
      <c r="A142" s="289" t="s">
        <v>1179</v>
      </c>
      <c r="B142" s="276">
        <v>924</v>
      </c>
      <c r="C142" s="136"/>
      <c r="D142" s="136"/>
      <c r="E142" s="286" t="s">
        <v>1037</v>
      </c>
      <c r="F142" s="186" t="s">
        <v>1125</v>
      </c>
      <c r="G142" s="137">
        <v>269276</v>
      </c>
      <c r="H142" s="138"/>
    </row>
    <row r="143" spans="1:8" ht="30.75" x14ac:dyDescent="0.3">
      <c r="A143" s="289" t="s">
        <v>1179</v>
      </c>
      <c r="B143" s="276">
        <v>926</v>
      </c>
      <c r="C143" s="136"/>
      <c r="D143" s="136"/>
      <c r="E143" s="286" t="s">
        <v>1042</v>
      </c>
      <c r="F143" s="401" t="s">
        <v>1126</v>
      </c>
      <c r="G143" s="137">
        <v>65014850.850000001</v>
      </c>
      <c r="H143" s="138"/>
    </row>
    <row r="144" spans="1:8" ht="42.75" x14ac:dyDescent="0.3">
      <c r="A144" s="289" t="s">
        <v>1180</v>
      </c>
      <c r="B144" s="276">
        <v>953</v>
      </c>
      <c r="C144" s="136"/>
      <c r="D144" s="136"/>
      <c r="E144" s="286" t="s">
        <v>721</v>
      </c>
      <c r="F144" s="292" t="s">
        <v>1127</v>
      </c>
      <c r="G144" s="137">
        <v>634769.19999999995</v>
      </c>
      <c r="H144" s="138"/>
    </row>
    <row r="145" spans="1:8" ht="42.75" x14ac:dyDescent="0.3">
      <c r="A145" s="289" t="s">
        <v>1180</v>
      </c>
      <c r="B145" s="276">
        <v>957</v>
      </c>
      <c r="C145" s="136"/>
      <c r="D145" s="136"/>
      <c r="E145" s="286" t="s">
        <v>1037</v>
      </c>
      <c r="F145" s="292" t="s">
        <v>1128</v>
      </c>
      <c r="G145" s="137">
        <v>237495.4</v>
      </c>
      <c r="H145" s="138"/>
    </row>
    <row r="146" spans="1:8" ht="45" x14ac:dyDescent="0.3">
      <c r="A146" s="289" t="s">
        <v>1181</v>
      </c>
      <c r="B146" s="276">
        <v>962</v>
      </c>
      <c r="C146" s="136"/>
      <c r="D146" s="136"/>
      <c r="E146" s="286" t="s">
        <v>683</v>
      </c>
      <c r="F146" s="400" t="s">
        <v>1129</v>
      </c>
      <c r="G146" s="137">
        <v>456188</v>
      </c>
      <c r="H146" s="138"/>
    </row>
    <row r="147" spans="1:8" ht="15.75" x14ac:dyDescent="0.3">
      <c r="A147" s="289" t="s">
        <v>1181</v>
      </c>
      <c r="B147" s="276">
        <v>966</v>
      </c>
      <c r="C147" s="136"/>
      <c r="D147" s="136"/>
      <c r="E147" s="286" t="s">
        <v>715</v>
      </c>
      <c r="F147" s="186" t="s">
        <v>1130</v>
      </c>
      <c r="G147" s="137">
        <v>200000</v>
      </c>
      <c r="H147" s="138"/>
    </row>
    <row r="148" spans="1:8" ht="15.75" x14ac:dyDescent="0.3">
      <c r="A148" s="289" t="s">
        <v>1181</v>
      </c>
      <c r="B148" s="276">
        <v>970</v>
      </c>
      <c r="C148" s="136"/>
      <c r="D148" s="136"/>
      <c r="E148" s="286" t="s">
        <v>1033</v>
      </c>
      <c r="F148" s="186" t="s">
        <v>1131</v>
      </c>
      <c r="G148" s="137">
        <v>179280</v>
      </c>
      <c r="H148" s="138"/>
    </row>
    <row r="149" spans="1:8" ht="42.75" x14ac:dyDescent="0.3">
      <c r="A149" s="289" t="s">
        <v>1182</v>
      </c>
      <c r="B149" s="276">
        <v>974</v>
      </c>
      <c r="C149" s="136"/>
      <c r="D149" s="136"/>
      <c r="E149" s="286" t="s">
        <v>685</v>
      </c>
      <c r="F149" s="292" t="s">
        <v>1132</v>
      </c>
      <c r="G149" s="137">
        <v>703496.94</v>
      </c>
      <c r="H149" s="138"/>
    </row>
    <row r="150" spans="1:8" ht="42.75" x14ac:dyDescent="0.3">
      <c r="A150" s="289" t="s">
        <v>1182</v>
      </c>
      <c r="B150" s="276">
        <v>978</v>
      </c>
      <c r="C150" s="136"/>
      <c r="D150" s="136"/>
      <c r="E150" s="286" t="s">
        <v>692</v>
      </c>
      <c r="F150" s="292" t="s">
        <v>1133</v>
      </c>
      <c r="G150" s="137">
        <v>176528</v>
      </c>
      <c r="H150" s="138"/>
    </row>
    <row r="151" spans="1:8" ht="42.75" x14ac:dyDescent="0.3">
      <c r="A151" s="289" t="s">
        <v>1182</v>
      </c>
      <c r="B151" s="276">
        <v>982</v>
      </c>
      <c r="C151" s="136"/>
      <c r="D151" s="136"/>
      <c r="E151" s="286" t="s">
        <v>687</v>
      </c>
      <c r="F151" s="292" t="s">
        <v>1134</v>
      </c>
      <c r="G151" s="137">
        <v>201500</v>
      </c>
      <c r="H151" s="138"/>
    </row>
    <row r="152" spans="1:8" ht="42.75" x14ac:dyDescent="0.3">
      <c r="A152" s="289" t="s">
        <v>1182</v>
      </c>
      <c r="B152" s="276">
        <v>989</v>
      </c>
      <c r="C152" s="136"/>
      <c r="D152" s="136"/>
      <c r="E152" s="286" t="s">
        <v>1033</v>
      </c>
      <c r="F152" s="292" t="s">
        <v>1135</v>
      </c>
      <c r="G152" s="137">
        <v>169632</v>
      </c>
      <c r="H152" s="138"/>
    </row>
    <row r="153" spans="1:8" ht="45" x14ac:dyDescent="0.3">
      <c r="A153" s="289" t="s">
        <v>1182</v>
      </c>
      <c r="B153" s="276">
        <v>993</v>
      </c>
      <c r="C153" s="136"/>
      <c r="D153" s="136"/>
      <c r="E153" s="286" t="s">
        <v>715</v>
      </c>
      <c r="F153" s="334" t="s">
        <v>1136</v>
      </c>
      <c r="G153" s="137">
        <v>243000</v>
      </c>
      <c r="H153" s="138"/>
    </row>
    <row r="154" spans="1:8" ht="42.75" x14ac:dyDescent="0.3">
      <c r="A154" s="289" t="s">
        <v>1182</v>
      </c>
      <c r="B154" s="276">
        <v>997</v>
      </c>
      <c r="C154" s="136"/>
      <c r="D154" s="136"/>
      <c r="E154" s="286" t="s">
        <v>714</v>
      </c>
      <c r="F154" s="292" t="s">
        <v>1137</v>
      </c>
      <c r="G154" s="137">
        <v>264013.2</v>
      </c>
      <c r="H154" s="138"/>
    </row>
    <row r="155" spans="1:8" ht="42.75" x14ac:dyDescent="0.3">
      <c r="A155" s="289" t="s">
        <v>1182</v>
      </c>
      <c r="B155" s="276">
        <v>1001</v>
      </c>
      <c r="C155" s="136"/>
      <c r="D155" s="136"/>
      <c r="E155" s="286" t="s">
        <v>690</v>
      </c>
      <c r="F155" s="292" t="s">
        <v>1138</v>
      </c>
      <c r="G155" s="137">
        <v>230320</v>
      </c>
      <c r="H155" s="138"/>
    </row>
    <row r="156" spans="1:8" ht="47.25" x14ac:dyDescent="0.3">
      <c r="A156" s="289" t="s">
        <v>1182</v>
      </c>
      <c r="B156" s="276">
        <v>1005</v>
      </c>
      <c r="C156" s="136"/>
      <c r="D156" s="136"/>
      <c r="E156" s="286" t="s">
        <v>687</v>
      </c>
      <c r="F156" s="336" t="s">
        <v>1139</v>
      </c>
      <c r="G156" s="137">
        <v>140656</v>
      </c>
      <c r="H156" s="138"/>
    </row>
    <row r="157" spans="1:8" ht="47.25" x14ac:dyDescent="0.3">
      <c r="A157" s="289" t="s">
        <v>1182</v>
      </c>
      <c r="B157" s="276">
        <v>1009</v>
      </c>
      <c r="C157" s="136"/>
      <c r="D157" s="136"/>
      <c r="E157" s="286" t="s">
        <v>712</v>
      </c>
      <c r="F157" s="336" t="s">
        <v>1140</v>
      </c>
      <c r="G157" s="137">
        <v>209296.6</v>
      </c>
      <c r="H157" s="138"/>
    </row>
    <row r="158" spans="1:8" ht="45" x14ac:dyDescent="0.3">
      <c r="A158" s="289" t="s">
        <v>1182</v>
      </c>
      <c r="B158" s="276">
        <v>1013</v>
      </c>
      <c r="C158" s="136"/>
      <c r="D158" s="136"/>
      <c r="E158" s="286" t="s">
        <v>687</v>
      </c>
      <c r="F158" s="334" t="s">
        <v>1141</v>
      </c>
      <c r="G158" s="137">
        <v>247800</v>
      </c>
      <c r="H158" s="138"/>
    </row>
    <row r="159" spans="1:8" ht="16.5" x14ac:dyDescent="0.3">
      <c r="A159" s="289" t="s">
        <v>1182</v>
      </c>
      <c r="B159" s="276">
        <v>1017</v>
      </c>
      <c r="C159" s="136"/>
      <c r="D159" s="136"/>
      <c r="E159" s="286" t="s">
        <v>687</v>
      </c>
      <c r="F159" s="337" t="s">
        <v>1142</v>
      </c>
      <c r="G159" s="137">
        <v>542800</v>
      </c>
      <c r="H159" s="138"/>
    </row>
    <row r="160" spans="1:8" ht="16.5" x14ac:dyDescent="0.3">
      <c r="A160" s="289" t="s">
        <v>1182</v>
      </c>
      <c r="B160" s="276">
        <v>1021</v>
      </c>
      <c r="C160" s="136"/>
      <c r="D160" s="136"/>
      <c r="E160" s="286" t="s">
        <v>1023</v>
      </c>
      <c r="F160" s="337" t="s">
        <v>1143</v>
      </c>
      <c r="G160" s="137">
        <v>188847.2</v>
      </c>
      <c r="H160" s="138"/>
    </row>
    <row r="161" spans="1:8" ht="45" x14ac:dyDescent="0.3">
      <c r="A161" s="289" t="s">
        <v>1182</v>
      </c>
      <c r="B161" s="276">
        <v>1025</v>
      </c>
      <c r="C161" s="136"/>
      <c r="D161" s="136"/>
      <c r="E161" s="362" t="s">
        <v>715</v>
      </c>
      <c r="F161" s="363" t="s">
        <v>1144</v>
      </c>
      <c r="G161" s="137">
        <v>271700</v>
      </c>
      <c r="H161" s="137"/>
    </row>
    <row r="162" spans="1:8" x14ac:dyDescent="0.25">
      <c r="A162" s="302" t="s">
        <v>1182</v>
      </c>
      <c r="B162" s="339">
        <v>1029</v>
      </c>
      <c r="C162" s="2"/>
      <c r="D162" s="2"/>
      <c r="E162" s="364" t="s">
        <v>1024</v>
      </c>
      <c r="F162" s="364" t="s">
        <v>1145</v>
      </c>
      <c r="G162" s="365">
        <v>97500</v>
      </c>
      <c r="H162" s="366"/>
    </row>
    <row r="163" spans="1:8" ht="45" x14ac:dyDescent="0.25">
      <c r="A163" s="302" t="s">
        <v>1182</v>
      </c>
      <c r="B163" s="339">
        <v>1033</v>
      </c>
      <c r="C163" s="2"/>
      <c r="D163" s="2"/>
      <c r="E163" s="335" t="s">
        <v>790</v>
      </c>
      <c r="F163" s="335" t="s">
        <v>1146</v>
      </c>
      <c r="G163" s="125">
        <v>92000</v>
      </c>
      <c r="H163" s="1"/>
    </row>
    <row r="164" spans="1:8" ht="45.75" hidden="1" customHeight="1" thickBot="1" x14ac:dyDescent="0.25">
      <c r="A164" s="302" t="s">
        <v>1183</v>
      </c>
      <c r="B164" s="2">
        <v>1050</v>
      </c>
      <c r="C164" s="2"/>
      <c r="D164" s="2"/>
      <c r="E164" s="335" t="s">
        <v>715</v>
      </c>
      <c r="F164" s="335" t="s">
        <v>1147</v>
      </c>
      <c r="G164" s="125">
        <v>268500</v>
      </c>
      <c r="H164" s="1"/>
    </row>
    <row r="165" spans="1:8" ht="45" hidden="1" customHeight="1" x14ac:dyDescent="0.25">
      <c r="A165" s="367" t="s">
        <v>1183</v>
      </c>
      <c r="B165" s="402">
        <v>1054</v>
      </c>
      <c r="C165" s="402"/>
      <c r="D165" s="2"/>
      <c r="E165" s="335" t="s">
        <v>1023</v>
      </c>
      <c r="F165" s="335" t="s">
        <v>1148</v>
      </c>
      <c r="G165" s="125">
        <v>208800</v>
      </c>
      <c r="H165" s="1"/>
    </row>
    <row r="166" spans="1:8" ht="45" hidden="1" customHeight="1" x14ac:dyDescent="0.25">
      <c r="A166" s="361" t="s">
        <v>1183</v>
      </c>
      <c r="B166" s="403">
        <v>1058</v>
      </c>
      <c r="C166" s="122">
        <v>30710970.009999983</v>
      </c>
      <c r="D166" s="2"/>
      <c r="E166" s="335" t="s">
        <v>726</v>
      </c>
      <c r="F166" s="335" t="s">
        <v>1149</v>
      </c>
      <c r="G166" s="125">
        <v>191040</v>
      </c>
      <c r="H166" s="1"/>
    </row>
    <row r="167" spans="1:8" ht="45" hidden="1" customHeight="1" x14ac:dyDescent="0.25">
      <c r="A167" s="361" t="s">
        <v>1183</v>
      </c>
      <c r="B167" s="403">
        <v>1062</v>
      </c>
      <c r="C167" s="316">
        <f>+G125</f>
        <v>679000.24</v>
      </c>
      <c r="D167" s="2"/>
      <c r="E167" s="335" t="s">
        <v>1036</v>
      </c>
      <c r="F167" s="335" t="s">
        <v>1150</v>
      </c>
      <c r="G167" s="125">
        <v>322900</v>
      </c>
      <c r="H167" s="1"/>
    </row>
    <row r="168" spans="1:8" ht="45" hidden="1" customHeight="1" x14ac:dyDescent="0.25">
      <c r="A168" s="361" t="s">
        <v>1184</v>
      </c>
      <c r="B168" s="403">
        <v>1078</v>
      </c>
      <c r="C168" s="316">
        <f>+G61+G56+G55+G36</f>
        <v>141963.26</v>
      </c>
      <c r="D168" s="2"/>
      <c r="E168" s="335" t="s">
        <v>688</v>
      </c>
      <c r="F168" s="335" t="s">
        <v>1151</v>
      </c>
      <c r="G168" s="125">
        <v>187042.98</v>
      </c>
      <c r="H168" s="1"/>
    </row>
    <row r="169" spans="1:8" ht="60.75" hidden="1" customHeight="1" thickBot="1" x14ac:dyDescent="0.25">
      <c r="A169" s="361" t="s">
        <v>1184</v>
      </c>
      <c r="B169" s="403">
        <v>1082</v>
      </c>
      <c r="C169" s="316">
        <f>+G122+G124+G126+G127+G128+G129+G131+G130+G132</f>
        <v>3006872.3499999996</v>
      </c>
      <c r="D169" s="2"/>
      <c r="E169" s="335" t="s">
        <v>1023</v>
      </c>
      <c r="F169" s="335" t="s">
        <v>1152</v>
      </c>
      <c r="G169" s="125">
        <v>189650</v>
      </c>
      <c r="H169" s="1"/>
    </row>
    <row r="170" spans="1:8" ht="45" hidden="1" customHeight="1" x14ac:dyDescent="0.25">
      <c r="A170" s="302" t="s">
        <v>1184</v>
      </c>
      <c r="B170" s="2">
        <v>1086</v>
      </c>
      <c r="C170" s="316"/>
      <c r="D170" s="2"/>
      <c r="E170" s="335" t="s">
        <v>689</v>
      </c>
      <c r="F170" s="335" t="s">
        <v>1153</v>
      </c>
      <c r="G170" s="125">
        <v>272000</v>
      </c>
      <c r="H170" s="1"/>
    </row>
    <row r="171" spans="1:8" ht="45.75" hidden="1" customHeight="1" thickBot="1" x14ac:dyDescent="0.25">
      <c r="A171" s="302" t="s">
        <v>1184</v>
      </c>
      <c r="B171" s="2">
        <v>1090</v>
      </c>
      <c r="C171" s="2"/>
      <c r="D171" s="2"/>
      <c r="E171" s="335" t="s">
        <v>1045</v>
      </c>
      <c r="F171" s="335" t="s">
        <v>1154</v>
      </c>
      <c r="G171" s="125">
        <v>192000</v>
      </c>
      <c r="H171" s="1"/>
    </row>
    <row r="172" spans="1:8" ht="45" hidden="1" customHeight="1" x14ac:dyDescent="0.25">
      <c r="A172" s="367" t="s">
        <v>1184</v>
      </c>
      <c r="B172" s="402">
        <v>1094</v>
      </c>
      <c r="C172" s="402"/>
      <c r="D172" s="2"/>
      <c r="E172" s="335" t="s">
        <v>1036</v>
      </c>
      <c r="F172" s="335" t="s">
        <v>1155</v>
      </c>
      <c r="G172" s="125">
        <v>168400</v>
      </c>
      <c r="H172" s="1"/>
    </row>
    <row r="173" spans="1:8" ht="45" hidden="1" customHeight="1" x14ac:dyDescent="0.25">
      <c r="A173" s="361" t="s">
        <v>1184</v>
      </c>
      <c r="B173" s="403">
        <v>1098</v>
      </c>
      <c r="C173" s="122">
        <v>11495300.289999979</v>
      </c>
      <c r="D173" s="2"/>
      <c r="E173" s="335" t="s">
        <v>991</v>
      </c>
      <c r="F173" s="335" t="s">
        <v>1156</v>
      </c>
      <c r="G173" s="125">
        <v>121662</v>
      </c>
      <c r="H173" s="1"/>
    </row>
    <row r="174" spans="1:8" ht="45" hidden="1" customHeight="1" x14ac:dyDescent="0.25">
      <c r="A174" s="361" t="s">
        <v>1185</v>
      </c>
      <c r="B174" s="403">
        <v>1118</v>
      </c>
      <c r="C174" s="316">
        <v>100061.7</v>
      </c>
      <c r="D174" s="2"/>
      <c r="E174" s="335" t="s">
        <v>689</v>
      </c>
      <c r="F174" s="335" t="s">
        <v>1157</v>
      </c>
      <c r="G174" s="125">
        <v>249000</v>
      </c>
      <c r="H174" s="1"/>
    </row>
    <row r="175" spans="1:8" ht="45" hidden="1" customHeight="1" x14ac:dyDescent="0.25">
      <c r="A175" s="361" t="s">
        <v>1185</v>
      </c>
      <c r="B175" s="403">
        <v>1122</v>
      </c>
      <c r="C175" s="316">
        <v>65091179.919999994</v>
      </c>
      <c r="D175" s="2"/>
      <c r="E175" s="335" t="s">
        <v>688</v>
      </c>
      <c r="F175" s="335" t="s">
        <v>1158</v>
      </c>
      <c r="G175" s="125">
        <v>889762.48</v>
      </c>
      <c r="H175" s="1"/>
    </row>
    <row r="176" spans="1:8" ht="60.75" hidden="1" customHeight="1" thickBot="1" x14ac:dyDescent="0.25">
      <c r="A176" s="361" t="s">
        <v>1186</v>
      </c>
      <c r="B176" s="403">
        <v>1142</v>
      </c>
      <c r="C176" s="316">
        <v>183318.35</v>
      </c>
      <c r="D176" s="2"/>
      <c r="E176" s="335" t="s">
        <v>1046</v>
      </c>
      <c r="F176" s="335" t="s">
        <v>1159</v>
      </c>
      <c r="G176" s="125">
        <v>700640.27</v>
      </c>
      <c r="H176" s="1"/>
    </row>
    <row r="177" spans="1:8" ht="45.75" hidden="1" customHeight="1" thickBot="1" x14ac:dyDescent="0.25">
      <c r="A177" s="302" t="s">
        <v>1186</v>
      </c>
      <c r="B177" s="2">
        <v>1146</v>
      </c>
      <c r="C177" s="2"/>
      <c r="D177" s="2"/>
      <c r="E177" s="335" t="s">
        <v>1047</v>
      </c>
      <c r="F177" s="335" t="s">
        <v>1160</v>
      </c>
      <c r="G177" s="125">
        <v>259600</v>
      </c>
      <c r="H177" s="1"/>
    </row>
    <row r="178" spans="1:8" ht="45" hidden="1" customHeight="1" x14ac:dyDescent="0.25">
      <c r="A178" s="367" t="s">
        <v>1186</v>
      </c>
      <c r="B178" s="402">
        <v>1152</v>
      </c>
      <c r="C178" s="402"/>
      <c r="D178" s="2"/>
      <c r="E178" s="335" t="s">
        <v>714</v>
      </c>
      <c r="F178" s="335" t="s">
        <v>1161</v>
      </c>
      <c r="G178" s="125">
        <v>270000</v>
      </c>
      <c r="H178" s="1"/>
    </row>
    <row r="179" spans="1:8" ht="45" hidden="1" customHeight="1" x14ac:dyDescent="0.25">
      <c r="A179" s="361" t="s">
        <v>1187</v>
      </c>
      <c r="B179" s="403">
        <v>1158</v>
      </c>
      <c r="C179" s="122">
        <f>+C166+C173+8138143.86</f>
        <v>50344414.159999959</v>
      </c>
      <c r="D179" s="2"/>
      <c r="E179" s="335" t="s">
        <v>715</v>
      </c>
      <c r="F179" s="335" t="s">
        <v>1162</v>
      </c>
      <c r="G179" s="125">
        <v>272500</v>
      </c>
      <c r="H179" s="1"/>
    </row>
    <row r="180" spans="1:8" ht="45" hidden="1" customHeight="1" x14ac:dyDescent="0.25">
      <c r="A180" s="361" t="s">
        <v>1187</v>
      </c>
      <c r="B180" s="403">
        <v>1162</v>
      </c>
      <c r="C180" s="122">
        <f t="shared" ref="C180:C181" si="1">+C167+C174</f>
        <v>779061.94</v>
      </c>
      <c r="D180" s="2"/>
      <c r="E180" s="335" t="s">
        <v>715</v>
      </c>
      <c r="F180" s="335" t="s">
        <v>1163</v>
      </c>
      <c r="G180" s="125">
        <v>272580</v>
      </c>
      <c r="H180" s="1"/>
    </row>
    <row r="181" spans="1:8" ht="45" hidden="1" customHeight="1" x14ac:dyDescent="0.25">
      <c r="A181" s="361" t="s">
        <v>1187</v>
      </c>
      <c r="B181" s="403">
        <v>1166</v>
      </c>
      <c r="C181" s="122">
        <f t="shared" si="1"/>
        <v>65233143.179999992</v>
      </c>
      <c r="D181" s="2"/>
      <c r="E181" s="335" t="s">
        <v>1023</v>
      </c>
      <c r="F181" s="335" t="s">
        <v>1164</v>
      </c>
      <c r="G181" s="125">
        <v>162722</v>
      </c>
      <c r="H181" s="1"/>
    </row>
    <row r="182" spans="1:8" ht="45.75" hidden="1" customHeight="1" thickBot="1" x14ac:dyDescent="0.25">
      <c r="A182" s="361" t="s">
        <v>1187</v>
      </c>
      <c r="B182" s="403">
        <v>1170</v>
      </c>
      <c r="C182" s="122">
        <f>+C169+C176</f>
        <v>3190190.6999999997</v>
      </c>
      <c r="D182" s="2"/>
      <c r="E182" s="335" t="s">
        <v>689</v>
      </c>
      <c r="F182" s="335" t="s">
        <v>1165</v>
      </c>
      <c r="G182" s="125">
        <v>270000</v>
      </c>
      <c r="H182" s="1"/>
    </row>
    <row r="183" spans="1:8" ht="60" hidden="1" customHeight="1" x14ac:dyDescent="0.25">
      <c r="A183" s="302" t="s">
        <v>1188</v>
      </c>
      <c r="B183" s="2">
        <v>1174</v>
      </c>
      <c r="C183" s="2"/>
      <c r="D183" s="2"/>
      <c r="E183" s="335" t="s">
        <v>1023</v>
      </c>
      <c r="F183" s="335" t="s">
        <v>1166</v>
      </c>
      <c r="G183" s="125">
        <v>212284</v>
      </c>
      <c r="H183" s="1"/>
    </row>
    <row r="184" spans="1:8" ht="45" hidden="1" customHeight="1" x14ac:dyDescent="0.25">
      <c r="A184" s="367" t="s">
        <v>1188</v>
      </c>
      <c r="B184" s="402">
        <v>1179</v>
      </c>
      <c r="C184" s="404">
        <v>0.1113</v>
      </c>
      <c r="D184" s="2"/>
      <c r="E184" s="335" t="s">
        <v>683</v>
      </c>
      <c r="F184" s="335" t="s">
        <v>1167</v>
      </c>
      <c r="G184" s="125">
        <v>207868.79999999999</v>
      </c>
      <c r="H184" s="1"/>
    </row>
    <row r="185" spans="1:8" ht="45" hidden="1" customHeight="1" x14ac:dyDescent="0.25">
      <c r="A185" s="302" t="s">
        <v>1188</v>
      </c>
      <c r="B185" s="2">
        <v>1183</v>
      </c>
      <c r="C185" s="2"/>
      <c r="D185" s="2"/>
      <c r="E185" s="335" t="s">
        <v>683</v>
      </c>
      <c r="F185" s="335" t="s">
        <v>1168</v>
      </c>
      <c r="G185" s="125">
        <v>272627.20000000001</v>
      </c>
      <c r="H185" s="1"/>
    </row>
    <row r="186" spans="1:8" ht="45" hidden="1" customHeight="1" x14ac:dyDescent="0.25">
      <c r="A186" s="367" t="s">
        <v>1188</v>
      </c>
      <c r="B186" s="402">
        <v>1189</v>
      </c>
      <c r="C186" s="402"/>
      <c r="D186" s="2"/>
      <c r="E186" s="335" t="s">
        <v>683</v>
      </c>
      <c r="F186" s="335" t="s">
        <v>1169</v>
      </c>
      <c r="G186" s="125">
        <v>135036</v>
      </c>
      <c r="H186" s="1"/>
    </row>
    <row r="187" spans="1:8" ht="15" hidden="1" customHeight="1" x14ac:dyDescent="0.25">
      <c r="A187" s="302" t="s">
        <v>704</v>
      </c>
      <c r="B187" s="122">
        <v>2044133.34</v>
      </c>
      <c r="C187" s="2"/>
      <c r="D187" s="2"/>
      <c r="E187" s="335"/>
      <c r="F187" s="335"/>
      <c r="G187" s="125"/>
      <c r="H187" s="1"/>
    </row>
    <row r="188" spans="1:8" ht="15" hidden="1" customHeight="1" x14ac:dyDescent="0.25">
      <c r="A188" s="302" t="s">
        <v>705</v>
      </c>
      <c r="B188" s="122">
        <v>7844142.9403999979</v>
      </c>
      <c r="C188" s="2"/>
      <c r="D188" s="2"/>
      <c r="E188" s="335"/>
      <c r="F188" s="335"/>
      <c r="G188" s="125"/>
      <c r="H188" s="1"/>
    </row>
    <row r="189" spans="1:8" ht="15" hidden="1" customHeight="1" x14ac:dyDescent="0.25">
      <c r="A189" s="302">
        <v>45658</v>
      </c>
      <c r="B189" s="122">
        <v>6000812.8900000015</v>
      </c>
      <c r="C189" s="2"/>
      <c r="D189" s="2"/>
      <c r="E189" s="335"/>
      <c r="F189" s="335"/>
      <c r="G189" s="125"/>
      <c r="H189" s="1"/>
    </row>
    <row r="190" spans="1:8" ht="15" hidden="1" customHeight="1" x14ac:dyDescent="0.25">
      <c r="A190" s="302">
        <v>45689</v>
      </c>
      <c r="B190" s="122">
        <v>19190639.640000004</v>
      </c>
      <c r="C190" s="2"/>
      <c r="D190" s="2"/>
      <c r="E190" s="335"/>
      <c r="F190" s="335"/>
      <c r="G190" s="125"/>
      <c r="H190" s="1"/>
    </row>
    <row r="191" spans="1:8" ht="15" hidden="1" customHeight="1" x14ac:dyDescent="0.25">
      <c r="A191" s="302">
        <v>45717</v>
      </c>
      <c r="B191" s="122">
        <v>0</v>
      </c>
      <c r="C191" s="2"/>
      <c r="D191" s="2"/>
      <c r="E191" s="335"/>
      <c r="F191" s="335"/>
      <c r="G191" s="125"/>
      <c r="H191" s="1"/>
    </row>
    <row r="192" spans="1:8" ht="15" hidden="1" customHeight="1" x14ac:dyDescent="0.25">
      <c r="A192" s="368" t="s">
        <v>558</v>
      </c>
      <c r="B192" s="283">
        <v>35079728.810400009</v>
      </c>
      <c r="C192" s="2"/>
      <c r="D192" s="2"/>
      <c r="E192" s="335"/>
      <c r="F192" s="335"/>
      <c r="G192" s="125"/>
      <c r="H192" s="1"/>
    </row>
    <row r="193" spans="1:8" ht="15" hidden="1" customHeight="1" x14ac:dyDescent="0.25">
      <c r="A193" s="302"/>
      <c r="B193" s="2"/>
      <c r="C193" s="2"/>
      <c r="D193" s="2"/>
      <c r="E193" s="335"/>
      <c r="F193" s="335"/>
      <c r="G193" s="125"/>
      <c r="H193" s="1"/>
    </row>
    <row r="194" spans="1:8" ht="45" x14ac:dyDescent="0.25">
      <c r="A194" s="302" t="s">
        <v>1183</v>
      </c>
      <c r="B194" s="2">
        <v>1050</v>
      </c>
      <c r="C194" s="2"/>
      <c r="D194" s="2"/>
      <c r="E194" s="335" t="s">
        <v>715</v>
      </c>
      <c r="F194" s="335" t="s">
        <v>1147</v>
      </c>
      <c r="G194" s="125">
        <v>268500</v>
      </c>
      <c r="H194" s="1"/>
    </row>
    <row r="195" spans="1:8" ht="45" x14ac:dyDescent="0.25">
      <c r="A195" s="302" t="s">
        <v>1183</v>
      </c>
      <c r="B195" s="2">
        <v>1054</v>
      </c>
      <c r="C195" s="2"/>
      <c r="D195" s="2"/>
      <c r="E195" s="335" t="s">
        <v>1023</v>
      </c>
      <c r="F195" s="335" t="s">
        <v>1148</v>
      </c>
      <c r="G195" s="125">
        <v>208800</v>
      </c>
      <c r="H195" s="1"/>
    </row>
    <row r="196" spans="1:8" ht="45" x14ac:dyDescent="0.25">
      <c r="A196" s="302" t="s">
        <v>1183</v>
      </c>
      <c r="B196" s="2">
        <v>1058</v>
      </c>
      <c r="C196" s="2"/>
      <c r="D196" s="2"/>
      <c r="E196" s="335" t="s">
        <v>726</v>
      </c>
      <c r="F196" s="335" t="s">
        <v>1149</v>
      </c>
      <c r="G196" s="125">
        <v>191040</v>
      </c>
      <c r="H196" s="1"/>
    </row>
    <row r="197" spans="1:8" ht="45" x14ac:dyDescent="0.25">
      <c r="A197" s="302" t="s">
        <v>1183</v>
      </c>
      <c r="B197" s="2">
        <v>1062</v>
      </c>
      <c r="C197" s="2"/>
      <c r="D197" s="2"/>
      <c r="E197" s="335" t="s">
        <v>1036</v>
      </c>
      <c r="F197" s="335" t="s">
        <v>1150</v>
      </c>
      <c r="G197" s="125">
        <v>322900</v>
      </c>
      <c r="H197" s="1"/>
    </row>
    <row r="198" spans="1:8" ht="45" x14ac:dyDescent="0.25">
      <c r="A198" s="302" t="s">
        <v>1184</v>
      </c>
      <c r="B198" s="2">
        <v>1078</v>
      </c>
      <c r="C198" s="2"/>
      <c r="D198" s="2"/>
      <c r="E198" s="335" t="s">
        <v>688</v>
      </c>
      <c r="F198" s="335" t="s">
        <v>1151</v>
      </c>
      <c r="G198" s="125">
        <v>187042.98</v>
      </c>
      <c r="H198" s="1"/>
    </row>
    <row r="199" spans="1:8" ht="60" x14ac:dyDescent="0.25">
      <c r="A199" s="302" t="s">
        <v>1184</v>
      </c>
      <c r="B199" s="2">
        <v>1082</v>
      </c>
      <c r="C199" s="2"/>
      <c r="D199" s="2"/>
      <c r="E199" s="335" t="s">
        <v>1023</v>
      </c>
      <c r="F199" s="335" t="s">
        <v>1152</v>
      </c>
      <c r="G199" s="125">
        <v>189650</v>
      </c>
      <c r="H199" s="1"/>
    </row>
    <row r="200" spans="1:8" ht="45" x14ac:dyDescent="0.25">
      <c r="A200" s="302" t="s">
        <v>1184</v>
      </c>
      <c r="B200" s="2">
        <v>1086</v>
      </c>
      <c r="C200" s="2"/>
      <c r="D200" s="2"/>
      <c r="E200" s="335" t="s">
        <v>689</v>
      </c>
      <c r="F200" s="335" t="s">
        <v>1153</v>
      </c>
      <c r="G200" s="125">
        <v>272000</v>
      </c>
      <c r="H200" s="1"/>
    </row>
    <row r="201" spans="1:8" ht="45" x14ac:dyDescent="0.25">
      <c r="A201" s="302" t="s">
        <v>1184</v>
      </c>
      <c r="B201" s="2">
        <v>1090</v>
      </c>
      <c r="C201" s="2"/>
      <c r="D201" s="2"/>
      <c r="E201" s="335" t="s">
        <v>1045</v>
      </c>
      <c r="F201" s="335" t="s">
        <v>1154</v>
      </c>
      <c r="G201" s="125">
        <v>192000</v>
      </c>
      <c r="H201" s="1"/>
    </row>
    <row r="202" spans="1:8" ht="45" x14ac:dyDescent="0.25">
      <c r="A202" s="302" t="s">
        <v>1184</v>
      </c>
      <c r="B202" s="2">
        <v>1094</v>
      </c>
      <c r="C202" s="2"/>
      <c r="D202" s="2"/>
      <c r="E202" s="335" t="s">
        <v>1036</v>
      </c>
      <c r="F202" s="335" t="s">
        <v>1155</v>
      </c>
      <c r="G202" s="125">
        <v>168400</v>
      </c>
      <c r="H202" s="1"/>
    </row>
    <row r="203" spans="1:8" ht="45" x14ac:dyDescent="0.25">
      <c r="A203" s="302" t="s">
        <v>1184</v>
      </c>
      <c r="B203" s="2">
        <v>1098</v>
      </c>
      <c r="C203" s="2"/>
      <c r="D203" s="2"/>
      <c r="E203" s="335" t="s">
        <v>991</v>
      </c>
      <c r="F203" s="335" t="s">
        <v>1156</v>
      </c>
      <c r="G203" s="125">
        <v>121662</v>
      </c>
      <c r="H203" s="1"/>
    </row>
    <row r="204" spans="1:8" ht="45" x14ac:dyDescent="0.25">
      <c r="A204" s="302" t="s">
        <v>1185</v>
      </c>
      <c r="B204" s="2">
        <v>1118</v>
      </c>
      <c r="C204" s="2"/>
      <c r="D204" s="2"/>
      <c r="E204" s="335" t="s">
        <v>689</v>
      </c>
      <c r="F204" s="335" t="s">
        <v>1157</v>
      </c>
      <c r="G204" s="125">
        <v>249000</v>
      </c>
      <c r="H204" s="1"/>
    </row>
    <row r="205" spans="1:8" ht="45" x14ac:dyDescent="0.25">
      <c r="A205" s="302" t="s">
        <v>1185</v>
      </c>
      <c r="B205" s="2">
        <v>1122</v>
      </c>
      <c r="C205" s="2"/>
      <c r="D205" s="2"/>
      <c r="E205" s="335" t="s">
        <v>688</v>
      </c>
      <c r="F205" s="335" t="s">
        <v>1158</v>
      </c>
      <c r="G205" s="125">
        <v>889762.48</v>
      </c>
      <c r="H205" s="1"/>
    </row>
    <row r="206" spans="1:8" ht="60" x14ac:dyDescent="0.25">
      <c r="A206" s="302" t="s">
        <v>1186</v>
      </c>
      <c r="B206" s="2">
        <v>1142</v>
      </c>
      <c r="C206" s="2"/>
      <c r="D206" s="2"/>
      <c r="E206" s="335" t="s">
        <v>1046</v>
      </c>
      <c r="F206" s="335" t="s">
        <v>1159</v>
      </c>
      <c r="G206" s="125">
        <v>700640.27</v>
      </c>
      <c r="H206" s="1"/>
    </row>
    <row r="207" spans="1:8" ht="45" x14ac:dyDescent="0.25">
      <c r="A207" s="302" t="s">
        <v>1186</v>
      </c>
      <c r="B207" s="2">
        <v>1146</v>
      </c>
      <c r="C207" s="2"/>
      <c r="D207" s="2"/>
      <c r="E207" s="335" t="s">
        <v>1047</v>
      </c>
      <c r="F207" s="335" t="s">
        <v>1160</v>
      </c>
      <c r="G207" s="125">
        <v>259600</v>
      </c>
      <c r="H207" s="1"/>
    </row>
    <row r="208" spans="1:8" ht="45" x14ac:dyDescent="0.25">
      <c r="A208" s="302" t="s">
        <v>1186</v>
      </c>
      <c r="B208" s="2">
        <v>1152</v>
      </c>
      <c r="C208" s="2"/>
      <c r="D208" s="2"/>
      <c r="E208" s="335" t="s">
        <v>714</v>
      </c>
      <c r="F208" s="335" t="s">
        <v>1161</v>
      </c>
      <c r="G208" s="125">
        <v>270000</v>
      </c>
      <c r="H208" s="1"/>
    </row>
    <row r="209" spans="1:8" ht="45" x14ac:dyDescent="0.25">
      <c r="A209" s="302" t="s">
        <v>1187</v>
      </c>
      <c r="B209" s="2">
        <v>1158</v>
      </c>
      <c r="C209" s="2"/>
      <c r="D209" s="2"/>
      <c r="E209" s="335" t="s">
        <v>715</v>
      </c>
      <c r="F209" s="335" t="s">
        <v>1162</v>
      </c>
      <c r="G209" s="125">
        <v>272500</v>
      </c>
      <c r="H209" s="1"/>
    </row>
    <row r="210" spans="1:8" ht="45" x14ac:dyDescent="0.25">
      <c r="A210" s="302" t="s">
        <v>1187</v>
      </c>
      <c r="B210" s="2">
        <v>1162</v>
      </c>
      <c r="C210" s="2"/>
      <c r="D210" s="2"/>
      <c r="E210" s="335" t="s">
        <v>715</v>
      </c>
      <c r="F210" s="335" t="s">
        <v>1163</v>
      </c>
      <c r="G210" s="125">
        <v>272580</v>
      </c>
      <c r="H210" s="1"/>
    </row>
    <row r="211" spans="1:8" ht="45" x14ac:dyDescent="0.25">
      <c r="A211" s="302" t="s">
        <v>1187</v>
      </c>
      <c r="B211" s="2">
        <v>1166</v>
      </c>
      <c r="C211" s="2"/>
      <c r="D211" s="2"/>
      <c r="E211" s="335" t="s">
        <v>1023</v>
      </c>
      <c r="F211" s="335" t="s">
        <v>1164</v>
      </c>
      <c r="G211" s="125">
        <v>162722</v>
      </c>
      <c r="H211" s="1"/>
    </row>
    <row r="212" spans="1:8" ht="45" x14ac:dyDescent="0.25">
      <c r="A212" s="302" t="s">
        <v>1187</v>
      </c>
      <c r="B212" s="2">
        <v>1170</v>
      </c>
      <c r="C212" s="2"/>
      <c r="D212" s="2"/>
      <c r="E212" s="335" t="s">
        <v>689</v>
      </c>
      <c r="F212" s="335" t="s">
        <v>1165</v>
      </c>
      <c r="G212" s="125">
        <v>270000</v>
      </c>
      <c r="H212" s="1"/>
    </row>
    <row r="213" spans="1:8" ht="60" x14ac:dyDescent="0.25">
      <c r="A213" s="302" t="s">
        <v>1188</v>
      </c>
      <c r="B213" s="2">
        <v>1174</v>
      </c>
      <c r="C213" s="2"/>
      <c r="D213" s="2"/>
      <c r="E213" s="335" t="s">
        <v>1023</v>
      </c>
      <c r="F213" s="335" t="s">
        <v>1166</v>
      </c>
      <c r="G213" s="125">
        <v>212284</v>
      </c>
      <c r="H213" s="1"/>
    </row>
    <row r="214" spans="1:8" ht="45" x14ac:dyDescent="0.25">
      <c r="A214" s="302" t="s">
        <v>1188</v>
      </c>
      <c r="B214" s="2">
        <v>1179</v>
      </c>
      <c r="C214" s="2"/>
      <c r="D214" s="2"/>
      <c r="E214" s="335" t="s">
        <v>683</v>
      </c>
      <c r="F214" s="335" t="s">
        <v>1167</v>
      </c>
      <c r="G214" s="125">
        <v>207868.79999999999</v>
      </c>
      <c r="H214" s="1"/>
    </row>
    <row r="215" spans="1:8" ht="45" x14ac:dyDescent="0.25">
      <c r="A215" s="302" t="s">
        <v>1188</v>
      </c>
      <c r="B215" s="2">
        <v>1183</v>
      </c>
      <c r="C215" s="2"/>
      <c r="D215" s="2"/>
      <c r="E215" s="335" t="s">
        <v>683</v>
      </c>
      <c r="F215" s="335" t="s">
        <v>1168</v>
      </c>
      <c r="G215" s="125">
        <v>272627.20000000001</v>
      </c>
      <c r="H215" s="1"/>
    </row>
    <row r="216" spans="1:8" ht="45" x14ac:dyDescent="0.25">
      <c r="A216" s="302" t="s">
        <v>1188</v>
      </c>
      <c r="B216" s="2">
        <v>1189</v>
      </c>
      <c r="C216" s="2"/>
      <c r="D216" s="2"/>
      <c r="E216" s="335" t="s">
        <v>683</v>
      </c>
      <c r="F216" s="335" t="s">
        <v>1169</v>
      </c>
      <c r="G216" s="125">
        <v>135036</v>
      </c>
      <c r="H216" s="1"/>
    </row>
    <row r="217" spans="1:8" ht="15.75" thickBot="1" x14ac:dyDescent="0.3">
      <c r="A217" s="441" t="s">
        <v>348</v>
      </c>
      <c r="B217" s="442"/>
      <c r="C217" s="442"/>
      <c r="D217" s="442"/>
      <c r="E217" s="442"/>
      <c r="F217" s="442"/>
      <c r="G217" s="360">
        <f>SUM(G11:G216)</f>
        <v>130568540.17000002</v>
      </c>
      <c r="H217" s="360">
        <f>SUM(H11:H216)</f>
        <v>35019765.434999987</v>
      </c>
    </row>
    <row r="220" spans="1:8" ht="15.75" thickBot="1" x14ac:dyDescent="0.3"/>
    <row r="221" spans="1:8" x14ac:dyDescent="0.25">
      <c r="A221" s="430" t="s">
        <v>1189</v>
      </c>
      <c r="B221" s="431"/>
      <c r="C221" s="432"/>
    </row>
    <row r="222" spans="1:8" x14ac:dyDescent="0.25">
      <c r="A222" s="435" t="s">
        <v>700</v>
      </c>
      <c r="B222" s="436"/>
      <c r="C222" s="405">
        <v>64049297.710000001</v>
      </c>
      <c r="D222" s="406"/>
    </row>
    <row r="223" spans="1:8" x14ac:dyDescent="0.25">
      <c r="A223" s="435" t="s">
        <v>701</v>
      </c>
      <c r="B223" s="436"/>
      <c r="C223" s="405">
        <f>+G59</f>
        <v>51304.69</v>
      </c>
    </row>
    <row r="224" spans="1:8" x14ac:dyDescent="0.25">
      <c r="A224" s="435" t="s">
        <v>702</v>
      </c>
      <c r="B224" s="436"/>
      <c r="C224" s="405">
        <f>+G143+G137</f>
        <v>66292619.82</v>
      </c>
    </row>
    <row r="225" spans="1:3" x14ac:dyDescent="0.25">
      <c r="A225" s="435" t="s">
        <v>703</v>
      </c>
      <c r="B225" s="436"/>
      <c r="C225" s="405">
        <f>+G63+G62+G61+G60+G58+G56+G55+G54+G53</f>
        <v>175317.95</v>
      </c>
    </row>
    <row r="226" spans="1:3" ht="15.75" thickBot="1" x14ac:dyDescent="0.3">
      <c r="A226" s="433" t="s">
        <v>1190</v>
      </c>
      <c r="B226" s="434"/>
      <c r="C226" s="407">
        <f>SUM(C222:C225)</f>
        <v>130568540.17</v>
      </c>
    </row>
  </sheetData>
  <sortState ref="A11:H106">
    <sortCondition ref="B11:B106"/>
  </sortState>
  <mergeCells count="12">
    <mergeCell ref="A5:H5"/>
    <mergeCell ref="A6:H6"/>
    <mergeCell ref="A7:H7"/>
    <mergeCell ref="A9:H9"/>
    <mergeCell ref="A217:F217"/>
    <mergeCell ref="A8:H8"/>
    <mergeCell ref="A221:C221"/>
    <mergeCell ref="A226:B226"/>
    <mergeCell ref="A223:B223"/>
    <mergeCell ref="A224:B224"/>
    <mergeCell ref="A225:B225"/>
    <mergeCell ref="A222:B222"/>
  </mergeCells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tabSelected="1" topLeftCell="A94" zoomScale="90" zoomScaleNormal="90" workbookViewId="0">
      <selection activeCell="I8" sqref="I8"/>
    </sheetView>
  </sheetViews>
  <sheetFormatPr baseColWidth="10" defaultRowHeight="15" x14ac:dyDescent="0.25"/>
  <cols>
    <col min="1" max="2" width="33" style="139" customWidth="1"/>
    <col min="3" max="3" width="32.7109375" bestFit="1" customWidth="1"/>
    <col min="4" max="4" width="19.140625" customWidth="1"/>
    <col min="5" max="5" width="13.7109375" customWidth="1"/>
    <col min="6" max="6" width="31.85546875" style="422" customWidth="1"/>
    <col min="7" max="7" width="18.5703125" style="391" customWidth="1"/>
    <col min="8" max="8" width="24.28515625" customWidth="1"/>
    <col min="9" max="9" width="20" customWidth="1"/>
  </cols>
  <sheetData>
    <row r="1" spans="1:9" x14ac:dyDescent="0.25">
      <c r="E1" s="140"/>
    </row>
    <row r="2" spans="1:9" x14ac:dyDescent="0.25">
      <c r="E2" s="140"/>
    </row>
    <row r="3" spans="1:9" ht="18.75" x14ac:dyDescent="0.3">
      <c r="A3" s="444" t="s">
        <v>458</v>
      </c>
      <c r="B3" s="444"/>
      <c r="C3" s="444"/>
      <c r="D3" s="444"/>
      <c r="E3" s="444"/>
      <c r="F3" s="444"/>
      <c r="G3" s="444"/>
      <c r="H3" s="444"/>
      <c r="I3" s="444"/>
    </row>
    <row r="4" spans="1:9" x14ac:dyDescent="0.25">
      <c r="A4" s="322"/>
      <c r="B4" s="322"/>
      <c r="C4" s="130"/>
      <c r="D4" s="130"/>
      <c r="E4" s="130"/>
      <c r="G4" s="390"/>
      <c r="H4" s="130"/>
      <c r="I4" s="130"/>
    </row>
    <row r="5" spans="1:9" x14ac:dyDescent="0.25">
      <c r="A5" s="322"/>
      <c r="B5" s="322"/>
      <c r="C5" s="130"/>
      <c r="D5" s="130"/>
      <c r="E5" s="130"/>
      <c r="G5" s="390"/>
      <c r="H5" s="130"/>
      <c r="I5" s="130"/>
    </row>
    <row r="6" spans="1:9" ht="15.75" x14ac:dyDescent="0.25">
      <c r="A6" s="445" t="s">
        <v>457</v>
      </c>
      <c r="B6" s="445"/>
      <c r="C6" s="445"/>
      <c r="D6" s="445"/>
      <c r="E6" s="445"/>
      <c r="F6" s="445"/>
      <c r="G6" s="445"/>
      <c r="H6" s="445"/>
      <c r="I6" s="445"/>
    </row>
    <row r="7" spans="1:9" ht="19.5" thickBot="1" x14ac:dyDescent="0.35">
      <c r="A7" s="446" t="s">
        <v>456</v>
      </c>
      <c r="B7" s="446"/>
      <c r="C7" s="446"/>
      <c r="D7" s="446"/>
      <c r="E7" s="446"/>
      <c r="F7" s="446"/>
      <c r="G7" s="446"/>
      <c r="H7" s="446"/>
      <c r="I7" s="446"/>
    </row>
    <row r="8" spans="1:9" s="275" customFormat="1" ht="32.25" thickBot="1" x14ac:dyDescent="0.3">
      <c r="A8" s="417" t="s">
        <v>455</v>
      </c>
      <c r="B8" s="408" t="s">
        <v>670</v>
      </c>
      <c r="C8" s="350" t="s">
        <v>669</v>
      </c>
      <c r="D8" s="351" t="s">
        <v>454</v>
      </c>
      <c r="E8" s="351" t="s">
        <v>453</v>
      </c>
      <c r="F8" s="351" t="s">
        <v>452</v>
      </c>
      <c r="G8" s="350" t="s">
        <v>451</v>
      </c>
      <c r="H8" s="351" t="s">
        <v>450</v>
      </c>
      <c r="I8" s="352" t="s">
        <v>449</v>
      </c>
    </row>
    <row r="9" spans="1:9" s="132" customFormat="1" ht="31.5" x14ac:dyDescent="0.25">
      <c r="A9" s="418">
        <v>45719.50104618055</v>
      </c>
      <c r="B9" s="409" t="s">
        <v>884</v>
      </c>
      <c r="C9" s="353" t="s">
        <v>757</v>
      </c>
      <c r="D9" s="354"/>
      <c r="E9" s="354" t="s">
        <v>759</v>
      </c>
      <c r="F9" s="359" t="s">
        <v>1011</v>
      </c>
      <c r="G9" s="353" t="s">
        <v>734</v>
      </c>
      <c r="H9" s="354"/>
      <c r="I9" s="355">
        <v>272432.5</v>
      </c>
    </row>
    <row r="10" spans="1:9" s="132" customFormat="1" ht="47.25" x14ac:dyDescent="0.25">
      <c r="A10" s="419">
        <v>45719.501153969904</v>
      </c>
      <c r="B10" s="410" t="s">
        <v>885</v>
      </c>
      <c r="C10" s="325" t="s">
        <v>757</v>
      </c>
      <c r="D10" s="326"/>
      <c r="E10" s="326" t="s">
        <v>759</v>
      </c>
      <c r="F10" s="423" t="s">
        <v>865</v>
      </c>
      <c r="G10" s="325" t="s">
        <v>734</v>
      </c>
      <c r="H10" s="326"/>
      <c r="I10" s="331">
        <v>271800.26</v>
      </c>
    </row>
    <row r="11" spans="1:9" s="132" customFormat="1" ht="15.75" x14ac:dyDescent="0.25">
      <c r="A11" s="419">
        <v>45719.50115413194</v>
      </c>
      <c r="B11" s="410" t="s">
        <v>886</v>
      </c>
      <c r="C11" s="325" t="s">
        <v>757</v>
      </c>
      <c r="D11" s="326"/>
      <c r="E11" s="326" t="s">
        <v>759</v>
      </c>
      <c r="F11" s="423" t="s">
        <v>986</v>
      </c>
      <c r="G11" s="325" t="s">
        <v>734</v>
      </c>
      <c r="H11" s="326"/>
      <c r="I11" s="331">
        <v>272580</v>
      </c>
    </row>
    <row r="12" spans="1:9" s="132" customFormat="1" ht="15.75" x14ac:dyDescent="0.25">
      <c r="A12" s="419">
        <v>45720.501211805553</v>
      </c>
      <c r="B12" s="410" t="s">
        <v>887</v>
      </c>
      <c r="C12" s="325" t="s">
        <v>757</v>
      </c>
      <c r="D12" s="326"/>
      <c r="E12" s="326" t="s">
        <v>759</v>
      </c>
      <c r="F12" s="423" t="s">
        <v>761</v>
      </c>
      <c r="G12" s="325" t="s">
        <v>729</v>
      </c>
      <c r="H12" s="326"/>
      <c r="I12" s="331">
        <v>30000</v>
      </c>
    </row>
    <row r="13" spans="1:9" s="132" customFormat="1" ht="31.5" x14ac:dyDescent="0.25">
      <c r="A13" s="419">
        <v>45720.541797534723</v>
      </c>
      <c r="B13" s="410" t="s">
        <v>888</v>
      </c>
      <c r="C13" s="325" t="s">
        <v>757</v>
      </c>
      <c r="D13" s="326"/>
      <c r="E13" s="326" t="s">
        <v>759</v>
      </c>
      <c r="F13" s="423" t="s">
        <v>690</v>
      </c>
      <c r="G13" s="325" t="s">
        <v>730</v>
      </c>
      <c r="H13" s="326"/>
      <c r="I13" s="331">
        <v>230320</v>
      </c>
    </row>
    <row r="14" spans="1:9" s="132" customFormat="1" ht="15.75" x14ac:dyDescent="0.25">
      <c r="A14" s="419">
        <v>45720.542182256941</v>
      </c>
      <c r="B14" s="410" t="s">
        <v>889</v>
      </c>
      <c r="C14" s="325" t="s">
        <v>758</v>
      </c>
      <c r="D14" s="326"/>
      <c r="E14" s="326" t="s">
        <v>759</v>
      </c>
      <c r="F14" s="423" t="s">
        <v>687</v>
      </c>
      <c r="G14" s="325" t="s">
        <v>740</v>
      </c>
      <c r="H14" s="326"/>
      <c r="I14" s="331">
        <v>525648</v>
      </c>
    </row>
    <row r="15" spans="1:9" s="132" customFormat="1" ht="15.75" x14ac:dyDescent="0.25">
      <c r="A15" s="419">
        <v>45720.54218232639</v>
      </c>
      <c r="B15" s="410" t="s">
        <v>890</v>
      </c>
      <c r="C15" s="325" t="s">
        <v>757</v>
      </c>
      <c r="D15" s="326"/>
      <c r="E15" s="326" t="s">
        <v>759</v>
      </c>
      <c r="F15" s="423" t="s">
        <v>698</v>
      </c>
      <c r="G15" s="325" t="s">
        <v>738</v>
      </c>
      <c r="H15" s="326"/>
      <c r="I15" s="331">
        <v>172000</v>
      </c>
    </row>
    <row r="16" spans="1:9" s="132" customFormat="1" ht="15.75" x14ac:dyDescent="0.25">
      <c r="A16" s="419">
        <v>45720.542182523146</v>
      </c>
      <c r="B16" s="410" t="s">
        <v>891</v>
      </c>
      <c r="C16" s="325" t="s">
        <v>757</v>
      </c>
      <c r="D16" s="326"/>
      <c r="E16" s="326" t="s">
        <v>759</v>
      </c>
      <c r="F16" s="423" t="s">
        <v>687</v>
      </c>
      <c r="G16" s="325" t="s">
        <v>741</v>
      </c>
      <c r="H16" s="326"/>
      <c r="I16" s="331">
        <v>201500</v>
      </c>
    </row>
    <row r="17" spans="1:9" s="132" customFormat="1" ht="15.75" x14ac:dyDescent="0.25">
      <c r="A17" s="419">
        <v>45720.583701192125</v>
      </c>
      <c r="B17" s="410" t="s">
        <v>892</v>
      </c>
      <c r="C17" s="325" t="s">
        <v>758</v>
      </c>
      <c r="D17" s="326"/>
      <c r="E17" s="326" t="s">
        <v>759</v>
      </c>
      <c r="F17" s="423" t="s">
        <v>683</v>
      </c>
      <c r="G17" s="325" t="s">
        <v>740</v>
      </c>
      <c r="H17" s="326"/>
      <c r="I17" s="331">
        <v>1937560</v>
      </c>
    </row>
    <row r="18" spans="1:9" s="132" customFormat="1" ht="15.75" x14ac:dyDescent="0.25">
      <c r="A18" s="419">
        <v>45720.626043020835</v>
      </c>
      <c r="B18" s="410" t="s">
        <v>893</v>
      </c>
      <c r="C18" s="325" t="s">
        <v>758</v>
      </c>
      <c r="D18" s="326"/>
      <c r="E18" s="326" t="s">
        <v>759</v>
      </c>
      <c r="F18" s="423" t="s">
        <v>987</v>
      </c>
      <c r="G18" s="325" t="s">
        <v>998</v>
      </c>
      <c r="H18" s="326"/>
      <c r="I18" s="331">
        <v>1518000</v>
      </c>
    </row>
    <row r="19" spans="1:9" s="132" customFormat="1" ht="15.75" x14ac:dyDescent="0.25">
      <c r="A19" s="419">
        <v>45720.626145057868</v>
      </c>
      <c r="B19" s="410" t="s">
        <v>894</v>
      </c>
      <c r="C19" s="325" t="s">
        <v>758</v>
      </c>
      <c r="D19" s="326"/>
      <c r="E19" s="326" t="s">
        <v>759</v>
      </c>
      <c r="F19" s="423" t="s">
        <v>987</v>
      </c>
      <c r="G19" s="325" t="s">
        <v>740</v>
      </c>
      <c r="H19" s="326"/>
      <c r="I19" s="331">
        <v>1056640</v>
      </c>
    </row>
    <row r="20" spans="1:9" s="132" customFormat="1" ht="15.75" x14ac:dyDescent="0.25">
      <c r="A20" s="419">
        <v>45721.501206018518</v>
      </c>
      <c r="B20" s="410" t="s">
        <v>895</v>
      </c>
      <c r="C20" s="325" t="s">
        <v>757</v>
      </c>
      <c r="D20" s="326"/>
      <c r="E20" s="326" t="s">
        <v>759</v>
      </c>
      <c r="F20" s="423" t="s">
        <v>718</v>
      </c>
      <c r="G20" s="325" t="s">
        <v>735</v>
      </c>
      <c r="H20" s="326"/>
      <c r="I20" s="331">
        <v>212284</v>
      </c>
    </row>
    <row r="21" spans="1:9" s="132" customFormat="1" ht="15.75" x14ac:dyDescent="0.25">
      <c r="A21" s="419">
        <v>45721.501206168978</v>
      </c>
      <c r="B21" s="410" t="s">
        <v>896</v>
      </c>
      <c r="C21" s="325" t="s">
        <v>757</v>
      </c>
      <c r="D21" s="326"/>
      <c r="E21" s="326" t="s">
        <v>759</v>
      </c>
      <c r="F21" s="423" t="s">
        <v>718</v>
      </c>
      <c r="G21" s="325" t="s">
        <v>742</v>
      </c>
      <c r="H21" s="326"/>
      <c r="I21" s="331">
        <v>162722</v>
      </c>
    </row>
    <row r="22" spans="1:9" s="132" customFormat="1" ht="15.75" x14ac:dyDescent="0.25">
      <c r="A22" s="419">
        <v>45721.501299340278</v>
      </c>
      <c r="B22" s="410" t="s">
        <v>897</v>
      </c>
      <c r="C22" s="325" t="s">
        <v>757</v>
      </c>
      <c r="D22" s="326"/>
      <c r="E22" s="326" t="s">
        <v>759</v>
      </c>
      <c r="F22" s="423" t="s">
        <v>689</v>
      </c>
      <c r="G22" s="325" t="s">
        <v>745</v>
      </c>
      <c r="H22" s="326"/>
      <c r="I22" s="331">
        <v>272000</v>
      </c>
    </row>
    <row r="23" spans="1:9" s="132" customFormat="1" ht="15.75" x14ac:dyDescent="0.25">
      <c r="A23" s="419">
        <v>45721.501822719903</v>
      </c>
      <c r="B23" s="410" t="s">
        <v>898</v>
      </c>
      <c r="C23" s="325" t="s">
        <v>757</v>
      </c>
      <c r="D23" s="326"/>
      <c r="E23" s="326" t="s">
        <v>759</v>
      </c>
      <c r="F23" s="423" t="s">
        <v>715</v>
      </c>
      <c r="G23" s="325" t="s">
        <v>743</v>
      </c>
      <c r="H23" s="326"/>
      <c r="I23" s="331">
        <v>243000</v>
      </c>
    </row>
    <row r="24" spans="1:9" s="132" customFormat="1" ht="15.75" x14ac:dyDescent="0.25">
      <c r="A24" s="419">
        <v>45721.585108599538</v>
      </c>
      <c r="B24" s="410" t="s">
        <v>899</v>
      </c>
      <c r="C24" s="325" t="s">
        <v>757</v>
      </c>
      <c r="D24" s="326"/>
      <c r="E24" s="326" t="s">
        <v>759</v>
      </c>
      <c r="F24" s="423" t="s">
        <v>687</v>
      </c>
      <c r="G24" s="325" t="s">
        <v>739</v>
      </c>
      <c r="H24" s="326"/>
      <c r="I24" s="331">
        <v>247800</v>
      </c>
    </row>
    <row r="25" spans="1:9" s="132" customFormat="1" ht="15.75" x14ac:dyDescent="0.25">
      <c r="A25" s="419">
        <v>45721.600736192129</v>
      </c>
      <c r="B25" s="410" t="s">
        <v>900</v>
      </c>
      <c r="C25" s="325" t="s">
        <v>757</v>
      </c>
      <c r="D25" s="326"/>
      <c r="E25" s="326" t="s">
        <v>759</v>
      </c>
      <c r="F25" s="423" t="s">
        <v>687</v>
      </c>
      <c r="G25" s="325" t="s">
        <v>730</v>
      </c>
      <c r="H25" s="326"/>
      <c r="I25" s="331">
        <v>140656</v>
      </c>
    </row>
    <row r="26" spans="1:9" s="132" customFormat="1" ht="15.75" x14ac:dyDescent="0.25">
      <c r="A26" s="419">
        <v>45722.395889664353</v>
      </c>
      <c r="B26" s="410" t="s">
        <v>901</v>
      </c>
      <c r="C26" s="325" t="s">
        <v>757</v>
      </c>
      <c r="D26" s="326"/>
      <c r="E26" s="326" t="s">
        <v>759</v>
      </c>
      <c r="F26" s="423" t="s">
        <v>689</v>
      </c>
      <c r="G26" s="325" t="s">
        <v>737</v>
      </c>
      <c r="H26" s="326"/>
      <c r="I26" s="331">
        <v>270000</v>
      </c>
    </row>
    <row r="27" spans="1:9" s="132" customFormat="1" ht="15.75" x14ac:dyDescent="0.25">
      <c r="A27" s="419">
        <v>45722.395889699073</v>
      </c>
      <c r="B27" s="410" t="s">
        <v>902</v>
      </c>
      <c r="C27" s="325" t="s">
        <v>757</v>
      </c>
      <c r="D27" s="326"/>
      <c r="E27" s="326" t="s">
        <v>759</v>
      </c>
      <c r="F27" s="423" t="s">
        <v>715</v>
      </c>
      <c r="G27" s="325" t="s">
        <v>733</v>
      </c>
      <c r="H27" s="326"/>
      <c r="I27" s="331">
        <v>271700</v>
      </c>
    </row>
    <row r="28" spans="1:9" s="132" customFormat="1" ht="15.75" x14ac:dyDescent="0.25">
      <c r="A28" s="419">
        <v>45722.437809143514</v>
      </c>
      <c r="B28" s="410" t="s">
        <v>903</v>
      </c>
      <c r="C28" s="325" t="s">
        <v>757</v>
      </c>
      <c r="D28" s="326"/>
      <c r="E28" s="326" t="s">
        <v>759</v>
      </c>
      <c r="F28" s="423" t="s">
        <v>988</v>
      </c>
      <c r="G28" s="325" t="s">
        <v>747</v>
      </c>
      <c r="H28" s="326"/>
      <c r="I28" s="331">
        <v>61500</v>
      </c>
    </row>
    <row r="29" spans="1:9" s="132" customFormat="1" ht="15.75" x14ac:dyDescent="0.25">
      <c r="A29" s="419">
        <v>45723.375396527779</v>
      </c>
      <c r="B29" s="410" t="s">
        <v>904</v>
      </c>
      <c r="C29" s="325" t="s">
        <v>757</v>
      </c>
      <c r="D29" s="326"/>
      <c r="E29" s="326" t="s">
        <v>759</v>
      </c>
      <c r="F29" s="423" t="s">
        <v>718</v>
      </c>
      <c r="G29" s="325" t="s">
        <v>742</v>
      </c>
      <c r="H29" s="326"/>
      <c r="I29" s="331">
        <v>188847</v>
      </c>
    </row>
    <row r="30" spans="1:9" s="132" customFormat="1" ht="15.75" x14ac:dyDescent="0.25">
      <c r="A30" s="419">
        <v>45723.375396759257</v>
      </c>
      <c r="B30" s="410" t="s">
        <v>905</v>
      </c>
      <c r="C30" s="325" t="s">
        <v>757</v>
      </c>
      <c r="D30" s="326"/>
      <c r="E30" s="326" t="s">
        <v>759</v>
      </c>
      <c r="F30" s="423" t="s">
        <v>987</v>
      </c>
      <c r="G30" s="325" t="s">
        <v>742</v>
      </c>
      <c r="H30" s="326"/>
      <c r="I30" s="331">
        <v>141954</v>
      </c>
    </row>
    <row r="31" spans="1:9" s="132" customFormat="1" ht="15.75" x14ac:dyDescent="0.25">
      <c r="A31" s="419">
        <v>45723.395838657409</v>
      </c>
      <c r="B31" s="410" t="s">
        <v>906</v>
      </c>
      <c r="C31" s="325" t="s">
        <v>757</v>
      </c>
      <c r="D31" s="326"/>
      <c r="E31" s="326" t="s">
        <v>759</v>
      </c>
      <c r="F31" s="423" t="s">
        <v>790</v>
      </c>
      <c r="G31" s="325" t="s">
        <v>737</v>
      </c>
      <c r="H31" s="326"/>
      <c r="I31" s="331">
        <v>92000</v>
      </c>
    </row>
    <row r="32" spans="1:9" s="132" customFormat="1" ht="15.75" x14ac:dyDescent="0.25">
      <c r="A32" s="419">
        <v>45723.417682372681</v>
      </c>
      <c r="B32" s="410" t="s">
        <v>907</v>
      </c>
      <c r="C32" s="325" t="s">
        <v>758</v>
      </c>
      <c r="D32" s="326"/>
      <c r="E32" s="326" t="s">
        <v>759</v>
      </c>
      <c r="F32" s="423" t="s">
        <v>688</v>
      </c>
      <c r="G32" s="325" t="s">
        <v>730</v>
      </c>
      <c r="H32" s="326"/>
      <c r="I32" s="331">
        <v>889762</v>
      </c>
    </row>
    <row r="33" spans="1:9" s="132" customFormat="1" ht="15.75" x14ac:dyDescent="0.25">
      <c r="A33" s="419">
        <v>45723.458967094906</v>
      </c>
      <c r="B33" s="410" t="s">
        <v>908</v>
      </c>
      <c r="C33" s="325" t="s">
        <v>757</v>
      </c>
      <c r="D33" s="326"/>
      <c r="E33" s="326" t="s">
        <v>759</v>
      </c>
      <c r="F33" s="423" t="s">
        <v>715</v>
      </c>
      <c r="G33" s="325" t="s">
        <v>747</v>
      </c>
      <c r="H33" s="326"/>
      <c r="I33" s="331">
        <v>200000</v>
      </c>
    </row>
    <row r="34" spans="1:9" s="132" customFormat="1" ht="15.75" x14ac:dyDescent="0.25">
      <c r="A34" s="419">
        <v>45723.465296793976</v>
      </c>
      <c r="B34" s="410" t="s">
        <v>909</v>
      </c>
      <c r="C34" s="325" t="s">
        <v>757</v>
      </c>
      <c r="D34" s="326"/>
      <c r="E34" s="326" t="s">
        <v>759</v>
      </c>
      <c r="F34" s="423" t="s">
        <v>718</v>
      </c>
      <c r="G34" s="325" t="s">
        <v>733</v>
      </c>
      <c r="H34" s="326"/>
      <c r="I34" s="331">
        <v>208800</v>
      </c>
    </row>
    <row r="35" spans="1:9" s="132" customFormat="1" ht="15.75" x14ac:dyDescent="0.25">
      <c r="A35" s="420">
        <v>45723.503864004626</v>
      </c>
      <c r="B35" s="411" t="s">
        <v>910</v>
      </c>
      <c r="C35" s="327" t="s">
        <v>757</v>
      </c>
      <c r="D35" s="327"/>
      <c r="E35" s="326" t="s">
        <v>759</v>
      </c>
      <c r="F35" s="424" t="s">
        <v>715</v>
      </c>
      <c r="G35" s="344" t="s">
        <v>737</v>
      </c>
      <c r="H35" s="327"/>
      <c r="I35" s="332">
        <v>268500</v>
      </c>
    </row>
    <row r="36" spans="1:9" s="132" customFormat="1" ht="15.75" x14ac:dyDescent="0.25">
      <c r="A36" s="420">
        <v>45723.504022337962</v>
      </c>
      <c r="B36" s="411" t="s">
        <v>911</v>
      </c>
      <c r="C36" s="327" t="s">
        <v>757</v>
      </c>
      <c r="D36" s="327"/>
      <c r="E36" s="326" t="s">
        <v>759</v>
      </c>
      <c r="F36" s="424" t="s">
        <v>786</v>
      </c>
      <c r="G36" s="344" t="s">
        <v>999</v>
      </c>
      <c r="H36" s="327"/>
      <c r="I36" s="332">
        <v>229446</v>
      </c>
    </row>
    <row r="37" spans="1:9" s="132" customFormat="1" ht="15.75" x14ac:dyDescent="0.25">
      <c r="A37" s="420">
        <v>45723.62633417824</v>
      </c>
      <c r="B37" s="411" t="s">
        <v>912</v>
      </c>
      <c r="C37" s="327" t="s">
        <v>758</v>
      </c>
      <c r="D37" s="327"/>
      <c r="E37" s="326" t="s">
        <v>759</v>
      </c>
      <c r="F37" s="424" t="s">
        <v>989</v>
      </c>
      <c r="G37" s="344" t="s">
        <v>741</v>
      </c>
      <c r="H37" s="327"/>
      <c r="I37" s="332">
        <v>1599986</v>
      </c>
    </row>
    <row r="38" spans="1:9" s="132" customFormat="1" ht="15.75" x14ac:dyDescent="0.25">
      <c r="A38" s="420">
        <v>45723.626428587959</v>
      </c>
      <c r="B38" s="411" t="s">
        <v>913</v>
      </c>
      <c r="C38" s="327" t="s">
        <v>757</v>
      </c>
      <c r="D38" s="327"/>
      <c r="E38" s="326" t="s">
        <v>759</v>
      </c>
      <c r="F38" s="424" t="s">
        <v>789</v>
      </c>
      <c r="G38" s="344" t="s">
        <v>747</v>
      </c>
      <c r="H38" s="327"/>
      <c r="I38" s="332">
        <v>169632</v>
      </c>
    </row>
    <row r="39" spans="1:9" s="132" customFormat="1" ht="15.75" x14ac:dyDescent="0.25">
      <c r="A39" s="420">
        <v>45726.562511226854</v>
      </c>
      <c r="B39" s="411" t="s">
        <v>914</v>
      </c>
      <c r="C39" s="327" t="s">
        <v>757</v>
      </c>
      <c r="D39" s="327"/>
      <c r="E39" s="326" t="s">
        <v>759</v>
      </c>
      <c r="F39" s="424" t="s">
        <v>692</v>
      </c>
      <c r="G39" s="344" t="s">
        <v>742</v>
      </c>
      <c r="H39" s="327"/>
      <c r="I39" s="332">
        <v>176528</v>
      </c>
    </row>
    <row r="40" spans="1:9" s="132" customFormat="1" ht="15.75" x14ac:dyDescent="0.25">
      <c r="A40" s="420">
        <v>45726.584402581015</v>
      </c>
      <c r="B40" s="411" t="s">
        <v>915</v>
      </c>
      <c r="C40" s="327" t="s">
        <v>757</v>
      </c>
      <c r="D40" s="327"/>
      <c r="E40" s="326" t="s">
        <v>759</v>
      </c>
      <c r="F40" s="424" t="s">
        <v>692</v>
      </c>
      <c r="G40" s="344" t="s">
        <v>731</v>
      </c>
      <c r="H40" s="327"/>
      <c r="I40" s="332">
        <v>254880</v>
      </c>
    </row>
    <row r="41" spans="1:9" s="132" customFormat="1" ht="15.75" x14ac:dyDescent="0.25">
      <c r="A41" s="420">
        <v>45727.501342905089</v>
      </c>
      <c r="B41" s="411" t="s">
        <v>916</v>
      </c>
      <c r="C41" s="327" t="s">
        <v>758</v>
      </c>
      <c r="D41" s="327"/>
      <c r="E41" s="326" t="s">
        <v>759</v>
      </c>
      <c r="F41" s="424" t="s">
        <v>716</v>
      </c>
      <c r="G41" s="344" t="s">
        <v>744</v>
      </c>
      <c r="H41" s="327"/>
      <c r="I41" s="332">
        <v>760000</v>
      </c>
    </row>
    <row r="42" spans="1:9" s="132" customFormat="1" ht="15.75" x14ac:dyDescent="0.25">
      <c r="A42" s="420">
        <v>45727.501470949072</v>
      </c>
      <c r="B42" s="411" t="s">
        <v>917</v>
      </c>
      <c r="C42" s="327" t="s">
        <v>758</v>
      </c>
      <c r="D42" s="327"/>
      <c r="E42" s="326" t="s">
        <v>759</v>
      </c>
      <c r="F42" s="424" t="s">
        <v>990</v>
      </c>
      <c r="G42" s="344" t="s">
        <v>730</v>
      </c>
      <c r="H42" s="327"/>
      <c r="I42" s="332">
        <v>508061</v>
      </c>
    </row>
    <row r="43" spans="1:9" s="132" customFormat="1" ht="15.75" x14ac:dyDescent="0.25">
      <c r="A43" s="420">
        <v>45727.501882442128</v>
      </c>
      <c r="B43" s="411" t="s">
        <v>918</v>
      </c>
      <c r="C43" s="327" t="s">
        <v>757</v>
      </c>
      <c r="D43" s="327"/>
      <c r="E43" s="326" t="s">
        <v>759</v>
      </c>
      <c r="F43" s="424" t="s">
        <v>718</v>
      </c>
      <c r="G43" s="344" t="s">
        <v>733</v>
      </c>
      <c r="H43" s="327"/>
      <c r="I43" s="332">
        <v>189650</v>
      </c>
    </row>
    <row r="44" spans="1:9" s="132" customFormat="1" ht="15.75" x14ac:dyDescent="0.25">
      <c r="A44" s="420">
        <v>45727.562538078702</v>
      </c>
      <c r="B44" s="411" t="s">
        <v>919</v>
      </c>
      <c r="C44" s="327" t="s">
        <v>757</v>
      </c>
      <c r="D44" s="327"/>
      <c r="E44" s="326" t="s">
        <v>759</v>
      </c>
      <c r="F44" s="424" t="s">
        <v>991</v>
      </c>
      <c r="G44" s="344" t="s">
        <v>755</v>
      </c>
      <c r="H44" s="327"/>
      <c r="I44" s="332">
        <v>121662</v>
      </c>
    </row>
    <row r="45" spans="1:9" s="132" customFormat="1" ht="15.75" x14ac:dyDescent="0.25">
      <c r="A45" s="420">
        <v>45727.626133217593</v>
      </c>
      <c r="B45" s="411" t="s">
        <v>920</v>
      </c>
      <c r="C45" s="327" t="s">
        <v>758</v>
      </c>
      <c r="D45" s="327"/>
      <c r="E45" s="326" t="s">
        <v>759</v>
      </c>
      <c r="F45" s="424" t="s">
        <v>722</v>
      </c>
      <c r="G45" s="344" t="s">
        <v>729</v>
      </c>
      <c r="H45" s="327"/>
      <c r="I45" s="332">
        <v>1590000</v>
      </c>
    </row>
    <row r="46" spans="1:9" s="132" customFormat="1" ht="15.75" x14ac:dyDescent="0.25">
      <c r="A46" s="420">
        <v>45728.420170370366</v>
      </c>
      <c r="B46" s="411" t="s">
        <v>921</v>
      </c>
      <c r="C46" s="327" t="s">
        <v>757</v>
      </c>
      <c r="D46" s="327"/>
      <c r="E46" s="326" t="s">
        <v>759</v>
      </c>
      <c r="F46" s="424" t="s">
        <v>726</v>
      </c>
      <c r="G46" s="344" t="s">
        <v>745</v>
      </c>
      <c r="H46" s="327"/>
      <c r="I46" s="332">
        <v>191040</v>
      </c>
    </row>
    <row r="47" spans="1:9" s="132" customFormat="1" ht="15.75" x14ac:dyDescent="0.25">
      <c r="A47" s="420">
        <v>45729.458900578698</v>
      </c>
      <c r="B47" s="411" t="s">
        <v>922</v>
      </c>
      <c r="C47" s="327" t="s">
        <v>757</v>
      </c>
      <c r="D47" s="327"/>
      <c r="E47" s="326" t="s">
        <v>759</v>
      </c>
      <c r="F47" s="424" t="s">
        <v>694</v>
      </c>
      <c r="G47" s="344" t="s">
        <v>750</v>
      </c>
      <c r="H47" s="327"/>
      <c r="I47" s="332">
        <v>216333</v>
      </c>
    </row>
    <row r="48" spans="1:9" s="132" customFormat="1" ht="15.75" x14ac:dyDescent="0.25">
      <c r="A48" s="420">
        <v>45729.542348692128</v>
      </c>
      <c r="B48" s="411" t="s">
        <v>923</v>
      </c>
      <c r="C48" s="327" t="s">
        <v>757</v>
      </c>
      <c r="D48" s="327"/>
      <c r="E48" s="326" t="s">
        <v>759</v>
      </c>
      <c r="F48" s="424" t="s">
        <v>694</v>
      </c>
      <c r="G48" s="344" t="s">
        <v>1000</v>
      </c>
      <c r="H48" s="327"/>
      <c r="I48" s="332">
        <v>141279</v>
      </c>
    </row>
    <row r="49" spans="1:9" s="132" customFormat="1" ht="30" x14ac:dyDescent="0.25">
      <c r="A49" s="420">
        <v>45729.667312268517</v>
      </c>
      <c r="B49" s="411" t="s">
        <v>924</v>
      </c>
      <c r="C49" s="327" t="s">
        <v>757</v>
      </c>
      <c r="D49" s="327"/>
      <c r="E49" s="326" t="s">
        <v>759</v>
      </c>
      <c r="F49" s="424" t="s">
        <v>711</v>
      </c>
      <c r="G49" s="344" t="s">
        <v>729</v>
      </c>
      <c r="H49" s="327"/>
      <c r="I49" s="332">
        <v>142081</v>
      </c>
    </row>
    <row r="50" spans="1:9" s="132" customFormat="1" ht="30" x14ac:dyDescent="0.25">
      <c r="A50" s="420">
        <v>45729.708474768515</v>
      </c>
      <c r="B50" s="411" t="s">
        <v>925</v>
      </c>
      <c r="C50" s="327" t="s">
        <v>758</v>
      </c>
      <c r="D50" s="327"/>
      <c r="E50" s="326" t="s">
        <v>759</v>
      </c>
      <c r="F50" s="424" t="s">
        <v>681</v>
      </c>
      <c r="G50" s="344" t="s">
        <v>729</v>
      </c>
      <c r="H50" s="327"/>
      <c r="I50" s="332">
        <v>675748</v>
      </c>
    </row>
    <row r="51" spans="1:9" s="132" customFormat="1" ht="15.75" x14ac:dyDescent="0.25">
      <c r="A51" s="420">
        <v>45729.708475312495</v>
      </c>
      <c r="B51" s="411" t="s">
        <v>926</v>
      </c>
      <c r="C51" s="327" t="s">
        <v>758</v>
      </c>
      <c r="D51" s="327"/>
      <c r="E51" s="326" t="s">
        <v>759</v>
      </c>
      <c r="F51" s="424" t="s">
        <v>680</v>
      </c>
      <c r="G51" s="344" t="s">
        <v>729</v>
      </c>
      <c r="H51" s="327"/>
      <c r="I51" s="332">
        <v>453036</v>
      </c>
    </row>
    <row r="52" spans="1:9" s="132" customFormat="1" ht="15.75" x14ac:dyDescent="0.25">
      <c r="A52" s="420">
        <v>45729.708609143519</v>
      </c>
      <c r="B52" s="411" t="s">
        <v>927</v>
      </c>
      <c r="C52" s="327" t="s">
        <v>758</v>
      </c>
      <c r="D52" s="327"/>
      <c r="E52" s="326" t="s">
        <v>759</v>
      </c>
      <c r="F52" s="424" t="s">
        <v>685</v>
      </c>
      <c r="G52" s="344" t="s">
        <v>729</v>
      </c>
      <c r="H52" s="327"/>
      <c r="I52" s="332">
        <v>592878</v>
      </c>
    </row>
    <row r="53" spans="1:9" s="132" customFormat="1" ht="15.75" x14ac:dyDescent="0.25">
      <c r="A53" s="420">
        <v>45730.520888113424</v>
      </c>
      <c r="B53" s="411" t="s">
        <v>928</v>
      </c>
      <c r="C53" s="327" t="s">
        <v>757</v>
      </c>
      <c r="D53" s="327"/>
      <c r="E53" s="326" t="s">
        <v>759</v>
      </c>
      <c r="F53" s="424" t="s">
        <v>992</v>
      </c>
      <c r="G53" s="344" t="s">
        <v>743</v>
      </c>
      <c r="H53" s="327"/>
      <c r="I53" s="332">
        <v>271730</v>
      </c>
    </row>
    <row r="54" spans="1:9" s="132" customFormat="1" ht="15.75" x14ac:dyDescent="0.25">
      <c r="A54" s="420">
        <v>45733.459883067131</v>
      </c>
      <c r="B54" s="411" t="s">
        <v>929</v>
      </c>
      <c r="C54" s="327" t="s">
        <v>757</v>
      </c>
      <c r="D54" s="327"/>
      <c r="E54" s="326" t="s">
        <v>759</v>
      </c>
      <c r="F54" s="424" t="s">
        <v>694</v>
      </c>
      <c r="G54" s="344" t="s">
        <v>750</v>
      </c>
      <c r="H54" s="327"/>
      <c r="I54" s="332">
        <v>251093</v>
      </c>
    </row>
    <row r="55" spans="1:9" s="132" customFormat="1" ht="15.75" x14ac:dyDescent="0.25">
      <c r="A55" s="420">
        <v>45733.46528506944</v>
      </c>
      <c r="B55" s="411" t="s">
        <v>930</v>
      </c>
      <c r="C55" s="327" t="s">
        <v>757</v>
      </c>
      <c r="D55" s="327"/>
      <c r="E55" s="326" t="s">
        <v>759</v>
      </c>
      <c r="F55" s="424" t="s">
        <v>684</v>
      </c>
      <c r="G55" s="344" t="s">
        <v>729</v>
      </c>
      <c r="H55" s="327"/>
      <c r="I55" s="332">
        <v>269426</v>
      </c>
    </row>
    <row r="56" spans="1:9" s="132" customFormat="1" ht="15.75" x14ac:dyDescent="0.25">
      <c r="A56" s="420">
        <v>45733.501513854164</v>
      </c>
      <c r="B56" s="411" t="s">
        <v>931</v>
      </c>
      <c r="C56" s="327" t="s">
        <v>757</v>
      </c>
      <c r="D56" s="327"/>
      <c r="E56" s="326" t="s">
        <v>759</v>
      </c>
      <c r="F56" s="424" t="s">
        <v>721</v>
      </c>
      <c r="G56" s="344" t="s">
        <v>749</v>
      </c>
      <c r="H56" s="327"/>
      <c r="I56" s="332">
        <v>186794</v>
      </c>
    </row>
    <row r="57" spans="1:9" s="132" customFormat="1" ht="15.75" x14ac:dyDescent="0.25">
      <c r="A57" s="420">
        <v>45733.625842280089</v>
      </c>
      <c r="B57" s="411" t="s">
        <v>932</v>
      </c>
      <c r="C57" s="327" t="s">
        <v>757</v>
      </c>
      <c r="D57" s="327"/>
      <c r="E57" s="326" t="s">
        <v>759</v>
      </c>
      <c r="F57" s="424" t="s">
        <v>688</v>
      </c>
      <c r="G57" s="344" t="s">
        <v>730</v>
      </c>
      <c r="H57" s="327"/>
      <c r="I57" s="332">
        <v>138920</v>
      </c>
    </row>
    <row r="58" spans="1:9" s="132" customFormat="1" ht="15.75" x14ac:dyDescent="0.25">
      <c r="A58" s="420">
        <v>45733.667843750001</v>
      </c>
      <c r="B58" s="411" t="s">
        <v>933</v>
      </c>
      <c r="C58" s="327" t="s">
        <v>757</v>
      </c>
      <c r="D58" s="327"/>
      <c r="E58" s="326" t="s">
        <v>759</v>
      </c>
      <c r="F58" s="424" t="s">
        <v>790</v>
      </c>
      <c r="G58" s="344" t="s">
        <v>737</v>
      </c>
      <c r="H58" s="327"/>
      <c r="I58" s="332">
        <v>5500</v>
      </c>
    </row>
    <row r="59" spans="1:9" s="132" customFormat="1" ht="15.75" x14ac:dyDescent="0.25">
      <c r="A59" s="420">
        <v>45734.501579826385</v>
      </c>
      <c r="B59" s="411" t="s">
        <v>934</v>
      </c>
      <c r="C59" s="327" t="s">
        <v>758</v>
      </c>
      <c r="D59" s="327"/>
      <c r="E59" s="326" t="s">
        <v>759</v>
      </c>
      <c r="F59" s="424" t="s">
        <v>694</v>
      </c>
      <c r="G59" s="344" t="s">
        <v>1001</v>
      </c>
      <c r="H59" s="327"/>
      <c r="I59" s="332">
        <v>1204740</v>
      </c>
    </row>
    <row r="60" spans="1:9" s="132" customFormat="1" ht="30" x14ac:dyDescent="0.25">
      <c r="A60" s="420">
        <v>45734.542326817129</v>
      </c>
      <c r="B60" s="411" t="s">
        <v>935</v>
      </c>
      <c r="C60" s="327" t="s">
        <v>757</v>
      </c>
      <c r="D60" s="327"/>
      <c r="E60" s="326" t="s">
        <v>759</v>
      </c>
      <c r="F60" s="424" t="s">
        <v>993</v>
      </c>
      <c r="G60" s="344" t="s">
        <v>1002</v>
      </c>
      <c r="H60" s="327"/>
      <c r="I60" s="332">
        <v>248711</v>
      </c>
    </row>
    <row r="61" spans="1:9" s="132" customFormat="1" ht="15.75" x14ac:dyDescent="0.25">
      <c r="A61" s="420">
        <v>45734.542327048606</v>
      </c>
      <c r="B61" s="411" t="s">
        <v>936</v>
      </c>
      <c r="C61" s="327" t="s">
        <v>757</v>
      </c>
      <c r="D61" s="327"/>
      <c r="E61" s="326" t="s">
        <v>759</v>
      </c>
      <c r="F61" s="424" t="s">
        <v>683</v>
      </c>
      <c r="G61" s="344" t="s">
        <v>1003</v>
      </c>
      <c r="H61" s="327"/>
      <c r="I61" s="332">
        <v>272627</v>
      </c>
    </row>
    <row r="62" spans="1:9" s="132" customFormat="1" ht="15.75" x14ac:dyDescent="0.25">
      <c r="A62" s="420">
        <v>45734.542535763889</v>
      </c>
      <c r="B62" s="411" t="s">
        <v>937</v>
      </c>
      <c r="C62" s="327" t="s">
        <v>758</v>
      </c>
      <c r="D62" s="327"/>
      <c r="E62" s="326" t="s">
        <v>759</v>
      </c>
      <c r="F62" s="424" t="s">
        <v>994</v>
      </c>
      <c r="G62" s="344" t="s">
        <v>729</v>
      </c>
      <c r="H62" s="327"/>
      <c r="I62" s="332">
        <v>1587100</v>
      </c>
    </row>
    <row r="63" spans="1:9" s="132" customFormat="1" ht="15.75" x14ac:dyDescent="0.25">
      <c r="A63" s="420">
        <v>45734.54262743055</v>
      </c>
      <c r="B63" s="411" t="s">
        <v>938</v>
      </c>
      <c r="C63" s="327" t="s">
        <v>757</v>
      </c>
      <c r="D63" s="327"/>
      <c r="E63" s="326" t="s">
        <v>759</v>
      </c>
      <c r="F63" s="424" t="s">
        <v>683</v>
      </c>
      <c r="G63" s="344" t="s">
        <v>731</v>
      </c>
      <c r="H63" s="327"/>
      <c r="I63" s="332">
        <v>135036</v>
      </c>
    </row>
    <row r="64" spans="1:9" s="132" customFormat="1" ht="30" x14ac:dyDescent="0.25">
      <c r="A64" s="420">
        <v>45734.552089895835</v>
      </c>
      <c r="B64" s="411" t="s">
        <v>939</v>
      </c>
      <c r="C64" s="327" t="s">
        <v>757</v>
      </c>
      <c r="D64" s="327"/>
      <c r="E64" s="326" t="s">
        <v>759</v>
      </c>
      <c r="F64" s="424" t="s">
        <v>993</v>
      </c>
      <c r="G64" s="344" t="s">
        <v>1002</v>
      </c>
      <c r="H64" s="327"/>
      <c r="I64" s="332">
        <v>230086</v>
      </c>
    </row>
    <row r="65" spans="1:9" s="132" customFormat="1" ht="15.75" x14ac:dyDescent="0.25">
      <c r="A65" s="420">
        <v>45734.584599571761</v>
      </c>
      <c r="B65" s="411" t="s">
        <v>940</v>
      </c>
      <c r="C65" s="327" t="s">
        <v>757</v>
      </c>
      <c r="D65" s="327"/>
      <c r="E65" s="326" t="s">
        <v>759</v>
      </c>
      <c r="F65" s="424" t="s">
        <v>682</v>
      </c>
      <c r="G65" s="344" t="s">
        <v>741</v>
      </c>
      <c r="H65" s="327"/>
      <c r="I65" s="332">
        <v>242195</v>
      </c>
    </row>
    <row r="66" spans="1:9" s="132" customFormat="1" ht="15.75" x14ac:dyDescent="0.25">
      <c r="A66" s="420">
        <v>45735.417813738422</v>
      </c>
      <c r="B66" s="411" t="s">
        <v>941</v>
      </c>
      <c r="C66" s="327" t="s">
        <v>757</v>
      </c>
      <c r="D66" s="327"/>
      <c r="E66" s="326" t="s">
        <v>759</v>
      </c>
      <c r="F66" s="424" t="s">
        <v>715</v>
      </c>
      <c r="G66" s="344" t="s">
        <v>737</v>
      </c>
      <c r="H66" s="327"/>
      <c r="I66" s="332">
        <v>272500</v>
      </c>
    </row>
    <row r="67" spans="1:9" s="132" customFormat="1" ht="15.75" x14ac:dyDescent="0.25">
      <c r="A67" s="420">
        <v>45735.423618749999</v>
      </c>
      <c r="B67" s="411" t="s">
        <v>942</v>
      </c>
      <c r="C67" s="327" t="s">
        <v>757</v>
      </c>
      <c r="D67" s="327"/>
      <c r="E67" s="326" t="s">
        <v>759</v>
      </c>
      <c r="F67" s="424" t="s">
        <v>715</v>
      </c>
      <c r="G67" s="344" t="s">
        <v>733</v>
      </c>
      <c r="H67" s="327"/>
      <c r="I67" s="332">
        <v>180000</v>
      </c>
    </row>
    <row r="68" spans="1:9" s="132" customFormat="1" ht="15.75" x14ac:dyDescent="0.25">
      <c r="A68" s="420">
        <v>45735.437551006944</v>
      </c>
      <c r="B68" s="411" t="s">
        <v>943</v>
      </c>
      <c r="C68" s="327" t="s">
        <v>757</v>
      </c>
      <c r="D68" s="328" t="s">
        <v>1012</v>
      </c>
      <c r="E68" s="326" t="s">
        <v>759</v>
      </c>
      <c r="F68" s="424" t="s">
        <v>1012</v>
      </c>
      <c r="G68" s="344" t="s">
        <v>745</v>
      </c>
      <c r="H68" s="327"/>
      <c r="I68" s="332">
        <v>0</v>
      </c>
    </row>
    <row r="69" spans="1:9" s="132" customFormat="1" ht="15.75" x14ac:dyDescent="0.25">
      <c r="A69" s="420">
        <v>45735.459191516202</v>
      </c>
      <c r="B69" s="411" t="s">
        <v>944</v>
      </c>
      <c r="C69" s="327" t="s">
        <v>757</v>
      </c>
      <c r="D69" s="327"/>
      <c r="E69" s="326" t="s">
        <v>759</v>
      </c>
      <c r="F69" s="424" t="s">
        <v>728</v>
      </c>
      <c r="G69" s="344" t="s">
        <v>746</v>
      </c>
      <c r="H69" s="327"/>
      <c r="I69" s="332">
        <v>196824</v>
      </c>
    </row>
    <row r="70" spans="1:9" s="132" customFormat="1" ht="15.75" x14ac:dyDescent="0.25">
      <c r="A70" s="420">
        <v>45735.501504594904</v>
      </c>
      <c r="B70" s="411" t="s">
        <v>945</v>
      </c>
      <c r="C70" s="327" t="s">
        <v>757</v>
      </c>
      <c r="D70" s="327"/>
      <c r="E70" s="326" t="s">
        <v>759</v>
      </c>
      <c r="F70" s="424" t="s">
        <v>689</v>
      </c>
      <c r="G70" s="344" t="s">
        <v>998</v>
      </c>
      <c r="H70" s="327"/>
      <c r="I70" s="332">
        <v>210000</v>
      </c>
    </row>
    <row r="71" spans="1:9" s="132" customFormat="1" ht="15.75" x14ac:dyDescent="0.25">
      <c r="A71" s="420">
        <v>45735.618100462962</v>
      </c>
      <c r="B71" s="411" t="s">
        <v>946</v>
      </c>
      <c r="C71" s="327" t="s">
        <v>757</v>
      </c>
      <c r="D71" s="327"/>
      <c r="E71" s="326" t="s">
        <v>759</v>
      </c>
      <c r="F71" s="424" t="s">
        <v>995</v>
      </c>
      <c r="G71" s="344" t="s">
        <v>1004</v>
      </c>
      <c r="H71" s="327"/>
      <c r="I71" s="332">
        <v>61950</v>
      </c>
    </row>
    <row r="72" spans="1:9" s="132" customFormat="1" ht="15.75" x14ac:dyDescent="0.25">
      <c r="A72" s="420">
        <v>45735.667732557871</v>
      </c>
      <c r="B72" s="411" t="s">
        <v>947</v>
      </c>
      <c r="C72" s="327" t="s">
        <v>757</v>
      </c>
      <c r="D72" s="327"/>
      <c r="E72" s="326" t="s">
        <v>759</v>
      </c>
      <c r="F72" s="424" t="s">
        <v>723</v>
      </c>
      <c r="G72" s="344" t="s">
        <v>756</v>
      </c>
      <c r="H72" s="327"/>
      <c r="I72" s="332">
        <v>105650</v>
      </c>
    </row>
    <row r="73" spans="1:9" s="132" customFormat="1" ht="15.75" x14ac:dyDescent="0.25">
      <c r="A73" s="420">
        <v>45736.479168518519</v>
      </c>
      <c r="B73" s="411" t="s">
        <v>948</v>
      </c>
      <c r="C73" s="327" t="s">
        <v>758</v>
      </c>
      <c r="D73" s="327" t="s">
        <v>1012</v>
      </c>
      <c r="E73" s="326" t="s">
        <v>759</v>
      </c>
      <c r="F73" s="424" t="s">
        <v>1012</v>
      </c>
      <c r="G73" s="344" t="s">
        <v>751</v>
      </c>
      <c r="H73" s="327"/>
      <c r="I73" s="332">
        <v>0</v>
      </c>
    </row>
    <row r="74" spans="1:9" s="132" customFormat="1" ht="15.75" x14ac:dyDescent="0.25">
      <c r="A74" s="420">
        <v>45736.541938622686</v>
      </c>
      <c r="B74" s="411" t="s">
        <v>949</v>
      </c>
      <c r="C74" s="327" t="s">
        <v>758</v>
      </c>
      <c r="D74" s="327"/>
      <c r="E74" s="326" t="s">
        <v>759</v>
      </c>
      <c r="F74" s="424" t="s">
        <v>1221</v>
      </c>
      <c r="G74" s="344" t="s">
        <v>1005</v>
      </c>
      <c r="H74" s="327"/>
      <c r="I74" s="332">
        <v>436278.18</v>
      </c>
    </row>
    <row r="75" spans="1:9" s="132" customFormat="1" ht="15.75" x14ac:dyDescent="0.25">
      <c r="A75" s="420">
        <v>45736.604198379631</v>
      </c>
      <c r="B75" s="411" t="s">
        <v>950</v>
      </c>
      <c r="C75" s="327" t="s">
        <v>757</v>
      </c>
      <c r="D75" s="327"/>
      <c r="E75" s="326" t="s">
        <v>759</v>
      </c>
      <c r="F75" s="424" t="s">
        <v>715</v>
      </c>
      <c r="G75" s="344" t="s">
        <v>747</v>
      </c>
      <c r="H75" s="327"/>
      <c r="I75" s="332">
        <v>272580</v>
      </c>
    </row>
    <row r="76" spans="1:9" s="132" customFormat="1" ht="15.75" x14ac:dyDescent="0.25">
      <c r="A76" s="420">
        <v>45736.626376157408</v>
      </c>
      <c r="B76" s="411" t="s">
        <v>951</v>
      </c>
      <c r="C76" s="327" t="s">
        <v>757</v>
      </c>
      <c r="D76" s="327"/>
      <c r="E76" s="326" t="s">
        <v>759</v>
      </c>
      <c r="F76" s="424" t="s">
        <v>684</v>
      </c>
      <c r="G76" s="344" t="s">
        <v>736</v>
      </c>
      <c r="H76" s="327"/>
      <c r="I76" s="332">
        <v>123885</v>
      </c>
    </row>
    <row r="77" spans="1:9" s="132" customFormat="1" ht="15.75" x14ac:dyDescent="0.25">
      <c r="A77" s="420">
        <v>45736.64588668981</v>
      </c>
      <c r="B77" s="411" t="s">
        <v>952</v>
      </c>
      <c r="C77" s="327" t="s">
        <v>758</v>
      </c>
      <c r="D77" s="327"/>
      <c r="E77" s="326" t="s">
        <v>759</v>
      </c>
      <c r="F77" s="424" t="s">
        <v>997</v>
      </c>
      <c r="G77" s="344" t="s">
        <v>752</v>
      </c>
      <c r="H77" s="327"/>
      <c r="I77" s="332">
        <v>436930</v>
      </c>
    </row>
    <row r="78" spans="1:9" s="132" customFormat="1" ht="15.75" x14ac:dyDescent="0.25">
      <c r="A78" s="420">
        <v>45737.418313854163</v>
      </c>
      <c r="B78" s="411" t="s">
        <v>953</v>
      </c>
      <c r="C78" s="327" t="s">
        <v>757</v>
      </c>
      <c r="D78" s="327"/>
      <c r="E78" s="326" t="s">
        <v>759</v>
      </c>
      <c r="F78" s="424" t="s">
        <v>691</v>
      </c>
      <c r="G78" s="344" t="s">
        <v>737</v>
      </c>
      <c r="H78" s="327"/>
      <c r="I78" s="332">
        <v>219375</v>
      </c>
    </row>
    <row r="79" spans="1:9" s="132" customFormat="1" ht="15.75" x14ac:dyDescent="0.25">
      <c r="A79" s="420">
        <v>45737.5019412037</v>
      </c>
      <c r="B79" s="411" t="s">
        <v>954</v>
      </c>
      <c r="C79" s="327" t="s">
        <v>758</v>
      </c>
      <c r="D79" s="327"/>
      <c r="E79" s="326" t="s">
        <v>759</v>
      </c>
      <c r="F79" s="424" t="s">
        <v>795</v>
      </c>
      <c r="G79" s="344" t="s">
        <v>738</v>
      </c>
      <c r="H79" s="327"/>
      <c r="I79" s="332">
        <v>664800</v>
      </c>
    </row>
    <row r="80" spans="1:9" s="132" customFormat="1" ht="15.75" x14ac:dyDescent="0.25">
      <c r="A80" s="420">
        <v>45737.520849189816</v>
      </c>
      <c r="B80" s="411" t="s">
        <v>955</v>
      </c>
      <c r="C80" s="327" t="s">
        <v>757</v>
      </c>
      <c r="D80" s="327"/>
      <c r="E80" s="326" t="s">
        <v>759</v>
      </c>
      <c r="F80" s="424" t="s">
        <v>691</v>
      </c>
      <c r="G80" s="344" t="s">
        <v>1006</v>
      </c>
      <c r="H80" s="327"/>
      <c r="I80" s="332">
        <v>272500</v>
      </c>
    </row>
    <row r="81" spans="1:9" s="132" customFormat="1" ht="15.75" x14ac:dyDescent="0.25">
      <c r="A81" s="420">
        <v>45737.548668136573</v>
      </c>
      <c r="B81" s="411" t="s">
        <v>956</v>
      </c>
      <c r="C81" s="327" t="s">
        <v>757</v>
      </c>
      <c r="D81" s="327"/>
      <c r="E81" s="326" t="s">
        <v>759</v>
      </c>
      <c r="F81" s="424" t="s">
        <v>1222</v>
      </c>
      <c r="G81" s="344" t="s">
        <v>748</v>
      </c>
      <c r="H81" s="327"/>
      <c r="I81" s="332">
        <v>188564</v>
      </c>
    </row>
    <row r="82" spans="1:9" s="132" customFormat="1" ht="15.75" x14ac:dyDescent="0.25">
      <c r="A82" s="420">
        <v>45737.70890153935</v>
      </c>
      <c r="B82" s="411" t="s">
        <v>957</v>
      </c>
      <c r="C82" s="327" t="s">
        <v>757</v>
      </c>
      <c r="D82" s="327"/>
      <c r="E82" s="326" t="s">
        <v>759</v>
      </c>
      <c r="F82" s="424" t="s">
        <v>717</v>
      </c>
      <c r="G82" s="344" t="s">
        <v>729</v>
      </c>
      <c r="H82" s="327"/>
      <c r="I82" s="332">
        <v>103887</v>
      </c>
    </row>
    <row r="83" spans="1:9" s="132" customFormat="1" ht="15.75" x14ac:dyDescent="0.25">
      <c r="A83" s="420">
        <v>45740.458886111111</v>
      </c>
      <c r="B83" s="411" t="s">
        <v>958</v>
      </c>
      <c r="C83" s="327" t="s">
        <v>757</v>
      </c>
      <c r="D83" s="327"/>
      <c r="E83" s="326" t="s">
        <v>759</v>
      </c>
      <c r="F83" s="424" t="s">
        <v>694</v>
      </c>
      <c r="G83" s="344" t="s">
        <v>1001</v>
      </c>
      <c r="H83" s="327"/>
      <c r="I83" s="332">
        <v>129800</v>
      </c>
    </row>
    <row r="84" spans="1:9" s="132" customFormat="1" ht="15.75" x14ac:dyDescent="0.25">
      <c r="A84" s="420">
        <v>45740.458886307868</v>
      </c>
      <c r="B84" s="411" t="s">
        <v>959</v>
      </c>
      <c r="C84" s="327" t="s">
        <v>757</v>
      </c>
      <c r="D84" s="327"/>
      <c r="E84" s="326" t="s">
        <v>759</v>
      </c>
      <c r="F84" s="424" t="s">
        <v>694</v>
      </c>
      <c r="G84" s="344" t="s">
        <v>750</v>
      </c>
      <c r="H84" s="327"/>
      <c r="I84" s="332">
        <v>252028</v>
      </c>
    </row>
    <row r="85" spans="1:9" s="132" customFormat="1" ht="15.75" x14ac:dyDescent="0.25">
      <c r="A85" s="420">
        <v>45740.458998032409</v>
      </c>
      <c r="B85" s="411" t="s">
        <v>960</v>
      </c>
      <c r="C85" s="327" t="s">
        <v>758</v>
      </c>
      <c r="D85" s="327"/>
      <c r="E85" s="326" t="s">
        <v>759</v>
      </c>
      <c r="F85" s="424" t="s">
        <v>1223</v>
      </c>
      <c r="G85" s="344" t="s">
        <v>754</v>
      </c>
      <c r="H85" s="327"/>
      <c r="I85" s="332">
        <v>269657.5</v>
      </c>
    </row>
    <row r="86" spans="1:9" s="132" customFormat="1" ht="15.75" x14ac:dyDescent="0.25">
      <c r="A86" s="420">
        <v>45740.479170636572</v>
      </c>
      <c r="B86" s="411" t="s">
        <v>961</v>
      </c>
      <c r="C86" s="327" t="s">
        <v>757</v>
      </c>
      <c r="D86" s="327"/>
      <c r="E86" s="326" t="s">
        <v>759</v>
      </c>
      <c r="F86" s="424" t="s">
        <v>680</v>
      </c>
      <c r="G86" s="344" t="s">
        <v>729</v>
      </c>
      <c r="H86" s="327"/>
      <c r="I86" s="332">
        <v>17503</v>
      </c>
    </row>
    <row r="87" spans="1:9" s="132" customFormat="1" ht="15.75" x14ac:dyDescent="0.25">
      <c r="A87" s="420">
        <v>45740.54861701389</v>
      </c>
      <c r="B87" s="411" t="s">
        <v>962</v>
      </c>
      <c r="C87" s="327" t="s">
        <v>757</v>
      </c>
      <c r="D87" s="327"/>
      <c r="E87" s="326" t="s">
        <v>759</v>
      </c>
      <c r="F87" s="424" t="s">
        <v>692</v>
      </c>
      <c r="G87" s="344" t="s">
        <v>745</v>
      </c>
      <c r="H87" s="327"/>
      <c r="I87" s="332">
        <v>151260</v>
      </c>
    </row>
    <row r="88" spans="1:9" s="132" customFormat="1" ht="15.75" x14ac:dyDescent="0.25">
      <c r="A88" s="420">
        <v>45740.597274386571</v>
      </c>
      <c r="B88" s="411" t="s">
        <v>963</v>
      </c>
      <c r="C88" s="327" t="s">
        <v>757</v>
      </c>
      <c r="D88" s="327"/>
      <c r="E88" s="326" t="s">
        <v>759</v>
      </c>
      <c r="F88" s="424" t="s">
        <v>714</v>
      </c>
      <c r="G88" s="344" t="s">
        <v>740</v>
      </c>
      <c r="H88" s="327"/>
      <c r="I88" s="332">
        <v>105492</v>
      </c>
    </row>
    <row r="89" spans="1:9" s="132" customFormat="1" ht="15.75" x14ac:dyDescent="0.25">
      <c r="A89" s="420">
        <v>45740.708489236109</v>
      </c>
      <c r="B89" s="411" t="s">
        <v>964</v>
      </c>
      <c r="C89" s="327" t="s">
        <v>757</v>
      </c>
      <c r="D89" s="327"/>
      <c r="E89" s="326" t="s">
        <v>759</v>
      </c>
      <c r="F89" s="424" t="s">
        <v>717</v>
      </c>
      <c r="G89" s="344" t="s">
        <v>729</v>
      </c>
      <c r="H89" s="327"/>
      <c r="I89" s="332">
        <v>16605</v>
      </c>
    </row>
    <row r="90" spans="1:9" s="132" customFormat="1" ht="15.75" x14ac:dyDescent="0.25">
      <c r="A90" s="420">
        <v>45741.347239733797</v>
      </c>
      <c r="B90" s="411" t="s">
        <v>965</v>
      </c>
      <c r="C90" s="327" t="s">
        <v>757</v>
      </c>
      <c r="D90" s="327"/>
      <c r="E90" s="326" t="s">
        <v>759</v>
      </c>
      <c r="F90" s="424" t="s">
        <v>996</v>
      </c>
      <c r="G90" s="344" t="s">
        <v>730</v>
      </c>
      <c r="H90" s="327"/>
      <c r="I90" s="332">
        <v>27704</v>
      </c>
    </row>
    <row r="91" spans="1:9" s="132" customFormat="1" ht="15.75" x14ac:dyDescent="0.25">
      <c r="A91" s="420">
        <v>45741.417932719909</v>
      </c>
      <c r="B91" s="411" t="s">
        <v>966</v>
      </c>
      <c r="C91" s="327" t="s">
        <v>758</v>
      </c>
      <c r="D91" s="327"/>
      <c r="E91" s="326" t="s">
        <v>759</v>
      </c>
      <c r="F91" s="424" t="s">
        <v>1224</v>
      </c>
      <c r="G91" s="344" t="s">
        <v>734</v>
      </c>
      <c r="H91" s="327"/>
      <c r="I91" s="332">
        <v>849600</v>
      </c>
    </row>
    <row r="92" spans="1:9" s="132" customFormat="1" ht="15.75" x14ac:dyDescent="0.25">
      <c r="A92" s="420">
        <v>45741.460074537034</v>
      </c>
      <c r="B92" s="411" t="s">
        <v>967</v>
      </c>
      <c r="C92" s="327" t="s">
        <v>758</v>
      </c>
      <c r="D92" s="327"/>
      <c r="E92" s="326" t="s">
        <v>759</v>
      </c>
      <c r="F92" s="424" t="s">
        <v>1012</v>
      </c>
      <c r="G92" s="344" t="s">
        <v>1007</v>
      </c>
      <c r="H92" s="327"/>
      <c r="I92" s="332">
        <v>0</v>
      </c>
    </row>
    <row r="93" spans="1:9" s="132" customFormat="1" ht="15.75" x14ac:dyDescent="0.25">
      <c r="A93" s="420">
        <v>45741.501936574074</v>
      </c>
      <c r="B93" s="411" t="s">
        <v>968</v>
      </c>
      <c r="C93" s="327" t="s">
        <v>757</v>
      </c>
      <c r="D93" s="327"/>
      <c r="E93" s="326" t="s">
        <v>759</v>
      </c>
      <c r="F93" s="424" t="s">
        <v>689</v>
      </c>
      <c r="G93" s="344" t="s">
        <v>745</v>
      </c>
      <c r="H93" s="327"/>
      <c r="I93" s="332">
        <v>271250</v>
      </c>
    </row>
    <row r="94" spans="1:9" s="132" customFormat="1" ht="15.75" x14ac:dyDescent="0.25">
      <c r="A94" s="420">
        <v>45741.584475347219</v>
      </c>
      <c r="B94" s="411" t="s">
        <v>969</v>
      </c>
      <c r="C94" s="327" t="s">
        <v>757</v>
      </c>
      <c r="D94" s="327"/>
      <c r="E94" s="326" t="s">
        <v>759</v>
      </c>
      <c r="F94" s="424" t="s">
        <v>987</v>
      </c>
      <c r="G94" s="344" t="s">
        <v>1008</v>
      </c>
      <c r="H94" s="327"/>
      <c r="I94" s="332">
        <v>5270</v>
      </c>
    </row>
    <row r="95" spans="1:9" s="132" customFormat="1" ht="15.75" x14ac:dyDescent="0.25">
      <c r="A95" s="420">
        <v>45742.375447604165</v>
      </c>
      <c r="B95" s="411" t="s">
        <v>970</v>
      </c>
      <c r="C95" s="327" t="s">
        <v>758</v>
      </c>
      <c r="D95" s="327"/>
      <c r="E95" s="326" t="s">
        <v>759</v>
      </c>
      <c r="F95" s="424" t="s">
        <v>1225</v>
      </c>
      <c r="G95" s="344" t="s">
        <v>729</v>
      </c>
      <c r="H95" s="327"/>
      <c r="I95" s="332">
        <v>378748</v>
      </c>
    </row>
    <row r="96" spans="1:9" s="132" customFormat="1" ht="15.75" x14ac:dyDescent="0.25">
      <c r="A96" s="420">
        <v>45742.541924421297</v>
      </c>
      <c r="B96" s="411" t="s">
        <v>971</v>
      </c>
      <c r="C96" s="327" t="s">
        <v>758</v>
      </c>
      <c r="D96" s="327"/>
      <c r="E96" s="326" t="s">
        <v>759</v>
      </c>
      <c r="F96" s="424" t="s">
        <v>1226</v>
      </c>
      <c r="G96" s="344" t="s">
        <v>732</v>
      </c>
      <c r="H96" s="327"/>
      <c r="I96" s="332">
        <v>621605.1</v>
      </c>
    </row>
    <row r="97" spans="1:9" s="132" customFormat="1" ht="15.75" x14ac:dyDescent="0.25">
      <c r="A97" s="420">
        <v>45742.584648032403</v>
      </c>
      <c r="B97" s="411" t="s">
        <v>972</v>
      </c>
      <c r="C97" s="327" t="s">
        <v>758</v>
      </c>
      <c r="D97" s="327"/>
      <c r="E97" s="326" t="s">
        <v>759</v>
      </c>
      <c r="F97" s="424"/>
      <c r="G97" s="344" t="s">
        <v>1007</v>
      </c>
      <c r="H97" s="327"/>
      <c r="I97" s="332"/>
    </row>
    <row r="98" spans="1:9" s="132" customFormat="1" ht="15.75" x14ac:dyDescent="0.25">
      <c r="A98" s="420">
        <v>45742.626127777774</v>
      </c>
      <c r="B98" s="411" t="s">
        <v>973</v>
      </c>
      <c r="C98" s="327" t="s">
        <v>757</v>
      </c>
      <c r="D98" s="327"/>
      <c r="E98" s="326" t="s">
        <v>759</v>
      </c>
      <c r="F98" s="424" t="s">
        <v>997</v>
      </c>
      <c r="G98" s="344" t="s">
        <v>751</v>
      </c>
      <c r="H98" s="327"/>
      <c r="I98" s="332">
        <v>234200</v>
      </c>
    </row>
    <row r="99" spans="1:9" s="132" customFormat="1" ht="15.75" x14ac:dyDescent="0.25">
      <c r="A99" s="420">
        <v>45744.37575107639</v>
      </c>
      <c r="B99" s="411" t="s">
        <v>974</v>
      </c>
      <c r="C99" s="327" t="s">
        <v>757</v>
      </c>
      <c r="D99" s="327"/>
      <c r="E99" s="326" t="s">
        <v>759</v>
      </c>
      <c r="F99" s="424" t="s">
        <v>714</v>
      </c>
      <c r="G99" s="344" t="s">
        <v>747</v>
      </c>
      <c r="H99" s="327"/>
      <c r="I99" s="332">
        <v>250000</v>
      </c>
    </row>
    <row r="100" spans="1:9" s="132" customFormat="1" ht="30" x14ac:dyDescent="0.25">
      <c r="A100" s="420">
        <v>45744.418689039347</v>
      </c>
      <c r="B100" s="411" t="s">
        <v>975</v>
      </c>
      <c r="C100" s="327" t="s">
        <v>757</v>
      </c>
      <c r="D100" s="327"/>
      <c r="E100" s="326" t="s">
        <v>759</v>
      </c>
      <c r="F100" s="424" t="s">
        <v>720</v>
      </c>
      <c r="G100" s="344" t="s">
        <v>746</v>
      </c>
      <c r="H100" s="327"/>
      <c r="I100" s="332">
        <v>261960</v>
      </c>
    </row>
    <row r="101" spans="1:9" s="132" customFormat="1" ht="15.75" x14ac:dyDescent="0.25">
      <c r="A101" s="420">
        <v>45744.437626122686</v>
      </c>
      <c r="B101" s="411" t="s">
        <v>976</v>
      </c>
      <c r="C101" s="327" t="s">
        <v>758</v>
      </c>
      <c r="D101" s="327"/>
      <c r="E101" s="326" t="s">
        <v>759</v>
      </c>
      <c r="F101" s="424"/>
      <c r="G101" s="344" t="s">
        <v>736</v>
      </c>
      <c r="H101" s="327"/>
      <c r="I101" s="332"/>
    </row>
    <row r="102" spans="1:9" s="132" customFormat="1" ht="15.75" x14ac:dyDescent="0.25">
      <c r="A102" s="420">
        <v>45744.501355706016</v>
      </c>
      <c r="B102" s="411" t="s">
        <v>977</v>
      </c>
      <c r="C102" s="327" t="s">
        <v>758</v>
      </c>
      <c r="D102" s="327"/>
      <c r="E102" s="326" t="s">
        <v>759</v>
      </c>
      <c r="F102" s="424" t="s">
        <v>1227</v>
      </c>
      <c r="G102" s="344" t="s">
        <v>1009</v>
      </c>
      <c r="H102" s="327"/>
      <c r="I102" s="332">
        <v>1599254</v>
      </c>
    </row>
    <row r="103" spans="1:9" s="132" customFormat="1" ht="15.75" x14ac:dyDescent="0.25">
      <c r="A103" s="420">
        <v>45744.510427627312</v>
      </c>
      <c r="B103" s="411" t="s">
        <v>978</v>
      </c>
      <c r="C103" s="327" t="s">
        <v>757</v>
      </c>
      <c r="D103" s="327"/>
      <c r="E103" s="326" t="s">
        <v>759</v>
      </c>
      <c r="F103" s="424" t="s">
        <v>987</v>
      </c>
      <c r="G103" s="344" t="s">
        <v>755</v>
      </c>
      <c r="H103" s="327"/>
      <c r="I103" s="332">
        <v>257000</v>
      </c>
    </row>
    <row r="104" spans="1:9" s="132" customFormat="1" ht="30" x14ac:dyDescent="0.25">
      <c r="A104" s="420">
        <v>45744.542024074071</v>
      </c>
      <c r="B104" s="411" t="s">
        <v>979</v>
      </c>
      <c r="C104" s="327" t="s">
        <v>757</v>
      </c>
      <c r="D104" s="327"/>
      <c r="E104" s="326" t="s">
        <v>759</v>
      </c>
      <c r="F104" s="424" t="s">
        <v>1228</v>
      </c>
      <c r="G104" s="344" t="s">
        <v>729</v>
      </c>
      <c r="H104" s="327"/>
      <c r="I104" s="332">
        <v>90263.5</v>
      </c>
    </row>
    <row r="105" spans="1:9" s="132" customFormat="1" ht="15.75" x14ac:dyDescent="0.25">
      <c r="A105" s="420">
        <v>45744.611146724536</v>
      </c>
      <c r="B105" s="411" t="s">
        <v>980</v>
      </c>
      <c r="C105" s="327" t="s">
        <v>758</v>
      </c>
      <c r="D105" s="327"/>
      <c r="E105" s="326" t="s">
        <v>759</v>
      </c>
      <c r="F105" s="424"/>
      <c r="G105" s="344" t="s">
        <v>1010</v>
      </c>
      <c r="H105" s="327"/>
      <c r="I105" s="332"/>
    </row>
    <row r="106" spans="1:9" ht="15.75" x14ac:dyDescent="0.25">
      <c r="A106" s="420">
        <v>45747.396111805552</v>
      </c>
      <c r="B106" s="412" t="s">
        <v>981</v>
      </c>
      <c r="C106" s="1" t="s">
        <v>757</v>
      </c>
      <c r="D106" s="1"/>
      <c r="E106" s="326" t="s">
        <v>759</v>
      </c>
      <c r="F106" s="425" t="s">
        <v>714</v>
      </c>
      <c r="G106" s="348" t="s">
        <v>747</v>
      </c>
      <c r="H106" s="346"/>
      <c r="I106" s="356">
        <v>250000</v>
      </c>
    </row>
    <row r="107" spans="1:9" ht="15.75" x14ac:dyDescent="0.25">
      <c r="A107" s="420">
        <v>45747.418789733798</v>
      </c>
      <c r="B107" s="412" t="s">
        <v>982</v>
      </c>
      <c r="C107" s="1" t="s">
        <v>757</v>
      </c>
      <c r="D107" s="1"/>
      <c r="E107" s="326" t="s">
        <v>759</v>
      </c>
      <c r="F107" s="425" t="s">
        <v>694</v>
      </c>
      <c r="G107" s="2" t="s">
        <v>1001</v>
      </c>
      <c r="H107" s="1"/>
      <c r="I107" s="303">
        <v>228440</v>
      </c>
    </row>
    <row r="108" spans="1:9" ht="15.75" x14ac:dyDescent="0.25">
      <c r="A108" s="420">
        <v>45747.459443171298</v>
      </c>
      <c r="B108" s="413" t="s">
        <v>983</v>
      </c>
      <c r="C108" s="337" t="s">
        <v>757</v>
      </c>
      <c r="D108" s="347"/>
      <c r="E108" s="326" t="s">
        <v>759</v>
      </c>
      <c r="F108" s="425" t="s">
        <v>715</v>
      </c>
      <c r="G108" s="349" t="s">
        <v>743</v>
      </c>
      <c r="H108" s="1"/>
      <c r="I108" s="303">
        <v>220000</v>
      </c>
    </row>
    <row r="109" spans="1:9" ht="15.75" x14ac:dyDescent="0.25">
      <c r="A109" s="420">
        <v>45747.708856099533</v>
      </c>
      <c r="B109" s="412" t="s">
        <v>984</v>
      </c>
      <c r="C109" s="1" t="s">
        <v>757</v>
      </c>
      <c r="D109" s="1"/>
      <c r="E109" s="326" t="s">
        <v>759</v>
      </c>
      <c r="F109" s="426"/>
      <c r="G109" s="2" t="s">
        <v>753</v>
      </c>
      <c r="H109" s="1"/>
      <c r="I109" s="303"/>
    </row>
    <row r="110" spans="1:9" ht="16.5" thickBot="1" x14ac:dyDescent="0.3">
      <c r="A110" s="421">
        <v>45747.708980289353</v>
      </c>
      <c r="B110" s="414" t="s">
        <v>985</v>
      </c>
      <c r="C110" s="357" t="s">
        <v>757</v>
      </c>
      <c r="D110" s="357"/>
      <c r="E110" s="326" t="s">
        <v>759</v>
      </c>
      <c r="F110" s="427"/>
      <c r="G110" s="358" t="s">
        <v>753</v>
      </c>
      <c r="H110" s="357"/>
      <c r="I110" s="304"/>
    </row>
    <row r="111" spans="1:9" ht="15.75" thickBot="1" x14ac:dyDescent="0.3">
      <c r="A111" s="415"/>
      <c r="B111" s="415"/>
      <c r="C111" s="392"/>
      <c r="D111" s="392"/>
      <c r="E111" s="393"/>
      <c r="F111" s="428"/>
      <c r="G111" s="429"/>
      <c r="H111" s="395" t="s">
        <v>1190</v>
      </c>
      <c r="I111" s="394">
        <f>SUM(I9:I110)</f>
        <v>33649567.039999999</v>
      </c>
    </row>
    <row r="112" spans="1:9" ht="15.75" thickTop="1" x14ac:dyDescent="0.25">
      <c r="E112" s="140"/>
      <c r="I112" s="190"/>
    </row>
    <row r="113" spans="1:9" x14ac:dyDescent="0.25">
      <c r="E113" s="140"/>
      <c r="I113" s="190"/>
    </row>
    <row r="114" spans="1:9" x14ac:dyDescent="0.25">
      <c r="E114" s="140"/>
      <c r="I114" s="190"/>
    </row>
    <row r="115" spans="1:9" x14ac:dyDescent="0.25">
      <c r="E115" s="140"/>
      <c r="I115" s="190"/>
    </row>
    <row r="116" spans="1:9" x14ac:dyDescent="0.25">
      <c r="A116" s="345" t="s">
        <v>448</v>
      </c>
      <c r="B116" s="345" t="s">
        <v>985</v>
      </c>
      <c r="C116" s="124" t="s">
        <v>757</v>
      </c>
      <c r="D116" s="124" t="s">
        <v>445</v>
      </c>
      <c r="E116" s="140"/>
      <c r="G116" s="124" t="s">
        <v>447</v>
      </c>
      <c r="H116" s="124" t="s">
        <v>446</v>
      </c>
      <c r="I116" s="283"/>
    </row>
    <row r="117" spans="1:9" x14ac:dyDescent="0.25">
      <c r="A117" s="416"/>
      <c r="B117" s="416"/>
      <c r="C117" s="1"/>
      <c r="D117" s="1"/>
      <c r="E117" s="140"/>
      <c r="G117" s="2" t="s">
        <v>444</v>
      </c>
      <c r="H117" s="1"/>
      <c r="I117" s="1"/>
    </row>
    <row r="118" spans="1:9" x14ac:dyDescent="0.25">
      <c r="A118" s="416"/>
      <c r="B118" s="416"/>
      <c r="C118" s="1"/>
      <c r="D118" s="1"/>
      <c r="E118" s="140"/>
      <c r="G118" s="2" t="s">
        <v>443</v>
      </c>
      <c r="H118" s="1"/>
      <c r="I118" s="1"/>
    </row>
    <row r="119" spans="1:9" x14ac:dyDescent="0.25">
      <c r="A119" s="416"/>
      <c r="B119" s="416"/>
      <c r="C119" s="1"/>
      <c r="D119" s="1"/>
      <c r="E119" s="140"/>
      <c r="G119" s="2" t="s">
        <v>442</v>
      </c>
      <c r="H119" s="1"/>
      <c r="I119" s="1"/>
    </row>
    <row r="120" spans="1:9" x14ac:dyDescent="0.25">
      <c r="A120" s="345" t="s">
        <v>441</v>
      </c>
      <c r="B120" s="345"/>
      <c r="C120" s="141"/>
      <c r="D120" s="1"/>
      <c r="E120" s="140"/>
      <c r="G120" s="124" t="s">
        <v>440</v>
      </c>
      <c r="H120" s="1"/>
      <c r="I120" s="1"/>
    </row>
    <row r="121" spans="1:9" x14ac:dyDescent="0.25">
      <c r="E121" s="140"/>
    </row>
    <row r="122" spans="1:9" x14ac:dyDescent="0.25">
      <c r="E122" s="140"/>
    </row>
    <row r="123" spans="1:9" x14ac:dyDescent="0.25">
      <c r="A123" s="139" t="s">
        <v>439</v>
      </c>
      <c r="E123" s="140"/>
    </row>
    <row r="124" spans="1:9" x14ac:dyDescent="0.25">
      <c r="E124" s="140"/>
    </row>
    <row r="125" spans="1:9" x14ac:dyDescent="0.25">
      <c r="A125" s="139" t="s">
        <v>436</v>
      </c>
      <c r="E125" s="140"/>
      <c r="G125" s="391" t="s">
        <v>438</v>
      </c>
    </row>
    <row r="126" spans="1:9" x14ac:dyDescent="0.25">
      <c r="A126" s="139" t="s">
        <v>437</v>
      </c>
      <c r="E126" s="140"/>
    </row>
    <row r="127" spans="1:9" x14ac:dyDescent="0.25">
      <c r="E127" s="140"/>
    </row>
    <row r="128" spans="1:9" x14ac:dyDescent="0.25">
      <c r="A128" s="139" t="s">
        <v>436</v>
      </c>
      <c r="E128" s="140"/>
    </row>
    <row r="129" spans="1:5" x14ac:dyDescent="0.25">
      <c r="A129" s="139" t="s">
        <v>435</v>
      </c>
      <c r="E129" s="140"/>
    </row>
    <row r="130" spans="1:5" x14ac:dyDescent="0.25">
      <c r="E130" s="140"/>
    </row>
    <row r="144" spans="1:5" ht="15.75" customHeight="1" x14ac:dyDescent="0.25"/>
  </sheetData>
  <sortState ref="A9:I105">
    <sortCondition ref="A9:A105"/>
  </sortState>
  <mergeCells count="3">
    <mergeCell ref="A3:I3"/>
    <mergeCell ref="A6:I6"/>
    <mergeCell ref="A7:I7"/>
  </mergeCells>
  <pageMargins left="0.7" right="0.7" top="0.75" bottom="0.75" header="0.3" footer="0.3"/>
  <pageSetup orientation="portrait" verticalDpi="0" r:id="rId1"/>
  <ignoredErrors>
    <ignoredError sqref="G9:G11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1"/>
  <sheetViews>
    <sheetView view="pageBreakPreview" topLeftCell="A100" zoomScale="95" zoomScaleNormal="90" zoomScaleSheetLayoutView="95" workbookViewId="0">
      <selection activeCell="H120" sqref="H120"/>
    </sheetView>
  </sheetViews>
  <sheetFormatPr baseColWidth="10" defaultColWidth="2.85546875" defaultRowHeight="12.75" x14ac:dyDescent="0.2"/>
  <cols>
    <col min="1" max="5" width="3.5703125" style="3" customWidth="1"/>
    <col min="6" max="6" width="43.7109375" style="3" customWidth="1"/>
    <col min="7" max="7" width="18.28515625" style="3" customWidth="1"/>
    <col min="8" max="8" width="22.5703125" style="3" customWidth="1"/>
    <col min="9" max="9" width="20.42578125" style="3" customWidth="1"/>
    <col min="10" max="10" width="10.7109375" style="3" customWidth="1"/>
    <col min="11" max="11" width="11.42578125" style="3" customWidth="1"/>
    <col min="12" max="12" width="14.5703125" style="3" bestFit="1" customWidth="1"/>
    <col min="13" max="13" width="15" style="3" bestFit="1" customWidth="1"/>
    <col min="14" max="15" width="14.5703125" style="3" bestFit="1" customWidth="1"/>
    <col min="16" max="252" width="11.42578125" style="3" customWidth="1"/>
    <col min="253" max="253" width="3.28515625" style="3" customWidth="1"/>
    <col min="254" max="254" width="4.140625" style="3" customWidth="1"/>
    <col min="255" max="16384" width="2.85546875" style="3"/>
  </cols>
  <sheetData>
    <row r="1" spans="1:14" ht="15" x14ac:dyDescent="0.25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25" x14ac:dyDescent="0.35">
      <c r="A2" s="458"/>
      <c r="B2" s="459"/>
      <c r="C2" s="459"/>
      <c r="D2" s="459"/>
      <c r="E2" s="459"/>
      <c r="F2" s="459"/>
      <c r="G2" s="459"/>
      <c r="H2" s="459"/>
      <c r="I2" s="90"/>
      <c r="J2" s="89"/>
    </row>
    <row r="3" spans="1:14" ht="26.25" x14ac:dyDescent="0.4">
      <c r="A3" s="460" t="s">
        <v>344</v>
      </c>
      <c r="B3" s="461"/>
      <c r="C3" s="461"/>
      <c r="D3" s="461"/>
      <c r="E3" s="461"/>
      <c r="F3" s="461"/>
      <c r="G3" s="461"/>
      <c r="H3" s="461"/>
      <c r="I3" s="461"/>
      <c r="J3" s="462"/>
    </row>
    <row r="4" spans="1:14" s="269" customFormat="1" ht="18.75" x14ac:dyDescent="0.3">
      <c r="A4" s="463" t="s">
        <v>420</v>
      </c>
      <c r="B4" s="464"/>
      <c r="C4" s="464"/>
      <c r="D4" s="464"/>
      <c r="E4" s="464"/>
      <c r="F4" s="464"/>
      <c r="G4" s="464"/>
      <c r="H4" s="464"/>
      <c r="I4" s="464"/>
      <c r="J4" s="465"/>
    </row>
    <row r="5" spans="1:14" ht="15" x14ac:dyDescent="0.25">
      <c r="A5" s="466" t="s">
        <v>343</v>
      </c>
      <c r="B5" s="467"/>
      <c r="C5" s="467"/>
      <c r="D5" s="467"/>
      <c r="E5" s="467"/>
      <c r="F5" s="467"/>
      <c r="G5" s="467"/>
      <c r="H5" s="467"/>
      <c r="I5" s="467"/>
      <c r="J5" s="468"/>
    </row>
    <row r="6" spans="1:14" ht="15.75" x14ac:dyDescent="0.25">
      <c r="A6" s="469" t="s">
        <v>706</v>
      </c>
      <c r="B6" s="470"/>
      <c r="C6" s="470"/>
      <c r="D6" s="470"/>
      <c r="E6" s="470"/>
      <c r="F6" s="470"/>
      <c r="G6" s="470"/>
      <c r="H6" s="470"/>
      <c r="I6" s="470"/>
      <c r="J6" s="471"/>
    </row>
    <row r="7" spans="1:14" ht="15.75" x14ac:dyDescent="0.25">
      <c r="A7" s="472" t="s">
        <v>1220</v>
      </c>
      <c r="B7" s="473"/>
      <c r="C7" s="473"/>
      <c r="D7" s="473"/>
      <c r="E7" s="473"/>
      <c r="F7" s="473"/>
      <c r="G7" s="473"/>
      <c r="H7" s="473"/>
      <c r="I7" s="473"/>
      <c r="J7" s="474"/>
    </row>
    <row r="8" spans="1:14" ht="15.75" x14ac:dyDescent="0.25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75" x14ac:dyDescent="0.25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75" x14ac:dyDescent="0.25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75" x14ac:dyDescent="0.25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75" x14ac:dyDescent="0.25">
      <c r="A12" s="73"/>
      <c r="B12" s="72"/>
      <c r="C12" s="72"/>
      <c r="D12" s="72"/>
      <c r="E12" s="77" t="s">
        <v>333</v>
      </c>
      <c r="F12" s="60"/>
      <c r="G12" s="80">
        <v>2511952.5</v>
      </c>
      <c r="H12" s="79"/>
      <c r="I12" s="78"/>
      <c r="J12" s="59"/>
    </row>
    <row r="13" spans="1:14" ht="15.75" x14ac:dyDescent="0.25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75" x14ac:dyDescent="0.25">
      <c r="A14" s="73"/>
      <c r="B14" s="72"/>
      <c r="C14" s="72"/>
      <c r="D14" s="72"/>
      <c r="E14" s="77" t="s">
        <v>339</v>
      </c>
      <c r="F14" s="60"/>
      <c r="G14" s="74"/>
      <c r="H14" s="81" t="s">
        <v>338</v>
      </c>
      <c r="I14" s="74">
        <f>+'INGR SEGUN ORIGEN'!E39</f>
        <v>223625</v>
      </c>
      <c r="J14" s="59"/>
      <c r="L14" s="3" t="s">
        <v>337</v>
      </c>
      <c r="M14" s="3" t="s">
        <v>336</v>
      </c>
      <c r="N14" s="3" t="s">
        <v>335</v>
      </c>
    </row>
    <row r="15" spans="1:14" ht="15.75" x14ac:dyDescent="0.25">
      <c r="A15" s="73"/>
      <c r="B15" s="72"/>
      <c r="C15" s="72"/>
      <c r="D15" s="72"/>
      <c r="E15" s="77" t="s">
        <v>334</v>
      </c>
      <c r="F15" s="60"/>
      <c r="G15" s="80">
        <f>+'INGR SEGUN ORIGEN'!E12</f>
        <v>100316795.08</v>
      </c>
      <c r="H15" s="79" t="s">
        <v>325</v>
      </c>
      <c r="I15" s="74">
        <v>0</v>
      </c>
      <c r="J15" s="59"/>
      <c r="L15" s="3">
        <v>2.1</v>
      </c>
      <c r="M15" s="58">
        <f>G26</f>
        <v>66337619.82</v>
      </c>
      <c r="N15" s="58">
        <f>H26</f>
        <v>5231553.59</v>
      </c>
    </row>
    <row r="16" spans="1:14" ht="15.75" x14ac:dyDescent="0.25">
      <c r="A16" s="73"/>
      <c r="B16" s="72"/>
      <c r="C16" s="72"/>
      <c r="D16" s="72"/>
      <c r="E16" s="77" t="s">
        <v>333</v>
      </c>
      <c r="F16" s="60"/>
      <c r="G16" s="80">
        <f>+'INGR SEGUN ORIGEN'!E37</f>
        <v>7825280.6499999976</v>
      </c>
      <c r="H16" s="79"/>
      <c r="I16" s="78"/>
      <c r="J16" s="59"/>
      <c r="L16" s="3">
        <v>2.2000000000000002</v>
      </c>
      <c r="M16" s="58">
        <f>G87</f>
        <v>7971396.2400000012</v>
      </c>
      <c r="N16" s="58">
        <f>H87</f>
        <v>4359456.22</v>
      </c>
    </row>
    <row r="17" spans="1:16" ht="15.75" x14ac:dyDescent="0.25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110877653.22999999</v>
      </c>
      <c r="J17" s="59"/>
      <c r="L17" s="3">
        <v>2.2999999999999998</v>
      </c>
      <c r="M17" s="58">
        <f>'CONS. FUENTES FINAN'!G212</f>
        <v>26749551.52</v>
      </c>
      <c r="N17" s="58">
        <f>'CONS. FUENTES FINAN'!H212</f>
        <v>1797538.3199999998</v>
      </c>
    </row>
    <row r="18" spans="1:16" ht="15.75" x14ac:dyDescent="0.25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127420</v>
      </c>
    </row>
    <row r="19" spans="1:16" ht="15.75" x14ac:dyDescent="0.25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11396849.359999999</v>
      </c>
      <c r="N19" s="58">
        <f>H336</f>
        <v>300539.37</v>
      </c>
    </row>
    <row r="20" spans="1:16" x14ac:dyDescent="0.2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 x14ac:dyDescent="0.2">
      <c r="A21" s="475">
        <v>1</v>
      </c>
      <c r="B21" s="475"/>
      <c r="C21" s="475"/>
      <c r="D21" s="475"/>
      <c r="E21" s="475"/>
      <c r="F21" s="57">
        <v>2</v>
      </c>
      <c r="G21" s="476">
        <v>3</v>
      </c>
      <c r="H21" s="477"/>
      <c r="I21" s="56">
        <v>4</v>
      </c>
      <c r="J21" s="56">
        <v>5</v>
      </c>
    </row>
    <row r="22" spans="1:16" ht="24" customHeight="1" x14ac:dyDescent="0.2">
      <c r="A22" s="478" t="s">
        <v>331</v>
      </c>
      <c r="B22" s="478"/>
      <c r="C22" s="478"/>
      <c r="D22" s="478"/>
      <c r="E22" s="478"/>
      <c r="F22" s="452" t="s">
        <v>330</v>
      </c>
      <c r="G22" s="455" t="s">
        <v>329</v>
      </c>
      <c r="H22" s="456"/>
      <c r="I22" s="447" t="s">
        <v>328</v>
      </c>
      <c r="J22" s="479" t="s">
        <v>72</v>
      </c>
    </row>
    <row r="23" spans="1:16" ht="29.25" customHeight="1" x14ac:dyDescent="0.2">
      <c r="A23" s="482" t="s">
        <v>76</v>
      </c>
      <c r="B23" s="482" t="s">
        <v>75</v>
      </c>
      <c r="C23" s="482" t="s">
        <v>74</v>
      </c>
      <c r="D23" s="482" t="s">
        <v>327</v>
      </c>
      <c r="E23" s="482" t="s">
        <v>73</v>
      </c>
      <c r="F23" s="453"/>
      <c r="G23" s="450" t="s">
        <v>423</v>
      </c>
      <c r="H23" s="450" t="s">
        <v>326</v>
      </c>
      <c r="I23" s="448"/>
      <c r="J23" s="480"/>
      <c r="L23" s="457"/>
      <c r="M23" s="457"/>
      <c r="N23" s="457"/>
      <c r="O23" s="457"/>
      <c r="P23" s="457"/>
    </row>
    <row r="24" spans="1:16" ht="18.75" customHeight="1" x14ac:dyDescent="0.2">
      <c r="A24" s="483"/>
      <c r="B24" s="483"/>
      <c r="C24" s="483"/>
      <c r="D24" s="483"/>
      <c r="E24" s="483"/>
      <c r="F24" s="454"/>
      <c r="G24" s="451"/>
      <c r="H24" s="451"/>
      <c r="I24" s="449"/>
      <c r="J24" s="481"/>
      <c r="L24" s="55"/>
      <c r="M24" s="55"/>
      <c r="N24" s="55"/>
      <c r="O24" s="55"/>
      <c r="P24" s="55"/>
    </row>
    <row r="25" spans="1:16" ht="13.5" thickBot="1" x14ac:dyDescent="0.25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112455416.94</v>
      </c>
      <c r="H25" s="51">
        <f>+H26+H87+H212+H330+H336+H463</f>
        <v>11816507.499999998</v>
      </c>
      <c r="I25" s="51">
        <f>SUM(G25:H25)</f>
        <v>124271924.44</v>
      </c>
      <c r="J25" s="50">
        <f>+J26+J87+J212+J330+J336+J463</f>
        <v>0.99999999999999989</v>
      </c>
    </row>
    <row r="26" spans="1:16" ht="13.5" thickTop="1" x14ac:dyDescent="0.2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66337619.82</v>
      </c>
      <c r="H26" s="46">
        <f>+H27+H51+H64+H71+H78</f>
        <v>5231553.59</v>
      </c>
      <c r="I26" s="46">
        <f t="shared" ref="I26:I88" si="0">SUM(G26:H26)</f>
        <v>71569173.409999996</v>
      </c>
      <c r="J26" s="19">
        <f>I26/$I$25</f>
        <v>0.57590782256336959</v>
      </c>
    </row>
    <row r="27" spans="1:16" x14ac:dyDescent="0.2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54718737.07</v>
      </c>
      <c r="H27" s="20">
        <f>+H28+H35+H42+H44+H46</f>
        <v>0</v>
      </c>
      <c r="I27" s="20">
        <f t="shared" si="0"/>
        <v>54718737.07</v>
      </c>
      <c r="J27" s="19">
        <f>I27/$I$25</f>
        <v>0.44031455468784403</v>
      </c>
    </row>
    <row r="28" spans="1:16" x14ac:dyDescent="0.2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53611206.039999999</v>
      </c>
      <c r="H28" s="12">
        <f>SUM(H29:H34)</f>
        <v>0</v>
      </c>
      <c r="I28" s="12">
        <f t="shared" si="0"/>
        <v>53611206.039999999</v>
      </c>
      <c r="J28" s="305">
        <f>I28/$I$25</f>
        <v>0.4314023966522233</v>
      </c>
    </row>
    <row r="29" spans="1:16" x14ac:dyDescent="0.2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100'!A127</f>
        <v>53611206.039999999</v>
      </c>
      <c r="H29" s="7">
        <f>'CUENTA T VS'!A96</f>
        <v>0</v>
      </c>
      <c r="I29" s="7">
        <f t="shared" si="0"/>
        <v>53611206.039999999</v>
      </c>
      <c r="J29" s="6">
        <f t="shared" ref="J29:J34" si="1">I29/$I$25</f>
        <v>0.4314023966522233</v>
      </c>
    </row>
    <row r="30" spans="1:16" x14ac:dyDescent="0.2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100'!B127</f>
        <v>0</v>
      </c>
      <c r="H30" s="7">
        <f>'CUENTA T VS'!B96</f>
        <v>0</v>
      </c>
      <c r="I30" s="7">
        <f t="shared" si="0"/>
        <v>0</v>
      </c>
      <c r="J30" s="6">
        <f>I30/$I$25</f>
        <v>0</v>
      </c>
    </row>
    <row r="31" spans="1:16" x14ac:dyDescent="0.2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100'!C127</f>
        <v>0</v>
      </c>
      <c r="H31" s="7">
        <f>'CUENTA T VS'!C96</f>
        <v>0</v>
      </c>
      <c r="I31" s="7">
        <f t="shared" si="0"/>
        <v>0</v>
      </c>
      <c r="J31" s="6">
        <f t="shared" si="1"/>
        <v>0</v>
      </c>
    </row>
    <row r="32" spans="1:16" x14ac:dyDescent="0.2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100'!D127</f>
        <v>0</v>
      </c>
      <c r="H32" s="7">
        <f>'CUENTA T VS'!D96</f>
        <v>0</v>
      </c>
      <c r="I32" s="7">
        <f t="shared" si="0"/>
        <v>0</v>
      </c>
      <c r="J32" s="6">
        <f t="shared" si="1"/>
        <v>0</v>
      </c>
    </row>
    <row r="33" spans="1:10" x14ac:dyDescent="0.2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100'!E127</f>
        <v>0</v>
      </c>
      <c r="H33" s="7">
        <f>'CUENTA T VS'!E96</f>
        <v>0</v>
      </c>
      <c r="I33" s="7">
        <f t="shared" si="0"/>
        <v>0</v>
      </c>
      <c r="J33" s="6">
        <f t="shared" si="1"/>
        <v>0</v>
      </c>
    </row>
    <row r="34" spans="1:10" x14ac:dyDescent="0.2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100'!F127</f>
        <v>0</v>
      </c>
      <c r="H34" s="7">
        <f>'CUENTA T VS'!F96</f>
        <v>0</v>
      </c>
      <c r="I34" s="7">
        <f t="shared" si="0"/>
        <v>0</v>
      </c>
      <c r="J34" s="6">
        <f t="shared" si="1"/>
        <v>0</v>
      </c>
    </row>
    <row r="35" spans="1:10" x14ac:dyDescent="0.2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1107531.03</v>
      </c>
      <c r="H35" s="12">
        <f>SUM(H36:H41)</f>
        <v>0</v>
      </c>
      <c r="I35" s="12">
        <f t="shared" si="0"/>
        <v>1107531.03</v>
      </c>
      <c r="J35" s="11"/>
    </row>
    <row r="36" spans="1:10" x14ac:dyDescent="0.2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100'!G127</f>
        <v>0</v>
      </c>
      <c r="H36" s="7">
        <f>'CUENTA T VS'!G96</f>
        <v>0</v>
      </c>
      <c r="I36" s="7">
        <f t="shared" si="0"/>
        <v>0</v>
      </c>
      <c r="J36" s="6">
        <f t="shared" ref="J36:J41" si="2">I36/$I$25</f>
        <v>0</v>
      </c>
    </row>
    <row r="37" spans="1:10" x14ac:dyDescent="0.2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100'!H127</f>
        <v>0</v>
      </c>
      <c r="H37" s="7">
        <f>'CUENTA T VS'!H96</f>
        <v>0</v>
      </c>
      <c r="I37" s="7">
        <f t="shared" si="0"/>
        <v>0</v>
      </c>
      <c r="J37" s="6">
        <f t="shared" si="2"/>
        <v>0</v>
      </c>
    </row>
    <row r="38" spans="1:10" x14ac:dyDescent="0.2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100'!I127</f>
        <v>0</v>
      </c>
      <c r="H38" s="7">
        <f>'CUENTA T VS'!I96</f>
        <v>0</v>
      </c>
      <c r="I38" s="7">
        <f t="shared" si="0"/>
        <v>0</v>
      </c>
      <c r="J38" s="6">
        <f t="shared" si="2"/>
        <v>0</v>
      </c>
    </row>
    <row r="39" spans="1:10" x14ac:dyDescent="0.2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100'!J127</f>
        <v>1107531.03</v>
      </c>
      <c r="H39" s="7">
        <f>'CUENTA T VS'!J96</f>
        <v>0</v>
      </c>
      <c r="I39" s="7">
        <f t="shared" si="0"/>
        <v>1107531.03</v>
      </c>
      <c r="J39" s="6">
        <f t="shared" si="2"/>
        <v>8.9121580356207458E-3</v>
      </c>
    </row>
    <row r="40" spans="1:10" x14ac:dyDescent="0.2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100'!K127</f>
        <v>0</v>
      </c>
      <c r="H40" s="7">
        <f>'CUENTA T VS'!K96</f>
        <v>0</v>
      </c>
      <c r="I40" s="7">
        <f t="shared" si="0"/>
        <v>0</v>
      </c>
      <c r="J40" s="6">
        <f t="shared" si="2"/>
        <v>0</v>
      </c>
    </row>
    <row r="41" spans="1:10" x14ac:dyDescent="0.2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100'!L127</f>
        <v>0</v>
      </c>
      <c r="H41" s="7">
        <f>'CUENTA T VS'!L96</f>
        <v>0</v>
      </c>
      <c r="I41" s="7">
        <f t="shared" si="0"/>
        <v>0</v>
      </c>
      <c r="J41" s="6">
        <f t="shared" si="2"/>
        <v>0</v>
      </c>
    </row>
    <row r="42" spans="1:10" x14ac:dyDescent="0.2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 x14ac:dyDescent="0.2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100'!M127</f>
        <v>0</v>
      </c>
      <c r="H43" s="7">
        <f>'CUENTA T VS'!M96</f>
        <v>0</v>
      </c>
      <c r="I43" s="7">
        <f t="shared" si="0"/>
        <v>0</v>
      </c>
      <c r="J43" s="6">
        <f>I43/$I$25</f>
        <v>0</v>
      </c>
    </row>
    <row r="44" spans="1:10" x14ac:dyDescent="0.2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0</v>
      </c>
      <c r="H44" s="12">
        <f>SUM(H45)</f>
        <v>0</v>
      </c>
      <c r="I44" s="12">
        <f t="shared" si="0"/>
        <v>0</v>
      </c>
      <c r="J44" s="11"/>
    </row>
    <row r="45" spans="1:10" x14ac:dyDescent="0.2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100'!N127</f>
        <v>0</v>
      </c>
      <c r="H45" s="7">
        <f>'CUENTA T VS'!N96</f>
        <v>0</v>
      </c>
      <c r="I45" s="7">
        <f t="shared" si="0"/>
        <v>0</v>
      </c>
      <c r="J45" s="6">
        <f>I45/$I$25</f>
        <v>0</v>
      </c>
    </row>
    <row r="46" spans="1:10" x14ac:dyDescent="0.2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0</v>
      </c>
      <c r="H46" s="12">
        <f>SUM(H47:H50)</f>
        <v>0</v>
      </c>
      <c r="I46" s="12">
        <f t="shared" si="0"/>
        <v>0</v>
      </c>
      <c r="J46" s="11"/>
    </row>
    <row r="47" spans="1:10" x14ac:dyDescent="0.2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100'!O127</f>
        <v>0</v>
      </c>
      <c r="H47" s="7">
        <f>'CUENTA T VS'!O96</f>
        <v>0</v>
      </c>
      <c r="I47" s="7">
        <f t="shared" si="0"/>
        <v>0</v>
      </c>
      <c r="J47" s="6">
        <f>I47/$I$25</f>
        <v>0</v>
      </c>
    </row>
    <row r="48" spans="1:10" x14ac:dyDescent="0.2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100'!P127</f>
        <v>0</v>
      </c>
      <c r="H48" s="7">
        <f>'CUENTA T VS'!P96</f>
        <v>0</v>
      </c>
      <c r="I48" s="7">
        <f t="shared" si="0"/>
        <v>0</v>
      </c>
      <c r="J48" s="6">
        <f>I48/$I$25</f>
        <v>0</v>
      </c>
    </row>
    <row r="49" spans="1:10" x14ac:dyDescent="0.2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100'!Q127</f>
        <v>0</v>
      </c>
      <c r="H49" s="7">
        <f>'CUENTA T VS'!Q96</f>
        <v>0</v>
      </c>
      <c r="I49" s="7">
        <f t="shared" si="0"/>
        <v>0</v>
      </c>
      <c r="J49" s="6">
        <f>I49/$I$25</f>
        <v>0</v>
      </c>
    </row>
    <row r="50" spans="1:10" x14ac:dyDescent="0.2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100'!R127</f>
        <v>0</v>
      </c>
      <c r="H50" s="7">
        <f>'CUENTA T VS'!R96</f>
        <v>0</v>
      </c>
      <c r="I50" s="7">
        <f t="shared" si="0"/>
        <v>0</v>
      </c>
      <c r="J50" s="6">
        <f>I50/$I$25</f>
        <v>0</v>
      </c>
    </row>
    <row r="51" spans="1:10" x14ac:dyDescent="0.2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3199399.6</v>
      </c>
      <c r="H51" s="20">
        <f>+H52+H54</f>
        <v>5231553.59</v>
      </c>
      <c r="I51" s="20">
        <f t="shared" si="0"/>
        <v>8430953.1899999995</v>
      </c>
      <c r="J51" s="19"/>
    </row>
    <row r="52" spans="1:10" x14ac:dyDescent="0.2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2752136.5</v>
      </c>
      <c r="H52" s="12">
        <f>SUM(H53)</f>
        <v>0</v>
      </c>
      <c r="I52" s="12">
        <f t="shared" si="0"/>
        <v>2752136.5</v>
      </c>
      <c r="J52" s="11"/>
    </row>
    <row r="53" spans="1:10" x14ac:dyDescent="0.2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100'!S127</f>
        <v>2752136.5</v>
      </c>
      <c r="H53" s="7">
        <f>'CUENTA T VS'!S96</f>
        <v>0</v>
      </c>
      <c r="I53" s="7">
        <f t="shared" si="0"/>
        <v>2752136.5</v>
      </c>
      <c r="J53" s="6">
        <f>I53/$I$25</f>
        <v>2.2146084181135901E-2</v>
      </c>
    </row>
    <row r="54" spans="1:10" x14ac:dyDescent="0.2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447263.1</v>
      </c>
      <c r="H54" s="12">
        <f>SUM(H55:H63)</f>
        <v>5231553.59</v>
      </c>
      <c r="I54" s="12">
        <f t="shared" si="0"/>
        <v>5678816.6899999995</v>
      </c>
      <c r="J54" s="11"/>
    </row>
    <row r="55" spans="1:10" x14ac:dyDescent="0.2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100'!T127</f>
        <v>0</v>
      </c>
      <c r="H55" s="7">
        <f>'CUENTA T VS'!T96</f>
        <v>0</v>
      </c>
      <c r="I55" s="7">
        <f t="shared" si="0"/>
        <v>0</v>
      </c>
      <c r="J55" s="6">
        <f t="shared" ref="J55:J63" si="3">I55/$I$25</f>
        <v>0</v>
      </c>
    </row>
    <row r="56" spans="1:10" x14ac:dyDescent="0.2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100'!U127</f>
        <v>0</v>
      </c>
      <c r="H56" s="7">
        <f>'CUENTA T VS'!U96</f>
        <v>0</v>
      </c>
      <c r="I56" s="7">
        <f t="shared" si="0"/>
        <v>0</v>
      </c>
      <c r="J56" s="6">
        <f t="shared" si="3"/>
        <v>0</v>
      </c>
    </row>
    <row r="57" spans="1:10" x14ac:dyDescent="0.2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100'!V127</f>
        <v>0</v>
      </c>
      <c r="H57" s="7">
        <f>'CUENTA T VS'!V96</f>
        <v>0</v>
      </c>
      <c r="I57" s="7">
        <f t="shared" si="0"/>
        <v>0</v>
      </c>
      <c r="J57" s="6">
        <f t="shared" si="3"/>
        <v>0</v>
      </c>
    </row>
    <row r="58" spans="1:10" x14ac:dyDescent="0.2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100'!W127</f>
        <v>45000</v>
      </c>
      <c r="H58" s="7">
        <f>'CUENTA T VS'!W96</f>
        <v>0</v>
      </c>
      <c r="I58" s="7">
        <f t="shared" si="0"/>
        <v>45000</v>
      </c>
      <c r="J58" s="6">
        <f t="shared" si="3"/>
        <v>3.6210914253385164E-4</v>
      </c>
    </row>
    <row r="59" spans="1:10" x14ac:dyDescent="0.2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100'!X127</f>
        <v>0</v>
      </c>
      <c r="H59" s="7">
        <f>'CUENTA T VS'!X96</f>
        <v>5231553.59</v>
      </c>
      <c r="I59" s="7">
        <f t="shared" si="0"/>
        <v>5231553.59</v>
      </c>
      <c r="J59" s="6">
        <f t="shared" si="3"/>
        <v>4.2097630768773181E-2</v>
      </c>
    </row>
    <row r="60" spans="1:10" x14ac:dyDescent="0.2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100'!Y127</f>
        <v>0</v>
      </c>
      <c r="H60" s="7">
        <f>'CUENTA T VS'!Y96</f>
        <v>0</v>
      </c>
      <c r="I60" s="7">
        <f t="shared" si="0"/>
        <v>0</v>
      </c>
      <c r="J60" s="6">
        <f t="shared" si="3"/>
        <v>0</v>
      </c>
    </row>
    <row r="61" spans="1:10" x14ac:dyDescent="0.2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100'!Z127</f>
        <v>332600</v>
      </c>
      <c r="H61" s="7">
        <f>'CUENTA T VS'!Z96</f>
        <v>0</v>
      </c>
      <c r="I61" s="7">
        <f t="shared" si="0"/>
        <v>332600</v>
      </c>
      <c r="J61" s="6">
        <f t="shared" si="3"/>
        <v>2.6763889068168677E-3</v>
      </c>
    </row>
    <row r="62" spans="1:10" x14ac:dyDescent="0.2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100'!AA127</f>
        <v>0</v>
      </c>
      <c r="H62" s="7">
        <f>'CUENTA T VS'!AA96</f>
        <v>0</v>
      </c>
      <c r="I62" s="7">
        <f t="shared" si="0"/>
        <v>0</v>
      </c>
      <c r="J62" s="6">
        <f t="shared" si="3"/>
        <v>0</v>
      </c>
    </row>
    <row r="63" spans="1:10" x14ac:dyDescent="0.2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100'!AB127</f>
        <v>69663.099999999991</v>
      </c>
      <c r="H63" s="7">
        <f>'CUENTA T VS'!AB96</f>
        <v>0</v>
      </c>
      <c r="I63" s="7">
        <f t="shared" si="0"/>
        <v>69663.099999999991</v>
      </c>
      <c r="J63" s="6">
        <f t="shared" si="3"/>
        <v>5.6056989793888798E-4</v>
      </c>
    </row>
    <row r="64" spans="1:10" x14ac:dyDescent="0.2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 x14ac:dyDescent="0.2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 x14ac:dyDescent="0.2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100'!AC127</f>
        <v>0</v>
      </c>
      <c r="H66" s="7">
        <f>'CUENTA T VS'!AC96</f>
        <v>0</v>
      </c>
      <c r="I66" s="7">
        <f t="shared" si="0"/>
        <v>0</v>
      </c>
      <c r="J66" s="6">
        <f>I66/$I$25</f>
        <v>0</v>
      </c>
    </row>
    <row r="67" spans="1:10" x14ac:dyDescent="0.2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100'!AD127</f>
        <v>0</v>
      </c>
      <c r="H67" s="7">
        <f>'CUENTA T VS'!AD96</f>
        <v>0</v>
      </c>
      <c r="I67" s="7">
        <f t="shared" si="0"/>
        <v>0</v>
      </c>
      <c r="J67" s="6">
        <f>I67/$I$25</f>
        <v>0</v>
      </c>
    </row>
    <row r="68" spans="1:10" x14ac:dyDescent="0.2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 x14ac:dyDescent="0.2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100'!AE127</f>
        <v>0</v>
      </c>
      <c r="H69" s="7">
        <f>'CUENTA T VS'!AE96</f>
        <v>0</v>
      </c>
      <c r="I69" s="7">
        <f t="shared" si="0"/>
        <v>0</v>
      </c>
      <c r="J69" s="6">
        <f>I69/$I$25</f>
        <v>0</v>
      </c>
    </row>
    <row r="70" spans="1:10" x14ac:dyDescent="0.2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100'!AF127</f>
        <v>0</v>
      </c>
      <c r="H70" s="7">
        <f>'CUENTA T VS'!AF96</f>
        <v>0</v>
      </c>
      <c r="I70" s="7">
        <f t="shared" si="0"/>
        <v>0</v>
      </c>
      <c r="J70" s="6">
        <f>I70/$I$25</f>
        <v>0</v>
      </c>
    </row>
    <row r="71" spans="1:10" x14ac:dyDescent="0.2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 x14ac:dyDescent="0.2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 x14ac:dyDescent="0.2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100'!AG127</f>
        <v>0</v>
      </c>
      <c r="H73" s="7">
        <f>'CUENTA T VS'!AG96</f>
        <v>0</v>
      </c>
      <c r="I73" s="7">
        <f t="shared" si="0"/>
        <v>0</v>
      </c>
      <c r="J73" s="6">
        <f>I73/$I$25</f>
        <v>0</v>
      </c>
    </row>
    <row r="74" spans="1:10" x14ac:dyDescent="0.2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 x14ac:dyDescent="0.2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100'!AH127</f>
        <v>0</v>
      </c>
      <c r="H75" s="7">
        <f>'CUENTA T VS'!AH96</f>
        <v>0</v>
      </c>
      <c r="I75" s="7">
        <f t="shared" si="0"/>
        <v>0</v>
      </c>
      <c r="J75" s="6">
        <f>I75/$I$25</f>
        <v>0</v>
      </c>
    </row>
    <row r="76" spans="1:10" x14ac:dyDescent="0.2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100'!AI127</f>
        <v>0</v>
      </c>
      <c r="H76" s="7">
        <f>'CUENTA T VS'!AI96</f>
        <v>0</v>
      </c>
      <c r="I76" s="7">
        <f t="shared" si="0"/>
        <v>0</v>
      </c>
      <c r="J76" s="6">
        <f>I76/$I$25</f>
        <v>0</v>
      </c>
    </row>
    <row r="77" spans="1:10" x14ac:dyDescent="0.2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100'!AJ127</f>
        <v>0</v>
      </c>
      <c r="H77" s="7">
        <f>'CUENTA T VS'!AJ96</f>
        <v>0</v>
      </c>
      <c r="I77" s="7">
        <f t="shared" si="0"/>
        <v>0</v>
      </c>
      <c r="J77" s="6">
        <f>I77/$I$25</f>
        <v>0</v>
      </c>
    </row>
    <row r="78" spans="1:10" x14ac:dyDescent="0.2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8419483.1500000004</v>
      </c>
      <c r="H78" s="20">
        <f>+H79+H81+H83+H85</f>
        <v>0</v>
      </c>
      <c r="I78" s="20">
        <f t="shared" si="0"/>
        <v>8419483.1500000004</v>
      </c>
      <c r="J78" s="19"/>
    </row>
    <row r="79" spans="1:10" x14ac:dyDescent="0.2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3879560.77</v>
      </c>
      <c r="H79" s="12">
        <f>SUM(H80)</f>
        <v>0</v>
      </c>
      <c r="I79" s="12">
        <f t="shared" si="0"/>
        <v>3879560.77</v>
      </c>
      <c r="J79" s="11"/>
    </row>
    <row r="80" spans="1:10" x14ac:dyDescent="0.2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100'!AK127</f>
        <v>3879560.77</v>
      </c>
      <c r="H80" s="7">
        <f>'CUENTA T VS'!AK96</f>
        <v>0</v>
      </c>
      <c r="I80" s="7">
        <f t="shared" si="0"/>
        <v>3879560.77</v>
      </c>
      <c r="J80" s="6">
        <f>I80/$I$25</f>
        <v>3.121832052961487E-2</v>
      </c>
    </row>
    <row r="81" spans="1:10" x14ac:dyDescent="0.2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3885030.79</v>
      </c>
      <c r="H81" s="12">
        <f>SUM(H82)</f>
        <v>0</v>
      </c>
      <c r="I81" s="12">
        <f t="shared" si="0"/>
        <v>3885030.79</v>
      </c>
      <c r="J81" s="11"/>
    </row>
    <row r="82" spans="1:10" x14ac:dyDescent="0.2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100'!AL127</f>
        <v>3885030.79</v>
      </c>
      <c r="H82" s="7">
        <f>'CUENTA T VS'!AL96</f>
        <v>0</v>
      </c>
      <c r="I82" s="7">
        <f t="shared" si="0"/>
        <v>3885030.79</v>
      </c>
      <c r="J82" s="6">
        <f>I82/$I$25</f>
        <v>3.126233706854472E-2</v>
      </c>
    </row>
    <row r="83" spans="1:10" x14ac:dyDescent="0.2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654891.59000000008</v>
      </c>
      <c r="H83" s="12">
        <f>SUM(H84)</f>
        <v>0</v>
      </c>
      <c r="I83" s="12">
        <f t="shared" si="0"/>
        <v>654891.59000000008</v>
      </c>
      <c r="J83" s="11"/>
    </row>
    <row r="84" spans="1:10" x14ac:dyDescent="0.2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100'!AM127</f>
        <v>654891.59000000008</v>
      </c>
      <c r="H84" s="7">
        <f>'CUENTA T VS'!AM96</f>
        <v>0</v>
      </c>
      <c r="I84" s="7">
        <f t="shared" si="0"/>
        <v>654891.59000000008</v>
      </c>
      <c r="J84" s="6">
        <f>I84/$I$25</f>
        <v>5.2698273801673502E-3</v>
      </c>
    </row>
    <row r="85" spans="1:10" x14ac:dyDescent="0.2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 x14ac:dyDescent="0.2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100'!AN127</f>
        <v>0</v>
      </c>
      <c r="H86" s="7">
        <f>'CUENTA T VS'!AN96</f>
        <v>0</v>
      </c>
      <c r="I86" s="7">
        <f t="shared" si="0"/>
        <v>0</v>
      </c>
      <c r="J86" s="6">
        <f>I86/$I$25</f>
        <v>0</v>
      </c>
    </row>
    <row r="87" spans="1:10" x14ac:dyDescent="0.2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7971396.2400000012</v>
      </c>
      <c r="H87" s="20">
        <f>H88+H106+H111+H116+H125+H148+H157+H179+H208</f>
        <v>4359456.22</v>
      </c>
      <c r="I87" s="20">
        <f t="shared" si="0"/>
        <v>12330852.460000001</v>
      </c>
      <c r="J87" s="19">
        <f>I87/$I$25</f>
        <v>9.9224764688934125E-2</v>
      </c>
    </row>
    <row r="88" spans="1:10" x14ac:dyDescent="0.2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2020024.3</v>
      </c>
      <c r="H88" s="20">
        <f>+H89+H91+H93+H95+H97+H99+H102+H104</f>
        <v>1731191.19</v>
      </c>
      <c r="I88" s="20">
        <f t="shared" si="0"/>
        <v>3751215.49</v>
      </c>
      <c r="J88" s="19"/>
    </row>
    <row r="89" spans="1:10" x14ac:dyDescent="0.2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 x14ac:dyDescent="0.2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100'!AO127</f>
        <v>0</v>
      </c>
      <c r="H90" s="7">
        <f>'CUENTA T VS'!AO96</f>
        <v>0</v>
      </c>
      <c r="I90" s="7">
        <f t="shared" si="4"/>
        <v>0</v>
      </c>
      <c r="J90" s="6">
        <f>I90/$I$25</f>
        <v>0</v>
      </c>
    </row>
    <row r="91" spans="1:10" x14ac:dyDescent="0.2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 x14ac:dyDescent="0.2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100'!AP127</f>
        <v>0</v>
      </c>
      <c r="H92" s="7">
        <f>'CUENTA T VS'!AP96</f>
        <v>0</v>
      </c>
      <c r="I92" s="7">
        <f t="shared" si="4"/>
        <v>0</v>
      </c>
      <c r="J92" s="6">
        <f>I92/$I$25</f>
        <v>0</v>
      </c>
    </row>
    <row r="93" spans="1:10" x14ac:dyDescent="0.2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211191.19</v>
      </c>
      <c r="I93" s="12">
        <f t="shared" si="4"/>
        <v>211191.19</v>
      </c>
      <c r="J93" s="11"/>
    </row>
    <row r="94" spans="1:10" x14ac:dyDescent="0.2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100'!AQ127</f>
        <v>0</v>
      </c>
      <c r="H94" s="7">
        <f>'CUENTA T VS'!AQ96</f>
        <v>211191.19</v>
      </c>
      <c r="I94" s="7">
        <f t="shared" si="4"/>
        <v>211191.19</v>
      </c>
      <c r="J94" s="6">
        <f>I94/$I$25</f>
        <v>1.6994280160356388E-3</v>
      </c>
    </row>
    <row r="95" spans="1:10" x14ac:dyDescent="0.2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 x14ac:dyDescent="0.2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100'!AR127</f>
        <v>0</v>
      </c>
      <c r="H96" s="7">
        <f>'CUENTA T VS'!AR96</f>
        <v>0</v>
      </c>
      <c r="I96" s="7">
        <f t="shared" si="4"/>
        <v>0</v>
      </c>
      <c r="J96" s="6">
        <f>I96/$I$25</f>
        <v>0</v>
      </c>
    </row>
    <row r="97" spans="1:10" x14ac:dyDescent="0.2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0</v>
      </c>
      <c r="I97" s="12">
        <f t="shared" si="4"/>
        <v>0</v>
      </c>
      <c r="J97" s="11"/>
    </row>
    <row r="98" spans="1:10" x14ac:dyDescent="0.2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100'!AS127</f>
        <v>0</v>
      </c>
      <c r="H98" s="7">
        <f>'CUENTA T VS'!AS96</f>
        <v>0</v>
      </c>
      <c r="I98" s="7">
        <f t="shared" si="4"/>
        <v>0</v>
      </c>
      <c r="J98" s="6">
        <f>I98/$I$25</f>
        <v>0</v>
      </c>
    </row>
    <row r="99" spans="1:10" x14ac:dyDescent="0.2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 x14ac:dyDescent="0.2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100'!AT127</f>
        <v>0</v>
      </c>
      <c r="H100" s="7">
        <f>'CUENTA T VS'!AT96</f>
        <v>0</v>
      </c>
      <c r="I100" s="7">
        <f t="shared" si="4"/>
        <v>0</v>
      </c>
      <c r="J100" s="6">
        <f>I100/$I$25</f>
        <v>0</v>
      </c>
    </row>
    <row r="101" spans="1:10" x14ac:dyDescent="0.2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100'!AU127</f>
        <v>0</v>
      </c>
      <c r="H101" s="7">
        <f>'CUENTA T VS'!AU96</f>
        <v>0</v>
      </c>
      <c r="I101" s="7">
        <f t="shared" si="4"/>
        <v>0</v>
      </c>
      <c r="J101" s="6">
        <f>I101/$I$25</f>
        <v>0</v>
      </c>
    </row>
    <row r="102" spans="1:10" x14ac:dyDescent="0.2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2020024.3</v>
      </c>
      <c r="H102" s="12">
        <f>SUM(H103)</f>
        <v>0</v>
      </c>
      <c r="I102" s="12">
        <f t="shared" si="4"/>
        <v>2020024.3</v>
      </c>
      <c r="J102" s="11"/>
    </row>
    <row r="103" spans="1:10" x14ac:dyDescent="0.2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100'!AV127</f>
        <v>2020024.3</v>
      </c>
      <c r="H103" s="7">
        <f>'CUENTA T VS'!AV96</f>
        <v>0</v>
      </c>
      <c r="I103" s="7">
        <f t="shared" si="4"/>
        <v>2020024.3</v>
      </c>
      <c r="J103" s="6">
        <f>I103/$I$25</f>
        <v>1.6254872603789865E-2</v>
      </c>
    </row>
    <row r="104" spans="1:10" x14ac:dyDescent="0.2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1520000</v>
      </c>
      <c r="I104" s="12">
        <f t="shared" si="4"/>
        <v>1520000</v>
      </c>
      <c r="J104" s="11"/>
    </row>
    <row r="105" spans="1:10" x14ac:dyDescent="0.2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100'!AW127</f>
        <v>0</v>
      </c>
      <c r="H105" s="7">
        <f>'CUENTA T VS'!AW96</f>
        <v>1520000</v>
      </c>
      <c r="I105" s="7">
        <f t="shared" si="4"/>
        <v>1520000</v>
      </c>
      <c r="J105" s="6">
        <f>I105/$I$25</f>
        <v>1.2231242147810099E-2</v>
      </c>
    </row>
    <row r="106" spans="1:10" x14ac:dyDescent="0.2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0</v>
      </c>
      <c r="H106" s="20">
        <f>+H107+H109</f>
        <v>0</v>
      </c>
      <c r="I106" s="20">
        <f t="shared" si="4"/>
        <v>0</v>
      </c>
      <c r="J106" s="19"/>
    </row>
    <row r="107" spans="1:10" x14ac:dyDescent="0.2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0</v>
      </c>
      <c r="I107" s="12">
        <f t="shared" si="4"/>
        <v>0</v>
      </c>
      <c r="J107" s="11"/>
    </row>
    <row r="108" spans="1:10" x14ac:dyDescent="0.2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100'!AX127</f>
        <v>0</v>
      </c>
      <c r="H108" s="7">
        <f>'CUENTA T VS'!AX96</f>
        <v>0</v>
      </c>
      <c r="I108" s="7">
        <f t="shared" si="4"/>
        <v>0</v>
      </c>
      <c r="J108" s="6">
        <f>I108/$I$25</f>
        <v>0</v>
      </c>
    </row>
    <row r="109" spans="1:10" x14ac:dyDescent="0.2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0</v>
      </c>
      <c r="H109" s="12">
        <f>SUM(H110)</f>
        <v>0</v>
      </c>
      <c r="I109" s="12">
        <f t="shared" si="4"/>
        <v>0</v>
      </c>
      <c r="J109" s="11"/>
    </row>
    <row r="110" spans="1:10" x14ac:dyDescent="0.2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100'!AY127</f>
        <v>0</v>
      </c>
      <c r="H110" s="7">
        <f>'CUENTA T VS'!AY96</f>
        <v>0</v>
      </c>
      <c r="I110" s="7">
        <f t="shared" si="4"/>
        <v>0</v>
      </c>
      <c r="J110" s="6">
        <f>I110/$I$25</f>
        <v>0</v>
      </c>
    </row>
    <row r="111" spans="1:10" x14ac:dyDescent="0.2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 x14ac:dyDescent="0.2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 x14ac:dyDescent="0.2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100'!AZ127</f>
        <v>0</v>
      </c>
      <c r="H113" s="7">
        <f>'CUENTA T VS'!AZ96</f>
        <v>0</v>
      </c>
      <c r="I113" s="7">
        <f t="shared" si="4"/>
        <v>0</v>
      </c>
      <c r="J113" s="6">
        <f>I113/$I$25</f>
        <v>0</v>
      </c>
    </row>
    <row r="114" spans="1:10" x14ac:dyDescent="0.2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 x14ac:dyDescent="0.2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100'!BA127</f>
        <v>0</v>
      </c>
      <c r="H115" s="7">
        <f>'CUENTA T VS'!BA96</f>
        <v>0</v>
      </c>
      <c r="I115" s="7">
        <f t="shared" si="4"/>
        <v>0</v>
      </c>
      <c r="J115" s="6">
        <f>I115/$I$25</f>
        <v>0</v>
      </c>
    </row>
    <row r="116" spans="1:10" x14ac:dyDescent="0.2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32000</v>
      </c>
      <c r="I116" s="20">
        <f t="shared" si="4"/>
        <v>32000</v>
      </c>
      <c r="J116" s="19"/>
    </row>
    <row r="117" spans="1:10" x14ac:dyDescent="0.2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0</v>
      </c>
      <c r="I117" s="12">
        <f t="shared" si="4"/>
        <v>0</v>
      </c>
      <c r="J117" s="11"/>
    </row>
    <row r="118" spans="1:10" x14ac:dyDescent="0.2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100'!BB127</f>
        <v>0</v>
      </c>
      <c r="H118" s="7">
        <f>'CUENTA T VS'!BB96</f>
        <v>0</v>
      </c>
      <c r="I118" s="7">
        <f t="shared" si="4"/>
        <v>0</v>
      </c>
      <c r="J118" s="6">
        <f>I118/$I$25</f>
        <v>0</v>
      </c>
    </row>
    <row r="119" spans="1:10" x14ac:dyDescent="0.2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32000</v>
      </c>
      <c r="I119" s="12">
        <f t="shared" si="4"/>
        <v>32000</v>
      </c>
      <c r="J119" s="11"/>
    </row>
    <row r="120" spans="1:10" x14ac:dyDescent="0.2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100'!BC127</f>
        <v>0</v>
      </c>
      <c r="H120" s="7">
        <f>'CUENTA T VS'!BC96</f>
        <v>32000</v>
      </c>
      <c r="I120" s="7">
        <f t="shared" si="4"/>
        <v>32000</v>
      </c>
      <c r="J120" s="6">
        <f>I120/$I$25</f>
        <v>2.5749983469073895E-4</v>
      </c>
    </row>
    <row r="121" spans="1:10" x14ac:dyDescent="0.2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 x14ac:dyDescent="0.2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100'!BD127</f>
        <v>0</v>
      </c>
      <c r="H122" s="7">
        <f>'CUENTA T VS'!BD96</f>
        <v>0</v>
      </c>
      <c r="I122" s="7">
        <f t="shared" si="4"/>
        <v>0</v>
      </c>
      <c r="J122" s="6">
        <f>I122/$I$25</f>
        <v>0</v>
      </c>
    </row>
    <row r="123" spans="1:10" x14ac:dyDescent="0.2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 x14ac:dyDescent="0.2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100'!BE127</f>
        <v>0</v>
      </c>
      <c r="H124" s="7">
        <f>'CUENTA T VS'!BE96</f>
        <v>0</v>
      </c>
      <c r="I124" s="7">
        <f t="shared" si="4"/>
        <v>0</v>
      </c>
      <c r="J124" s="6">
        <f>I124/$I$25</f>
        <v>0</v>
      </c>
    </row>
    <row r="125" spans="1:10" x14ac:dyDescent="0.2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0</v>
      </c>
      <c r="H125" s="20">
        <f t="shared" ref="H125" si="5">+H126+H128+H130+H136+H138+H140+H142+H144+H146</f>
        <v>0</v>
      </c>
      <c r="I125" s="20">
        <f t="shared" si="4"/>
        <v>0</v>
      </c>
      <c r="J125" s="19"/>
    </row>
    <row r="126" spans="1:10" x14ac:dyDescent="0.2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 x14ac:dyDescent="0.2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100'!BF127</f>
        <v>0</v>
      </c>
      <c r="H127" s="7">
        <f>'CUENTA T VS'!BF96</f>
        <v>0</v>
      </c>
      <c r="I127" s="7">
        <f t="shared" si="4"/>
        <v>0</v>
      </c>
      <c r="J127" s="6">
        <f>I127/$I$25</f>
        <v>0</v>
      </c>
    </row>
    <row r="128" spans="1:10" x14ac:dyDescent="0.2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 x14ac:dyDescent="0.2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100'!BG127</f>
        <v>0</v>
      </c>
      <c r="H129" s="7">
        <f>'CUENTA T VS'!BG96</f>
        <v>0</v>
      </c>
      <c r="I129" s="7">
        <f t="shared" si="4"/>
        <v>0</v>
      </c>
      <c r="J129" s="6">
        <f>I129/$I$25</f>
        <v>0</v>
      </c>
    </row>
    <row r="130" spans="1:10" x14ac:dyDescent="0.2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0</v>
      </c>
      <c r="H130" s="12">
        <f>SUM(H131:H135)</f>
        <v>0</v>
      </c>
      <c r="I130" s="12">
        <f t="shared" si="4"/>
        <v>0</v>
      </c>
      <c r="J130" s="11"/>
    </row>
    <row r="131" spans="1:10" x14ac:dyDescent="0.2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100'!BH127</f>
        <v>0</v>
      </c>
      <c r="H131" s="7">
        <f>'CUENTA T VS'!BH96</f>
        <v>0</v>
      </c>
      <c r="I131" s="7">
        <f t="shared" si="4"/>
        <v>0</v>
      </c>
      <c r="J131" s="6">
        <f>I131/$I$25</f>
        <v>0</v>
      </c>
    </row>
    <row r="132" spans="1:10" x14ac:dyDescent="0.2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100'!BI127</f>
        <v>0</v>
      </c>
      <c r="H132" s="7">
        <f>'CUENTA T VS'!BI96</f>
        <v>0</v>
      </c>
      <c r="I132" s="7">
        <f t="shared" si="4"/>
        <v>0</v>
      </c>
      <c r="J132" s="6">
        <f>I132/$I$25</f>
        <v>0</v>
      </c>
    </row>
    <row r="133" spans="1:10" x14ac:dyDescent="0.2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100'!BJ127</f>
        <v>0</v>
      </c>
      <c r="H133" s="7">
        <f>'CUENTA T VS'!BJ96</f>
        <v>0</v>
      </c>
      <c r="I133" s="7">
        <f t="shared" si="4"/>
        <v>0</v>
      </c>
      <c r="J133" s="6">
        <f>I133/$I$25</f>
        <v>0</v>
      </c>
    </row>
    <row r="134" spans="1:10" x14ac:dyDescent="0.2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100'!BK127</f>
        <v>0</v>
      </c>
      <c r="H134" s="7">
        <f>'CUENTA T VS'!BK96</f>
        <v>0</v>
      </c>
      <c r="I134" s="7">
        <f t="shared" si="4"/>
        <v>0</v>
      </c>
      <c r="J134" s="6">
        <f>I134/$I$25</f>
        <v>0</v>
      </c>
    </row>
    <row r="135" spans="1:10" x14ac:dyDescent="0.2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100'!BL127</f>
        <v>0</v>
      </c>
      <c r="H135" s="7">
        <f>'CUENTA T VS'!BL96</f>
        <v>0</v>
      </c>
      <c r="I135" s="7">
        <f t="shared" si="4"/>
        <v>0</v>
      </c>
      <c r="J135" s="6">
        <f>I135/$I$25</f>
        <v>0</v>
      </c>
    </row>
    <row r="136" spans="1:10" x14ac:dyDescent="0.2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 x14ac:dyDescent="0.2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100'!BM127</f>
        <v>0</v>
      </c>
      <c r="H137" s="7">
        <f>'CUENTA T VS'!BM96</f>
        <v>0</v>
      </c>
      <c r="I137" s="7">
        <f t="shared" si="4"/>
        <v>0</v>
      </c>
      <c r="J137" s="6">
        <f>I137/$I$25</f>
        <v>0</v>
      </c>
    </row>
    <row r="138" spans="1:10" x14ac:dyDescent="0.2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 x14ac:dyDescent="0.2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100'!BN127</f>
        <v>0</v>
      </c>
      <c r="H139" s="7">
        <f>'CUENTA T VS'!BN96</f>
        <v>0</v>
      </c>
      <c r="I139" s="7">
        <f t="shared" si="4"/>
        <v>0</v>
      </c>
      <c r="J139" s="6">
        <f>I139/$I$25</f>
        <v>0</v>
      </c>
    </row>
    <row r="140" spans="1:10" x14ac:dyDescent="0.2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 x14ac:dyDescent="0.2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100'!BO127</f>
        <v>0</v>
      </c>
      <c r="H141" s="7">
        <f>'CUENTA T VS'!BO96</f>
        <v>0</v>
      </c>
      <c r="I141" s="7">
        <f t="shared" si="4"/>
        <v>0</v>
      </c>
      <c r="J141" s="6">
        <f>I141/$I$25</f>
        <v>0</v>
      </c>
    </row>
    <row r="142" spans="1:10" x14ac:dyDescent="0.2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 x14ac:dyDescent="0.2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100'!BP127</f>
        <v>0</v>
      </c>
      <c r="H143" s="7">
        <f>'CUENTA T VS'!BP96</f>
        <v>0</v>
      </c>
      <c r="I143" s="7">
        <f t="shared" si="4"/>
        <v>0</v>
      </c>
      <c r="J143" s="6">
        <f>I143/$I$25</f>
        <v>0</v>
      </c>
    </row>
    <row r="144" spans="1:10" x14ac:dyDescent="0.2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0</v>
      </c>
      <c r="I144" s="12">
        <f t="shared" si="4"/>
        <v>0</v>
      </c>
      <c r="J144" s="11"/>
    </row>
    <row r="145" spans="1:10" x14ac:dyDescent="0.2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100'!BQ127</f>
        <v>0</v>
      </c>
      <c r="H145" s="7">
        <f>'CUENTA T VS'!BQ96</f>
        <v>0</v>
      </c>
      <c r="I145" s="7">
        <f t="shared" si="4"/>
        <v>0</v>
      </c>
      <c r="J145" s="6">
        <f>I145/$I$25</f>
        <v>0</v>
      </c>
    </row>
    <row r="146" spans="1:10" x14ac:dyDescent="0.2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0</v>
      </c>
      <c r="H146" s="12">
        <f>SUM(H147)</f>
        <v>0</v>
      </c>
      <c r="I146" s="12">
        <f t="shared" si="4"/>
        <v>0</v>
      </c>
      <c r="J146" s="11"/>
    </row>
    <row r="147" spans="1:10" x14ac:dyDescent="0.2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100'!BR127</f>
        <v>0</v>
      </c>
      <c r="H147" s="7">
        <f>'CUENTA T VS'!BR96</f>
        <v>0</v>
      </c>
      <c r="I147" s="7">
        <f t="shared" si="4"/>
        <v>0</v>
      </c>
      <c r="J147" s="6">
        <f>I147/$I$25</f>
        <v>0</v>
      </c>
    </row>
    <row r="148" spans="1:10" x14ac:dyDescent="0.2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 x14ac:dyDescent="0.2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 x14ac:dyDescent="0.2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100'!BS127</f>
        <v>0</v>
      </c>
      <c r="H150" s="7">
        <f>'CUENTA T VS'!BS96</f>
        <v>0</v>
      </c>
      <c r="I150" s="7">
        <f t="shared" si="4"/>
        <v>0</v>
      </c>
      <c r="J150" s="6">
        <f>I150/$I$25</f>
        <v>0</v>
      </c>
    </row>
    <row r="151" spans="1:10" x14ac:dyDescent="0.2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 x14ac:dyDescent="0.2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100'!BT127</f>
        <v>0</v>
      </c>
      <c r="H152" s="7">
        <f>'CUENTA T VS'!BT96</f>
        <v>0</v>
      </c>
      <c r="I152" s="7">
        <f t="shared" si="4"/>
        <v>0</v>
      </c>
      <c r="J152" s="6">
        <f>I152/$I$25</f>
        <v>0</v>
      </c>
    </row>
    <row r="153" spans="1:10" x14ac:dyDescent="0.2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6">SUM(G153:H153)</f>
        <v>0</v>
      </c>
      <c r="J153" s="11"/>
    </row>
    <row r="154" spans="1:10" x14ac:dyDescent="0.2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100'!BU127</f>
        <v>0</v>
      </c>
      <c r="H154" s="7">
        <f>'CUENTA T VS'!BU96</f>
        <v>0</v>
      </c>
      <c r="I154" s="7">
        <f t="shared" si="6"/>
        <v>0</v>
      </c>
      <c r="J154" s="6">
        <f>I154/$I$25</f>
        <v>0</v>
      </c>
    </row>
    <row r="155" spans="1:10" x14ac:dyDescent="0.2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6"/>
        <v>0</v>
      </c>
      <c r="J155" s="11"/>
    </row>
    <row r="156" spans="1:10" x14ac:dyDescent="0.2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100'!BV127</f>
        <v>0</v>
      </c>
      <c r="H156" s="7">
        <f>'CUENTA T VS'!BV96</f>
        <v>0</v>
      </c>
      <c r="I156" s="7">
        <f t="shared" si="6"/>
        <v>0</v>
      </c>
      <c r="J156" s="6">
        <f>I156/$I$25</f>
        <v>0</v>
      </c>
    </row>
    <row r="157" spans="1:10" ht="25.5" x14ac:dyDescent="0.2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5951371.9400000013</v>
      </c>
      <c r="H157" s="20">
        <f>+H158+H167+H177</f>
        <v>2019575.16</v>
      </c>
      <c r="I157" s="20">
        <f t="shared" si="6"/>
        <v>7970947.1000000015</v>
      </c>
      <c r="J157" s="19"/>
    </row>
    <row r="158" spans="1:10" x14ac:dyDescent="0.2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5951371.9400000013</v>
      </c>
      <c r="H158" s="12">
        <f>SUM(H159:H166)</f>
        <v>904710.71</v>
      </c>
      <c r="I158" s="12">
        <f t="shared" si="6"/>
        <v>6856082.6500000013</v>
      </c>
      <c r="J158" s="11"/>
    </row>
    <row r="159" spans="1:10" x14ac:dyDescent="0.2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100'!BW127</f>
        <v>5951371.9400000013</v>
      </c>
      <c r="H159" s="7">
        <f>'CUENTA T VS'!BW96</f>
        <v>904710.71</v>
      </c>
      <c r="I159" s="7">
        <f t="shared" si="6"/>
        <v>6856082.6500000013</v>
      </c>
      <c r="J159" s="6">
        <f t="shared" ref="J159:J166" si="7">I159/$I$25</f>
        <v>5.5170004656282613E-2</v>
      </c>
    </row>
    <row r="160" spans="1:10" x14ac:dyDescent="0.2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100'!BX127</f>
        <v>0</v>
      </c>
      <c r="H160" s="7">
        <f>'CUENTA T VS'!BX96</f>
        <v>0</v>
      </c>
      <c r="I160" s="7">
        <f t="shared" si="6"/>
        <v>0</v>
      </c>
      <c r="J160" s="6">
        <f t="shared" si="7"/>
        <v>0</v>
      </c>
    </row>
    <row r="161" spans="1:10" x14ac:dyDescent="0.2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100'!BY127</f>
        <v>0</v>
      </c>
      <c r="H161" s="7">
        <f>'CUENTA T VS'!BY96</f>
        <v>0</v>
      </c>
      <c r="I161" s="7">
        <f t="shared" si="6"/>
        <v>0</v>
      </c>
      <c r="J161" s="6">
        <f t="shared" si="7"/>
        <v>0</v>
      </c>
    </row>
    <row r="162" spans="1:10" ht="25.5" x14ac:dyDescent="0.2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100'!BZ127</f>
        <v>0</v>
      </c>
      <c r="H162" s="7">
        <f>'CUENTA T VS'!BZ96</f>
        <v>0</v>
      </c>
      <c r="I162" s="7">
        <f t="shared" si="6"/>
        <v>0</v>
      </c>
      <c r="J162" s="6">
        <f t="shared" si="7"/>
        <v>0</v>
      </c>
    </row>
    <row r="163" spans="1:10" x14ac:dyDescent="0.2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100'!CA127</f>
        <v>0</v>
      </c>
      <c r="H163" s="7">
        <f>'CUENTA T VS'!CA96</f>
        <v>0</v>
      </c>
      <c r="I163" s="7">
        <f t="shared" si="6"/>
        <v>0</v>
      </c>
      <c r="J163" s="6">
        <f t="shared" si="7"/>
        <v>0</v>
      </c>
    </row>
    <row r="164" spans="1:10" x14ac:dyDescent="0.2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100'!CB127</f>
        <v>0</v>
      </c>
      <c r="H164" s="7">
        <f>'CUENTA T VS'!CB96</f>
        <v>0</v>
      </c>
      <c r="I164" s="7">
        <f t="shared" si="6"/>
        <v>0</v>
      </c>
      <c r="J164" s="6">
        <f t="shared" si="7"/>
        <v>0</v>
      </c>
    </row>
    <row r="165" spans="1:10" ht="25.5" x14ac:dyDescent="0.2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100'!CC127</f>
        <v>0</v>
      </c>
      <c r="H165" s="7">
        <f>'CUENTA T VS'!CC96</f>
        <v>0</v>
      </c>
      <c r="I165" s="7">
        <f t="shared" si="6"/>
        <v>0</v>
      </c>
      <c r="J165" s="6">
        <f t="shared" si="7"/>
        <v>0</v>
      </c>
    </row>
    <row r="166" spans="1:10" ht="25.5" x14ac:dyDescent="0.2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100'!CD127</f>
        <v>0</v>
      </c>
      <c r="H166" s="7">
        <f>'CUENTA T VS'!CD96</f>
        <v>0</v>
      </c>
      <c r="I166" s="7">
        <f t="shared" si="6"/>
        <v>0</v>
      </c>
      <c r="J166" s="6">
        <f t="shared" si="7"/>
        <v>0</v>
      </c>
    </row>
    <row r="167" spans="1:10" x14ac:dyDescent="0.2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0</v>
      </c>
      <c r="H167" s="12">
        <f>SUM(H168:H176)</f>
        <v>1114864.45</v>
      </c>
      <c r="I167" s="12">
        <f t="shared" si="6"/>
        <v>1114864.45</v>
      </c>
      <c r="J167" s="11"/>
    </row>
    <row r="168" spans="1:10" ht="25.5" x14ac:dyDescent="0.2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100'!CE127</f>
        <v>0</v>
      </c>
      <c r="H168" s="7">
        <f>'CUENTA T VS'!CE96</f>
        <v>0</v>
      </c>
      <c r="I168" s="7">
        <f t="shared" si="6"/>
        <v>0</v>
      </c>
      <c r="J168" s="6">
        <f t="shared" ref="J168:J176" si="8">I168/$I$25</f>
        <v>0</v>
      </c>
    </row>
    <row r="169" spans="1:10" ht="25.5" x14ac:dyDescent="0.2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100'!CF127</f>
        <v>0</v>
      </c>
      <c r="H169" s="7">
        <f>'CUENTA T VS'!CF96</f>
        <v>0</v>
      </c>
      <c r="I169" s="7">
        <f t="shared" si="6"/>
        <v>0</v>
      </c>
      <c r="J169" s="6">
        <f t="shared" si="8"/>
        <v>0</v>
      </c>
    </row>
    <row r="170" spans="1:10" x14ac:dyDescent="0.2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100'!CG127</f>
        <v>0</v>
      </c>
      <c r="H170" s="7">
        <f>'CUENTA T VS'!CG96</f>
        <v>0</v>
      </c>
      <c r="I170" s="7">
        <f t="shared" si="6"/>
        <v>0</v>
      </c>
      <c r="J170" s="6">
        <f t="shared" si="8"/>
        <v>0</v>
      </c>
    </row>
    <row r="171" spans="1:10" ht="25.5" x14ac:dyDescent="0.2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100'!CH127</f>
        <v>0</v>
      </c>
      <c r="H171" s="7">
        <f>'CUENTA T VS'!CH96</f>
        <v>0</v>
      </c>
      <c r="I171" s="7">
        <f t="shared" si="6"/>
        <v>0</v>
      </c>
      <c r="J171" s="6">
        <f t="shared" si="8"/>
        <v>0</v>
      </c>
    </row>
    <row r="172" spans="1:10" ht="25.5" x14ac:dyDescent="0.2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100'!CI127</f>
        <v>0</v>
      </c>
      <c r="H172" s="7">
        <f>'CUENTA T VS'!CI96</f>
        <v>0</v>
      </c>
      <c r="I172" s="7">
        <f t="shared" si="6"/>
        <v>0</v>
      </c>
      <c r="J172" s="6">
        <f t="shared" si="8"/>
        <v>0</v>
      </c>
    </row>
    <row r="173" spans="1:10" ht="25.5" x14ac:dyDescent="0.2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100'!CJ127</f>
        <v>0</v>
      </c>
      <c r="H173" s="7">
        <f>'CUENTA T VS'!CJ96</f>
        <v>636067.19999999995</v>
      </c>
      <c r="I173" s="7">
        <f t="shared" si="6"/>
        <v>636067.19999999995</v>
      </c>
      <c r="J173" s="6">
        <f t="shared" si="8"/>
        <v>5.1183499641312864E-3</v>
      </c>
    </row>
    <row r="174" spans="1:10" ht="25.5" x14ac:dyDescent="0.2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100'!CK127</f>
        <v>0</v>
      </c>
      <c r="H174" s="7">
        <f>'CUENTA T VS'!CK96</f>
        <v>0</v>
      </c>
      <c r="I174" s="7">
        <f t="shared" si="6"/>
        <v>0</v>
      </c>
      <c r="J174" s="6">
        <f t="shared" si="8"/>
        <v>0</v>
      </c>
    </row>
    <row r="175" spans="1:10" ht="25.5" x14ac:dyDescent="0.2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100'!CL127</f>
        <v>0</v>
      </c>
      <c r="H175" s="7">
        <f>'CUENTA T VS'!CL96</f>
        <v>478797.25</v>
      </c>
      <c r="I175" s="7">
        <f t="shared" si="6"/>
        <v>478797.25</v>
      </c>
      <c r="J175" s="6">
        <f t="shared" si="8"/>
        <v>3.8528191476681376E-3</v>
      </c>
    </row>
    <row r="176" spans="1:10" ht="38.25" x14ac:dyDescent="0.2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100'!CM127</f>
        <v>0</v>
      </c>
      <c r="H176" s="7">
        <f>'CUENTA T VS'!CM96</f>
        <v>0</v>
      </c>
      <c r="I176" s="7">
        <f t="shared" si="6"/>
        <v>0</v>
      </c>
      <c r="J176" s="6">
        <f t="shared" si="8"/>
        <v>0</v>
      </c>
    </row>
    <row r="177" spans="1:10" x14ac:dyDescent="0.2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6"/>
        <v>0</v>
      </c>
      <c r="J177" s="11"/>
    </row>
    <row r="178" spans="1:10" x14ac:dyDescent="0.2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100'!CN127</f>
        <v>0</v>
      </c>
      <c r="H178" s="7">
        <f>'CUENTA T VS'!CN96</f>
        <v>0</v>
      </c>
      <c r="I178" s="7">
        <f t="shared" si="6"/>
        <v>0</v>
      </c>
      <c r="J178" s="6">
        <f>I178/$I$25</f>
        <v>0</v>
      </c>
    </row>
    <row r="179" spans="1:10" x14ac:dyDescent="0.2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0</v>
      </c>
      <c r="H179" s="20">
        <f>+H180+H182+H184+H186+H188+H192+H197+H204</f>
        <v>576689.87</v>
      </c>
      <c r="I179" s="20">
        <f t="shared" si="6"/>
        <v>576689.87</v>
      </c>
      <c r="J179" s="19"/>
    </row>
    <row r="180" spans="1:10" x14ac:dyDescent="0.2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6"/>
        <v>0</v>
      </c>
      <c r="J180" s="11"/>
    </row>
    <row r="181" spans="1:10" x14ac:dyDescent="0.2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100'!CO127</f>
        <v>0</v>
      </c>
      <c r="H181" s="7">
        <f>'CUENTA T VS'!CO96</f>
        <v>0</v>
      </c>
      <c r="I181" s="7">
        <f t="shared" si="6"/>
        <v>0</v>
      </c>
      <c r="J181" s="6">
        <f>I181/$I$25</f>
        <v>0</v>
      </c>
    </row>
    <row r="182" spans="1:10" x14ac:dyDescent="0.2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8323.8700000000008</v>
      </c>
      <c r="I182" s="12">
        <f t="shared" si="6"/>
        <v>8323.8700000000008</v>
      </c>
      <c r="J182" s="11"/>
    </row>
    <row r="183" spans="1:10" x14ac:dyDescent="0.2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100'!CP127</f>
        <v>0</v>
      </c>
      <c r="H183" s="7">
        <f>'CUENTA T VS'!CP96</f>
        <v>8323.8700000000008</v>
      </c>
      <c r="I183" s="7">
        <f t="shared" si="6"/>
        <v>8323.8700000000008</v>
      </c>
      <c r="J183" s="6">
        <f>I183/$I$25</f>
        <v>6.6981098405850039E-5</v>
      </c>
    </row>
    <row r="184" spans="1:10" x14ac:dyDescent="0.2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0</v>
      </c>
      <c r="H184" s="12">
        <f>SUM(H185)</f>
        <v>0</v>
      </c>
      <c r="I184" s="12">
        <f t="shared" si="6"/>
        <v>0</v>
      </c>
      <c r="J184" s="11"/>
    </row>
    <row r="185" spans="1:10" x14ac:dyDescent="0.2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100'!CQ127</f>
        <v>0</v>
      </c>
      <c r="H185" s="7">
        <f>'CUENTA T VS'!CQ96</f>
        <v>0</v>
      </c>
      <c r="I185" s="7">
        <f t="shared" si="6"/>
        <v>0</v>
      </c>
      <c r="J185" s="6">
        <f>I185/$I$25</f>
        <v>0</v>
      </c>
    </row>
    <row r="186" spans="1:10" x14ac:dyDescent="0.2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6"/>
        <v>0</v>
      </c>
      <c r="J186" s="11"/>
    </row>
    <row r="187" spans="1:10" x14ac:dyDescent="0.2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100'!CR127</f>
        <v>0</v>
      </c>
      <c r="H187" s="7">
        <f>'CUENTA T VS'!CR96</f>
        <v>0</v>
      </c>
      <c r="I187" s="7">
        <f t="shared" si="6"/>
        <v>0</v>
      </c>
      <c r="J187" s="6">
        <f>I187/$I$25</f>
        <v>0</v>
      </c>
    </row>
    <row r="188" spans="1:10" x14ac:dyDescent="0.2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188564</v>
      </c>
      <c r="I188" s="12">
        <f t="shared" si="6"/>
        <v>188564</v>
      </c>
      <c r="J188" s="11"/>
    </row>
    <row r="189" spans="1:10" x14ac:dyDescent="0.2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100'!CS127</f>
        <v>0</v>
      </c>
      <c r="H189" s="7">
        <f>'CUENTA T VS'!CS96</f>
        <v>0</v>
      </c>
      <c r="I189" s="7">
        <f t="shared" si="6"/>
        <v>0</v>
      </c>
      <c r="J189" s="6">
        <f>I189/$I$25</f>
        <v>0</v>
      </c>
    </row>
    <row r="190" spans="1:10" x14ac:dyDescent="0.2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100'!CT127</f>
        <v>0</v>
      </c>
      <c r="H190" s="7">
        <f>'CUENTA T VS'!CT96</f>
        <v>0</v>
      </c>
      <c r="I190" s="7">
        <f t="shared" si="6"/>
        <v>0</v>
      </c>
      <c r="J190" s="6">
        <f>I190/$I$25</f>
        <v>0</v>
      </c>
    </row>
    <row r="191" spans="1:10" x14ac:dyDescent="0.2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100'!CU127</f>
        <v>0</v>
      </c>
      <c r="H191" s="7">
        <f>'CUENTA T VS'!CU96</f>
        <v>188564</v>
      </c>
      <c r="I191" s="7">
        <f t="shared" si="6"/>
        <v>188564</v>
      </c>
      <c r="J191" s="6">
        <f>I191/$I$25</f>
        <v>1.5173499633945155E-3</v>
      </c>
    </row>
    <row r="192" spans="1:10" x14ac:dyDescent="0.2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0</v>
      </c>
      <c r="I192" s="12">
        <f t="shared" si="6"/>
        <v>0</v>
      </c>
      <c r="J192" s="11"/>
    </row>
    <row r="193" spans="1:10" x14ac:dyDescent="0.2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100'!CV127</f>
        <v>0</v>
      </c>
      <c r="H193" s="7">
        <f>'CUENTA T VS'!CV96</f>
        <v>0</v>
      </c>
      <c r="I193" s="7">
        <f t="shared" si="6"/>
        <v>0</v>
      </c>
      <c r="J193" s="6">
        <f>I193/$I$25</f>
        <v>0</v>
      </c>
    </row>
    <row r="194" spans="1:10" x14ac:dyDescent="0.2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100'!CW127</f>
        <v>0</v>
      </c>
      <c r="H194" s="7">
        <f>'CUENTA T VS'!CW96</f>
        <v>0</v>
      </c>
      <c r="I194" s="7">
        <f t="shared" si="6"/>
        <v>0</v>
      </c>
      <c r="J194" s="6">
        <f>I194/$I$25</f>
        <v>0</v>
      </c>
    </row>
    <row r="195" spans="1:10" x14ac:dyDescent="0.2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100'!CX127</f>
        <v>0</v>
      </c>
      <c r="H195" s="7">
        <f>'CUENTA T VS'!CX96</f>
        <v>0</v>
      </c>
      <c r="I195" s="7">
        <f t="shared" si="6"/>
        <v>0</v>
      </c>
      <c r="J195" s="6">
        <f>I195/$I$25</f>
        <v>0</v>
      </c>
    </row>
    <row r="196" spans="1:10" x14ac:dyDescent="0.2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100'!CY127</f>
        <v>0</v>
      </c>
      <c r="H196" s="7">
        <f>'CUENTA T VS'!CY96</f>
        <v>0</v>
      </c>
      <c r="I196" s="7">
        <f t="shared" si="6"/>
        <v>0</v>
      </c>
      <c r="J196" s="6">
        <f>I196/$I$25</f>
        <v>0</v>
      </c>
    </row>
    <row r="197" spans="1:10" x14ac:dyDescent="0.2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0</v>
      </c>
      <c r="H197" s="12">
        <f>SUM(H198:H203)</f>
        <v>379802</v>
      </c>
      <c r="I197" s="12">
        <f t="shared" si="6"/>
        <v>379802</v>
      </c>
      <c r="J197" s="11"/>
    </row>
    <row r="198" spans="1:10" x14ac:dyDescent="0.2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100'!CZ127</f>
        <v>0</v>
      </c>
      <c r="H198" s="7">
        <f>'CUENTA T VS'!CZ96</f>
        <v>0</v>
      </c>
      <c r="I198" s="7">
        <f t="shared" si="6"/>
        <v>0</v>
      </c>
      <c r="J198" s="6">
        <f t="shared" ref="J198:J203" si="9">I198/$I$25</f>
        <v>0</v>
      </c>
    </row>
    <row r="199" spans="1:10" x14ac:dyDescent="0.2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100'!DA127</f>
        <v>0</v>
      </c>
      <c r="H199" s="7">
        <f>'CUENTA T VS'!DA96</f>
        <v>0</v>
      </c>
      <c r="I199" s="7">
        <f t="shared" si="6"/>
        <v>0</v>
      </c>
      <c r="J199" s="6">
        <f t="shared" si="9"/>
        <v>0</v>
      </c>
    </row>
    <row r="200" spans="1:10" x14ac:dyDescent="0.2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100'!DB127</f>
        <v>0</v>
      </c>
      <c r="H200" s="7">
        <f>'CUENTA T VS'!DB96</f>
        <v>0</v>
      </c>
      <c r="I200" s="7">
        <f t="shared" si="6"/>
        <v>0</v>
      </c>
      <c r="J200" s="6">
        <f t="shared" si="9"/>
        <v>0</v>
      </c>
    </row>
    <row r="201" spans="1:10" x14ac:dyDescent="0.2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100'!DC127</f>
        <v>0</v>
      </c>
      <c r="H201" s="7">
        <f>'CUENTA T VS'!DC96</f>
        <v>0</v>
      </c>
      <c r="I201" s="7">
        <f t="shared" si="6"/>
        <v>0</v>
      </c>
      <c r="J201" s="6">
        <f t="shared" si="9"/>
        <v>0</v>
      </c>
    </row>
    <row r="202" spans="1:10" x14ac:dyDescent="0.2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100'!DD127</f>
        <v>0</v>
      </c>
      <c r="H202" s="7">
        <f>'CUENTA T VS'!DD96</f>
        <v>48852</v>
      </c>
      <c r="I202" s="7">
        <f t="shared" si="6"/>
        <v>48852</v>
      </c>
      <c r="J202" s="6">
        <f t="shared" si="9"/>
        <v>3.9310568513474932E-4</v>
      </c>
    </row>
    <row r="203" spans="1:10" x14ac:dyDescent="0.2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100'!DE127</f>
        <v>0</v>
      </c>
      <c r="H203" s="7">
        <f>'CUENTA T VS'!DE96</f>
        <v>330950</v>
      </c>
      <c r="I203" s="7">
        <f t="shared" si="6"/>
        <v>330950</v>
      </c>
      <c r="J203" s="6">
        <f t="shared" si="9"/>
        <v>2.6631115715906265E-3</v>
      </c>
    </row>
    <row r="204" spans="1:10" x14ac:dyDescent="0.2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0</v>
      </c>
      <c r="I204" s="12">
        <f t="shared" si="6"/>
        <v>0</v>
      </c>
      <c r="J204" s="11"/>
    </row>
    <row r="205" spans="1:10" x14ac:dyDescent="0.2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100'!DF127</f>
        <v>0</v>
      </c>
      <c r="H205" s="7">
        <f>'CUENTA T VS'!DF96</f>
        <v>0</v>
      </c>
      <c r="I205" s="7">
        <f t="shared" si="6"/>
        <v>0</v>
      </c>
      <c r="J205" s="6">
        <f>I205/$I$25</f>
        <v>0</v>
      </c>
    </row>
    <row r="206" spans="1:10" x14ac:dyDescent="0.2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100'!DG127</f>
        <v>0</v>
      </c>
      <c r="H206" s="7">
        <f>'CUENTA T VS'!DG96</f>
        <v>0</v>
      </c>
      <c r="I206" s="7">
        <f t="shared" si="6"/>
        <v>0</v>
      </c>
      <c r="J206" s="6">
        <f>I206/$I$25</f>
        <v>0</v>
      </c>
    </row>
    <row r="207" spans="1:10" x14ac:dyDescent="0.2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100'!DH127</f>
        <v>0</v>
      </c>
      <c r="H207" s="7">
        <f>'CUENTA T VS'!DH96</f>
        <v>0</v>
      </c>
      <c r="I207" s="7">
        <f t="shared" si="6"/>
        <v>0</v>
      </c>
      <c r="J207" s="6">
        <f>I207/$I$25</f>
        <v>0</v>
      </c>
    </row>
    <row r="208" spans="1:10" x14ac:dyDescent="0.2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 t="shared" ref="G208:H208" si="10">+G209</f>
        <v>0</v>
      </c>
      <c r="H208" s="20">
        <f t="shared" si="10"/>
        <v>0</v>
      </c>
      <c r="I208" s="20">
        <f t="shared" si="6"/>
        <v>0</v>
      </c>
      <c r="J208" s="19"/>
    </row>
    <row r="209" spans="1:10" x14ac:dyDescent="0.2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0</v>
      </c>
      <c r="H209" s="12">
        <f t="shared" ref="H209" si="11">H210+H211</f>
        <v>0</v>
      </c>
      <c r="I209" s="12">
        <f t="shared" si="6"/>
        <v>0</v>
      </c>
      <c r="J209" s="11"/>
    </row>
    <row r="210" spans="1:10" x14ac:dyDescent="0.2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100'!DI127</f>
        <v>0</v>
      </c>
      <c r="H210" s="7">
        <f>'CUENTA T VS'!DI96</f>
        <v>0</v>
      </c>
      <c r="I210" s="7">
        <f t="shared" si="6"/>
        <v>0</v>
      </c>
      <c r="J210" s="6">
        <f>I210/$I$25</f>
        <v>0</v>
      </c>
    </row>
    <row r="211" spans="1:10" x14ac:dyDescent="0.2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100'!DJ127</f>
        <v>0</v>
      </c>
      <c r="H211" s="7">
        <f>'CUENTA T VS'!DJ96</f>
        <v>0</v>
      </c>
      <c r="I211" s="7">
        <f t="shared" si="6"/>
        <v>0</v>
      </c>
      <c r="J211" s="6">
        <f>I211/$I$25</f>
        <v>0</v>
      </c>
    </row>
    <row r="212" spans="1:10" x14ac:dyDescent="0.2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26749551.52</v>
      </c>
      <c r="H212" s="20">
        <f>H213+H225+H232+H245+H250+H261+H286+H303+H308</f>
        <v>1797538.3199999998</v>
      </c>
      <c r="I212" s="20">
        <f t="shared" si="6"/>
        <v>28547089.84</v>
      </c>
      <c r="J212" s="19">
        <f>I212/$I$25</f>
        <v>0.22971471608442728</v>
      </c>
    </row>
    <row r="213" spans="1:10" x14ac:dyDescent="0.2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3122436.84</v>
      </c>
      <c r="H213" s="20">
        <f>+H214+H217+H219+H223</f>
        <v>658799</v>
      </c>
      <c r="I213" s="20">
        <f t="shared" si="6"/>
        <v>3781235.84</v>
      </c>
      <c r="J213" s="19"/>
    </row>
    <row r="214" spans="1:10" x14ac:dyDescent="0.2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3122436.84</v>
      </c>
      <c r="H214" s="12">
        <f>SUM(H215:H216)</f>
        <v>658799</v>
      </c>
      <c r="I214" s="12">
        <f t="shared" si="6"/>
        <v>3781235.84</v>
      </c>
      <c r="J214" s="11"/>
    </row>
    <row r="215" spans="1:10" x14ac:dyDescent="0.2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100'!DK127</f>
        <v>3122436.84</v>
      </c>
      <c r="H215" s="7">
        <f>'CUENTA T VS'!DK96</f>
        <v>658799</v>
      </c>
      <c r="I215" s="7">
        <f t="shared" si="6"/>
        <v>3781235.84</v>
      </c>
      <c r="J215" s="6">
        <f>I215/$I$25</f>
        <v>3.0427112616459293E-2</v>
      </c>
    </row>
    <row r="216" spans="1:10" x14ac:dyDescent="0.2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100'!DL127</f>
        <v>0</v>
      </c>
      <c r="H216" s="7">
        <f>'CUENTA T VS'!DL96</f>
        <v>0</v>
      </c>
      <c r="I216" s="7">
        <f t="shared" si="6"/>
        <v>0</v>
      </c>
      <c r="J216" s="6">
        <f>I216/$I$25</f>
        <v>0</v>
      </c>
    </row>
    <row r="217" spans="1:10" x14ac:dyDescent="0.2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12">SUM(G217:H217)</f>
        <v>0</v>
      </c>
      <c r="J217" s="11"/>
    </row>
    <row r="218" spans="1:10" x14ac:dyDescent="0.2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100'!DM127</f>
        <v>0</v>
      </c>
      <c r="H218" s="7">
        <f>'CUENTA T VS'!DM96</f>
        <v>0</v>
      </c>
      <c r="I218" s="7">
        <f t="shared" si="12"/>
        <v>0</v>
      </c>
      <c r="J218" s="6">
        <f>I218/$I$25</f>
        <v>0</v>
      </c>
    </row>
    <row r="219" spans="1:10" x14ac:dyDescent="0.2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12"/>
        <v>0</v>
      </c>
      <c r="J219" s="11"/>
    </row>
    <row r="220" spans="1:10" x14ac:dyDescent="0.2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100'!DN127</f>
        <v>0</v>
      </c>
      <c r="H220" s="7">
        <f>'CUENTA T VS'!DN96</f>
        <v>0</v>
      </c>
      <c r="I220" s="7">
        <f t="shared" si="12"/>
        <v>0</v>
      </c>
      <c r="J220" s="6">
        <f>I220/$I$25</f>
        <v>0</v>
      </c>
    </row>
    <row r="221" spans="1:10" x14ac:dyDescent="0.2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100'!DO127</f>
        <v>0</v>
      </c>
      <c r="H221" s="7">
        <f>'CUENTA T VS'!DO96</f>
        <v>0</v>
      </c>
      <c r="I221" s="7">
        <f t="shared" si="12"/>
        <v>0</v>
      </c>
      <c r="J221" s="6">
        <f>I221/$I$25</f>
        <v>0</v>
      </c>
    </row>
    <row r="222" spans="1:10" x14ac:dyDescent="0.2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100'!DP127</f>
        <v>0</v>
      </c>
      <c r="H222" s="7">
        <f>'CUENTA T VS'!DP96</f>
        <v>0</v>
      </c>
      <c r="I222" s="7">
        <f t="shared" si="12"/>
        <v>0</v>
      </c>
      <c r="J222" s="6">
        <f>I222/$I$25</f>
        <v>0</v>
      </c>
    </row>
    <row r="223" spans="1:10" x14ac:dyDescent="0.2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12"/>
        <v>0</v>
      </c>
      <c r="J223" s="11"/>
    </row>
    <row r="224" spans="1:10" x14ac:dyDescent="0.2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100'!DQ127</f>
        <v>0</v>
      </c>
      <c r="H224" s="7">
        <f>'CUENTA T VS'!DQ96</f>
        <v>0</v>
      </c>
      <c r="I224" s="7">
        <f t="shared" si="12"/>
        <v>0</v>
      </c>
      <c r="J224" s="6">
        <f>I224/$I$25</f>
        <v>0</v>
      </c>
    </row>
    <row r="225" spans="1:10" x14ac:dyDescent="0.2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0</v>
      </c>
      <c r="H225" s="20">
        <f>+H226+H228+H230</f>
        <v>0</v>
      </c>
      <c r="I225" s="20">
        <f t="shared" si="12"/>
        <v>0</v>
      </c>
      <c r="J225" s="19"/>
    </row>
    <row r="226" spans="1:10" x14ac:dyDescent="0.2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0</v>
      </c>
      <c r="H226" s="12">
        <f>SUM(H227)</f>
        <v>0</v>
      </c>
      <c r="I226" s="12">
        <f t="shared" si="12"/>
        <v>0</v>
      </c>
      <c r="J226" s="11"/>
    </row>
    <row r="227" spans="1:10" x14ac:dyDescent="0.2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100'!DR127</f>
        <v>0</v>
      </c>
      <c r="H227" s="7">
        <f>'CUENTA T VS'!DR96</f>
        <v>0</v>
      </c>
      <c r="I227" s="7">
        <f t="shared" si="12"/>
        <v>0</v>
      </c>
      <c r="J227" s="6">
        <f>I227/$I$25</f>
        <v>0</v>
      </c>
    </row>
    <row r="228" spans="1:10" x14ac:dyDescent="0.2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0</v>
      </c>
      <c r="H228" s="12">
        <f>SUM(H229)</f>
        <v>0</v>
      </c>
      <c r="I228" s="12">
        <f t="shared" si="12"/>
        <v>0</v>
      </c>
      <c r="J228" s="11"/>
    </row>
    <row r="229" spans="1:10" x14ac:dyDescent="0.2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100'!DS127</f>
        <v>0</v>
      </c>
      <c r="H229" s="7">
        <f>'CUENTA T VS'!DS96</f>
        <v>0</v>
      </c>
      <c r="I229" s="7">
        <f t="shared" si="12"/>
        <v>0</v>
      </c>
      <c r="J229" s="6">
        <f>I229/$I$25</f>
        <v>0</v>
      </c>
    </row>
    <row r="230" spans="1:10" x14ac:dyDescent="0.2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12"/>
        <v>0</v>
      </c>
      <c r="J230" s="11"/>
    </row>
    <row r="231" spans="1:10" x14ac:dyDescent="0.2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100'!DT127</f>
        <v>0</v>
      </c>
      <c r="H231" s="7">
        <f>'CUENTA T VS'!DT96</f>
        <v>0</v>
      </c>
      <c r="I231" s="7">
        <f t="shared" si="12"/>
        <v>0</v>
      </c>
      <c r="J231" s="6">
        <f>I231/$I$25</f>
        <v>0</v>
      </c>
    </row>
    <row r="232" spans="1:10" x14ac:dyDescent="0.2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1474545.17</v>
      </c>
      <c r="H232" s="20">
        <f>+H233+H235+H237+H239+H241+H243</f>
        <v>57997</v>
      </c>
      <c r="I232" s="20">
        <f t="shared" si="12"/>
        <v>1532542.17</v>
      </c>
      <c r="J232" s="19"/>
    </row>
    <row r="233" spans="1:10" x14ac:dyDescent="0.2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0</v>
      </c>
      <c r="H233" s="12">
        <f>SUM(H234)</f>
        <v>0</v>
      </c>
      <c r="I233" s="12">
        <f t="shared" si="12"/>
        <v>0</v>
      </c>
      <c r="J233" s="11"/>
    </row>
    <row r="234" spans="1:10" x14ac:dyDescent="0.2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100'!DU127</f>
        <v>0</v>
      </c>
      <c r="H234" s="7">
        <f>'CUENTA T VS'!DU96</f>
        <v>0</v>
      </c>
      <c r="I234" s="7">
        <f t="shared" si="12"/>
        <v>0</v>
      </c>
      <c r="J234" s="6">
        <f>I234/$I$25</f>
        <v>0</v>
      </c>
    </row>
    <row r="235" spans="1:10" x14ac:dyDescent="0.2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170173.16999999998</v>
      </c>
      <c r="H235" s="12">
        <f>SUM(H236)</f>
        <v>0</v>
      </c>
      <c r="I235" s="12">
        <f t="shared" si="12"/>
        <v>170173.16999999998</v>
      </c>
      <c r="J235" s="11"/>
    </row>
    <row r="236" spans="1:10" x14ac:dyDescent="0.2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100'!DV127</f>
        <v>170173.16999999998</v>
      </c>
      <c r="H236" s="7">
        <f>'CUENTA T VS'!DV96</f>
        <v>0</v>
      </c>
      <c r="I236" s="7">
        <f t="shared" si="12"/>
        <v>170173.16999999998</v>
      </c>
      <c r="J236" s="6">
        <f>I236/$I$25</f>
        <v>1.3693613482437192E-3</v>
      </c>
    </row>
    <row r="237" spans="1:10" x14ac:dyDescent="0.2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1304372</v>
      </c>
      <c r="H237" s="12">
        <f>SUM(H238)</f>
        <v>57997</v>
      </c>
      <c r="I237" s="12">
        <f t="shared" si="12"/>
        <v>1362369</v>
      </c>
      <c r="J237" s="11"/>
    </row>
    <row r="238" spans="1:10" x14ac:dyDescent="0.2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100'!DW127</f>
        <v>1304372</v>
      </c>
      <c r="H238" s="7">
        <f>'CUENTA T VS'!DW96</f>
        <v>57997</v>
      </c>
      <c r="I238" s="7">
        <f t="shared" si="12"/>
        <v>1362369</v>
      </c>
      <c r="J238" s="6">
        <f>I238/$I$25</f>
        <v>1.0962806008993353E-2</v>
      </c>
    </row>
    <row r="239" spans="1:10" x14ac:dyDescent="0.2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12"/>
        <v>0</v>
      </c>
      <c r="J239" s="11"/>
    </row>
    <row r="240" spans="1:10" x14ac:dyDescent="0.2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100'!DX127</f>
        <v>0</v>
      </c>
      <c r="H240" s="7">
        <f>'CUENTA T VS'!DX96</f>
        <v>0</v>
      </c>
      <c r="I240" s="7">
        <f t="shared" si="12"/>
        <v>0</v>
      </c>
      <c r="J240" s="6">
        <f>I240/$I$25</f>
        <v>0</v>
      </c>
    </row>
    <row r="241" spans="1:10" x14ac:dyDescent="0.2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12"/>
        <v>0</v>
      </c>
      <c r="J241" s="11"/>
    </row>
    <row r="242" spans="1:10" x14ac:dyDescent="0.2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100'!DY127</f>
        <v>0</v>
      </c>
      <c r="H242" s="7">
        <f>'CUENTA T VS'!DY96</f>
        <v>0</v>
      </c>
      <c r="I242" s="7">
        <f t="shared" si="12"/>
        <v>0</v>
      </c>
      <c r="J242" s="6">
        <f>I242/$I$25</f>
        <v>0</v>
      </c>
    </row>
    <row r="243" spans="1:10" x14ac:dyDescent="0.2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12"/>
        <v>0</v>
      </c>
      <c r="J243" s="11"/>
    </row>
    <row r="244" spans="1:10" x14ac:dyDescent="0.2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100'!DZ127</f>
        <v>0</v>
      </c>
      <c r="H244" s="7">
        <f>'CUENTA T VS'!DZ96</f>
        <v>0</v>
      </c>
      <c r="I244" s="7">
        <f t="shared" si="12"/>
        <v>0</v>
      </c>
      <c r="J244" s="6">
        <f>I244/$I$25</f>
        <v>0</v>
      </c>
    </row>
    <row r="245" spans="1:10" x14ac:dyDescent="0.2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6919929</v>
      </c>
      <c r="H245" s="20">
        <f>+H246+H248</f>
        <v>250000</v>
      </c>
      <c r="I245" s="20">
        <f t="shared" si="12"/>
        <v>7169929</v>
      </c>
      <c r="J245" s="19"/>
    </row>
    <row r="246" spans="1:10" x14ac:dyDescent="0.2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6919929</v>
      </c>
      <c r="H246" s="12">
        <f>SUM(H247)</f>
        <v>250000</v>
      </c>
      <c r="I246" s="12">
        <f t="shared" si="12"/>
        <v>7169929</v>
      </c>
      <c r="J246" s="11"/>
    </row>
    <row r="247" spans="1:10" x14ac:dyDescent="0.2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100'!EA127</f>
        <v>6919929</v>
      </c>
      <c r="H247" s="7">
        <f>'CUENTA T VS'!EA96</f>
        <v>250000</v>
      </c>
      <c r="I247" s="7">
        <f t="shared" si="12"/>
        <v>7169929</v>
      </c>
      <c r="J247" s="6">
        <f>I247/$I$25</f>
        <v>5.7695485382635477E-2</v>
      </c>
    </row>
    <row r="248" spans="1:10" x14ac:dyDescent="0.2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12"/>
        <v>0</v>
      </c>
      <c r="J248" s="11"/>
    </row>
    <row r="249" spans="1:10" x14ac:dyDescent="0.2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100'!EB127</f>
        <v>0</v>
      </c>
      <c r="H249" s="7">
        <f>'CUENTA T VS'!EB96</f>
        <v>0</v>
      </c>
      <c r="I249" s="7">
        <f t="shared" si="12"/>
        <v>0</v>
      </c>
      <c r="J249" s="6">
        <f>I249/$I$25</f>
        <v>0</v>
      </c>
    </row>
    <row r="250" spans="1:10" x14ac:dyDescent="0.2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334708.95</v>
      </c>
      <c r="H250" s="20">
        <f>+H251+H253+H255+H257+H259</f>
        <v>317663.67000000004</v>
      </c>
      <c r="I250" s="20">
        <f t="shared" si="12"/>
        <v>652372.62000000011</v>
      </c>
      <c r="J250" s="19"/>
    </row>
    <row r="251" spans="1:10" x14ac:dyDescent="0.2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12"/>
        <v>0</v>
      </c>
      <c r="J251" s="11"/>
    </row>
    <row r="252" spans="1:10" x14ac:dyDescent="0.2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100'!EC127</f>
        <v>0</v>
      </c>
      <c r="H252" s="7">
        <f>'CUENTA T VS'!EC96</f>
        <v>0</v>
      </c>
      <c r="I252" s="7">
        <f t="shared" si="12"/>
        <v>0</v>
      </c>
      <c r="J252" s="6">
        <f>I252/$I$25</f>
        <v>0</v>
      </c>
    </row>
    <row r="253" spans="1:10" x14ac:dyDescent="0.2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12"/>
        <v>0</v>
      </c>
      <c r="J253" s="11"/>
    </row>
    <row r="254" spans="1:10" x14ac:dyDescent="0.2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100'!ED127</f>
        <v>0</v>
      </c>
      <c r="H254" s="7">
        <f>'CUENTA T VS'!ED96</f>
        <v>0</v>
      </c>
      <c r="I254" s="7">
        <f t="shared" si="12"/>
        <v>0</v>
      </c>
      <c r="J254" s="6">
        <f>I254/$I$25</f>
        <v>0</v>
      </c>
    </row>
    <row r="255" spans="1:10" x14ac:dyDescent="0.2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282823.65000000002</v>
      </c>
      <c r="I255" s="12">
        <f t="shared" si="12"/>
        <v>282823.65000000002</v>
      </c>
      <c r="J255" s="11"/>
    </row>
    <row r="256" spans="1:10" x14ac:dyDescent="0.2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100'!EE127</f>
        <v>0</v>
      </c>
      <c r="H256" s="7">
        <f>'CUENTA T VS'!EE96</f>
        <v>282823.65000000002</v>
      </c>
      <c r="I256" s="7">
        <f t="shared" si="12"/>
        <v>282823.65000000002</v>
      </c>
      <c r="J256" s="6">
        <f>I256/$I$25</f>
        <v>2.2758450975509819E-3</v>
      </c>
    </row>
    <row r="257" spans="1:10" x14ac:dyDescent="0.2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0</v>
      </c>
      <c r="H257" s="12">
        <f>SUM(H258)</f>
        <v>0</v>
      </c>
      <c r="I257" s="12">
        <f t="shared" si="12"/>
        <v>0</v>
      </c>
      <c r="J257" s="11"/>
    </row>
    <row r="258" spans="1:10" x14ac:dyDescent="0.2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100'!EF127</f>
        <v>0</v>
      </c>
      <c r="H258" s="7">
        <f>'CUENTA T VS'!EF96</f>
        <v>0</v>
      </c>
      <c r="I258" s="7">
        <f t="shared" si="12"/>
        <v>0</v>
      </c>
      <c r="J258" s="6">
        <f>I258/$I$25</f>
        <v>0</v>
      </c>
    </row>
    <row r="259" spans="1:10" x14ac:dyDescent="0.2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334708.95</v>
      </c>
      <c r="H259" s="12">
        <f>SUM(H260)</f>
        <v>34840.020000000004</v>
      </c>
      <c r="I259" s="12">
        <f t="shared" si="12"/>
        <v>369548.97000000003</v>
      </c>
      <c r="J259" s="11"/>
    </row>
    <row r="260" spans="1:10" x14ac:dyDescent="0.2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100'!EG127</f>
        <v>334708.95</v>
      </c>
      <c r="H260" s="7">
        <f>'CUENTA T VS'!EG96</f>
        <v>34840.020000000004</v>
      </c>
      <c r="I260" s="7">
        <f t="shared" si="12"/>
        <v>369548.97000000003</v>
      </c>
      <c r="J260" s="6">
        <f>I260/$I$25</f>
        <v>2.9737124589104017E-3</v>
      </c>
    </row>
    <row r="261" spans="1:10" x14ac:dyDescent="0.2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0</v>
      </c>
      <c r="H261" s="20">
        <f>+H262+H268+H272+H276+H284</f>
        <v>110224.97</v>
      </c>
      <c r="I261" s="20">
        <f t="shared" si="12"/>
        <v>110224.97</v>
      </c>
      <c r="J261" s="19"/>
    </row>
    <row r="262" spans="1:10" x14ac:dyDescent="0.2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0</v>
      </c>
      <c r="H262" s="12">
        <f>SUM(H263:H267)</f>
        <v>0</v>
      </c>
      <c r="I262" s="12">
        <f t="shared" si="12"/>
        <v>0</v>
      </c>
      <c r="J262" s="11"/>
    </row>
    <row r="263" spans="1:10" x14ac:dyDescent="0.2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100'!EH127</f>
        <v>0</v>
      </c>
      <c r="H263" s="7">
        <f>'CUENTA T VS'!EH96</f>
        <v>0</v>
      </c>
      <c r="I263" s="7">
        <f t="shared" si="12"/>
        <v>0</v>
      </c>
      <c r="J263" s="6">
        <f>I263/$I$25</f>
        <v>0</v>
      </c>
    </row>
    <row r="264" spans="1:10" x14ac:dyDescent="0.2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100'!EI127</f>
        <v>0</v>
      </c>
      <c r="H264" s="7">
        <f>'CUENTA T VS'!EI96</f>
        <v>0</v>
      </c>
      <c r="I264" s="7">
        <f t="shared" si="12"/>
        <v>0</v>
      </c>
      <c r="J264" s="6">
        <f>I264/$I$25</f>
        <v>0</v>
      </c>
    </row>
    <row r="265" spans="1:10" x14ac:dyDescent="0.2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100'!EJ127</f>
        <v>0</v>
      </c>
      <c r="H265" s="7">
        <f>'CUENTA T VS'!EJ96</f>
        <v>0</v>
      </c>
      <c r="I265" s="7">
        <f t="shared" si="12"/>
        <v>0</v>
      </c>
      <c r="J265" s="6">
        <f>I265/$I$25</f>
        <v>0</v>
      </c>
    </row>
    <row r="266" spans="1:10" x14ac:dyDescent="0.2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100'!EK127</f>
        <v>0</v>
      </c>
      <c r="H266" s="7">
        <f>'CUENTA T VS'!EK96</f>
        <v>0</v>
      </c>
      <c r="I266" s="7">
        <f t="shared" si="12"/>
        <v>0</v>
      </c>
      <c r="J266" s="6">
        <f>I266/$I$25</f>
        <v>0</v>
      </c>
    </row>
    <row r="267" spans="1:10" x14ac:dyDescent="0.2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100'!EL127</f>
        <v>0</v>
      </c>
      <c r="H267" s="7">
        <f>'CUENTA T VS'!EL96</f>
        <v>0</v>
      </c>
      <c r="I267" s="7">
        <f t="shared" si="12"/>
        <v>0</v>
      </c>
      <c r="J267" s="6">
        <f>I267/$I$25</f>
        <v>0</v>
      </c>
    </row>
    <row r="268" spans="1:10" x14ac:dyDescent="0.2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0</v>
      </c>
      <c r="H268" s="12">
        <f>SUM(H269:H271)</f>
        <v>15149.94</v>
      </c>
      <c r="I268" s="12">
        <f t="shared" si="12"/>
        <v>15149.94</v>
      </c>
      <c r="J268" s="11"/>
    </row>
    <row r="269" spans="1:10" x14ac:dyDescent="0.2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100'!EM127</f>
        <v>0</v>
      </c>
      <c r="H269" s="7">
        <f>'CUENTA T VS'!EM96</f>
        <v>15149.94</v>
      </c>
      <c r="I269" s="7">
        <f t="shared" si="12"/>
        <v>15149.94</v>
      </c>
      <c r="J269" s="6">
        <f>I269/$I$25</f>
        <v>1.2190959517420667E-4</v>
      </c>
    </row>
    <row r="270" spans="1:10" x14ac:dyDescent="0.2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100'!EN127</f>
        <v>0</v>
      </c>
      <c r="H270" s="7">
        <f>'CUENTA T VS'!EN96</f>
        <v>0</v>
      </c>
      <c r="I270" s="7">
        <f t="shared" si="12"/>
        <v>0</v>
      </c>
      <c r="J270" s="6">
        <f>I270/$I$25</f>
        <v>0</v>
      </c>
    </row>
    <row r="271" spans="1:10" x14ac:dyDescent="0.2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100'!EO127</f>
        <v>0</v>
      </c>
      <c r="H271" s="7">
        <f>'CUENTA T VS'!EO96</f>
        <v>0</v>
      </c>
      <c r="I271" s="7">
        <f t="shared" si="12"/>
        <v>0</v>
      </c>
      <c r="J271" s="6">
        <f>I271/$I$25</f>
        <v>0</v>
      </c>
    </row>
    <row r="272" spans="1:10" x14ac:dyDescent="0.2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0</v>
      </c>
      <c r="H272" s="12">
        <f>SUM(H273:H275)</f>
        <v>95075.03</v>
      </c>
      <c r="I272" s="12">
        <f t="shared" si="12"/>
        <v>95075.03</v>
      </c>
      <c r="J272" s="11"/>
    </row>
    <row r="273" spans="1:10" x14ac:dyDescent="0.2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100'!EP127</f>
        <v>0</v>
      </c>
      <c r="H273" s="7">
        <f>'CUENTA T VS'!EP96</f>
        <v>87250.03</v>
      </c>
      <c r="I273" s="7">
        <f t="shared" si="12"/>
        <v>87250.03</v>
      </c>
      <c r="J273" s="6">
        <f>I273/$I$25</f>
        <v>7.0208963443006288E-4</v>
      </c>
    </row>
    <row r="274" spans="1:10" x14ac:dyDescent="0.2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100'!EQ127</f>
        <v>0</v>
      </c>
      <c r="H274" s="7">
        <f>'CUENTA T VS'!EQ96</f>
        <v>0</v>
      </c>
      <c r="I274" s="7">
        <f t="shared" si="12"/>
        <v>0</v>
      </c>
      <c r="J274" s="6">
        <f>I274/$I$25</f>
        <v>0</v>
      </c>
    </row>
    <row r="275" spans="1:10" x14ac:dyDescent="0.2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100'!ER127</f>
        <v>0</v>
      </c>
      <c r="H275" s="7">
        <f>'CUENTA T VS'!ER96</f>
        <v>7825</v>
      </c>
      <c r="I275" s="7">
        <f t="shared" si="12"/>
        <v>7825</v>
      </c>
      <c r="J275" s="6">
        <f>I275/$I$25</f>
        <v>6.2966756451719751E-5</v>
      </c>
    </row>
    <row r="276" spans="1:10" x14ac:dyDescent="0.2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12"/>
        <v>0</v>
      </c>
      <c r="J276" s="11"/>
    </row>
    <row r="277" spans="1:10" x14ac:dyDescent="0.2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100'!ES127</f>
        <v>0</v>
      </c>
      <c r="H277" s="7">
        <f>'CUENTA T VS'!ES96</f>
        <v>0</v>
      </c>
      <c r="I277" s="7">
        <f t="shared" si="12"/>
        <v>0</v>
      </c>
      <c r="J277" s="6">
        <f t="shared" ref="J277:J283" si="13">I277/$I$25</f>
        <v>0</v>
      </c>
    </row>
    <row r="278" spans="1:10" x14ac:dyDescent="0.2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100'!ET127</f>
        <v>0</v>
      </c>
      <c r="H278" s="7">
        <f>'CUENTA T VS'!ET96</f>
        <v>0</v>
      </c>
      <c r="I278" s="7">
        <f t="shared" si="12"/>
        <v>0</v>
      </c>
      <c r="J278" s="6">
        <f t="shared" si="13"/>
        <v>0</v>
      </c>
    </row>
    <row r="279" spans="1:10" x14ac:dyDescent="0.2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100'!EU127</f>
        <v>0</v>
      </c>
      <c r="H279" s="7">
        <f>'CUENTA T VS'!EU96</f>
        <v>0</v>
      </c>
      <c r="I279" s="7">
        <f t="shared" si="12"/>
        <v>0</v>
      </c>
      <c r="J279" s="6">
        <f t="shared" si="13"/>
        <v>0</v>
      </c>
    </row>
    <row r="280" spans="1:10" x14ac:dyDescent="0.2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100'!EV127</f>
        <v>0</v>
      </c>
      <c r="H280" s="7">
        <f>'CUENTA T VS'!EV96</f>
        <v>0</v>
      </c>
      <c r="I280" s="7">
        <f t="shared" si="12"/>
        <v>0</v>
      </c>
      <c r="J280" s="6">
        <f t="shared" si="13"/>
        <v>0</v>
      </c>
    </row>
    <row r="281" spans="1:10" x14ac:dyDescent="0.2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100'!EW127</f>
        <v>0</v>
      </c>
      <c r="H281" s="7">
        <f>'CUENTA T VS'!EW96</f>
        <v>0</v>
      </c>
      <c r="I281" s="7">
        <f t="shared" ref="I281:I344" si="14">SUM(G281:H281)</f>
        <v>0</v>
      </c>
      <c r="J281" s="6">
        <f t="shared" si="13"/>
        <v>0</v>
      </c>
    </row>
    <row r="282" spans="1:10" x14ac:dyDescent="0.2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100'!EX127</f>
        <v>0</v>
      </c>
      <c r="H282" s="7">
        <f>'CUENTA T VS'!EX96</f>
        <v>0</v>
      </c>
      <c r="I282" s="7">
        <f t="shared" si="14"/>
        <v>0</v>
      </c>
      <c r="J282" s="6">
        <f t="shared" si="13"/>
        <v>0</v>
      </c>
    </row>
    <row r="283" spans="1:10" x14ac:dyDescent="0.2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100'!EY127</f>
        <v>0</v>
      </c>
      <c r="H283" s="7">
        <f>'CUENTA T VS'!EY96</f>
        <v>0</v>
      </c>
      <c r="I283" s="7">
        <f t="shared" si="14"/>
        <v>0</v>
      </c>
      <c r="J283" s="6">
        <f t="shared" si="13"/>
        <v>0</v>
      </c>
    </row>
    <row r="284" spans="1:10" x14ac:dyDescent="0.2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0</v>
      </c>
      <c r="I284" s="12">
        <f t="shared" si="14"/>
        <v>0</v>
      </c>
      <c r="J284" s="11"/>
    </row>
    <row r="285" spans="1:10" x14ac:dyDescent="0.2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100'!EZ127</f>
        <v>0</v>
      </c>
      <c r="H285" s="7">
        <f>'CUENTA T VS'!EZ96</f>
        <v>0</v>
      </c>
      <c r="I285" s="7">
        <f t="shared" si="14"/>
        <v>0</v>
      </c>
      <c r="J285" s="6">
        <f>I285/$I$25</f>
        <v>0</v>
      </c>
    </row>
    <row r="286" spans="1:10" ht="25.5" x14ac:dyDescent="0.2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3162523.02</v>
      </c>
      <c r="H286" s="20">
        <f>H287+H295</f>
        <v>317328.99</v>
      </c>
      <c r="I286" s="20">
        <f t="shared" si="14"/>
        <v>3479852.01</v>
      </c>
      <c r="J286" s="19"/>
    </row>
    <row r="287" spans="1:10" x14ac:dyDescent="0.2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555829</v>
      </c>
      <c r="H287" s="12">
        <f>SUM(H288:H294)</f>
        <v>273439</v>
      </c>
      <c r="I287" s="12">
        <f t="shared" si="14"/>
        <v>829268</v>
      </c>
      <c r="J287" s="11"/>
    </row>
    <row r="288" spans="1:10" x14ac:dyDescent="0.2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100'!FA127</f>
        <v>555829</v>
      </c>
      <c r="H288" s="7">
        <f>'CUENTA T VS'!FA96</f>
        <v>172000</v>
      </c>
      <c r="I288" s="7">
        <f t="shared" si="14"/>
        <v>727829</v>
      </c>
      <c r="J288" s="6">
        <f t="shared" ref="J288:J294" si="15">I288/$I$25</f>
        <v>5.8567452244726826E-3</v>
      </c>
    </row>
    <row r="289" spans="1:10" x14ac:dyDescent="0.2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100'!FB127</f>
        <v>0</v>
      </c>
      <c r="H289" s="7">
        <f>'CUENTA T VS'!FB96</f>
        <v>0</v>
      </c>
      <c r="I289" s="7">
        <f t="shared" si="14"/>
        <v>0</v>
      </c>
      <c r="J289" s="6">
        <f t="shared" si="15"/>
        <v>0</v>
      </c>
    </row>
    <row r="290" spans="1:10" x14ac:dyDescent="0.2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100'!FC127</f>
        <v>0</v>
      </c>
      <c r="H290" s="7">
        <f>'CUENTA T VS'!FC96</f>
        <v>0</v>
      </c>
      <c r="I290" s="7">
        <f t="shared" si="14"/>
        <v>0</v>
      </c>
      <c r="J290" s="6">
        <f t="shared" si="15"/>
        <v>0</v>
      </c>
    </row>
    <row r="291" spans="1:10" x14ac:dyDescent="0.2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100'!FD127</f>
        <v>0</v>
      </c>
      <c r="H291" s="7">
        <f>'CUENTA T VS'!FD96</f>
        <v>101439</v>
      </c>
      <c r="I291" s="7">
        <f t="shared" si="14"/>
        <v>101439</v>
      </c>
      <c r="J291" s="6">
        <f t="shared" si="15"/>
        <v>8.1626642909980837E-4</v>
      </c>
    </row>
    <row r="292" spans="1:10" x14ac:dyDescent="0.2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100'!FE127</f>
        <v>0</v>
      </c>
      <c r="H292" s="7">
        <f>'CUENTA T VS'!FE96</f>
        <v>0</v>
      </c>
      <c r="I292" s="7">
        <f t="shared" si="14"/>
        <v>0</v>
      </c>
      <c r="J292" s="6">
        <f t="shared" si="15"/>
        <v>0</v>
      </c>
    </row>
    <row r="293" spans="1:10" x14ac:dyDescent="0.2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100'!FF127</f>
        <v>0</v>
      </c>
      <c r="H293" s="7">
        <f>'CUENTA T VS'!FF96</f>
        <v>0</v>
      </c>
      <c r="I293" s="7">
        <f t="shared" si="14"/>
        <v>0</v>
      </c>
      <c r="J293" s="6">
        <f t="shared" si="15"/>
        <v>0</v>
      </c>
    </row>
    <row r="294" spans="1:10" x14ac:dyDescent="0.2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100'!FG127</f>
        <v>0</v>
      </c>
      <c r="H294" s="7">
        <f>'CUENTA T VS'!FG96</f>
        <v>0</v>
      </c>
      <c r="I294" s="7">
        <f t="shared" si="14"/>
        <v>0</v>
      </c>
      <c r="J294" s="6">
        <f t="shared" si="15"/>
        <v>0</v>
      </c>
    </row>
    <row r="295" spans="1:10" x14ac:dyDescent="0.2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2606694.02</v>
      </c>
      <c r="H295" s="12">
        <f>SUM(H296:H302)</f>
        <v>43889.99</v>
      </c>
      <c r="I295" s="12">
        <f t="shared" si="14"/>
        <v>2650584.0100000002</v>
      </c>
      <c r="J295" s="11"/>
    </row>
    <row r="296" spans="1:10" x14ac:dyDescent="0.2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100'!FH127</f>
        <v>0</v>
      </c>
      <c r="H296" s="7">
        <f>'CUENTA T VS'!FH96</f>
        <v>0</v>
      </c>
      <c r="I296" s="7">
        <f t="shared" si="14"/>
        <v>0</v>
      </c>
      <c r="J296" s="6">
        <f t="shared" ref="J296:J302" si="16">I296/$I$25</f>
        <v>0</v>
      </c>
    </row>
    <row r="297" spans="1:10" x14ac:dyDescent="0.2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100'!FI127</f>
        <v>0</v>
      </c>
      <c r="H297" s="7">
        <f>'CUENTA T VS'!FI96</f>
        <v>0</v>
      </c>
      <c r="I297" s="7">
        <f t="shared" si="14"/>
        <v>0</v>
      </c>
      <c r="J297" s="6">
        <f t="shared" si="16"/>
        <v>0</v>
      </c>
    </row>
    <row r="298" spans="1:10" x14ac:dyDescent="0.2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100'!FJ127</f>
        <v>2243769.91</v>
      </c>
      <c r="H298" s="7">
        <f>'CUENTA T VS'!FJ96</f>
        <v>0</v>
      </c>
      <c r="I298" s="7">
        <f t="shared" si="14"/>
        <v>2243769.91</v>
      </c>
      <c r="J298" s="6">
        <f t="shared" si="16"/>
        <v>1.8055324403407944E-2</v>
      </c>
    </row>
    <row r="299" spans="1:10" x14ac:dyDescent="0.2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100'!FK127</f>
        <v>0</v>
      </c>
      <c r="H299" s="7">
        <f>'CUENTA T VS'!FK96</f>
        <v>0</v>
      </c>
      <c r="I299" s="7">
        <f t="shared" si="14"/>
        <v>0</v>
      </c>
      <c r="J299" s="6">
        <f t="shared" si="16"/>
        <v>0</v>
      </c>
    </row>
    <row r="300" spans="1:10" x14ac:dyDescent="0.2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100'!FL127</f>
        <v>0</v>
      </c>
      <c r="H300" s="7">
        <f>'CUENTA T VS'!FL96</f>
        <v>0</v>
      </c>
      <c r="I300" s="7">
        <f t="shared" si="14"/>
        <v>0</v>
      </c>
      <c r="J300" s="6">
        <f t="shared" si="16"/>
        <v>0</v>
      </c>
    </row>
    <row r="301" spans="1:10" ht="25.5" x14ac:dyDescent="0.2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100'!FM127</f>
        <v>203654.83</v>
      </c>
      <c r="H301" s="7">
        <f>'CUENTA T VS'!FM96</f>
        <v>0</v>
      </c>
      <c r="I301" s="7">
        <f t="shared" si="14"/>
        <v>203654.83</v>
      </c>
      <c r="J301" s="6">
        <f t="shared" si="16"/>
        <v>1.6387839080928292E-3</v>
      </c>
    </row>
    <row r="302" spans="1:10" x14ac:dyDescent="0.2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100'!FN127</f>
        <v>159269.28</v>
      </c>
      <c r="H302" s="7">
        <f>'CUENTA T VS'!FN96</f>
        <v>43889.99</v>
      </c>
      <c r="I302" s="7">
        <f t="shared" si="14"/>
        <v>203159.27</v>
      </c>
      <c r="J302" s="6">
        <f t="shared" si="16"/>
        <v>1.6347962012778498E-3</v>
      </c>
    </row>
    <row r="303" spans="1:10" ht="25.5" x14ac:dyDescent="0.2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4"/>
        <v>0</v>
      </c>
      <c r="J303" s="19"/>
    </row>
    <row r="304" spans="1:10" x14ac:dyDescent="0.2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4"/>
        <v>0</v>
      </c>
      <c r="J304" s="11"/>
    </row>
    <row r="305" spans="1:10" x14ac:dyDescent="0.2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100'!FO127</f>
        <v>0</v>
      </c>
      <c r="H305" s="7">
        <f>'CUENTA T VS'!FO96</f>
        <v>0</v>
      </c>
      <c r="I305" s="7">
        <f t="shared" si="14"/>
        <v>0</v>
      </c>
      <c r="J305" s="6">
        <f>I305/$I$25</f>
        <v>0</v>
      </c>
    </row>
    <row r="306" spans="1:10" ht="25.5" x14ac:dyDescent="0.2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4"/>
        <v>0</v>
      </c>
      <c r="J306" s="11"/>
    </row>
    <row r="307" spans="1:10" ht="25.5" x14ac:dyDescent="0.2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100'!FP127</f>
        <v>0</v>
      </c>
      <c r="H307" s="7">
        <f>'CUENTA T VS'!FP96</f>
        <v>0</v>
      </c>
      <c r="I307" s="7">
        <f t="shared" si="14"/>
        <v>0</v>
      </c>
      <c r="J307" s="6">
        <f>I307/$I$25</f>
        <v>0</v>
      </c>
    </row>
    <row r="308" spans="1:10" x14ac:dyDescent="0.2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11735408.540000001</v>
      </c>
      <c r="H308" s="20">
        <f>+H309+H312+H314+H316+H318+H320+H322+H324+H327</f>
        <v>85524.69</v>
      </c>
      <c r="I308" s="20">
        <f t="shared" si="14"/>
        <v>11820933.23</v>
      </c>
      <c r="J308" s="19"/>
    </row>
    <row r="309" spans="1:10" x14ac:dyDescent="0.2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369511.66000000003</v>
      </c>
      <c r="H309" s="12">
        <f>SUM(H310:H311)</f>
        <v>0</v>
      </c>
      <c r="I309" s="12">
        <f t="shared" si="14"/>
        <v>369511.66000000003</v>
      </c>
      <c r="J309" s="11"/>
    </row>
    <row r="310" spans="1:10" x14ac:dyDescent="0.2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100'!FQ127</f>
        <v>369511.66000000003</v>
      </c>
      <c r="H310" s="7">
        <f>'CUENTA T VS'!FQ96</f>
        <v>0</v>
      </c>
      <c r="I310" s="7">
        <f t="shared" si="14"/>
        <v>369511.66000000003</v>
      </c>
      <c r="J310" s="6">
        <f>I310/$I$25</f>
        <v>2.9734122301968919E-3</v>
      </c>
    </row>
    <row r="311" spans="1:10" x14ac:dyDescent="0.2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100'!FR127</f>
        <v>0</v>
      </c>
      <c r="H311" s="7">
        <f>'CUENTA T VS'!FR96</f>
        <v>0</v>
      </c>
      <c r="I311" s="7">
        <f t="shared" si="14"/>
        <v>0</v>
      </c>
      <c r="J311" s="6">
        <f>I311/$I$25</f>
        <v>0</v>
      </c>
    </row>
    <row r="312" spans="1:10" x14ac:dyDescent="0.2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132475.4</v>
      </c>
      <c r="H312" s="12">
        <f>SUM(H313)</f>
        <v>0</v>
      </c>
      <c r="I312" s="12">
        <f t="shared" si="14"/>
        <v>132475.4</v>
      </c>
      <c r="J312" s="11"/>
    </row>
    <row r="313" spans="1:10" x14ac:dyDescent="0.2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100'!FS127</f>
        <v>132475.4</v>
      </c>
      <c r="H313" s="7">
        <f>'CUENTA T VS'!FS96</f>
        <v>0</v>
      </c>
      <c r="I313" s="7">
        <f t="shared" si="14"/>
        <v>132475.4</v>
      </c>
      <c r="J313" s="6">
        <f>I313/$I$25</f>
        <v>1.0660123000184223E-3</v>
      </c>
    </row>
    <row r="314" spans="1:10" x14ac:dyDescent="0.2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10795595.390000001</v>
      </c>
      <c r="H314" s="12">
        <f>SUM(H315)</f>
        <v>34220</v>
      </c>
      <c r="I314" s="12">
        <f t="shared" si="14"/>
        <v>10829815.390000001</v>
      </c>
      <c r="J314" s="11"/>
    </row>
    <row r="315" spans="1:10" x14ac:dyDescent="0.2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100'!FT127</f>
        <v>10795595.390000001</v>
      </c>
      <c r="H315" s="7">
        <f>'CUENTA T VS'!FT96</f>
        <v>34220</v>
      </c>
      <c r="I315" s="7">
        <f t="shared" si="14"/>
        <v>10829815.390000001</v>
      </c>
      <c r="J315" s="6">
        <f>I315/$I$25</f>
        <v>8.7146114770506891E-2</v>
      </c>
    </row>
    <row r="316" spans="1:10" x14ac:dyDescent="0.2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0</v>
      </c>
      <c r="I316" s="12">
        <f t="shared" si="14"/>
        <v>0</v>
      </c>
      <c r="J316" s="11"/>
    </row>
    <row r="317" spans="1:10" x14ac:dyDescent="0.2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100'!FU127</f>
        <v>0</v>
      </c>
      <c r="H317" s="7">
        <f>'CUENTA T VS'!FU96</f>
        <v>0</v>
      </c>
      <c r="I317" s="7">
        <f t="shared" si="14"/>
        <v>0</v>
      </c>
      <c r="J317" s="6">
        <f>I317/$I$25</f>
        <v>0</v>
      </c>
    </row>
    <row r="318" spans="1:10" x14ac:dyDescent="0.2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0</v>
      </c>
      <c r="H318" s="12">
        <f>SUM(H319)</f>
        <v>0</v>
      </c>
      <c r="I318" s="12">
        <f t="shared" si="14"/>
        <v>0</v>
      </c>
      <c r="J318" s="11"/>
    </row>
    <row r="319" spans="1:10" x14ac:dyDescent="0.2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100'!FV127</f>
        <v>0</v>
      </c>
      <c r="H319" s="7">
        <f>'CUENTA T VS'!FV96</f>
        <v>0</v>
      </c>
      <c r="I319" s="7">
        <f t="shared" si="14"/>
        <v>0</v>
      </c>
      <c r="J319" s="6">
        <f>I319/$I$25</f>
        <v>0</v>
      </c>
    </row>
    <row r="320" spans="1:10" x14ac:dyDescent="0.2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388540.1</v>
      </c>
      <c r="H320" s="12">
        <f>SUM(H321)</f>
        <v>0</v>
      </c>
      <c r="I320" s="12">
        <f t="shared" si="14"/>
        <v>388540.1</v>
      </c>
      <c r="J320" s="11"/>
    </row>
    <row r="321" spans="1:10" x14ac:dyDescent="0.2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100'!FW127</f>
        <v>388540.1</v>
      </c>
      <c r="H321" s="7">
        <f>'CUENTA T VS'!FW96</f>
        <v>0</v>
      </c>
      <c r="I321" s="7">
        <f t="shared" si="14"/>
        <v>388540.1</v>
      </c>
      <c r="J321" s="6">
        <f>I321/$I$25</f>
        <v>3.1265316100225989E-3</v>
      </c>
    </row>
    <row r="322" spans="1:10" x14ac:dyDescent="0.2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4"/>
        <v>0</v>
      </c>
      <c r="J322" s="11"/>
    </row>
    <row r="323" spans="1:10" x14ac:dyDescent="0.2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100'!FX127</f>
        <v>0</v>
      </c>
      <c r="H323" s="7">
        <f>'CUENTA T VS'!FX96</f>
        <v>0</v>
      </c>
      <c r="I323" s="7">
        <f t="shared" si="14"/>
        <v>0</v>
      </c>
      <c r="J323" s="6">
        <f>I323/$I$25</f>
        <v>0</v>
      </c>
    </row>
    <row r="324" spans="1:10" x14ac:dyDescent="0.2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23600</v>
      </c>
      <c r="H324" s="12">
        <f>SUM(H325:H326)</f>
        <v>0</v>
      </c>
      <c r="I324" s="12">
        <f t="shared" si="14"/>
        <v>23600</v>
      </c>
      <c r="J324" s="11"/>
    </row>
    <row r="325" spans="1:10" x14ac:dyDescent="0.2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100'!FY127</f>
        <v>19599.990000000002</v>
      </c>
      <c r="H325" s="7">
        <f>'CUENTA T VS'!FY96</f>
        <v>0</v>
      </c>
      <c r="I325" s="7">
        <f t="shared" si="14"/>
        <v>19599.990000000002</v>
      </c>
      <c r="J325" s="6">
        <f>I325/$I$25</f>
        <v>1.5771856827937928E-4</v>
      </c>
    </row>
    <row r="326" spans="1:10" x14ac:dyDescent="0.2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100'!FZ127</f>
        <v>4000.01</v>
      </c>
      <c r="H326" s="7">
        <f>'CUENTA T VS'!FZ96</f>
        <v>0</v>
      </c>
      <c r="I326" s="7">
        <f t="shared" si="14"/>
        <v>4000.01</v>
      </c>
      <c r="J326" s="6">
        <f>I326/$I$25</f>
        <v>3.2187559805040711E-5</v>
      </c>
    </row>
    <row r="327" spans="1:10" x14ac:dyDescent="0.2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25685.99</v>
      </c>
      <c r="H327" s="12">
        <f>SUM(H328:H329)</f>
        <v>51304.69</v>
      </c>
      <c r="I327" s="12">
        <f t="shared" si="14"/>
        <v>76990.680000000008</v>
      </c>
      <c r="J327" s="11"/>
    </row>
    <row r="328" spans="1:10" x14ac:dyDescent="0.2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100'!GA127</f>
        <v>0</v>
      </c>
      <c r="H328" s="7">
        <f>'CUENTA T VS'!GA96</f>
        <v>51304.69</v>
      </c>
      <c r="I328" s="7">
        <f t="shared" si="14"/>
        <v>51304.69</v>
      </c>
      <c r="J328" s="6">
        <f>I328/$I$25</f>
        <v>4.1284216230811277E-4</v>
      </c>
    </row>
    <row r="329" spans="1:10" x14ac:dyDescent="0.2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100'!GB127</f>
        <v>25685.99</v>
      </c>
      <c r="H329" s="7">
        <f>'CUENTA T VS'!GB96</f>
        <v>0</v>
      </c>
      <c r="I329" s="7">
        <f t="shared" si="14"/>
        <v>25685.99</v>
      </c>
      <c r="J329" s="6">
        <f>I329/$I$25</f>
        <v>2.0669181808962418E-4</v>
      </c>
    </row>
    <row r="330" spans="1:10" x14ac:dyDescent="0.2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127420</v>
      </c>
      <c r="I330" s="20">
        <f t="shared" si="14"/>
        <v>127420</v>
      </c>
      <c r="J330" s="19">
        <f>+I330/I25</f>
        <v>1.025332154259186E-3</v>
      </c>
    </row>
    <row r="331" spans="1:10" x14ac:dyDescent="0.2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100'!GC127</f>
        <v>0</v>
      </c>
      <c r="H331" s="7">
        <f>'CUENTA T VS'!GC96</f>
        <v>0</v>
      </c>
      <c r="I331" s="7">
        <f t="shared" si="14"/>
        <v>0</v>
      </c>
      <c r="J331" s="6">
        <f t="shared" ref="J331:J336" si="17">I331/$I$25</f>
        <v>0</v>
      </c>
    </row>
    <row r="332" spans="1:10" x14ac:dyDescent="0.2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100'!GD127</f>
        <v>0</v>
      </c>
      <c r="H332" s="7">
        <f>'CUENTA T VS'!GD96</f>
        <v>127420</v>
      </c>
      <c r="I332" s="7">
        <f t="shared" si="14"/>
        <v>127420</v>
      </c>
      <c r="J332" s="6">
        <f t="shared" si="17"/>
        <v>1.025332154259186E-3</v>
      </c>
    </row>
    <row r="333" spans="1:10" x14ac:dyDescent="0.2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100'!GE127</f>
        <v>0</v>
      </c>
      <c r="H333" s="7">
        <f>'CUENTA T VS'!GE96</f>
        <v>0</v>
      </c>
      <c r="I333" s="7">
        <f t="shared" si="14"/>
        <v>0</v>
      </c>
      <c r="J333" s="6">
        <f t="shared" si="17"/>
        <v>0</v>
      </c>
    </row>
    <row r="334" spans="1:10" x14ac:dyDescent="0.2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100'!GF127</f>
        <v>0</v>
      </c>
      <c r="H334" s="7">
        <f>'CUENTA T VS'!GF96</f>
        <v>0</v>
      </c>
      <c r="I334" s="7">
        <f t="shared" si="14"/>
        <v>0</v>
      </c>
      <c r="J334" s="6">
        <f t="shared" si="17"/>
        <v>0</v>
      </c>
    </row>
    <row r="335" spans="1:10" x14ac:dyDescent="0.2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100'!GG127</f>
        <v>0</v>
      </c>
      <c r="H335" s="7">
        <f>'CUENTA T VS'!GG96</f>
        <v>0</v>
      </c>
      <c r="I335" s="7">
        <f t="shared" si="14"/>
        <v>0</v>
      </c>
      <c r="J335" s="6">
        <f t="shared" si="17"/>
        <v>0</v>
      </c>
    </row>
    <row r="336" spans="1:10" x14ac:dyDescent="0.2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11396849.359999999</v>
      </c>
      <c r="H336" s="20">
        <f>H337+H348+H357+H366+H383+H400+H405+H424+H446</f>
        <v>300539.37</v>
      </c>
      <c r="I336" s="20">
        <f t="shared" si="14"/>
        <v>11697388.729999999</v>
      </c>
      <c r="J336" s="19">
        <f t="shared" si="17"/>
        <v>9.4127364509009756E-2</v>
      </c>
    </row>
    <row r="337" spans="1:10" x14ac:dyDescent="0.2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678205</v>
      </c>
      <c r="H337" s="20">
        <f>+H338+H340+H342+H344+H346</f>
        <v>0</v>
      </c>
      <c r="I337" s="20">
        <f t="shared" si="14"/>
        <v>678205</v>
      </c>
      <c r="J337" s="19"/>
    </row>
    <row r="338" spans="1:10" x14ac:dyDescent="0.2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494125</v>
      </c>
      <c r="H338" s="12">
        <f>SUM(H339)</f>
        <v>0</v>
      </c>
      <c r="I338" s="12">
        <f t="shared" si="14"/>
        <v>494125</v>
      </c>
      <c r="J338" s="11"/>
    </row>
    <row r="339" spans="1:10" x14ac:dyDescent="0.2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100'!GH127</f>
        <v>494125</v>
      </c>
      <c r="H339" s="7">
        <f>'CUENTA T VS'!GH96</f>
        <v>0</v>
      </c>
      <c r="I339" s="7">
        <f t="shared" si="14"/>
        <v>494125</v>
      </c>
      <c r="J339" s="6">
        <f>I339/$I$25</f>
        <v>3.9761595567675435E-3</v>
      </c>
    </row>
    <row r="340" spans="1:10" ht="25.5" x14ac:dyDescent="0.2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0</v>
      </c>
      <c r="I340" s="12">
        <f t="shared" si="14"/>
        <v>0</v>
      </c>
      <c r="J340" s="11"/>
    </row>
    <row r="341" spans="1:10" ht="25.5" x14ac:dyDescent="0.2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100'!GI127</f>
        <v>0</v>
      </c>
      <c r="H341" s="7">
        <f>'CUENTA T VS'!GI96</f>
        <v>0</v>
      </c>
      <c r="I341" s="7">
        <f t="shared" si="14"/>
        <v>0</v>
      </c>
      <c r="J341" s="6">
        <f>I341/$I$25</f>
        <v>0</v>
      </c>
    </row>
    <row r="342" spans="1:10" ht="25.5" x14ac:dyDescent="0.2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184080</v>
      </c>
      <c r="H342" s="12">
        <f>SUM(H343)</f>
        <v>0</v>
      </c>
      <c r="I342" s="12">
        <f t="shared" si="14"/>
        <v>184080</v>
      </c>
      <c r="J342" s="11"/>
    </row>
    <row r="343" spans="1:10" ht="25.5" x14ac:dyDescent="0.2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100'!GJ127</f>
        <v>184080</v>
      </c>
      <c r="H343" s="7">
        <f>'CUENTA T VS'!GJ96</f>
        <v>0</v>
      </c>
      <c r="I343" s="7">
        <f t="shared" si="14"/>
        <v>184080</v>
      </c>
      <c r="J343" s="6">
        <f>I343/$I$25</f>
        <v>1.4812677990584757E-3</v>
      </c>
    </row>
    <row r="344" spans="1:10" x14ac:dyDescent="0.2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0</v>
      </c>
      <c r="H344" s="12">
        <f>SUM(H345)</f>
        <v>0</v>
      </c>
      <c r="I344" s="12">
        <f t="shared" si="14"/>
        <v>0</v>
      </c>
      <c r="J344" s="11"/>
    </row>
    <row r="345" spans="1:10" x14ac:dyDescent="0.2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100'!GK127</f>
        <v>0</v>
      </c>
      <c r="H345" s="7">
        <f>'CUENTA T VS'!GK96</f>
        <v>0</v>
      </c>
      <c r="I345" s="7">
        <f t="shared" ref="I345:I408" si="18">SUM(G345:H345)</f>
        <v>0</v>
      </c>
      <c r="J345" s="6">
        <f>I345/$I$25</f>
        <v>0</v>
      </c>
    </row>
    <row r="346" spans="1:10" ht="25.5" x14ac:dyDescent="0.2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0</v>
      </c>
      <c r="H346" s="12">
        <f>SUM(H347)</f>
        <v>0</v>
      </c>
      <c r="I346" s="12">
        <f t="shared" si="18"/>
        <v>0</v>
      </c>
      <c r="J346" s="11"/>
    </row>
    <row r="347" spans="1:10" ht="25.5" x14ac:dyDescent="0.2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100'!GL127</f>
        <v>0</v>
      </c>
      <c r="H347" s="7">
        <f>'CUENTA T VS'!GL96</f>
        <v>0</v>
      </c>
      <c r="I347" s="7">
        <f t="shared" si="18"/>
        <v>0</v>
      </c>
      <c r="J347" s="6">
        <f>I347/$I$25</f>
        <v>0</v>
      </c>
    </row>
    <row r="348" spans="1:10" x14ac:dyDescent="0.2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0</v>
      </c>
      <c r="H348" s="20">
        <f>+H349+H351+H353+H355</f>
        <v>0</v>
      </c>
      <c r="I348" s="20">
        <f t="shared" si="18"/>
        <v>0</v>
      </c>
      <c r="J348" s="19"/>
    </row>
    <row r="349" spans="1:10" x14ac:dyDescent="0.2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0</v>
      </c>
      <c r="H349" s="12">
        <f>SUM(H350)</f>
        <v>0</v>
      </c>
      <c r="I349" s="12">
        <f t="shared" si="18"/>
        <v>0</v>
      </c>
      <c r="J349" s="11"/>
    </row>
    <row r="350" spans="1:10" x14ac:dyDescent="0.2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100'!GM127</f>
        <v>0</v>
      </c>
      <c r="H350" s="7">
        <f>'CUENTA T VS'!GM96</f>
        <v>0</v>
      </c>
      <c r="I350" s="7">
        <f t="shared" si="18"/>
        <v>0</v>
      </c>
      <c r="J350" s="6">
        <f>I350/$I$25</f>
        <v>0</v>
      </c>
    </row>
    <row r="351" spans="1:10" x14ac:dyDescent="0.2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8"/>
        <v>0</v>
      </c>
      <c r="J351" s="11"/>
    </row>
    <row r="352" spans="1:10" x14ac:dyDescent="0.2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100'!GN127</f>
        <v>0</v>
      </c>
      <c r="H352" s="7">
        <f>'CUENTA T VS'!GN96</f>
        <v>0</v>
      </c>
      <c r="I352" s="7">
        <f t="shared" si="18"/>
        <v>0</v>
      </c>
      <c r="J352" s="6">
        <f>I352/$I$25</f>
        <v>0</v>
      </c>
    </row>
    <row r="353" spans="1:10" x14ac:dyDescent="0.2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8"/>
        <v>0</v>
      </c>
      <c r="J353" s="11"/>
    </row>
    <row r="354" spans="1:10" x14ac:dyDescent="0.2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100'!GO127</f>
        <v>0</v>
      </c>
      <c r="H354" s="7">
        <f>'CUENTA T VS'!GO96</f>
        <v>0</v>
      </c>
      <c r="I354" s="7">
        <f t="shared" si="18"/>
        <v>0</v>
      </c>
      <c r="J354" s="6">
        <f>I354/$I$25</f>
        <v>0</v>
      </c>
    </row>
    <row r="355" spans="1:10" x14ac:dyDescent="0.2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0</v>
      </c>
      <c r="H355" s="12">
        <f>SUM(H356)</f>
        <v>0</v>
      </c>
      <c r="I355" s="12">
        <f t="shared" si="18"/>
        <v>0</v>
      </c>
      <c r="J355" s="11"/>
    </row>
    <row r="356" spans="1:10" x14ac:dyDescent="0.2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100'!GP127</f>
        <v>0</v>
      </c>
      <c r="H356" s="7">
        <f>'CUENTA T VS'!GP96</f>
        <v>0</v>
      </c>
      <c r="I356" s="7">
        <f t="shared" si="18"/>
        <v>0</v>
      </c>
      <c r="J356" s="6">
        <f>I356/$I$25</f>
        <v>0</v>
      </c>
    </row>
    <row r="357" spans="1:10" x14ac:dyDescent="0.2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10715444.389999999</v>
      </c>
      <c r="H357" s="20">
        <f>+H358+H360+H362+H364</f>
        <v>0</v>
      </c>
      <c r="I357" s="20">
        <f t="shared" si="18"/>
        <v>10715444.389999999</v>
      </c>
      <c r="J357" s="19"/>
    </row>
    <row r="358" spans="1:10" x14ac:dyDescent="0.2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10667064.389999999</v>
      </c>
      <c r="H358" s="12">
        <f>SUM(H359)</f>
        <v>0</v>
      </c>
      <c r="I358" s="12">
        <f t="shared" si="18"/>
        <v>10667064.389999999</v>
      </c>
      <c r="J358" s="11"/>
    </row>
    <row r="359" spans="1:10" x14ac:dyDescent="0.2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100'!GQ127</f>
        <v>10667064.389999999</v>
      </c>
      <c r="H359" s="7">
        <f>'CUENTA T VS'!GQ96</f>
        <v>0</v>
      </c>
      <c r="I359" s="7">
        <f t="shared" si="18"/>
        <v>10667064.389999999</v>
      </c>
      <c r="J359" s="6">
        <f>I359/$I$25</f>
        <v>8.583647865813962E-2</v>
      </c>
    </row>
    <row r="360" spans="1:10" x14ac:dyDescent="0.2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48380</v>
      </c>
      <c r="H360" s="12">
        <f>SUM(H361)</f>
        <v>0</v>
      </c>
      <c r="I360" s="12">
        <f t="shared" si="18"/>
        <v>48380</v>
      </c>
      <c r="J360" s="11"/>
    </row>
    <row r="361" spans="1:10" x14ac:dyDescent="0.2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100'!GR127</f>
        <v>48380</v>
      </c>
      <c r="H361" s="7">
        <f>'CUENTA T VS'!GR96</f>
        <v>0</v>
      </c>
      <c r="I361" s="7">
        <f t="shared" si="18"/>
        <v>48380</v>
      </c>
      <c r="J361" s="6">
        <f>I361/$I$25</f>
        <v>3.8930756257306092E-4</v>
      </c>
    </row>
    <row r="362" spans="1:10" x14ac:dyDescent="0.2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8"/>
        <v>0</v>
      </c>
      <c r="J362" s="11"/>
    </row>
    <row r="363" spans="1:10" x14ac:dyDescent="0.2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100'!GS127</f>
        <v>0</v>
      </c>
      <c r="H363" s="7">
        <f>'CUENTA T VS'!GS96</f>
        <v>0</v>
      </c>
      <c r="I363" s="7">
        <f t="shared" si="18"/>
        <v>0</v>
      </c>
      <c r="J363" s="6">
        <f>I363/$I$25</f>
        <v>0</v>
      </c>
    </row>
    <row r="364" spans="1:10" x14ac:dyDescent="0.2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0</v>
      </c>
      <c r="H364" s="12">
        <f>+H365</f>
        <v>0</v>
      </c>
      <c r="I364" s="12">
        <f t="shared" si="18"/>
        <v>0</v>
      </c>
      <c r="J364" s="11"/>
    </row>
    <row r="365" spans="1:10" x14ac:dyDescent="0.2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100'!GT127</f>
        <v>0</v>
      </c>
      <c r="H365" s="7">
        <f>'CUENTA T VS'!GT96</f>
        <v>0</v>
      </c>
      <c r="I365" s="7">
        <f t="shared" si="18"/>
        <v>0</v>
      </c>
      <c r="J365" s="6">
        <f>I365/$I$25</f>
        <v>0</v>
      </c>
    </row>
    <row r="366" spans="1:10" x14ac:dyDescent="0.2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107609.37</v>
      </c>
      <c r="I366" s="20">
        <f t="shared" si="18"/>
        <v>107609.37</v>
      </c>
      <c r="J366" s="19"/>
    </row>
    <row r="367" spans="1:10" x14ac:dyDescent="0.2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8"/>
        <v>0</v>
      </c>
      <c r="J367" s="11"/>
    </row>
    <row r="368" spans="1:10" x14ac:dyDescent="0.2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100'!GU127</f>
        <v>0</v>
      </c>
      <c r="H368" s="7">
        <f>'CUENTA T VS'!GU96</f>
        <v>0</v>
      </c>
      <c r="I368" s="7">
        <f t="shared" si="18"/>
        <v>0</v>
      </c>
      <c r="J368" s="6">
        <f>I368/$I$25</f>
        <v>0</v>
      </c>
    </row>
    <row r="369" spans="1:10" x14ac:dyDescent="0.2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8"/>
        <v>0</v>
      </c>
      <c r="J369" s="11"/>
    </row>
    <row r="370" spans="1:10" x14ac:dyDescent="0.2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100'!GV127</f>
        <v>0</v>
      </c>
      <c r="H370" s="7">
        <f>'CUENTA T VS'!GV96</f>
        <v>0</v>
      </c>
      <c r="I370" s="7">
        <f t="shared" si="18"/>
        <v>0</v>
      </c>
      <c r="J370" s="6">
        <f>I370/$I$25</f>
        <v>0</v>
      </c>
    </row>
    <row r="371" spans="1:10" x14ac:dyDescent="0.2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8"/>
        <v>0</v>
      </c>
      <c r="J371" s="11"/>
    </row>
    <row r="372" spans="1:10" x14ac:dyDescent="0.2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100'!GW127</f>
        <v>0</v>
      </c>
      <c r="H372" s="7">
        <f>'CUENTA T VS'!GX96</f>
        <v>0</v>
      </c>
      <c r="I372" s="7">
        <f t="shared" si="18"/>
        <v>0</v>
      </c>
      <c r="J372" s="6">
        <f>I372/$I$25</f>
        <v>0</v>
      </c>
    </row>
    <row r="373" spans="1:10" x14ac:dyDescent="0.2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8"/>
        <v>0</v>
      </c>
      <c r="J373" s="11"/>
    </row>
    <row r="374" spans="1:10" x14ac:dyDescent="0.2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100'!GX127</f>
        <v>0</v>
      </c>
      <c r="H374" s="7">
        <f>'CUENTA T VS'!GX96</f>
        <v>0</v>
      </c>
      <c r="I374" s="7">
        <f t="shared" si="18"/>
        <v>0</v>
      </c>
      <c r="J374" s="6">
        <f>I374/$I$25</f>
        <v>0</v>
      </c>
    </row>
    <row r="375" spans="1:10" x14ac:dyDescent="0.2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8"/>
        <v>0</v>
      </c>
      <c r="J375" s="11"/>
    </row>
    <row r="376" spans="1:10" x14ac:dyDescent="0.2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100'!GY127</f>
        <v>0</v>
      </c>
      <c r="H376" s="7">
        <f>'CUENTA T VS'!GY96</f>
        <v>0</v>
      </c>
      <c r="I376" s="7">
        <f t="shared" si="18"/>
        <v>0</v>
      </c>
      <c r="J376" s="6">
        <f>I376/$I$25</f>
        <v>0</v>
      </c>
    </row>
    <row r="377" spans="1:10" x14ac:dyDescent="0.2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107609.37</v>
      </c>
      <c r="I377" s="12">
        <f t="shared" si="18"/>
        <v>107609.37</v>
      </c>
      <c r="J377" s="11"/>
    </row>
    <row r="378" spans="1:10" x14ac:dyDescent="0.2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100'!GZ127</f>
        <v>0</v>
      </c>
      <c r="H378" s="7">
        <f>'CUENTA T VS'!GZ96</f>
        <v>107609.37</v>
      </c>
      <c r="I378" s="7">
        <f t="shared" si="18"/>
        <v>107609.37</v>
      </c>
      <c r="J378" s="6">
        <f>I378/$I$25</f>
        <v>8.6591859331795501E-4</v>
      </c>
    </row>
    <row r="379" spans="1:10" x14ac:dyDescent="0.2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8"/>
        <v>0</v>
      </c>
      <c r="J379" s="11"/>
    </row>
    <row r="380" spans="1:10" x14ac:dyDescent="0.2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100'!HA127</f>
        <v>0</v>
      </c>
      <c r="H380" s="7">
        <f>'CUENTA T VS'!HA96</f>
        <v>0</v>
      </c>
      <c r="I380" s="7">
        <f t="shared" si="18"/>
        <v>0</v>
      </c>
      <c r="J380" s="6">
        <f>I380/$I$25</f>
        <v>0</v>
      </c>
    </row>
    <row r="381" spans="1:10" x14ac:dyDescent="0.2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8"/>
        <v>0</v>
      </c>
      <c r="J381" s="11"/>
    </row>
    <row r="382" spans="1:10" x14ac:dyDescent="0.2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100'!HB127</f>
        <v>0</v>
      </c>
      <c r="H382" s="7">
        <f>'CUENTA T VS'!HB96</f>
        <v>0</v>
      </c>
      <c r="I382" s="7">
        <f t="shared" si="18"/>
        <v>0</v>
      </c>
      <c r="J382" s="6">
        <f>I382/$I$25</f>
        <v>0</v>
      </c>
    </row>
    <row r="383" spans="1:10" x14ac:dyDescent="0.2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3199.97</v>
      </c>
      <c r="H383" s="20">
        <f>+H384+H386+H388+H390+H392+H394+H396+H398</f>
        <v>192930</v>
      </c>
      <c r="I383" s="20">
        <f t="shared" si="18"/>
        <v>196129.97</v>
      </c>
      <c r="J383" s="19"/>
    </row>
    <row r="384" spans="1:10" x14ac:dyDescent="0.2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8"/>
        <v>0</v>
      </c>
      <c r="J384" s="11"/>
    </row>
    <row r="385" spans="1:10" x14ac:dyDescent="0.2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100'!HC127</f>
        <v>0</v>
      </c>
      <c r="H385" s="7">
        <f>'CUENTA T VS'!HC96</f>
        <v>0</v>
      </c>
      <c r="I385" s="7">
        <f t="shared" si="18"/>
        <v>0</v>
      </c>
      <c r="J385" s="6">
        <f>I385/$I$25</f>
        <v>0</v>
      </c>
    </row>
    <row r="386" spans="1:10" x14ac:dyDescent="0.2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0</v>
      </c>
      <c r="H386" s="12">
        <f>SUM(H387)</f>
        <v>0</v>
      </c>
      <c r="I386" s="12">
        <f t="shared" si="18"/>
        <v>0</v>
      </c>
      <c r="J386" s="11"/>
    </row>
    <row r="387" spans="1:10" x14ac:dyDescent="0.2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100'!HD127</f>
        <v>0</v>
      </c>
      <c r="H387" s="7">
        <f>'CUENTA T VS'!HD96</f>
        <v>0</v>
      </c>
      <c r="I387" s="7">
        <f t="shared" si="18"/>
        <v>0</v>
      </c>
      <c r="J387" s="6">
        <f>I387/$I$25</f>
        <v>0</v>
      </c>
    </row>
    <row r="388" spans="1:10" x14ac:dyDescent="0.2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8"/>
        <v>0</v>
      </c>
      <c r="J388" s="11"/>
    </row>
    <row r="389" spans="1:10" x14ac:dyDescent="0.2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100'!HE127</f>
        <v>0</v>
      </c>
      <c r="H389" s="7">
        <f>'CUENTA T VS'!HE96</f>
        <v>0</v>
      </c>
      <c r="I389" s="7">
        <f t="shared" si="18"/>
        <v>0</v>
      </c>
      <c r="J389" s="6">
        <f>I389/$I$25</f>
        <v>0</v>
      </c>
    </row>
    <row r="390" spans="1:10" x14ac:dyDescent="0.2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0</v>
      </c>
      <c r="H390" s="12">
        <f>SUM(H391)</f>
        <v>192930</v>
      </c>
      <c r="I390" s="12">
        <f t="shared" si="18"/>
        <v>192930</v>
      </c>
      <c r="J390" s="11"/>
    </row>
    <row r="391" spans="1:10" x14ac:dyDescent="0.2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100'!HF127</f>
        <v>0</v>
      </c>
      <c r="H391" s="7">
        <f>'CUENTA T VS'!HF96</f>
        <v>192930</v>
      </c>
      <c r="I391" s="7">
        <f t="shared" si="18"/>
        <v>192930</v>
      </c>
      <c r="J391" s="6">
        <f>I391/$I$25</f>
        <v>1.5524825970901332E-3</v>
      </c>
    </row>
    <row r="392" spans="1:10" ht="25.5" x14ac:dyDescent="0.2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8"/>
        <v>0</v>
      </c>
      <c r="J392" s="11"/>
    </row>
    <row r="393" spans="1:10" ht="25.5" x14ac:dyDescent="0.2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100'!HG127</f>
        <v>0</v>
      </c>
      <c r="H393" s="7">
        <f>'CUENTA T VS'!HG96</f>
        <v>0</v>
      </c>
      <c r="I393" s="7">
        <f t="shared" si="18"/>
        <v>0</v>
      </c>
      <c r="J393" s="6">
        <f>I393/$I$25</f>
        <v>0</v>
      </c>
    </row>
    <row r="394" spans="1:10" x14ac:dyDescent="0.2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3199.97</v>
      </c>
      <c r="H394" s="12">
        <f>SUM(H395)</f>
        <v>0</v>
      </c>
      <c r="I394" s="12">
        <f t="shared" si="18"/>
        <v>3199.97</v>
      </c>
      <c r="J394" s="11"/>
    </row>
    <row r="395" spans="1:10" x14ac:dyDescent="0.2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100'!HH127</f>
        <v>3199.97</v>
      </c>
      <c r="H395" s="7">
        <f>'CUENTA T VS'!HH96</f>
        <v>0</v>
      </c>
      <c r="I395" s="7">
        <f t="shared" si="18"/>
        <v>3199.97</v>
      </c>
      <c r="J395" s="6">
        <f>I395/$I$25</f>
        <v>2.5749742062978872E-5</v>
      </c>
    </row>
    <row r="396" spans="1:10" x14ac:dyDescent="0.2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0</v>
      </c>
      <c r="H396" s="12">
        <f>SUM(H397)</f>
        <v>0</v>
      </c>
      <c r="I396" s="12">
        <f t="shared" si="18"/>
        <v>0</v>
      </c>
      <c r="J396" s="11"/>
    </row>
    <row r="397" spans="1:10" x14ac:dyDescent="0.2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100'!HI127</f>
        <v>0</v>
      </c>
      <c r="H397" s="7">
        <f>'CUENTA T VS'!HI96</f>
        <v>0</v>
      </c>
      <c r="I397" s="7">
        <f t="shared" si="18"/>
        <v>0</v>
      </c>
      <c r="J397" s="6">
        <f>I397/$I$25</f>
        <v>0</v>
      </c>
    </row>
    <row r="398" spans="1:10" x14ac:dyDescent="0.2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0</v>
      </c>
      <c r="H398" s="12">
        <f>SUM(H399)</f>
        <v>0</v>
      </c>
      <c r="I398" s="12">
        <f t="shared" si="18"/>
        <v>0</v>
      </c>
      <c r="J398" s="11"/>
    </row>
    <row r="399" spans="1:10" x14ac:dyDescent="0.2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100'!HJ127</f>
        <v>0</v>
      </c>
      <c r="H399" s="7">
        <f>'CUENTA T VS'!HJ96</f>
        <v>0</v>
      </c>
      <c r="I399" s="7">
        <f t="shared" si="18"/>
        <v>0</v>
      </c>
      <c r="J399" s="6">
        <f>I399/$I$25</f>
        <v>0</v>
      </c>
    </row>
    <row r="400" spans="1:10" x14ac:dyDescent="0.2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0</v>
      </c>
      <c r="H400" s="20">
        <f>+H401+H403</f>
        <v>0</v>
      </c>
      <c r="I400" s="20">
        <f t="shared" si="18"/>
        <v>0</v>
      </c>
      <c r="J400" s="19">
        <f>I400/$I$25</f>
        <v>0</v>
      </c>
    </row>
    <row r="401" spans="1:10" x14ac:dyDescent="0.2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8"/>
        <v>0</v>
      </c>
      <c r="J401" s="11"/>
    </row>
    <row r="402" spans="1:10" x14ac:dyDescent="0.2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100'!HK127</f>
        <v>0</v>
      </c>
      <c r="H402" s="7">
        <f>'CUENTA T VS'!HK96</f>
        <v>0</v>
      </c>
      <c r="I402" s="7">
        <f t="shared" si="18"/>
        <v>0</v>
      </c>
      <c r="J402" s="6">
        <f>I402/$I$25</f>
        <v>0</v>
      </c>
    </row>
    <row r="403" spans="1:10" x14ac:dyDescent="0.2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0</v>
      </c>
      <c r="H403" s="12">
        <f>+H404</f>
        <v>0</v>
      </c>
      <c r="I403" s="12">
        <f t="shared" si="18"/>
        <v>0</v>
      </c>
      <c r="J403" s="11"/>
    </row>
    <row r="404" spans="1:10" x14ac:dyDescent="0.2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100'!HL127</f>
        <v>0</v>
      </c>
      <c r="H404" s="7">
        <f>'CUENTA T VS'!HL96</f>
        <v>0</v>
      </c>
      <c r="I404" s="7">
        <f t="shared" si="18"/>
        <v>0</v>
      </c>
      <c r="J404" s="6">
        <f>I404/$I$25</f>
        <v>0</v>
      </c>
    </row>
    <row r="405" spans="1:10" x14ac:dyDescent="0.2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8"/>
        <v>0</v>
      </c>
      <c r="J405" s="19"/>
    </row>
    <row r="406" spans="1:10" x14ac:dyDescent="0.2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8"/>
        <v>0</v>
      </c>
      <c r="J406" s="11"/>
    </row>
    <row r="407" spans="1:10" x14ac:dyDescent="0.2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100'!HM127</f>
        <v>0</v>
      </c>
      <c r="H407" s="7">
        <f>'CUENTA T VS'!HM96</f>
        <v>0</v>
      </c>
      <c r="I407" s="7">
        <f t="shared" si="18"/>
        <v>0</v>
      </c>
      <c r="J407" s="6">
        <f>I407/$I$25</f>
        <v>0</v>
      </c>
    </row>
    <row r="408" spans="1:10" x14ac:dyDescent="0.2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8"/>
        <v>0</v>
      </c>
      <c r="J408" s="11"/>
    </row>
    <row r="409" spans="1:10" x14ac:dyDescent="0.2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100'!HN127</f>
        <v>0</v>
      </c>
      <c r="H409" s="7">
        <f>'CUENTA T VS'!HN96</f>
        <v>0</v>
      </c>
      <c r="I409" s="7">
        <f t="shared" ref="I409:I472" si="19">SUM(G409:H409)</f>
        <v>0</v>
      </c>
      <c r="J409" s="6">
        <f>I409/$I$25</f>
        <v>0</v>
      </c>
    </row>
    <row r="410" spans="1:10" x14ac:dyDescent="0.2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9"/>
        <v>0</v>
      </c>
      <c r="J410" s="11"/>
    </row>
    <row r="411" spans="1:10" x14ac:dyDescent="0.2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100'!HO127</f>
        <v>0</v>
      </c>
      <c r="H411" s="7">
        <f>'CUENTA T VS'!HO96</f>
        <v>0</v>
      </c>
      <c r="I411" s="7">
        <f t="shared" si="19"/>
        <v>0</v>
      </c>
      <c r="J411" s="6">
        <f>I411/$I$25</f>
        <v>0</v>
      </c>
    </row>
    <row r="412" spans="1:10" x14ac:dyDescent="0.2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9"/>
        <v>0</v>
      </c>
      <c r="J412" s="11"/>
    </row>
    <row r="413" spans="1:10" x14ac:dyDescent="0.2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100'!HP127</f>
        <v>0</v>
      </c>
      <c r="H413" s="7">
        <f>'CUENTA T VS'!HP96</f>
        <v>0</v>
      </c>
      <c r="I413" s="7">
        <f t="shared" si="19"/>
        <v>0</v>
      </c>
      <c r="J413" s="6">
        <f>I413/$I$25</f>
        <v>0</v>
      </c>
    </row>
    <row r="414" spans="1:10" x14ac:dyDescent="0.2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9"/>
        <v>0</v>
      </c>
      <c r="J414" s="11"/>
    </row>
    <row r="415" spans="1:10" x14ac:dyDescent="0.2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100'!HQ127</f>
        <v>0</v>
      </c>
      <c r="H415" s="7">
        <f>'CUENTA T VS'!HQ96</f>
        <v>0</v>
      </c>
      <c r="I415" s="7">
        <f t="shared" si="19"/>
        <v>0</v>
      </c>
      <c r="J415" s="6">
        <f>I415/$I$25</f>
        <v>0</v>
      </c>
    </row>
    <row r="416" spans="1:10" x14ac:dyDescent="0.2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9"/>
        <v>0</v>
      </c>
      <c r="J416" s="11"/>
    </row>
    <row r="417" spans="1:10" x14ac:dyDescent="0.2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100'!HR127</f>
        <v>0</v>
      </c>
      <c r="H417" s="7">
        <f>'CUENTA T VS'!HR96</f>
        <v>0</v>
      </c>
      <c r="I417" s="7">
        <f t="shared" si="19"/>
        <v>0</v>
      </c>
      <c r="J417" s="6">
        <f>I417/$I$25</f>
        <v>0</v>
      </c>
    </row>
    <row r="418" spans="1:10" x14ac:dyDescent="0.2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9"/>
        <v>0</v>
      </c>
      <c r="J418" s="11"/>
    </row>
    <row r="419" spans="1:10" x14ac:dyDescent="0.2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100'!HS127</f>
        <v>0</v>
      </c>
      <c r="H419" s="7">
        <f>'CUENTA T VS'!HS96</f>
        <v>0</v>
      </c>
      <c r="I419" s="7">
        <f t="shared" si="19"/>
        <v>0</v>
      </c>
      <c r="J419" s="6">
        <f>I419/$I$25</f>
        <v>0</v>
      </c>
    </row>
    <row r="420" spans="1:10" x14ac:dyDescent="0.2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9"/>
        <v>0</v>
      </c>
      <c r="J420" s="11"/>
    </row>
    <row r="421" spans="1:10" x14ac:dyDescent="0.2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100'!HT127</f>
        <v>0</v>
      </c>
      <c r="H421" s="7">
        <f>'CUENTA T VS'!HT96</f>
        <v>0</v>
      </c>
      <c r="I421" s="7">
        <f t="shared" si="19"/>
        <v>0</v>
      </c>
      <c r="J421" s="6">
        <f>I421/$I$25</f>
        <v>0</v>
      </c>
    </row>
    <row r="422" spans="1:10" ht="25.5" x14ac:dyDescent="0.2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9"/>
        <v>0</v>
      </c>
      <c r="J422" s="11"/>
    </row>
    <row r="423" spans="1:10" ht="25.5" x14ac:dyDescent="0.2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100'!HU127</f>
        <v>0</v>
      </c>
      <c r="H423" s="7">
        <f>'CUENTA T VS'!HU96</f>
        <v>0</v>
      </c>
      <c r="I423" s="7">
        <f t="shared" si="19"/>
        <v>0</v>
      </c>
      <c r="J423" s="6">
        <f>I423/$I$25</f>
        <v>0</v>
      </c>
    </row>
    <row r="424" spans="1:10" x14ac:dyDescent="0.2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9"/>
        <v>0</v>
      </c>
      <c r="J424" s="19"/>
    </row>
    <row r="425" spans="1:10" x14ac:dyDescent="0.2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9"/>
        <v>0</v>
      </c>
      <c r="J425" s="11"/>
    </row>
    <row r="426" spans="1:10" x14ac:dyDescent="0.2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100'!HV127</f>
        <v>0</v>
      </c>
      <c r="H426" s="7">
        <f>'CUENTA T VS'!HV96</f>
        <v>0</v>
      </c>
      <c r="I426" s="7">
        <f t="shared" si="19"/>
        <v>0</v>
      </c>
      <c r="J426" s="6">
        <f>I426/$I$25</f>
        <v>0</v>
      </c>
    </row>
    <row r="427" spans="1:10" x14ac:dyDescent="0.2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9"/>
        <v>0</v>
      </c>
      <c r="J427" s="11"/>
    </row>
    <row r="428" spans="1:10" x14ac:dyDescent="0.2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100'!HW127</f>
        <v>0</v>
      </c>
      <c r="H428" s="7">
        <f>'CUENTA T VS'!HW96</f>
        <v>0</v>
      </c>
      <c r="I428" s="7">
        <f t="shared" si="19"/>
        <v>0</v>
      </c>
      <c r="J428" s="6">
        <f>I428/$I$25</f>
        <v>0</v>
      </c>
    </row>
    <row r="429" spans="1:10" x14ac:dyDescent="0.2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9"/>
        <v>0</v>
      </c>
      <c r="J429" s="11"/>
    </row>
    <row r="430" spans="1:10" x14ac:dyDescent="0.2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100'!HX127</f>
        <v>0</v>
      </c>
      <c r="H430" s="7">
        <f>'CUENTA T VS'!HX96</f>
        <v>0</v>
      </c>
      <c r="I430" s="7">
        <f t="shared" si="19"/>
        <v>0</v>
      </c>
      <c r="J430" s="6">
        <f>I430/$I$25</f>
        <v>0</v>
      </c>
    </row>
    <row r="431" spans="1:10" x14ac:dyDescent="0.2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100'!HY127</f>
        <v>0</v>
      </c>
      <c r="H431" s="7">
        <f>'CUENTA T VS'!HY96</f>
        <v>0</v>
      </c>
      <c r="I431" s="7">
        <f t="shared" si="19"/>
        <v>0</v>
      </c>
      <c r="J431" s="6">
        <f>I431/$I$25</f>
        <v>0</v>
      </c>
    </row>
    <row r="432" spans="1:10" x14ac:dyDescent="0.2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9"/>
        <v>0</v>
      </c>
      <c r="J432" s="11"/>
    </row>
    <row r="433" spans="1:10" x14ac:dyDescent="0.2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100'!HZ127</f>
        <v>0</v>
      </c>
      <c r="H433" s="7">
        <f>'CUENTA T VS'!HZ96</f>
        <v>0</v>
      </c>
      <c r="I433" s="7">
        <f t="shared" si="19"/>
        <v>0</v>
      </c>
      <c r="J433" s="6">
        <f>I433/$I$25</f>
        <v>0</v>
      </c>
    </row>
    <row r="434" spans="1:10" x14ac:dyDescent="0.2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9"/>
        <v>0</v>
      </c>
      <c r="J434" s="11"/>
    </row>
    <row r="435" spans="1:10" x14ac:dyDescent="0.2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100'!IA127</f>
        <v>0</v>
      </c>
      <c r="H435" s="7">
        <f>'CUENTA T VS'!IA96</f>
        <v>0</v>
      </c>
      <c r="I435" s="7">
        <f t="shared" si="19"/>
        <v>0</v>
      </c>
      <c r="J435" s="6">
        <f>I435/$I$25</f>
        <v>0</v>
      </c>
    </row>
    <row r="436" spans="1:10" x14ac:dyDescent="0.2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9"/>
        <v>0</v>
      </c>
      <c r="J436" s="11"/>
    </row>
    <row r="437" spans="1:10" x14ac:dyDescent="0.2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100'!IB127</f>
        <v>0</v>
      </c>
      <c r="H437" s="7">
        <f>'CUENTA T VS'!IB96</f>
        <v>0</v>
      </c>
      <c r="I437" s="7">
        <f t="shared" si="19"/>
        <v>0</v>
      </c>
      <c r="J437" s="6">
        <f>I437/$I$25</f>
        <v>0</v>
      </c>
    </row>
    <row r="438" spans="1:10" x14ac:dyDescent="0.2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9"/>
        <v>0</v>
      </c>
      <c r="J438" s="11"/>
    </row>
    <row r="439" spans="1:10" x14ac:dyDescent="0.2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100'!IC127</f>
        <v>0</v>
      </c>
      <c r="H439" s="7">
        <f>'CUENTA T VS'!IC96</f>
        <v>0</v>
      </c>
      <c r="I439" s="7">
        <f t="shared" si="19"/>
        <v>0</v>
      </c>
      <c r="J439" s="6">
        <f>I439/$I$25</f>
        <v>0</v>
      </c>
    </row>
    <row r="440" spans="1:10" x14ac:dyDescent="0.2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9"/>
        <v>0</v>
      </c>
      <c r="J440" s="11"/>
    </row>
    <row r="441" spans="1:10" x14ac:dyDescent="0.2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100'!ID127</f>
        <v>0</v>
      </c>
      <c r="H441" s="7">
        <f>'CUENTA T VS'!ID96</f>
        <v>0</v>
      </c>
      <c r="I441" s="7">
        <f t="shared" si="19"/>
        <v>0</v>
      </c>
      <c r="J441" s="6">
        <f>I441/$I$25</f>
        <v>0</v>
      </c>
    </row>
    <row r="442" spans="1:10" x14ac:dyDescent="0.2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100'!IE127</f>
        <v>0</v>
      </c>
      <c r="H442" s="7">
        <f>'CUENTA T VS'!IE96</f>
        <v>0</v>
      </c>
      <c r="I442" s="7">
        <f t="shared" si="19"/>
        <v>0</v>
      </c>
      <c r="J442" s="6">
        <f>I442/$I$25</f>
        <v>0</v>
      </c>
    </row>
    <row r="443" spans="1:10" x14ac:dyDescent="0.2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100'!IF127</f>
        <v>0</v>
      </c>
      <c r="H443" s="7">
        <f>'CUENTA T VS'!IF96</f>
        <v>0</v>
      </c>
      <c r="I443" s="7">
        <f t="shared" si="19"/>
        <v>0</v>
      </c>
      <c r="J443" s="6">
        <f>I443/$I$25</f>
        <v>0</v>
      </c>
    </row>
    <row r="444" spans="1:10" x14ac:dyDescent="0.2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9"/>
        <v>0</v>
      </c>
      <c r="J444" s="11"/>
    </row>
    <row r="445" spans="1:10" x14ac:dyDescent="0.2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100'!IG127</f>
        <v>0</v>
      </c>
      <c r="H445" s="7">
        <f>'CUENTA T VS'!IG96</f>
        <v>0</v>
      </c>
      <c r="I445" s="7">
        <f t="shared" si="19"/>
        <v>0</v>
      </c>
      <c r="J445" s="6">
        <f>I445/$I$25</f>
        <v>0</v>
      </c>
    </row>
    <row r="446" spans="1:10" x14ac:dyDescent="0.2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0</v>
      </c>
      <c r="H446" s="20">
        <f>+H447+H450+H453+H455+H457+H461</f>
        <v>0</v>
      </c>
      <c r="I446" s="20">
        <f t="shared" si="19"/>
        <v>0</v>
      </c>
      <c r="J446" s="19"/>
    </row>
    <row r="447" spans="1:10" x14ac:dyDescent="0.2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 t="shared" ref="H447" si="20">+H448+H449</f>
        <v>0</v>
      </c>
      <c r="I447" s="12">
        <f t="shared" si="19"/>
        <v>0</v>
      </c>
      <c r="J447" s="12"/>
    </row>
    <row r="448" spans="1:10" x14ac:dyDescent="0.2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100'!IH127</f>
        <v>0</v>
      </c>
      <c r="H448" s="25">
        <f>'CUENTA T VS'!IH96</f>
        <v>0</v>
      </c>
      <c r="I448" s="25">
        <f t="shared" si="19"/>
        <v>0</v>
      </c>
      <c r="J448" s="6">
        <f>I448/$I$25</f>
        <v>0</v>
      </c>
    </row>
    <row r="449" spans="1:10" x14ac:dyDescent="0.2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100'!II127</f>
        <v>0</v>
      </c>
      <c r="H449" s="25">
        <f>'CUENTA T VS'!II96</f>
        <v>0</v>
      </c>
      <c r="I449" s="25">
        <f t="shared" si="19"/>
        <v>0</v>
      </c>
      <c r="J449" s="6">
        <f>I449/$I$25</f>
        <v>0</v>
      </c>
    </row>
    <row r="450" spans="1:10" x14ac:dyDescent="0.2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 t="shared" ref="H450" si="21">SUM(H451:H452)</f>
        <v>0</v>
      </c>
      <c r="I450" s="12">
        <f t="shared" si="19"/>
        <v>0</v>
      </c>
      <c r="J450" s="11"/>
    </row>
    <row r="451" spans="1:10" x14ac:dyDescent="0.2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100'!IJ127</f>
        <v>0</v>
      </c>
      <c r="H451" s="7">
        <f>'CUENTA T VS'!IJ96</f>
        <v>0</v>
      </c>
      <c r="I451" s="7">
        <f t="shared" si="19"/>
        <v>0</v>
      </c>
      <c r="J451" s="6">
        <f>I451/$I$25</f>
        <v>0</v>
      </c>
    </row>
    <row r="452" spans="1:10" x14ac:dyDescent="0.2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100'!IK127</f>
        <v>0</v>
      </c>
      <c r="H452" s="7">
        <f>'CUENTA T VS'!IK96</f>
        <v>0</v>
      </c>
      <c r="I452" s="7">
        <f t="shared" si="19"/>
        <v>0</v>
      </c>
      <c r="J452" s="6">
        <f>I452/$I$25</f>
        <v>0</v>
      </c>
    </row>
    <row r="453" spans="1:10" x14ac:dyDescent="0.2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9"/>
        <v>0</v>
      </c>
      <c r="J453" s="12"/>
    </row>
    <row r="454" spans="1:10" x14ac:dyDescent="0.2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100'!IL127</f>
        <v>0</v>
      </c>
      <c r="H454" s="7">
        <f>'CUENTA T VS'!IL96</f>
        <v>0</v>
      </c>
      <c r="I454" s="7">
        <f t="shared" si="19"/>
        <v>0</v>
      </c>
      <c r="J454" s="6">
        <f>I454/$I$25</f>
        <v>0</v>
      </c>
    </row>
    <row r="455" spans="1:10" x14ac:dyDescent="0.2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9"/>
        <v>0</v>
      </c>
      <c r="J455" s="11"/>
    </row>
    <row r="456" spans="1:10" x14ac:dyDescent="0.2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100'!IM127</f>
        <v>0</v>
      </c>
      <c r="H456" s="7">
        <f>'CUENTA T VS'!IM96</f>
        <v>0</v>
      </c>
      <c r="I456" s="7">
        <f t="shared" si="19"/>
        <v>0</v>
      </c>
      <c r="J456" s="6">
        <f>I456/$I$25</f>
        <v>0</v>
      </c>
    </row>
    <row r="457" spans="1:10" x14ac:dyDescent="0.2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0</v>
      </c>
      <c r="H457" s="12">
        <f>SUM(H458:H460)</f>
        <v>0</v>
      </c>
      <c r="I457" s="12">
        <f t="shared" si="19"/>
        <v>0</v>
      </c>
      <c r="J457" s="11"/>
    </row>
    <row r="458" spans="1:10" x14ac:dyDescent="0.2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100'!IN127</f>
        <v>0</v>
      </c>
      <c r="H458" s="7">
        <f>'CUENTA T VS'!IN96</f>
        <v>0</v>
      </c>
      <c r="I458" s="7">
        <f t="shared" si="19"/>
        <v>0</v>
      </c>
      <c r="J458" s="6">
        <f>I458/$I$25</f>
        <v>0</v>
      </c>
    </row>
    <row r="459" spans="1:10" ht="25.5" x14ac:dyDescent="0.2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100'!IO127</f>
        <v>0</v>
      </c>
      <c r="H459" s="7">
        <f>'CUENTA T VS'!IO96</f>
        <v>0</v>
      </c>
      <c r="I459" s="7">
        <f t="shared" si="19"/>
        <v>0</v>
      </c>
      <c r="J459" s="6">
        <f>I459/$I$25</f>
        <v>0</v>
      </c>
    </row>
    <row r="460" spans="1:10" x14ac:dyDescent="0.2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100'!IP127</f>
        <v>0</v>
      </c>
      <c r="H460" s="7">
        <f>'CUENTA T VS'!IP96</f>
        <v>0</v>
      </c>
      <c r="I460" s="7">
        <f t="shared" si="19"/>
        <v>0</v>
      </c>
      <c r="J460" s="6">
        <f>I460/$I$25</f>
        <v>0</v>
      </c>
    </row>
    <row r="461" spans="1:10" x14ac:dyDescent="0.2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9"/>
        <v>0</v>
      </c>
      <c r="J461" s="11"/>
    </row>
    <row r="462" spans="1:10" x14ac:dyDescent="0.2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100'!IQ127</f>
        <v>0</v>
      </c>
      <c r="H462" s="7">
        <f>'CUENTA T VS'!IQ96</f>
        <v>0</v>
      </c>
      <c r="I462" s="7">
        <f t="shared" si="19"/>
        <v>0</v>
      </c>
      <c r="J462" s="6">
        <f>I462/$I$25</f>
        <v>0</v>
      </c>
    </row>
    <row r="463" spans="1:10" x14ac:dyDescent="0.2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9"/>
        <v>0</v>
      </c>
      <c r="J463" s="19">
        <f>I463/$I$25</f>
        <v>0</v>
      </c>
    </row>
    <row r="464" spans="1:10" x14ac:dyDescent="0.2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9"/>
        <v>0</v>
      </c>
      <c r="J464" s="19"/>
    </row>
    <row r="465" spans="1:10" x14ac:dyDescent="0.2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9"/>
        <v>0</v>
      </c>
      <c r="J465" s="11"/>
    </row>
    <row r="466" spans="1:10" x14ac:dyDescent="0.2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100'!IR127</f>
        <v>0</v>
      </c>
      <c r="H466" s="7">
        <f>'CUENTA T VS'!IR96</f>
        <v>0</v>
      </c>
      <c r="I466" s="7">
        <f t="shared" si="19"/>
        <v>0</v>
      </c>
      <c r="J466" s="6">
        <f>I466/$I$25</f>
        <v>0</v>
      </c>
    </row>
    <row r="467" spans="1:10" x14ac:dyDescent="0.2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9"/>
        <v>0</v>
      </c>
      <c r="J467" s="11"/>
    </row>
    <row r="468" spans="1:10" x14ac:dyDescent="0.2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100'!IS127</f>
        <v>0</v>
      </c>
      <c r="H468" s="7">
        <f>'CUENTA T VS'!IS96</f>
        <v>0</v>
      </c>
      <c r="I468" s="7">
        <f t="shared" si="19"/>
        <v>0</v>
      </c>
      <c r="J468" s="6">
        <f>I468/$I$25</f>
        <v>0</v>
      </c>
    </row>
    <row r="469" spans="1:10" x14ac:dyDescent="0.2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9"/>
        <v>0</v>
      </c>
      <c r="J469" s="11"/>
    </row>
    <row r="470" spans="1:10" x14ac:dyDescent="0.2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100'!IT127</f>
        <v>0</v>
      </c>
      <c r="H470" s="7">
        <f>'CUENTA T VS'!IT96</f>
        <v>0</v>
      </c>
      <c r="I470" s="7">
        <f t="shared" si="19"/>
        <v>0</v>
      </c>
      <c r="J470" s="6">
        <f>I470/$I$25</f>
        <v>0</v>
      </c>
    </row>
    <row r="471" spans="1:10" x14ac:dyDescent="0.2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9"/>
        <v>0</v>
      </c>
      <c r="J471" s="11"/>
    </row>
    <row r="472" spans="1:10" x14ac:dyDescent="0.2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100'!IU127</f>
        <v>0</v>
      </c>
      <c r="H472" s="7">
        <f>'CUENTA T VS'!IU96</f>
        <v>0</v>
      </c>
      <c r="I472" s="7">
        <f t="shared" si="19"/>
        <v>0</v>
      </c>
      <c r="J472" s="6">
        <f>I472/$I$25</f>
        <v>0</v>
      </c>
    </row>
    <row r="473" spans="1:10" x14ac:dyDescent="0.2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22">SUM(G473:H473)</f>
        <v>0</v>
      </c>
      <c r="J473" s="19"/>
    </row>
    <row r="474" spans="1:10" x14ac:dyDescent="0.2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22"/>
        <v>0</v>
      </c>
      <c r="J474" s="11"/>
    </row>
    <row r="475" spans="1:10" x14ac:dyDescent="0.2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100'!IV127</f>
        <v>0</v>
      </c>
      <c r="H475" s="7">
        <f>'CUENTA T VS'!IV96</f>
        <v>0</v>
      </c>
      <c r="I475" s="7">
        <f t="shared" si="22"/>
        <v>0</v>
      </c>
      <c r="J475" s="6">
        <f>I475/$I$25</f>
        <v>0</v>
      </c>
    </row>
    <row r="476" spans="1:10" x14ac:dyDescent="0.2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22"/>
        <v>0</v>
      </c>
      <c r="J476" s="11"/>
    </row>
    <row r="477" spans="1:10" x14ac:dyDescent="0.2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100'!IW127</f>
        <v>0</v>
      </c>
      <c r="H477" s="7">
        <f>'CUENTA T VS'!IW96</f>
        <v>0</v>
      </c>
      <c r="I477" s="7">
        <f t="shared" si="22"/>
        <v>0</v>
      </c>
      <c r="J477" s="6">
        <f>I477/$I$25</f>
        <v>0</v>
      </c>
    </row>
    <row r="478" spans="1:10" x14ac:dyDescent="0.2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22"/>
        <v>0</v>
      </c>
      <c r="J478" s="11"/>
    </row>
    <row r="479" spans="1:10" x14ac:dyDescent="0.2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100'!IX127</f>
        <v>0</v>
      </c>
      <c r="H479" s="7">
        <f>'CUENTA T VS'!IX96</f>
        <v>0</v>
      </c>
      <c r="I479" s="7">
        <f t="shared" si="22"/>
        <v>0</v>
      </c>
      <c r="J479" s="6">
        <f>I479/$I$25</f>
        <v>0</v>
      </c>
    </row>
    <row r="480" spans="1:10" x14ac:dyDescent="0.2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22"/>
        <v>0</v>
      </c>
      <c r="J480" s="11"/>
    </row>
    <row r="481" spans="1:10" x14ac:dyDescent="0.2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100'!IY127</f>
        <v>0</v>
      </c>
      <c r="H481" s="7">
        <f>'CUENTA T VS'!IY96</f>
        <v>0</v>
      </c>
      <c r="I481" s="7">
        <f t="shared" si="22"/>
        <v>0</v>
      </c>
      <c r="J481" s="6">
        <f>I481/$I$25</f>
        <v>0</v>
      </c>
    </row>
    <row r="482" spans="1:10" x14ac:dyDescent="0.2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22"/>
        <v>0</v>
      </c>
      <c r="J482" s="11"/>
    </row>
    <row r="483" spans="1:10" x14ac:dyDescent="0.2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100'!IZ127</f>
        <v>0</v>
      </c>
      <c r="H483" s="7">
        <f>'CUENTA T VS'!IZ96</f>
        <v>0</v>
      </c>
      <c r="I483" s="7">
        <f t="shared" si="22"/>
        <v>0</v>
      </c>
      <c r="J483" s="6">
        <f>I483/$I$25</f>
        <v>0</v>
      </c>
    </row>
    <row r="484" spans="1:10" x14ac:dyDescent="0.2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22"/>
        <v>0</v>
      </c>
      <c r="J484" s="11"/>
    </row>
    <row r="485" spans="1:10" x14ac:dyDescent="0.2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100'!JA127</f>
        <v>0</v>
      </c>
      <c r="H485" s="7">
        <f>'CUENTA T VS'!JA96</f>
        <v>0</v>
      </c>
      <c r="I485" s="7">
        <f t="shared" si="22"/>
        <v>0</v>
      </c>
      <c r="J485" s="6">
        <f>I485/$I$25</f>
        <v>0</v>
      </c>
    </row>
    <row r="486" spans="1:10" x14ac:dyDescent="0.2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22"/>
        <v>0</v>
      </c>
      <c r="J486" s="11"/>
    </row>
    <row r="487" spans="1:10" x14ac:dyDescent="0.2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100'!JB127</f>
        <v>0</v>
      </c>
      <c r="H487" s="7">
        <f>'CUENTA T VS'!JB96</f>
        <v>0</v>
      </c>
      <c r="I487" s="7">
        <f t="shared" si="22"/>
        <v>0</v>
      </c>
      <c r="J487" s="6">
        <f>I487/$I$25</f>
        <v>0</v>
      </c>
    </row>
    <row r="488" spans="1:10" x14ac:dyDescent="0.2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22"/>
        <v>0</v>
      </c>
      <c r="J488" s="11"/>
    </row>
    <row r="489" spans="1:10" x14ac:dyDescent="0.2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100'!JC127</f>
        <v>0</v>
      </c>
      <c r="H489" s="7">
        <f>'CUENTA T VS'!JC96</f>
        <v>0</v>
      </c>
      <c r="I489" s="7">
        <f t="shared" si="22"/>
        <v>0</v>
      </c>
      <c r="J489" s="6">
        <f>I489/$I$25</f>
        <v>0</v>
      </c>
    </row>
    <row r="490" spans="1:10" ht="25.5" x14ac:dyDescent="0.2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22"/>
        <v>0</v>
      </c>
      <c r="J490" s="11"/>
    </row>
    <row r="491" spans="1:10" ht="25.5" x14ac:dyDescent="0.2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100'!JD127</f>
        <v>0</v>
      </c>
      <c r="H491" s="7">
        <f>'CUENTA T VS'!JD96</f>
        <v>0</v>
      </c>
      <c r="I491" s="7">
        <f t="shared" si="22"/>
        <v>0</v>
      </c>
      <c r="J491" s="6">
        <f>I491/$I$25</f>
        <v>0</v>
      </c>
    </row>
    <row r="492" spans="1:10" x14ac:dyDescent="0.2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22"/>
        <v>0</v>
      </c>
      <c r="J492" s="19"/>
    </row>
    <row r="493" spans="1:10" ht="25.5" x14ac:dyDescent="0.2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22"/>
        <v>0</v>
      </c>
      <c r="J493" s="11"/>
    </row>
    <row r="494" spans="1:10" ht="25.5" x14ac:dyDescent="0.2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100'!JE127</f>
        <v>0</v>
      </c>
      <c r="H494" s="7">
        <f>'CUENTA T VS'!JE96</f>
        <v>0</v>
      </c>
      <c r="I494" s="7">
        <f t="shared" si="22"/>
        <v>0</v>
      </c>
      <c r="J494" s="6">
        <f>I494/$I$25</f>
        <v>0</v>
      </c>
    </row>
    <row r="495" spans="1:10" ht="25.5" x14ac:dyDescent="0.2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22"/>
        <v>0</v>
      </c>
      <c r="J495" s="11"/>
    </row>
    <row r="496" spans="1:10" ht="25.5" x14ac:dyDescent="0.2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100'!JF127</f>
        <v>0</v>
      </c>
      <c r="H496" s="7">
        <f>'CUENTA T VS'!JF96</f>
        <v>0</v>
      </c>
      <c r="I496" s="7">
        <f t="shared" si="22"/>
        <v>0</v>
      </c>
      <c r="J496" s="6">
        <f>I496/$I$25</f>
        <v>0</v>
      </c>
    </row>
    <row r="497" spans="1:10" ht="25.5" x14ac:dyDescent="0.2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22"/>
        <v>0</v>
      </c>
      <c r="J497" s="19"/>
    </row>
    <row r="498" spans="1:10" ht="25.5" x14ac:dyDescent="0.2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22"/>
        <v>0</v>
      </c>
      <c r="J498" s="11"/>
    </row>
    <row r="499" spans="1:10" ht="25.5" x14ac:dyDescent="0.2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100'!JG127</f>
        <v>0</v>
      </c>
      <c r="H499" s="7">
        <f>'CUENTA T VS'!JG96</f>
        <v>0</v>
      </c>
      <c r="I499" s="7">
        <f t="shared" si="22"/>
        <v>0</v>
      </c>
      <c r="J499" s="6">
        <f>I499/$I$25</f>
        <v>0</v>
      </c>
    </row>
    <row r="500" spans="1:10" ht="25.5" x14ac:dyDescent="0.2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22"/>
        <v>0</v>
      </c>
      <c r="J500" s="11"/>
    </row>
    <row r="501" spans="1:10" ht="25.5" x14ac:dyDescent="0.2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100'!JH127</f>
        <v>0</v>
      </c>
      <c r="H501" s="7">
        <f>'CUENTA T VS'!JH96</f>
        <v>0</v>
      </c>
      <c r="I501" s="7">
        <f t="shared" si="22"/>
        <v>0</v>
      </c>
      <c r="J501" s="6">
        <f>I501/$I$25</f>
        <v>0</v>
      </c>
    </row>
    <row r="502" spans="1:10" ht="1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1"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  <mergeCell ref="I22:I24"/>
    <mergeCell ref="G23:G24"/>
    <mergeCell ref="H23:H24"/>
    <mergeCell ref="F22:F24"/>
    <mergeCell ref="G22:H22"/>
  </mergeCells>
  <phoneticPr fontId="44" type="noConversion"/>
  <printOptions horizontalCentered="1"/>
  <pageMargins left="0.70866141732283472" right="0.70866141732283472" top="0.15748031496062992" bottom="0" header="0.11811023622047245" footer="0"/>
  <pageSetup scale="4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W127"/>
  <sheetViews>
    <sheetView topLeftCell="JE1" zoomScale="90" zoomScaleNormal="90" workbookViewId="0">
      <pane ySplit="2" topLeftCell="A3" activePane="bottomLeft" state="frozen"/>
      <selection activeCell="FA1" sqref="FA1"/>
      <selection pane="bottomLeft" activeCell="JO11" sqref="JO11"/>
    </sheetView>
  </sheetViews>
  <sheetFormatPr baseColWidth="10" defaultRowHeight="15" x14ac:dyDescent="0.25"/>
  <cols>
    <col min="1" max="1" width="15" style="190" customWidth="1"/>
    <col min="2" max="9" width="12.7109375" style="190" bestFit="1" customWidth="1"/>
    <col min="10" max="10" width="14" style="190" bestFit="1" customWidth="1"/>
    <col min="11" max="18" width="12.7109375" style="190" bestFit="1" customWidth="1"/>
    <col min="19" max="19" width="14" style="190" bestFit="1" customWidth="1"/>
    <col min="20" max="36" width="12.7109375" style="190" bestFit="1" customWidth="1"/>
    <col min="37" max="38" width="14" style="190" bestFit="1" customWidth="1"/>
    <col min="39" max="47" width="12.7109375" style="190" bestFit="1" customWidth="1"/>
    <col min="48" max="48" width="13.85546875" style="190" bestFit="1" customWidth="1"/>
    <col min="49" max="74" width="12.7109375" style="190" bestFit="1" customWidth="1"/>
    <col min="75" max="75" width="13.85546875" style="190" bestFit="1" customWidth="1"/>
    <col min="76" max="114" width="12.7109375" style="190" bestFit="1" customWidth="1"/>
    <col min="115" max="115" width="12.85546875" style="190" bestFit="1" customWidth="1"/>
    <col min="116" max="130" width="12.7109375" style="190" bestFit="1" customWidth="1"/>
    <col min="131" max="131" width="13.85546875" style="190" bestFit="1" customWidth="1"/>
    <col min="132" max="165" width="12.7109375" style="190" bestFit="1" customWidth="1"/>
    <col min="166" max="166" width="14" style="190" bestFit="1" customWidth="1"/>
    <col min="167" max="172" width="12.7109375" style="190" bestFit="1" customWidth="1"/>
    <col min="173" max="173" width="13.85546875" style="190" bestFit="1" customWidth="1"/>
    <col min="174" max="175" width="12.7109375" style="190" bestFit="1" customWidth="1"/>
    <col min="176" max="176" width="14.85546875" style="190" bestFit="1" customWidth="1"/>
    <col min="177" max="198" width="12.7109375" style="190" bestFit="1" customWidth="1"/>
    <col min="199" max="199" width="13.85546875" style="190" bestFit="1" customWidth="1"/>
    <col min="200" max="200" width="14" style="190" bestFit="1" customWidth="1"/>
    <col min="201" max="250" width="12.7109375" style="190" bestFit="1" customWidth="1"/>
    <col min="251" max="251" width="14.42578125" style="190" bestFit="1" customWidth="1"/>
    <col min="252" max="268" width="12.7109375" style="190" bestFit="1" customWidth="1"/>
    <col min="269" max="269" width="16" bestFit="1" customWidth="1"/>
    <col min="270" max="270" width="15.5703125" style="340" bestFit="1" customWidth="1"/>
    <col min="271" max="271" width="15.5703125" style="190" bestFit="1" customWidth="1"/>
    <col min="272" max="272" width="16" bestFit="1" customWidth="1"/>
    <col min="273" max="273" width="17.7109375" bestFit="1" customWidth="1"/>
    <col min="276" max="276" width="18.42578125" bestFit="1" customWidth="1"/>
    <col min="1141" max="1141" width="11.42578125" style="1"/>
  </cols>
  <sheetData>
    <row r="1" spans="1:276 1141:1141" ht="23.25" x14ac:dyDescent="0.35">
      <c r="A1" s="484" t="s">
        <v>78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  <c r="AK1" s="484"/>
      <c r="AL1" s="484"/>
      <c r="AM1" s="484"/>
      <c r="AN1" s="484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4"/>
      <c r="BR1" s="484"/>
      <c r="BS1" s="484"/>
      <c r="BT1" s="484"/>
      <c r="BU1" s="484"/>
      <c r="BV1" s="484"/>
      <c r="BW1" s="484"/>
      <c r="BX1" s="484"/>
      <c r="BY1" s="484"/>
      <c r="BZ1" s="484"/>
      <c r="CA1" s="484"/>
      <c r="CB1" s="484"/>
      <c r="CC1" s="484"/>
      <c r="CD1" s="484"/>
      <c r="CE1" s="484"/>
      <c r="CF1" s="484"/>
      <c r="CG1" s="484"/>
      <c r="CH1" s="484"/>
      <c r="CI1" s="484"/>
      <c r="CJ1" s="484"/>
      <c r="CK1" s="484"/>
      <c r="CL1" s="484"/>
      <c r="CM1" s="484"/>
      <c r="CN1" s="484"/>
      <c r="CO1" s="484"/>
      <c r="CP1" s="484"/>
      <c r="CQ1" s="484"/>
      <c r="CR1" s="484"/>
      <c r="CS1" s="484"/>
      <c r="CT1" s="484"/>
      <c r="CU1" s="484"/>
      <c r="CV1" s="484"/>
      <c r="CW1" s="484"/>
      <c r="CX1" s="484"/>
      <c r="CY1" s="484"/>
      <c r="CZ1" s="484"/>
      <c r="DA1" s="484"/>
      <c r="DB1" s="484"/>
      <c r="DC1" s="484"/>
      <c r="DD1" s="484"/>
      <c r="DE1" s="484"/>
      <c r="DF1" s="484"/>
      <c r="DG1" s="484"/>
      <c r="DH1" s="484"/>
      <c r="DI1" s="484"/>
      <c r="DJ1" s="484"/>
      <c r="DK1" s="484"/>
      <c r="DL1" s="484"/>
      <c r="DM1" s="484"/>
      <c r="DN1" s="484"/>
      <c r="DO1" s="484"/>
      <c r="DP1" s="484"/>
      <c r="DQ1" s="484"/>
      <c r="DR1" s="484"/>
      <c r="DS1" s="484"/>
      <c r="DT1" s="484"/>
      <c r="DU1" s="484"/>
      <c r="DV1" s="484"/>
      <c r="DW1" s="484"/>
      <c r="DX1" s="484"/>
      <c r="DY1" s="484"/>
      <c r="DZ1" s="484"/>
      <c r="EA1" s="484"/>
      <c r="EB1" s="484"/>
      <c r="EC1" s="484"/>
      <c r="ED1" s="484"/>
      <c r="EE1" s="484"/>
      <c r="EF1" s="484"/>
      <c r="EG1" s="484"/>
      <c r="EH1" s="484"/>
      <c r="EI1" s="484"/>
      <c r="EJ1" s="484"/>
      <c r="EK1" s="484"/>
      <c r="EL1" s="484"/>
      <c r="EM1" s="484"/>
      <c r="EN1" s="484"/>
      <c r="EO1" s="484"/>
      <c r="EP1" s="484"/>
      <c r="EQ1" s="484"/>
      <c r="ER1" s="484"/>
      <c r="ES1" s="484"/>
      <c r="ET1" s="484"/>
      <c r="EU1" s="484"/>
      <c r="EV1" s="484"/>
      <c r="EW1" s="484"/>
      <c r="EX1" s="484"/>
      <c r="EY1" s="484"/>
      <c r="EZ1" s="484"/>
      <c r="FA1" s="484"/>
      <c r="FB1" s="484"/>
      <c r="FC1" s="484"/>
      <c r="FD1" s="484"/>
      <c r="FE1" s="484"/>
      <c r="FF1" s="484"/>
      <c r="FG1" s="484"/>
      <c r="FH1" s="484"/>
      <c r="FI1" s="484"/>
      <c r="FJ1" s="484"/>
      <c r="FK1" s="484"/>
      <c r="FL1" s="484"/>
      <c r="FM1" s="484"/>
      <c r="FN1" s="484"/>
      <c r="FO1" s="484"/>
      <c r="FP1" s="484"/>
      <c r="FQ1" s="484"/>
      <c r="FR1" s="484"/>
      <c r="FS1" s="484"/>
      <c r="FT1" s="484"/>
      <c r="FU1" s="484"/>
      <c r="FV1" s="484"/>
      <c r="FW1" s="484"/>
      <c r="FX1" s="484"/>
      <c r="FY1" s="484"/>
      <c r="FZ1" s="484"/>
      <c r="GA1" s="484"/>
      <c r="GB1" s="484"/>
      <c r="GC1" s="484"/>
      <c r="GD1" s="484"/>
      <c r="GE1" s="484"/>
      <c r="GF1" s="484"/>
      <c r="GG1" s="484"/>
      <c r="GH1" s="484"/>
      <c r="GI1" s="484"/>
      <c r="GJ1" s="484"/>
      <c r="GK1" s="484"/>
      <c r="GL1" s="484"/>
      <c r="GM1" s="484"/>
      <c r="GN1" s="484"/>
      <c r="GO1" s="484"/>
      <c r="GP1" s="484"/>
      <c r="GQ1" s="484"/>
      <c r="GR1" s="484"/>
      <c r="GS1" s="484"/>
      <c r="GT1" s="484"/>
      <c r="GU1" s="484"/>
      <c r="GV1" s="484"/>
      <c r="GW1" s="484"/>
      <c r="GX1" s="484"/>
      <c r="GY1" s="484"/>
      <c r="GZ1" s="484"/>
      <c r="HA1" s="484"/>
      <c r="HB1" s="484"/>
      <c r="HC1" s="484"/>
      <c r="HD1" s="484"/>
      <c r="HE1" s="484"/>
      <c r="HF1" s="484"/>
      <c r="HG1" s="484"/>
      <c r="HH1" s="484"/>
      <c r="HI1" s="484"/>
      <c r="HJ1" s="484"/>
      <c r="HK1" s="484"/>
      <c r="HL1" s="484"/>
      <c r="HM1" s="484"/>
      <c r="HN1" s="484"/>
      <c r="HO1" s="484"/>
      <c r="HP1" s="484"/>
      <c r="HQ1" s="484"/>
      <c r="HR1" s="484"/>
      <c r="HS1" s="484"/>
      <c r="HT1" s="484"/>
      <c r="HU1" s="484"/>
      <c r="HV1" s="484"/>
      <c r="HW1" s="484"/>
      <c r="HX1" s="484"/>
      <c r="HY1" s="484"/>
      <c r="HZ1" s="484"/>
      <c r="IA1" s="484"/>
      <c r="IB1" s="484"/>
      <c r="IC1" s="484"/>
      <c r="ID1" s="484"/>
      <c r="IE1" s="484"/>
      <c r="IF1" s="484"/>
      <c r="IG1" s="484"/>
      <c r="IH1" s="484"/>
      <c r="II1" s="484"/>
      <c r="IJ1" s="484"/>
      <c r="IK1" s="484"/>
      <c r="IL1" s="484"/>
      <c r="IM1" s="484"/>
      <c r="IN1" s="484"/>
      <c r="IO1" s="484"/>
      <c r="IP1" s="484"/>
      <c r="IQ1" s="484"/>
      <c r="IR1" s="484"/>
      <c r="IS1" s="484"/>
      <c r="IT1" s="484"/>
      <c r="IU1" s="484"/>
      <c r="IV1" s="484"/>
      <c r="IW1" s="484"/>
      <c r="IX1" s="484"/>
      <c r="IY1" s="484"/>
      <c r="IZ1" s="484"/>
      <c r="JA1" s="484"/>
      <c r="JB1" s="484"/>
      <c r="JC1" s="484"/>
      <c r="JD1" s="484"/>
      <c r="JE1" s="484"/>
      <c r="JF1" s="484"/>
      <c r="JG1" s="484"/>
      <c r="JH1" s="484"/>
    </row>
    <row r="2" spans="1:276 1141:1141" s="282" customFormat="1" ht="18.75" x14ac:dyDescent="0.3">
      <c r="A2" s="278">
        <v>211101</v>
      </c>
      <c r="B2" s="278">
        <v>211102</v>
      </c>
      <c r="C2" s="278">
        <v>211103</v>
      </c>
      <c r="D2" s="278">
        <v>211104</v>
      </c>
      <c r="E2" s="278">
        <v>211105</v>
      </c>
      <c r="F2" s="278">
        <v>211106</v>
      </c>
      <c r="G2" s="278">
        <v>211203</v>
      </c>
      <c r="H2" s="278">
        <v>211205</v>
      </c>
      <c r="I2" s="278">
        <v>211206</v>
      </c>
      <c r="J2" s="278">
        <v>211208</v>
      </c>
      <c r="K2" s="278">
        <v>211209</v>
      </c>
      <c r="L2" s="278">
        <v>211211</v>
      </c>
      <c r="M2" s="278">
        <v>211301</v>
      </c>
      <c r="N2" s="278">
        <v>211401</v>
      </c>
      <c r="O2" s="278">
        <v>211501</v>
      </c>
      <c r="P2" s="278">
        <v>211502</v>
      </c>
      <c r="Q2" s="278">
        <v>211503</v>
      </c>
      <c r="R2" s="278">
        <v>211504</v>
      </c>
      <c r="S2" s="278">
        <v>212101</v>
      </c>
      <c r="T2" s="278">
        <v>212201</v>
      </c>
      <c r="U2" s="278">
        <v>212203</v>
      </c>
      <c r="V2" s="278">
        <v>212204</v>
      </c>
      <c r="W2" s="278">
        <v>212205</v>
      </c>
      <c r="X2" s="278">
        <v>212206</v>
      </c>
      <c r="Y2" s="278">
        <v>212207</v>
      </c>
      <c r="Z2" s="278">
        <v>212208</v>
      </c>
      <c r="AA2" s="278">
        <v>212209</v>
      </c>
      <c r="AB2" s="278">
        <v>212210</v>
      </c>
      <c r="AC2" s="278">
        <v>213101</v>
      </c>
      <c r="AD2" s="278">
        <v>213102</v>
      </c>
      <c r="AE2" s="278">
        <v>213201</v>
      </c>
      <c r="AF2" s="278">
        <v>213202</v>
      </c>
      <c r="AG2" s="278">
        <v>214101</v>
      </c>
      <c r="AH2" s="278">
        <v>214201</v>
      </c>
      <c r="AI2" s="278">
        <v>214202</v>
      </c>
      <c r="AJ2" s="278">
        <v>214203</v>
      </c>
      <c r="AK2" s="278">
        <v>215101</v>
      </c>
      <c r="AL2" s="278">
        <v>215201</v>
      </c>
      <c r="AM2" s="278">
        <v>215301</v>
      </c>
      <c r="AN2" s="278">
        <v>215401</v>
      </c>
      <c r="AO2" s="278">
        <v>221101</v>
      </c>
      <c r="AP2" s="278">
        <v>221201</v>
      </c>
      <c r="AQ2" s="278">
        <v>221301</v>
      </c>
      <c r="AR2" s="278">
        <v>221401</v>
      </c>
      <c r="AS2" s="278">
        <v>221501</v>
      </c>
      <c r="AT2" s="278">
        <v>221601</v>
      </c>
      <c r="AU2" s="278">
        <v>221602</v>
      </c>
      <c r="AV2" s="278">
        <v>221701</v>
      </c>
      <c r="AW2" s="278">
        <v>221801</v>
      </c>
      <c r="AX2" s="278">
        <v>222101</v>
      </c>
      <c r="AY2" s="278">
        <v>222201</v>
      </c>
      <c r="AZ2" s="278">
        <v>223101</v>
      </c>
      <c r="BA2" s="278">
        <v>223201</v>
      </c>
      <c r="BB2" s="278">
        <v>224101</v>
      </c>
      <c r="BC2" s="278">
        <v>224201</v>
      </c>
      <c r="BD2" s="278">
        <v>224301</v>
      </c>
      <c r="BE2" s="278">
        <v>224401</v>
      </c>
      <c r="BF2" s="278">
        <v>225101</v>
      </c>
      <c r="BG2" s="278">
        <v>225201</v>
      </c>
      <c r="BH2" s="278">
        <v>225301</v>
      </c>
      <c r="BI2" s="278">
        <v>225302</v>
      </c>
      <c r="BJ2" s="278">
        <v>225303</v>
      </c>
      <c r="BK2" s="278">
        <v>225304</v>
      </c>
      <c r="BL2" s="278">
        <v>225305</v>
      </c>
      <c r="BM2" s="278">
        <v>225401</v>
      </c>
      <c r="BN2" s="278">
        <v>225501</v>
      </c>
      <c r="BO2" s="278">
        <v>225601</v>
      </c>
      <c r="BP2" s="278">
        <v>225701</v>
      </c>
      <c r="BQ2" s="278">
        <v>225801</v>
      </c>
      <c r="BR2" s="278">
        <v>225901</v>
      </c>
      <c r="BS2" s="278">
        <v>226101</v>
      </c>
      <c r="BT2" s="278">
        <v>226201</v>
      </c>
      <c r="BU2" s="278">
        <v>226301</v>
      </c>
      <c r="BV2" s="278">
        <v>226401</v>
      </c>
      <c r="BW2" s="278">
        <v>227101</v>
      </c>
      <c r="BX2" s="278">
        <v>227102</v>
      </c>
      <c r="BY2" s="278">
        <v>227103</v>
      </c>
      <c r="BZ2" s="278">
        <v>227104</v>
      </c>
      <c r="CA2" s="278">
        <v>227105</v>
      </c>
      <c r="CB2" s="278">
        <v>227106</v>
      </c>
      <c r="CC2" s="278">
        <v>227107</v>
      </c>
      <c r="CD2" s="278">
        <v>227199</v>
      </c>
      <c r="CE2" s="278">
        <v>227201</v>
      </c>
      <c r="CF2" s="278">
        <v>227202</v>
      </c>
      <c r="CG2" s="278">
        <v>227203</v>
      </c>
      <c r="CH2" s="278">
        <v>227204</v>
      </c>
      <c r="CI2" s="278">
        <v>227205</v>
      </c>
      <c r="CJ2" s="278">
        <v>227206</v>
      </c>
      <c r="CK2" s="278">
        <v>227207</v>
      </c>
      <c r="CL2" s="278">
        <v>227208</v>
      </c>
      <c r="CM2" s="278">
        <v>227299</v>
      </c>
      <c r="CN2" s="278">
        <v>227301</v>
      </c>
      <c r="CO2" s="278">
        <v>228101</v>
      </c>
      <c r="CP2" s="278">
        <v>228201</v>
      </c>
      <c r="CQ2" s="278">
        <v>228301</v>
      </c>
      <c r="CR2" s="278">
        <v>228401</v>
      </c>
      <c r="CS2" s="278">
        <v>228501</v>
      </c>
      <c r="CT2" s="278">
        <v>228502</v>
      </c>
      <c r="CU2" s="278">
        <v>228503</v>
      </c>
      <c r="CV2" s="278">
        <v>228601</v>
      </c>
      <c r="CW2" s="278">
        <v>228602</v>
      </c>
      <c r="CX2" s="278">
        <v>228603</v>
      </c>
      <c r="CY2" s="278">
        <v>228604</v>
      </c>
      <c r="CZ2" s="278">
        <v>228701</v>
      </c>
      <c r="DA2" s="278">
        <v>228702</v>
      </c>
      <c r="DB2" s="278">
        <v>228703</v>
      </c>
      <c r="DC2" s="278">
        <v>228704</v>
      </c>
      <c r="DD2" s="278">
        <v>228705</v>
      </c>
      <c r="DE2" s="278">
        <v>228706</v>
      </c>
      <c r="DF2" s="278">
        <v>228801</v>
      </c>
      <c r="DG2" s="278">
        <v>228802</v>
      </c>
      <c r="DH2" s="278">
        <v>228803</v>
      </c>
      <c r="DI2" s="278">
        <v>229201</v>
      </c>
      <c r="DJ2" s="278">
        <v>229203</v>
      </c>
      <c r="DK2" s="278">
        <v>231101</v>
      </c>
      <c r="DL2" s="278">
        <v>231102</v>
      </c>
      <c r="DM2" s="278">
        <v>231201</v>
      </c>
      <c r="DN2" s="278">
        <v>231301</v>
      </c>
      <c r="DO2" s="278">
        <v>231302</v>
      </c>
      <c r="DP2" s="278">
        <v>231303</v>
      </c>
      <c r="DQ2" s="278">
        <v>231401</v>
      </c>
      <c r="DR2" s="278">
        <v>232101</v>
      </c>
      <c r="DS2" s="278">
        <v>232201</v>
      </c>
      <c r="DT2" s="278">
        <v>232301</v>
      </c>
      <c r="DU2" s="278">
        <v>233101</v>
      </c>
      <c r="DV2" s="278">
        <v>233201</v>
      </c>
      <c r="DW2" s="278">
        <v>233301</v>
      </c>
      <c r="DX2" s="278">
        <v>233401</v>
      </c>
      <c r="DY2" s="278">
        <v>233501</v>
      </c>
      <c r="DZ2" s="278">
        <v>233601</v>
      </c>
      <c r="EA2" s="278">
        <v>234101</v>
      </c>
      <c r="EB2" s="278">
        <v>234201</v>
      </c>
      <c r="EC2" s="278">
        <v>235101</v>
      </c>
      <c r="ED2" s="278">
        <v>235201</v>
      </c>
      <c r="EE2" s="278">
        <v>235301</v>
      </c>
      <c r="EF2" s="278">
        <v>235401</v>
      </c>
      <c r="EG2" s="278">
        <v>235501</v>
      </c>
      <c r="EH2" s="278">
        <v>236101</v>
      </c>
      <c r="EI2" s="278">
        <v>236102</v>
      </c>
      <c r="EJ2" s="278">
        <v>236103</v>
      </c>
      <c r="EK2" s="278">
        <v>236104</v>
      </c>
      <c r="EL2" s="278">
        <v>236105</v>
      </c>
      <c r="EM2" s="278">
        <v>236201</v>
      </c>
      <c r="EN2" s="278">
        <v>236202</v>
      </c>
      <c r="EO2" s="278">
        <v>236203</v>
      </c>
      <c r="EP2" s="278">
        <v>236304</v>
      </c>
      <c r="EQ2" s="278">
        <v>236305</v>
      </c>
      <c r="ER2" s="278">
        <v>236306</v>
      </c>
      <c r="ES2" s="278">
        <v>236401</v>
      </c>
      <c r="ET2" s="278">
        <v>236402</v>
      </c>
      <c r="EU2" s="278">
        <v>236403</v>
      </c>
      <c r="EV2" s="278">
        <v>236404</v>
      </c>
      <c r="EW2" s="278">
        <v>236405</v>
      </c>
      <c r="EX2" s="278">
        <v>236406</v>
      </c>
      <c r="EY2" s="278">
        <v>236407</v>
      </c>
      <c r="EZ2" s="278">
        <v>236901</v>
      </c>
      <c r="FA2" s="278">
        <v>237101</v>
      </c>
      <c r="FB2" s="278">
        <v>237102</v>
      </c>
      <c r="FC2" s="278">
        <v>237103</v>
      </c>
      <c r="FD2" s="278">
        <v>237104</v>
      </c>
      <c r="FE2" s="278">
        <v>237105</v>
      </c>
      <c r="FF2" s="278">
        <v>237106</v>
      </c>
      <c r="FG2" s="278">
        <v>237107</v>
      </c>
      <c r="FH2" s="278">
        <v>237201</v>
      </c>
      <c r="FI2" s="278">
        <v>237202</v>
      </c>
      <c r="FJ2" s="278">
        <v>237203</v>
      </c>
      <c r="FK2" s="278">
        <v>237204</v>
      </c>
      <c r="FL2" s="278">
        <v>237205</v>
      </c>
      <c r="FM2" s="278">
        <v>237206</v>
      </c>
      <c r="FN2" s="278">
        <v>237299</v>
      </c>
      <c r="FO2" s="278">
        <v>238101</v>
      </c>
      <c r="FP2" s="278">
        <v>238201</v>
      </c>
      <c r="FQ2" s="278">
        <v>239101</v>
      </c>
      <c r="FR2" s="278">
        <v>239102</v>
      </c>
      <c r="FS2" s="278">
        <v>239201</v>
      </c>
      <c r="FT2" s="278">
        <v>239301</v>
      </c>
      <c r="FU2" s="278">
        <v>239401</v>
      </c>
      <c r="FV2" s="278">
        <v>239501</v>
      </c>
      <c r="FW2" s="278">
        <v>239601</v>
      </c>
      <c r="FX2" s="278">
        <v>239701</v>
      </c>
      <c r="FY2" s="278">
        <v>239801</v>
      </c>
      <c r="FZ2" s="278">
        <v>239802</v>
      </c>
      <c r="GA2" s="278">
        <v>239901</v>
      </c>
      <c r="GB2" s="278">
        <v>239904</v>
      </c>
      <c r="GC2" s="278">
        <v>241201</v>
      </c>
      <c r="GD2" s="278">
        <v>241202</v>
      </c>
      <c r="GE2" s="278">
        <v>241203</v>
      </c>
      <c r="GF2" s="278">
        <v>241204</v>
      </c>
      <c r="GG2" s="278">
        <v>241205</v>
      </c>
      <c r="GH2" s="278">
        <v>261101</v>
      </c>
      <c r="GI2" s="278">
        <v>261201</v>
      </c>
      <c r="GJ2" s="278">
        <v>261301</v>
      </c>
      <c r="GK2" s="278">
        <v>261401</v>
      </c>
      <c r="GL2" s="278">
        <v>261901</v>
      </c>
      <c r="GM2" s="278">
        <v>262101</v>
      </c>
      <c r="GN2" s="278">
        <v>262201</v>
      </c>
      <c r="GO2" s="278">
        <v>262301</v>
      </c>
      <c r="GP2" s="278">
        <v>262401</v>
      </c>
      <c r="GQ2" s="278">
        <v>263101</v>
      </c>
      <c r="GR2" s="278">
        <v>263201</v>
      </c>
      <c r="GS2" s="278">
        <v>263301</v>
      </c>
      <c r="GT2" s="278">
        <v>263401</v>
      </c>
      <c r="GU2" s="278">
        <v>264101</v>
      </c>
      <c r="GV2" s="278">
        <v>264201</v>
      </c>
      <c r="GW2" s="278">
        <v>264301</v>
      </c>
      <c r="GX2" s="278">
        <v>264401</v>
      </c>
      <c r="GY2" s="278">
        <v>264501</v>
      </c>
      <c r="GZ2" s="278">
        <v>264601</v>
      </c>
      <c r="HA2" s="278">
        <v>264701</v>
      </c>
      <c r="HB2" s="278">
        <v>264801</v>
      </c>
      <c r="HC2" s="278">
        <v>265101</v>
      </c>
      <c r="HD2" s="278">
        <v>265201</v>
      </c>
      <c r="HE2" s="278">
        <v>265301</v>
      </c>
      <c r="HF2" s="278">
        <v>265401</v>
      </c>
      <c r="HG2" s="278">
        <v>265501</v>
      </c>
      <c r="HH2" s="278">
        <v>265601</v>
      </c>
      <c r="HI2" s="278">
        <v>265701</v>
      </c>
      <c r="HJ2" s="278">
        <v>265801</v>
      </c>
      <c r="HK2" s="278">
        <v>266101</v>
      </c>
      <c r="HL2" s="278">
        <v>266201</v>
      </c>
      <c r="HM2" s="278">
        <v>267101</v>
      </c>
      <c r="HN2" s="278">
        <v>267201</v>
      </c>
      <c r="HO2" s="278">
        <v>267301</v>
      </c>
      <c r="HP2" s="278">
        <v>267401</v>
      </c>
      <c r="HQ2" s="278">
        <v>267501</v>
      </c>
      <c r="HR2" s="278">
        <v>267601</v>
      </c>
      <c r="HS2" s="278">
        <v>267701</v>
      </c>
      <c r="HT2" s="278">
        <v>267801</v>
      </c>
      <c r="HU2" s="278">
        <v>267901</v>
      </c>
      <c r="HV2" s="278">
        <v>268101</v>
      </c>
      <c r="HW2" s="278">
        <v>268201</v>
      </c>
      <c r="HX2" s="278">
        <v>268301</v>
      </c>
      <c r="HY2" s="278">
        <v>268302</v>
      </c>
      <c r="HZ2" s="278">
        <v>268401</v>
      </c>
      <c r="IA2" s="278">
        <v>268501</v>
      </c>
      <c r="IB2" s="278">
        <v>268601</v>
      </c>
      <c r="IC2" s="278">
        <v>268701</v>
      </c>
      <c r="ID2" s="278">
        <v>268802</v>
      </c>
      <c r="IE2" s="278">
        <v>268803</v>
      </c>
      <c r="IF2" s="278">
        <v>268804</v>
      </c>
      <c r="IG2" s="278">
        <v>268901</v>
      </c>
      <c r="IH2" s="278">
        <v>269101</v>
      </c>
      <c r="II2" s="278">
        <v>269102</v>
      </c>
      <c r="IJ2" s="278">
        <v>269201</v>
      </c>
      <c r="IK2" s="278">
        <v>269202</v>
      </c>
      <c r="IL2" s="278">
        <v>269301</v>
      </c>
      <c r="IM2" s="278">
        <v>269401</v>
      </c>
      <c r="IN2" s="278">
        <v>269501</v>
      </c>
      <c r="IO2" s="278">
        <v>269502</v>
      </c>
      <c r="IP2" s="278">
        <v>269503</v>
      </c>
      <c r="IQ2" s="278">
        <v>2269901</v>
      </c>
      <c r="IR2" s="278">
        <v>271101</v>
      </c>
      <c r="IS2" s="278">
        <v>271201</v>
      </c>
      <c r="IT2" s="278">
        <v>271301</v>
      </c>
      <c r="IU2" s="278">
        <v>271401</v>
      </c>
      <c r="IV2" s="278">
        <v>272101</v>
      </c>
      <c r="IW2" s="278">
        <v>272201</v>
      </c>
      <c r="IX2" s="278">
        <v>272301</v>
      </c>
      <c r="IY2" s="278">
        <v>272401</v>
      </c>
      <c r="IZ2" s="278">
        <v>272501</v>
      </c>
      <c r="JA2" s="278">
        <v>272601</v>
      </c>
      <c r="JB2" s="278">
        <v>272701</v>
      </c>
      <c r="JC2" s="278">
        <v>272801</v>
      </c>
      <c r="JD2" s="278">
        <v>272901</v>
      </c>
      <c r="JE2" s="278">
        <v>273101</v>
      </c>
      <c r="JF2" s="278">
        <v>273201</v>
      </c>
      <c r="JG2" s="278">
        <v>274101</v>
      </c>
      <c r="JH2" s="278">
        <v>274201</v>
      </c>
      <c r="JI2" s="279" t="s">
        <v>0</v>
      </c>
      <c r="JJ2" s="280" t="s">
        <v>375</v>
      </c>
      <c r="JK2" s="283" t="s">
        <v>376</v>
      </c>
      <c r="JL2" s="280" t="s">
        <v>373</v>
      </c>
      <c r="JM2" s="280" t="s">
        <v>377</v>
      </c>
      <c r="JN2" s="280">
        <v>2024</v>
      </c>
      <c r="JO2" s="280" t="s">
        <v>348</v>
      </c>
      <c r="JP2" s="280" t="s">
        <v>378</v>
      </c>
      <c r="AQW2" s="281"/>
    </row>
    <row r="3" spans="1:276 1141:1141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>
        <v>90000.1</v>
      </c>
      <c r="FX3" s="122"/>
      <c r="FY3" s="122">
        <v>19599.990000000002</v>
      </c>
      <c r="FZ3" s="122">
        <v>4000.01</v>
      </c>
      <c r="GA3" s="122"/>
      <c r="GB3" s="122">
        <v>22499.99</v>
      </c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136100.09</v>
      </c>
      <c r="JJ3" s="339">
        <v>547</v>
      </c>
      <c r="JK3" s="122"/>
      <c r="JL3" s="125">
        <f>+JI3-JK3</f>
        <v>136100.09</v>
      </c>
      <c r="JM3" s="125"/>
      <c r="JN3" s="125"/>
      <c r="JO3" s="125">
        <f>+JM3+JN3</f>
        <v>0</v>
      </c>
      <c r="JP3" s="125"/>
    </row>
    <row r="4" spans="1:276 1141:1141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>
        <v>3199.97</v>
      </c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7" si="0">SUM(A4:JH4)</f>
        <v>3199.97</v>
      </c>
      <c r="JJ4" s="339">
        <v>551</v>
      </c>
      <c r="JK4" s="122"/>
      <c r="JL4" s="125">
        <f t="shared" ref="JL4:JL67" si="1">+JI4-JK4</f>
        <v>3199.97</v>
      </c>
      <c r="JM4" s="125"/>
      <c r="JN4" s="125"/>
      <c r="JO4" s="125"/>
      <c r="JP4" s="125"/>
    </row>
    <row r="5" spans="1:276 1141:1141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>
        <v>86700</v>
      </c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86700</v>
      </c>
      <c r="JJ5" s="339">
        <v>554</v>
      </c>
      <c r="JK5" s="122"/>
      <c r="JL5" s="125">
        <f t="shared" si="1"/>
        <v>86700</v>
      </c>
      <c r="JM5" s="125"/>
      <c r="JN5" s="125"/>
      <c r="JO5" s="125"/>
      <c r="JP5" s="125"/>
    </row>
    <row r="6" spans="1:276 1141:1141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>
        <v>999401</v>
      </c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999401</v>
      </c>
      <c r="JJ6" s="339">
        <v>558</v>
      </c>
      <c r="JK6" s="122"/>
      <c r="JL6" s="125">
        <f t="shared" si="1"/>
        <v>999401</v>
      </c>
      <c r="JM6" s="125"/>
      <c r="JN6" s="125"/>
      <c r="JO6" s="125"/>
      <c r="JP6" s="125"/>
    </row>
    <row r="7" spans="1:276 1141:114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>
        <v>265051.59999999998</v>
      </c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265051.59999999998</v>
      </c>
      <c r="JJ7" s="339">
        <v>562</v>
      </c>
      <c r="JK7" s="122"/>
      <c r="JL7" s="125">
        <f t="shared" si="1"/>
        <v>265051.59999999998</v>
      </c>
      <c r="JM7" s="125"/>
      <c r="JN7" s="125"/>
      <c r="JO7" s="125"/>
      <c r="JP7" s="125"/>
    </row>
    <row r="8" spans="1:276 1141:1141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>
        <v>1968240</v>
      </c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1968240</v>
      </c>
      <c r="JJ8" s="339">
        <v>566</v>
      </c>
      <c r="JK8" s="122"/>
      <c r="JL8" s="125">
        <f t="shared" si="1"/>
        <v>1968240</v>
      </c>
      <c r="JM8" s="125"/>
      <c r="JN8" s="125"/>
      <c r="JO8" s="125"/>
      <c r="JP8" s="125"/>
    </row>
    <row r="9" spans="1:276 1141:1141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>
        <v>873200</v>
      </c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873200</v>
      </c>
      <c r="JJ9" s="339">
        <v>570</v>
      </c>
      <c r="JK9" s="122"/>
      <c r="JL9" s="125">
        <f t="shared" si="1"/>
        <v>873200</v>
      </c>
      <c r="JM9" s="125"/>
      <c r="JN9" s="125"/>
      <c r="JO9" s="125"/>
      <c r="JP9" s="125"/>
    </row>
    <row r="10" spans="1:276 1141:1141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>
        <v>57000</v>
      </c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>
        <v>207711.6</v>
      </c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264711.59999999998</v>
      </c>
      <c r="JJ10" s="339">
        <v>574</v>
      </c>
      <c r="JK10" s="122"/>
      <c r="JL10" s="125">
        <f t="shared" si="1"/>
        <v>264711.59999999998</v>
      </c>
      <c r="JM10" s="125"/>
      <c r="JN10" s="125"/>
      <c r="JO10" s="125"/>
      <c r="JP10" s="125"/>
    </row>
    <row r="11" spans="1:276 1141:1141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>
        <v>6875</v>
      </c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>
        <v>233640</v>
      </c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240515</v>
      </c>
      <c r="JJ11" s="339">
        <v>578</v>
      </c>
      <c r="JK11" s="122"/>
      <c r="JL11" s="125">
        <f t="shared" si="1"/>
        <v>240515</v>
      </c>
      <c r="JM11" s="125"/>
      <c r="JN11" s="125"/>
      <c r="JO11" s="125"/>
      <c r="JP11" s="125"/>
    </row>
    <row r="12" spans="1:276 1141:1141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>
        <v>146000</v>
      </c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>
        <v>121156.5</v>
      </c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267156.5</v>
      </c>
      <c r="JJ12" s="339">
        <v>582</v>
      </c>
      <c r="JK12" s="122"/>
      <c r="JL12" s="125">
        <f t="shared" si="1"/>
        <v>267156.5</v>
      </c>
      <c r="JM12" s="125"/>
      <c r="JN12" s="125"/>
      <c r="JO12" s="125"/>
      <c r="JP12" s="125"/>
    </row>
    <row r="13" spans="1:276 1141:1141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>
        <v>151000</v>
      </c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151000</v>
      </c>
      <c r="JJ13" s="339">
        <v>586</v>
      </c>
      <c r="JK13" s="122"/>
      <c r="JL13" s="125">
        <f t="shared" si="1"/>
        <v>151000</v>
      </c>
      <c r="JM13" s="125"/>
      <c r="JN13" s="125"/>
      <c r="JO13" s="125"/>
      <c r="JP13" s="125"/>
    </row>
    <row r="14" spans="1:276 1141:1141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>
        <v>37600</v>
      </c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>
        <v>88500</v>
      </c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126100</v>
      </c>
      <c r="JJ14" s="339">
        <v>591</v>
      </c>
      <c r="JK14" s="122"/>
      <c r="JL14" s="125">
        <f t="shared" si="1"/>
        <v>126100</v>
      </c>
      <c r="JM14" s="125"/>
      <c r="JN14" s="125"/>
      <c r="JO14" s="125"/>
      <c r="JP14" s="125"/>
    </row>
    <row r="15" spans="1:276 1141:1141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>
        <v>6490</v>
      </c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6490</v>
      </c>
      <c r="JJ15" s="339">
        <v>595</v>
      </c>
      <c r="JK15" s="122"/>
      <c r="JL15" s="125">
        <f t="shared" si="1"/>
        <v>6490</v>
      </c>
      <c r="JM15" s="125"/>
      <c r="JN15" s="125"/>
      <c r="JO15" s="125"/>
      <c r="JP15" s="125"/>
    </row>
    <row r="16" spans="1:276 1141:1141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>
        <v>57230</v>
      </c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57230</v>
      </c>
      <c r="JJ16" s="339">
        <v>599</v>
      </c>
      <c r="JK16" s="122"/>
      <c r="JL16" s="125">
        <f t="shared" si="1"/>
        <v>57230</v>
      </c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>
        <v>120360</v>
      </c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120360</v>
      </c>
      <c r="JJ17" s="339">
        <v>603</v>
      </c>
      <c r="JK17" s="122"/>
      <c r="JL17" s="125">
        <f t="shared" si="1"/>
        <v>120360</v>
      </c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>
        <v>90000</v>
      </c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90000</v>
      </c>
      <c r="JJ18" s="339">
        <v>607</v>
      </c>
      <c r="JK18" s="122"/>
      <c r="JL18" s="125">
        <f t="shared" si="1"/>
        <v>90000</v>
      </c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>
        <v>47400</v>
      </c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>
        <v>224790</v>
      </c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272190</v>
      </c>
      <c r="JJ19" s="339">
        <v>611</v>
      </c>
      <c r="JK19" s="122"/>
      <c r="JL19" s="125">
        <f t="shared" si="1"/>
        <v>272190</v>
      </c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>
        <v>144969.28</v>
      </c>
      <c r="FO20" s="122"/>
      <c r="FP20" s="122"/>
      <c r="FQ20" s="122"/>
      <c r="FR20" s="122"/>
      <c r="FS20" s="122"/>
      <c r="FT20" s="122">
        <v>90109.52</v>
      </c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235078.8</v>
      </c>
      <c r="JJ20" s="339">
        <v>615</v>
      </c>
      <c r="JK20" s="122"/>
      <c r="JL20" s="125">
        <f t="shared" si="1"/>
        <v>235078.8</v>
      </c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>
        <v>15930</v>
      </c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15930</v>
      </c>
      <c r="JJ21" s="339">
        <v>619</v>
      </c>
      <c r="JK21" s="122"/>
      <c r="JL21" s="125">
        <f t="shared" si="1"/>
        <v>15930</v>
      </c>
      <c r="JM21" s="125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>
        <v>1959489.3</v>
      </c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1959489.3</v>
      </c>
      <c r="JJ22" s="339">
        <v>624</v>
      </c>
      <c r="JK22" s="122"/>
      <c r="JL22" s="125">
        <f t="shared" si="1"/>
        <v>1959489.3</v>
      </c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>
        <v>160215.06</v>
      </c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160215.06</v>
      </c>
      <c r="JJ23" s="339">
        <v>626</v>
      </c>
      <c r="JK23" s="122"/>
      <c r="JL23" s="125">
        <f t="shared" si="1"/>
        <v>160215.06</v>
      </c>
      <c r="JM23" s="125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>
        <v>186440</v>
      </c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186440</v>
      </c>
      <c r="JJ24" s="339">
        <v>632</v>
      </c>
      <c r="JK24" s="122"/>
      <c r="JL24" s="125">
        <f t="shared" si="1"/>
        <v>186440</v>
      </c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>
        <v>268000</v>
      </c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268000</v>
      </c>
      <c r="JJ25" s="339">
        <v>655</v>
      </c>
      <c r="JK25" s="122"/>
      <c r="JL25" s="125">
        <f t="shared" si="1"/>
        <v>268000</v>
      </c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>
        <v>14300</v>
      </c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14300</v>
      </c>
      <c r="JJ26" s="339">
        <v>661</v>
      </c>
      <c r="JK26" s="122"/>
      <c r="JL26" s="125">
        <f t="shared" si="1"/>
        <v>14300</v>
      </c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>
        <v>235823</v>
      </c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235823</v>
      </c>
      <c r="JJ27" s="339">
        <v>665</v>
      </c>
      <c r="JK27" s="122"/>
      <c r="JL27" s="125">
        <f t="shared" si="1"/>
        <v>235823</v>
      </c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>
        <v>270000</v>
      </c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270000</v>
      </c>
      <c r="JJ28" s="339">
        <v>669</v>
      </c>
      <c r="JK28" s="122"/>
      <c r="JL28" s="125">
        <f t="shared" si="1"/>
        <v>270000</v>
      </c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>
        <v>1091212.08</v>
      </c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1091212.08</v>
      </c>
      <c r="JJ29" s="339">
        <v>673</v>
      </c>
      <c r="JK29" s="122"/>
      <c r="JL29" s="125">
        <f t="shared" si="1"/>
        <v>1091212.08</v>
      </c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5"/>
      <c r="AL30" s="125"/>
      <c r="AM30" s="125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>
        <v>1692916.74</v>
      </c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1692916.74</v>
      </c>
      <c r="JJ30" s="339">
        <v>677</v>
      </c>
      <c r="JK30" s="122"/>
      <c r="JL30" s="125">
        <f t="shared" si="1"/>
        <v>1692916.74</v>
      </c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>
        <v>33000</v>
      </c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206647.5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239647.5</v>
      </c>
      <c r="JJ31" s="339">
        <v>681</v>
      </c>
      <c r="JK31" s="122"/>
      <c r="JL31" s="125">
        <f t="shared" si="1"/>
        <v>239647.5</v>
      </c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>
        <v>129664</v>
      </c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129664</v>
      </c>
      <c r="JJ32" s="339">
        <v>685</v>
      </c>
      <c r="JK32" s="122"/>
      <c r="JL32" s="125">
        <f t="shared" si="1"/>
        <v>129664</v>
      </c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>
        <v>241546</v>
      </c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241546</v>
      </c>
      <c r="JJ33" s="339">
        <v>689</v>
      </c>
      <c r="JK33" s="122"/>
      <c r="JL33" s="125">
        <f t="shared" si="1"/>
        <v>241546</v>
      </c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>
        <v>222558.2</v>
      </c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>
        <v>18408</v>
      </c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>
        <v>1829</v>
      </c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242795.2</v>
      </c>
      <c r="JJ34" s="339">
        <v>693</v>
      </c>
      <c r="JK34" s="122"/>
      <c r="JL34" s="125">
        <f t="shared" si="1"/>
        <v>242795.2</v>
      </c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>
        <v>208010.4</v>
      </c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208010.4</v>
      </c>
      <c r="JJ35" s="339">
        <v>697</v>
      </c>
      <c r="JK35" s="122"/>
      <c r="JL35" s="125">
        <f t="shared" si="1"/>
        <v>208010.4</v>
      </c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>
        <v>203078</v>
      </c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203078</v>
      </c>
      <c r="JJ36" s="339">
        <v>701</v>
      </c>
      <c r="JK36" s="122"/>
      <c r="JL36" s="125">
        <f t="shared" si="1"/>
        <v>203078</v>
      </c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>
        <v>264630</v>
      </c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264630</v>
      </c>
      <c r="JJ37" s="339">
        <v>705</v>
      </c>
      <c r="JK37" s="122"/>
      <c r="JL37" s="125">
        <f t="shared" si="1"/>
        <v>264630</v>
      </c>
      <c r="JM37" s="125"/>
      <c r="JN37" s="125"/>
      <c r="JO37" s="125"/>
      <c r="JP37" s="125"/>
    </row>
    <row r="38" spans="1:276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>
        <v>241546</v>
      </c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241546</v>
      </c>
      <c r="JJ38" s="339">
        <v>709</v>
      </c>
      <c r="JK38" s="122"/>
      <c r="JL38" s="125">
        <f t="shared" si="1"/>
        <v>241546</v>
      </c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>
        <v>203654.83</v>
      </c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203654.83</v>
      </c>
      <c r="JJ39" s="339">
        <v>717</v>
      </c>
      <c r="JK39" s="122"/>
      <c r="JL39" s="125">
        <f t="shared" si="1"/>
        <v>203654.83</v>
      </c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>
        <v>198000</v>
      </c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>
        <v>67496</v>
      </c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265496</v>
      </c>
      <c r="JJ40" s="339">
        <v>721</v>
      </c>
      <c r="JK40" s="122"/>
      <c r="JL40" s="125">
        <f t="shared" si="1"/>
        <v>265496</v>
      </c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>
        <v>92000</v>
      </c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92000</v>
      </c>
      <c r="JJ41" s="339">
        <v>725</v>
      </c>
      <c r="JK41" s="122"/>
      <c r="JL41" s="125">
        <f t="shared" si="1"/>
        <v>92000</v>
      </c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>
        <v>407143.97</v>
      </c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407143.97</v>
      </c>
      <c r="JJ42" s="339">
        <v>729</v>
      </c>
      <c r="JK42" s="122"/>
      <c r="JL42" s="125">
        <f t="shared" si="1"/>
        <v>407143.97</v>
      </c>
      <c r="JM42" s="125"/>
      <c r="JN42" s="125"/>
      <c r="JO42" s="125"/>
      <c r="JP42" s="125"/>
    </row>
    <row r="43" spans="1:276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>
        <v>554000</v>
      </c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554000</v>
      </c>
      <c r="JJ43" s="339">
        <v>733</v>
      </c>
      <c r="JK43" s="122"/>
      <c r="JL43" s="125">
        <f t="shared" si="1"/>
        <v>554000</v>
      </c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>
        <v>188800</v>
      </c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188800</v>
      </c>
      <c r="JJ44" s="339">
        <v>737</v>
      </c>
      <c r="JK44" s="122"/>
      <c r="JL44" s="125">
        <f t="shared" si="1"/>
        <v>188800</v>
      </c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>
        <v>1250.8</v>
      </c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>
        <v>576004</v>
      </c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577254.80000000005</v>
      </c>
      <c r="JJ45" s="339">
        <v>741</v>
      </c>
      <c r="JK45" s="122"/>
      <c r="JL45" s="125">
        <f t="shared" si="1"/>
        <v>577254.80000000005</v>
      </c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>
        <v>256060</v>
      </c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256060</v>
      </c>
      <c r="JJ46" s="339">
        <v>747</v>
      </c>
      <c r="JK46" s="122"/>
      <c r="JL46" s="125">
        <f t="shared" si="1"/>
        <v>256060</v>
      </c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>
        <v>54720</v>
      </c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54720</v>
      </c>
      <c r="JJ47" s="339">
        <v>751</v>
      </c>
      <c r="JK47" s="122"/>
      <c r="JL47" s="125">
        <f t="shared" si="1"/>
        <v>54720</v>
      </c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>
        <v>32450</v>
      </c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32450</v>
      </c>
      <c r="JJ48" s="339">
        <v>757</v>
      </c>
      <c r="JK48" s="122"/>
      <c r="JL48" s="125">
        <f t="shared" si="1"/>
        <v>32450</v>
      </c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>
        <v>113775</v>
      </c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113775</v>
      </c>
      <c r="JJ49" s="339">
        <v>761</v>
      </c>
      <c r="JK49" s="122"/>
      <c r="JL49" s="125">
        <f t="shared" si="1"/>
        <v>113775</v>
      </c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>
        <v>47600</v>
      </c>
      <c r="FK50" s="122"/>
      <c r="FL50" s="122"/>
      <c r="FM50" s="122"/>
      <c r="FN50" s="122"/>
      <c r="FO50" s="122"/>
      <c r="FP50" s="122"/>
      <c r="FQ50" s="122"/>
      <c r="FR50" s="122"/>
      <c r="FS50" s="122"/>
      <c r="FT50" s="122">
        <v>68440</v>
      </c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116040</v>
      </c>
      <c r="JJ50" s="339">
        <v>765</v>
      </c>
      <c r="JK50" s="122"/>
      <c r="JL50" s="125">
        <f t="shared" si="1"/>
        <v>116040</v>
      </c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>
        <v>220000</v>
      </c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220000</v>
      </c>
      <c r="JJ51" s="339">
        <v>769</v>
      </c>
      <c r="JK51" s="122"/>
      <c r="JL51" s="125">
        <f t="shared" si="1"/>
        <v>220000</v>
      </c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>
        <v>11033</v>
      </c>
      <c r="GI52" s="122"/>
      <c r="GJ52" s="122"/>
      <c r="GK52" s="122"/>
      <c r="GL52" s="122"/>
      <c r="GM52" s="122"/>
      <c r="GN52" s="122"/>
      <c r="GO52" s="122"/>
      <c r="GP52" s="122"/>
      <c r="GQ52" s="122">
        <v>64900</v>
      </c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75933</v>
      </c>
      <c r="JJ52" s="339">
        <v>775</v>
      </c>
      <c r="JK52" s="122"/>
      <c r="JL52" s="125">
        <f t="shared" si="1"/>
        <v>75933</v>
      </c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>
        <v>1583621.56</v>
      </c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1583621.56</v>
      </c>
      <c r="JJ53" s="339">
        <v>780</v>
      </c>
      <c r="JK53" s="122"/>
      <c r="JL53" s="125">
        <f t="shared" si="1"/>
        <v>1583621.56</v>
      </c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>
        <v>1583621.56</v>
      </c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1583621.56</v>
      </c>
      <c r="JJ54" s="339">
        <v>784</v>
      </c>
      <c r="JK54" s="122"/>
      <c r="JL54" s="125">
        <f t="shared" si="1"/>
        <v>1583621.56</v>
      </c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>
        <v>661624</v>
      </c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661624</v>
      </c>
      <c r="JJ55" s="339">
        <v>789</v>
      </c>
      <c r="JK55" s="122"/>
      <c r="JL55" s="125">
        <f t="shared" si="1"/>
        <v>661624</v>
      </c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>
        <v>1649999.99</v>
      </c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1649999.99</v>
      </c>
      <c r="JJ56" s="339">
        <v>793</v>
      </c>
      <c r="JK56" s="122"/>
      <c r="JL56" s="125">
        <f t="shared" si="1"/>
        <v>1649999.99</v>
      </c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>
        <v>238550</v>
      </c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>
        <v>29989.7</v>
      </c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268539.7</v>
      </c>
      <c r="JJ57" s="339">
        <v>797</v>
      </c>
      <c r="JK57" s="122"/>
      <c r="JL57" s="125">
        <f t="shared" si="1"/>
        <v>268539.7</v>
      </c>
      <c r="JM57" s="125"/>
      <c r="JN57" s="125"/>
      <c r="JO57" s="125"/>
      <c r="JP57" s="125"/>
    </row>
    <row r="58" spans="1:276" x14ac:dyDescent="0.2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>
        <v>771838</v>
      </c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  <c r="EM58" s="125"/>
      <c r="EN58" s="125"/>
      <c r="EO58" s="125"/>
      <c r="EP58" s="125"/>
      <c r="EQ58" s="125"/>
      <c r="ER58" s="125"/>
      <c r="ES58" s="125"/>
      <c r="ET58" s="125"/>
      <c r="EU58" s="125"/>
      <c r="EV58" s="125"/>
      <c r="EW58" s="125"/>
      <c r="EX58" s="125"/>
      <c r="EY58" s="125"/>
      <c r="EZ58" s="125"/>
      <c r="FA58" s="125"/>
      <c r="FB58" s="125"/>
      <c r="FC58" s="125"/>
      <c r="FD58" s="125"/>
      <c r="FE58" s="125"/>
      <c r="FF58" s="125"/>
      <c r="FG58" s="125"/>
      <c r="FH58" s="125"/>
      <c r="FI58" s="125"/>
      <c r="FJ58" s="125"/>
      <c r="FK58" s="125"/>
      <c r="FL58" s="125"/>
      <c r="FM58" s="125"/>
      <c r="FN58" s="125"/>
      <c r="FO58" s="125"/>
      <c r="FP58" s="125"/>
      <c r="FQ58" s="125"/>
      <c r="FR58" s="125"/>
      <c r="FS58" s="125"/>
      <c r="FT58" s="125"/>
      <c r="FU58" s="125"/>
      <c r="FV58" s="125"/>
      <c r="FW58" s="125"/>
      <c r="FX58" s="125"/>
      <c r="FY58" s="125"/>
      <c r="FZ58" s="125"/>
      <c r="GA58" s="125"/>
      <c r="GB58" s="125"/>
      <c r="GC58" s="125"/>
      <c r="GD58" s="125"/>
      <c r="GE58" s="125"/>
      <c r="GF58" s="125"/>
      <c r="GG58" s="125"/>
      <c r="GH58" s="125"/>
      <c r="GI58" s="125"/>
      <c r="GJ58" s="125"/>
      <c r="GK58" s="125"/>
      <c r="GL58" s="125"/>
      <c r="GM58" s="125"/>
      <c r="GN58" s="125"/>
      <c r="GO58" s="125"/>
      <c r="GP58" s="125"/>
      <c r="GQ58" s="125"/>
      <c r="GR58" s="125"/>
      <c r="GS58" s="125"/>
      <c r="GT58" s="125"/>
      <c r="GU58" s="125"/>
      <c r="GV58" s="125"/>
      <c r="GW58" s="125"/>
      <c r="GX58" s="125"/>
      <c r="GY58" s="125"/>
      <c r="GZ58" s="125"/>
      <c r="HA58" s="125"/>
      <c r="HB58" s="125"/>
      <c r="HC58" s="125"/>
      <c r="HD58" s="125"/>
      <c r="HE58" s="125"/>
      <c r="HF58" s="125"/>
      <c r="HG58" s="125"/>
      <c r="HH58" s="125"/>
      <c r="HI58" s="125"/>
      <c r="HJ58" s="125"/>
      <c r="HK58" s="125"/>
      <c r="HL58" s="125"/>
      <c r="HM58" s="125"/>
      <c r="HN58" s="125"/>
      <c r="HO58" s="125"/>
      <c r="HP58" s="125"/>
      <c r="HQ58" s="125"/>
      <c r="HR58" s="125"/>
      <c r="HS58" s="125"/>
      <c r="HT58" s="125"/>
      <c r="HU58" s="125"/>
      <c r="HV58" s="125"/>
      <c r="HW58" s="125"/>
      <c r="HX58" s="125"/>
      <c r="HY58" s="125"/>
      <c r="HZ58" s="125"/>
      <c r="IA58" s="125"/>
      <c r="IB58" s="125"/>
      <c r="IC58" s="125"/>
      <c r="ID58" s="125"/>
      <c r="IE58" s="125"/>
      <c r="IF58" s="125"/>
      <c r="IG58" s="125"/>
      <c r="IH58" s="125"/>
      <c r="II58" s="125"/>
      <c r="IJ58" s="125"/>
      <c r="IK58" s="125"/>
      <c r="IL58" s="125"/>
      <c r="IM58" s="125"/>
      <c r="IN58" s="125"/>
      <c r="IO58" s="125"/>
      <c r="IP58" s="125"/>
      <c r="IQ58" s="125"/>
      <c r="IR58" s="125"/>
      <c r="IS58" s="125"/>
      <c r="IT58" s="125"/>
      <c r="IU58" s="125"/>
      <c r="IV58" s="125"/>
      <c r="IW58" s="125"/>
      <c r="IX58" s="125"/>
      <c r="IY58" s="125"/>
      <c r="IZ58" s="125"/>
      <c r="JA58" s="125"/>
      <c r="JB58" s="125"/>
      <c r="JC58" s="125"/>
      <c r="JD58" s="125"/>
      <c r="JE58" s="125"/>
      <c r="JF58" s="125"/>
      <c r="JG58" s="125"/>
      <c r="JH58" s="125"/>
      <c r="JI58" s="119">
        <f t="shared" si="0"/>
        <v>771838</v>
      </c>
      <c r="JJ58" s="339">
        <v>801</v>
      </c>
      <c r="JK58" s="122"/>
      <c r="JL58" s="125">
        <f t="shared" si="1"/>
        <v>771838</v>
      </c>
      <c r="JM58" s="1"/>
      <c r="JN58" s="1"/>
      <c r="JO58" s="1"/>
      <c r="JP58" s="1"/>
    </row>
    <row r="59" spans="1:276" x14ac:dyDescent="0.2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  <c r="CW59" s="125"/>
      <c r="CX59" s="125"/>
      <c r="CY59" s="125"/>
      <c r="CZ59" s="125"/>
      <c r="DA59" s="125"/>
      <c r="DB59" s="125"/>
      <c r="DC59" s="125"/>
      <c r="DD59" s="125"/>
      <c r="DE59" s="125"/>
      <c r="DF59" s="125"/>
      <c r="DG59" s="125"/>
      <c r="DH59" s="125"/>
      <c r="DI59" s="125"/>
      <c r="DJ59" s="125"/>
      <c r="DK59" s="125">
        <v>564972.5</v>
      </c>
      <c r="DL59" s="125"/>
      <c r="DM59" s="125"/>
      <c r="DN59" s="125"/>
      <c r="DO59" s="125"/>
      <c r="DP59" s="125"/>
      <c r="DQ59" s="125"/>
      <c r="DR59" s="125"/>
      <c r="DS59" s="125"/>
      <c r="DT59" s="125"/>
      <c r="DU59" s="125"/>
      <c r="DV59" s="125"/>
      <c r="DW59" s="125"/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25"/>
      <c r="FV59" s="125"/>
      <c r="FW59" s="125"/>
      <c r="FX59" s="125"/>
      <c r="FY59" s="125"/>
      <c r="FZ59" s="125"/>
      <c r="GA59" s="125"/>
      <c r="GB59" s="125"/>
      <c r="GC59" s="125"/>
      <c r="GD59" s="125"/>
      <c r="GE59" s="125"/>
      <c r="GF59" s="125"/>
      <c r="GG59" s="125"/>
      <c r="GH59" s="125"/>
      <c r="GI59" s="125"/>
      <c r="GJ59" s="125"/>
      <c r="GK59" s="125"/>
      <c r="GL59" s="125"/>
      <c r="GM59" s="125"/>
      <c r="GN59" s="125"/>
      <c r="GO59" s="125"/>
      <c r="GP59" s="125"/>
      <c r="GQ59" s="125"/>
      <c r="GR59" s="125"/>
      <c r="GS59" s="125"/>
      <c r="GT59" s="125"/>
      <c r="GU59" s="125"/>
      <c r="GV59" s="125"/>
      <c r="GW59" s="125"/>
      <c r="GX59" s="125"/>
      <c r="GY59" s="125"/>
      <c r="GZ59" s="125"/>
      <c r="HA59" s="125"/>
      <c r="HB59" s="125"/>
      <c r="HC59" s="125"/>
      <c r="HD59" s="125"/>
      <c r="HE59" s="125"/>
      <c r="HF59" s="125"/>
      <c r="HG59" s="125"/>
      <c r="HH59" s="125"/>
      <c r="HI59" s="125"/>
      <c r="HJ59" s="125"/>
      <c r="HK59" s="125"/>
      <c r="HL59" s="125"/>
      <c r="HM59" s="125"/>
      <c r="HN59" s="125"/>
      <c r="HO59" s="125"/>
      <c r="HP59" s="125"/>
      <c r="HQ59" s="125"/>
      <c r="HR59" s="125"/>
      <c r="HS59" s="125"/>
      <c r="HT59" s="125"/>
      <c r="HU59" s="125"/>
      <c r="HV59" s="125"/>
      <c r="HW59" s="125"/>
      <c r="HX59" s="125"/>
      <c r="HY59" s="125"/>
      <c r="HZ59" s="125"/>
      <c r="IA59" s="125"/>
      <c r="IB59" s="125"/>
      <c r="IC59" s="125"/>
      <c r="ID59" s="125"/>
      <c r="IE59" s="125"/>
      <c r="IF59" s="125"/>
      <c r="IG59" s="125"/>
      <c r="IH59" s="125"/>
      <c r="II59" s="125"/>
      <c r="IJ59" s="125"/>
      <c r="IK59" s="125"/>
      <c r="IL59" s="125"/>
      <c r="IM59" s="125"/>
      <c r="IN59" s="125"/>
      <c r="IO59" s="125"/>
      <c r="IP59" s="125"/>
      <c r="IQ59" s="125"/>
      <c r="IR59" s="125"/>
      <c r="IS59" s="125"/>
      <c r="IT59" s="125"/>
      <c r="IU59" s="125"/>
      <c r="IV59" s="125"/>
      <c r="IW59" s="125"/>
      <c r="IX59" s="125"/>
      <c r="IY59" s="125"/>
      <c r="IZ59" s="125"/>
      <c r="JA59" s="125"/>
      <c r="JB59" s="125"/>
      <c r="JC59" s="125"/>
      <c r="JD59" s="125"/>
      <c r="JE59" s="125"/>
      <c r="JF59" s="125"/>
      <c r="JG59" s="125"/>
      <c r="JH59" s="125"/>
      <c r="JI59" s="119">
        <f t="shared" si="0"/>
        <v>564972.5</v>
      </c>
      <c r="JJ59" s="339">
        <v>805</v>
      </c>
      <c r="JK59" s="122"/>
      <c r="JL59" s="125">
        <f t="shared" si="1"/>
        <v>564972.5</v>
      </c>
      <c r="JM59" s="1"/>
      <c r="JN59" s="1"/>
      <c r="JO59" s="1"/>
      <c r="JP59" s="1"/>
    </row>
    <row r="60" spans="1:276" x14ac:dyDescent="0.2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  <c r="DB60" s="125"/>
      <c r="DC60" s="125"/>
      <c r="DD60" s="125"/>
      <c r="DE60" s="125"/>
      <c r="DF60" s="125"/>
      <c r="DG60" s="125"/>
      <c r="DH60" s="125"/>
      <c r="DI60" s="125"/>
      <c r="DJ60" s="125"/>
      <c r="DK60" s="125"/>
      <c r="DL60" s="125"/>
      <c r="DM60" s="125"/>
      <c r="DN60" s="125"/>
      <c r="DO60" s="125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>
        <v>27324</v>
      </c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>
        <v>34220</v>
      </c>
      <c r="FU60" s="125"/>
      <c r="FV60" s="125"/>
      <c r="FW60" s="125"/>
      <c r="FX60" s="125"/>
      <c r="FY60" s="125"/>
      <c r="FZ60" s="125"/>
      <c r="GA60" s="125"/>
      <c r="GB60" s="125"/>
      <c r="GC60" s="125"/>
      <c r="GD60" s="125"/>
      <c r="GE60" s="125"/>
      <c r="GF60" s="125"/>
      <c r="GG60" s="125"/>
      <c r="GH60" s="125"/>
      <c r="GI60" s="125"/>
      <c r="GJ60" s="125"/>
      <c r="GK60" s="125"/>
      <c r="GL60" s="125"/>
      <c r="GM60" s="125"/>
      <c r="GN60" s="125"/>
      <c r="GO60" s="125"/>
      <c r="GP60" s="125"/>
      <c r="GQ60" s="125"/>
      <c r="GR60" s="125"/>
      <c r="GS60" s="125"/>
      <c r="GT60" s="125"/>
      <c r="GU60" s="125"/>
      <c r="GV60" s="125"/>
      <c r="GW60" s="125"/>
      <c r="GX60" s="125"/>
      <c r="GY60" s="125"/>
      <c r="GZ60" s="125"/>
      <c r="HA60" s="125"/>
      <c r="HB60" s="125"/>
      <c r="HC60" s="125"/>
      <c r="HD60" s="125"/>
      <c r="HE60" s="125"/>
      <c r="HF60" s="125"/>
      <c r="HG60" s="125"/>
      <c r="HH60" s="125"/>
      <c r="HI60" s="125"/>
      <c r="HJ60" s="125"/>
      <c r="HK60" s="125"/>
      <c r="HL60" s="125"/>
      <c r="HM60" s="125"/>
      <c r="HN60" s="125"/>
      <c r="HO60" s="125"/>
      <c r="HP60" s="125"/>
      <c r="HQ60" s="125"/>
      <c r="HR60" s="125"/>
      <c r="HS60" s="125"/>
      <c r="HT60" s="125"/>
      <c r="HU60" s="125"/>
      <c r="HV60" s="125"/>
      <c r="HW60" s="125"/>
      <c r="HX60" s="125"/>
      <c r="HY60" s="125"/>
      <c r="HZ60" s="125"/>
      <c r="IA60" s="125"/>
      <c r="IB60" s="125"/>
      <c r="IC60" s="125"/>
      <c r="ID60" s="125"/>
      <c r="IE60" s="125"/>
      <c r="IF60" s="125"/>
      <c r="IG60" s="125"/>
      <c r="IH60" s="125"/>
      <c r="II60" s="125"/>
      <c r="IJ60" s="125"/>
      <c r="IK60" s="125"/>
      <c r="IL60" s="125"/>
      <c r="IM60" s="125"/>
      <c r="IN60" s="125"/>
      <c r="IO60" s="125"/>
      <c r="IP60" s="125"/>
      <c r="IQ60" s="125"/>
      <c r="IR60" s="125"/>
      <c r="IS60" s="125"/>
      <c r="IT60" s="125"/>
      <c r="IU60" s="125"/>
      <c r="IV60" s="125"/>
      <c r="IW60" s="125"/>
      <c r="IX60" s="125"/>
      <c r="IY60" s="125"/>
      <c r="IZ60" s="125"/>
      <c r="JA60" s="125"/>
      <c r="JB60" s="125"/>
      <c r="JC60" s="125"/>
      <c r="JD60" s="125"/>
      <c r="JE60" s="125"/>
      <c r="JF60" s="125"/>
      <c r="JG60" s="125"/>
      <c r="JH60" s="125"/>
      <c r="JI60" s="119">
        <f t="shared" si="0"/>
        <v>61544</v>
      </c>
      <c r="JJ60" s="339">
        <v>809</v>
      </c>
      <c r="JK60" s="122"/>
      <c r="JL60" s="125">
        <f t="shared" si="1"/>
        <v>61544</v>
      </c>
      <c r="JM60" s="1"/>
      <c r="JN60" s="1"/>
      <c r="JO60" s="1"/>
      <c r="JP60" s="1"/>
    </row>
    <row r="61" spans="1:276" x14ac:dyDescent="0.2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/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  <c r="EE61" s="125"/>
      <c r="EF61" s="125"/>
      <c r="EG61" s="125"/>
      <c r="EH61" s="125"/>
      <c r="EI61" s="125"/>
      <c r="EJ61" s="125"/>
      <c r="EK61" s="125"/>
      <c r="EL61" s="125"/>
      <c r="EM61" s="125"/>
      <c r="EN61" s="125"/>
      <c r="EO61" s="125"/>
      <c r="EP61" s="125"/>
      <c r="EQ61" s="125"/>
      <c r="ER61" s="125"/>
      <c r="ES61" s="125"/>
      <c r="ET61" s="125"/>
      <c r="EU61" s="125"/>
      <c r="EV61" s="125"/>
      <c r="EW61" s="125"/>
      <c r="EX61" s="125"/>
      <c r="EY61" s="125"/>
      <c r="EZ61" s="125"/>
      <c r="FA61" s="125"/>
      <c r="FB61" s="125"/>
      <c r="FC61" s="125"/>
      <c r="FD61" s="125"/>
      <c r="FE61" s="125"/>
      <c r="FF61" s="125"/>
      <c r="FG61" s="125"/>
      <c r="FH61" s="125"/>
      <c r="FI61" s="125"/>
      <c r="FJ61" s="125">
        <v>1250</v>
      </c>
      <c r="FK61" s="125"/>
      <c r="FL61" s="125"/>
      <c r="FM61" s="125"/>
      <c r="FN61" s="125"/>
      <c r="FO61" s="125"/>
      <c r="FP61" s="125"/>
      <c r="FQ61" s="125"/>
      <c r="FR61" s="125"/>
      <c r="FS61" s="125"/>
      <c r="FT61" s="125">
        <v>19413.36</v>
      </c>
      <c r="FU61" s="125"/>
      <c r="FV61" s="125"/>
      <c r="FW61" s="125"/>
      <c r="FX61" s="125"/>
      <c r="FY61" s="125"/>
      <c r="FZ61" s="125"/>
      <c r="GA61" s="125"/>
      <c r="GB61" s="125"/>
      <c r="GC61" s="125"/>
      <c r="GD61" s="125"/>
      <c r="GE61" s="125"/>
      <c r="GF61" s="125"/>
      <c r="GG61" s="125"/>
      <c r="GH61" s="125"/>
      <c r="GI61" s="125"/>
      <c r="GJ61" s="125"/>
      <c r="GK61" s="125"/>
      <c r="GL61" s="125"/>
      <c r="GM61" s="125"/>
      <c r="GN61" s="125"/>
      <c r="GO61" s="125"/>
      <c r="GP61" s="125"/>
      <c r="GQ61" s="125"/>
      <c r="GR61" s="125"/>
      <c r="GS61" s="125"/>
      <c r="GT61" s="125"/>
      <c r="GU61" s="125"/>
      <c r="GV61" s="125"/>
      <c r="GW61" s="125"/>
      <c r="GX61" s="125"/>
      <c r="GY61" s="125"/>
      <c r="GZ61" s="125"/>
      <c r="HA61" s="125"/>
      <c r="HB61" s="125"/>
      <c r="HC61" s="125"/>
      <c r="HD61" s="125"/>
      <c r="HE61" s="125"/>
      <c r="HF61" s="125"/>
      <c r="HG61" s="125"/>
      <c r="HH61" s="125"/>
      <c r="HI61" s="125"/>
      <c r="HJ61" s="125"/>
      <c r="HK61" s="125"/>
      <c r="HL61" s="125"/>
      <c r="HM61" s="125"/>
      <c r="HN61" s="125"/>
      <c r="HO61" s="125"/>
      <c r="HP61" s="125"/>
      <c r="HQ61" s="125"/>
      <c r="HR61" s="125"/>
      <c r="HS61" s="125"/>
      <c r="HT61" s="125"/>
      <c r="HU61" s="125"/>
      <c r="HV61" s="125"/>
      <c r="HW61" s="125"/>
      <c r="HX61" s="125"/>
      <c r="HY61" s="125"/>
      <c r="HZ61" s="125"/>
      <c r="IA61" s="125"/>
      <c r="IB61" s="125"/>
      <c r="IC61" s="125"/>
      <c r="ID61" s="125"/>
      <c r="IE61" s="125"/>
      <c r="IF61" s="125"/>
      <c r="IG61" s="125"/>
      <c r="IH61" s="125"/>
      <c r="II61" s="125"/>
      <c r="IJ61" s="125"/>
      <c r="IK61" s="125"/>
      <c r="IL61" s="125"/>
      <c r="IM61" s="125"/>
      <c r="IN61" s="125"/>
      <c r="IO61" s="125"/>
      <c r="IP61" s="125"/>
      <c r="IQ61" s="125"/>
      <c r="IR61" s="125"/>
      <c r="IS61" s="125"/>
      <c r="IT61" s="125"/>
      <c r="IU61" s="125"/>
      <c r="IV61" s="125"/>
      <c r="IW61" s="125"/>
      <c r="IX61" s="125"/>
      <c r="IY61" s="125"/>
      <c r="IZ61" s="125"/>
      <c r="JA61" s="125"/>
      <c r="JB61" s="125"/>
      <c r="JC61" s="125"/>
      <c r="JD61" s="125"/>
      <c r="JE61" s="125"/>
      <c r="JF61" s="125"/>
      <c r="JG61" s="125"/>
      <c r="JH61" s="125"/>
      <c r="JI61" s="119">
        <f t="shared" si="0"/>
        <v>20663.36</v>
      </c>
      <c r="JJ61" s="339">
        <v>812</v>
      </c>
      <c r="JK61" s="122"/>
      <c r="JL61" s="125">
        <f t="shared" si="1"/>
        <v>20663.36</v>
      </c>
      <c r="JM61" s="1"/>
      <c r="JN61" s="1"/>
      <c r="JO61" s="1"/>
      <c r="JP61" s="1"/>
    </row>
    <row r="62" spans="1:276" x14ac:dyDescent="0.2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  <c r="DN62" s="125"/>
      <c r="DO62" s="125"/>
      <c r="DP62" s="125"/>
      <c r="DQ62" s="125"/>
      <c r="DR62" s="125"/>
      <c r="DS62" s="125"/>
      <c r="DT62" s="125"/>
      <c r="DU62" s="125"/>
      <c r="DV62" s="125"/>
      <c r="DW62" s="125">
        <v>271754</v>
      </c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25"/>
      <c r="FV62" s="125"/>
      <c r="FW62" s="125"/>
      <c r="FX62" s="125"/>
      <c r="FY62" s="125"/>
      <c r="FZ62" s="125"/>
      <c r="GA62" s="125"/>
      <c r="GB62" s="125"/>
      <c r="GC62" s="125"/>
      <c r="GD62" s="125"/>
      <c r="GE62" s="125"/>
      <c r="GF62" s="125"/>
      <c r="GG62" s="125"/>
      <c r="GH62" s="125"/>
      <c r="GI62" s="125"/>
      <c r="GJ62" s="125"/>
      <c r="GK62" s="125"/>
      <c r="GL62" s="125"/>
      <c r="GM62" s="125"/>
      <c r="GN62" s="125"/>
      <c r="GO62" s="125"/>
      <c r="GP62" s="125"/>
      <c r="GQ62" s="125"/>
      <c r="GR62" s="125"/>
      <c r="GS62" s="125"/>
      <c r="GT62" s="125"/>
      <c r="GU62" s="125"/>
      <c r="GV62" s="125"/>
      <c r="GW62" s="125"/>
      <c r="GX62" s="125"/>
      <c r="GY62" s="125"/>
      <c r="GZ62" s="125"/>
      <c r="HA62" s="125"/>
      <c r="HB62" s="125"/>
      <c r="HC62" s="125"/>
      <c r="HD62" s="125"/>
      <c r="HE62" s="125"/>
      <c r="HF62" s="125"/>
      <c r="HG62" s="125"/>
      <c r="HH62" s="125"/>
      <c r="HI62" s="125"/>
      <c r="HJ62" s="125"/>
      <c r="HK62" s="125"/>
      <c r="HL62" s="125"/>
      <c r="HM62" s="125"/>
      <c r="HN62" s="125"/>
      <c r="HO62" s="125"/>
      <c r="HP62" s="125"/>
      <c r="HQ62" s="125"/>
      <c r="HR62" s="125"/>
      <c r="HS62" s="125"/>
      <c r="HT62" s="125"/>
      <c r="HU62" s="125"/>
      <c r="HV62" s="125"/>
      <c r="HW62" s="125"/>
      <c r="HX62" s="125"/>
      <c r="HY62" s="125"/>
      <c r="HZ62" s="125"/>
      <c r="IA62" s="125"/>
      <c r="IB62" s="125"/>
      <c r="IC62" s="125"/>
      <c r="ID62" s="125"/>
      <c r="IE62" s="125"/>
      <c r="IF62" s="125"/>
      <c r="IG62" s="125"/>
      <c r="IH62" s="125"/>
      <c r="II62" s="125"/>
      <c r="IJ62" s="125"/>
      <c r="IK62" s="125"/>
      <c r="IL62" s="125"/>
      <c r="IM62" s="125"/>
      <c r="IN62" s="125"/>
      <c r="IO62" s="125"/>
      <c r="IP62" s="125"/>
      <c r="IQ62" s="125"/>
      <c r="IR62" s="125"/>
      <c r="IS62" s="125"/>
      <c r="IT62" s="125"/>
      <c r="IU62" s="125"/>
      <c r="IV62" s="125"/>
      <c r="IW62" s="125"/>
      <c r="IX62" s="125"/>
      <c r="IY62" s="125"/>
      <c r="IZ62" s="125"/>
      <c r="JA62" s="125"/>
      <c r="JB62" s="125"/>
      <c r="JC62" s="125"/>
      <c r="JD62" s="125"/>
      <c r="JE62" s="125"/>
      <c r="JF62" s="125"/>
      <c r="JG62" s="125"/>
      <c r="JH62" s="125"/>
      <c r="JI62" s="119">
        <f t="shared" si="0"/>
        <v>271754</v>
      </c>
      <c r="JJ62" s="339">
        <v>820</v>
      </c>
      <c r="JK62" s="122"/>
      <c r="JL62" s="125">
        <f t="shared" si="1"/>
        <v>271754</v>
      </c>
      <c r="JM62" s="1"/>
      <c r="JN62" s="1"/>
      <c r="JO62" s="1"/>
      <c r="JP62" s="1"/>
    </row>
    <row r="63" spans="1:276" x14ac:dyDescent="0.2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  <c r="CW63" s="125"/>
      <c r="CX63" s="125"/>
      <c r="CY63" s="125"/>
      <c r="CZ63" s="125"/>
      <c r="DA63" s="125"/>
      <c r="DB63" s="125"/>
      <c r="DC63" s="125"/>
      <c r="DD63" s="125"/>
      <c r="DE63" s="125"/>
      <c r="DF63" s="125"/>
      <c r="DG63" s="125"/>
      <c r="DH63" s="125"/>
      <c r="DI63" s="125"/>
      <c r="DJ63" s="125"/>
      <c r="DK63" s="125">
        <v>654102.24</v>
      </c>
      <c r="DL63" s="125"/>
      <c r="DM63" s="125"/>
      <c r="DN63" s="125"/>
      <c r="DO63" s="125"/>
      <c r="DP63" s="125"/>
      <c r="DQ63" s="125"/>
      <c r="DR63" s="125"/>
      <c r="DS63" s="125"/>
      <c r="DT63" s="125"/>
      <c r="DU63" s="125"/>
      <c r="DV63" s="125">
        <v>21712</v>
      </c>
      <c r="DW63" s="125"/>
      <c r="DX63" s="125"/>
      <c r="DY63" s="125"/>
      <c r="DZ63" s="125"/>
      <c r="EA63" s="125"/>
      <c r="EB63" s="125"/>
      <c r="EC63" s="125"/>
      <c r="ED63" s="125"/>
      <c r="EE63" s="125"/>
      <c r="EF63" s="125"/>
      <c r="EG63" s="125"/>
      <c r="EH63" s="125"/>
      <c r="EI63" s="125"/>
      <c r="EJ63" s="125"/>
      <c r="EK63" s="125"/>
      <c r="EL63" s="125"/>
      <c r="EM63" s="125"/>
      <c r="EN63" s="125"/>
      <c r="EO63" s="125"/>
      <c r="EP63" s="125"/>
      <c r="EQ63" s="125"/>
      <c r="ER63" s="125"/>
      <c r="ES63" s="125"/>
      <c r="ET63" s="125"/>
      <c r="EU63" s="125"/>
      <c r="EV63" s="125"/>
      <c r="EW63" s="125"/>
      <c r="EX63" s="125"/>
      <c r="EY63" s="125"/>
      <c r="EZ63" s="125"/>
      <c r="FA63" s="125"/>
      <c r="FB63" s="125"/>
      <c r="FC63" s="125"/>
      <c r="FD63" s="125"/>
      <c r="FE63" s="125"/>
      <c r="FF63" s="125"/>
      <c r="FG63" s="125"/>
      <c r="FH63" s="125"/>
      <c r="FI63" s="125"/>
      <c r="FJ63" s="125"/>
      <c r="FK63" s="125"/>
      <c r="FL63" s="125"/>
      <c r="FM63" s="125"/>
      <c r="FN63" s="125"/>
      <c r="FO63" s="125"/>
      <c r="FP63" s="125"/>
      <c r="FQ63" s="125"/>
      <c r="FR63" s="125"/>
      <c r="FS63" s="125"/>
      <c r="FT63" s="125"/>
      <c r="FU63" s="125"/>
      <c r="FV63" s="125"/>
      <c r="FW63" s="125"/>
      <c r="FX63" s="125"/>
      <c r="FY63" s="125"/>
      <c r="FZ63" s="125"/>
      <c r="GA63" s="125"/>
      <c r="GB63" s="125">
        <v>3186</v>
      </c>
      <c r="GC63" s="125"/>
      <c r="GD63" s="125"/>
      <c r="GE63" s="125"/>
      <c r="GF63" s="125"/>
      <c r="GG63" s="125"/>
      <c r="GH63" s="125"/>
      <c r="GI63" s="125"/>
      <c r="GJ63" s="125"/>
      <c r="GK63" s="125"/>
      <c r="GL63" s="125"/>
      <c r="GM63" s="125"/>
      <c r="GN63" s="125"/>
      <c r="GO63" s="125"/>
      <c r="GP63" s="125"/>
      <c r="GQ63" s="125"/>
      <c r="GR63" s="125"/>
      <c r="GS63" s="125"/>
      <c r="GT63" s="125"/>
      <c r="GU63" s="125"/>
      <c r="GV63" s="125"/>
      <c r="GW63" s="125"/>
      <c r="GX63" s="125"/>
      <c r="GY63" s="125"/>
      <c r="GZ63" s="125"/>
      <c r="HA63" s="125"/>
      <c r="HB63" s="125"/>
      <c r="HC63" s="125"/>
      <c r="HD63" s="125"/>
      <c r="HE63" s="125"/>
      <c r="HF63" s="125"/>
      <c r="HG63" s="125"/>
      <c r="HH63" s="125"/>
      <c r="HI63" s="125"/>
      <c r="HJ63" s="125"/>
      <c r="HK63" s="125"/>
      <c r="HL63" s="125"/>
      <c r="HM63" s="125"/>
      <c r="HN63" s="125"/>
      <c r="HO63" s="125"/>
      <c r="HP63" s="125"/>
      <c r="HQ63" s="125"/>
      <c r="HR63" s="125"/>
      <c r="HS63" s="125"/>
      <c r="HT63" s="125"/>
      <c r="HU63" s="125"/>
      <c r="HV63" s="125"/>
      <c r="HW63" s="125"/>
      <c r="HX63" s="125"/>
      <c r="HY63" s="125"/>
      <c r="HZ63" s="125"/>
      <c r="IA63" s="125"/>
      <c r="IB63" s="125"/>
      <c r="IC63" s="125"/>
      <c r="ID63" s="125"/>
      <c r="IE63" s="125"/>
      <c r="IF63" s="125"/>
      <c r="IG63" s="125"/>
      <c r="IH63" s="125"/>
      <c r="II63" s="125"/>
      <c r="IJ63" s="125"/>
      <c r="IK63" s="125"/>
      <c r="IL63" s="125"/>
      <c r="IM63" s="125"/>
      <c r="IN63" s="125"/>
      <c r="IO63" s="125"/>
      <c r="IP63" s="125"/>
      <c r="IQ63" s="125"/>
      <c r="IR63" s="125"/>
      <c r="IS63" s="125"/>
      <c r="IT63" s="125"/>
      <c r="IU63" s="125"/>
      <c r="IV63" s="125"/>
      <c r="IW63" s="125"/>
      <c r="IX63" s="125"/>
      <c r="IY63" s="125"/>
      <c r="IZ63" s="125"/>
      <c r="JA63" s="125"/>
      <c r="JB63" s="125"/>
      <c r="JC63" s="125"/>
      <c r="JD63" s="125"/>
      <c r="JE63" s="125"/>
      <c r="JF63" s="125"/>
      <c r="JG63" s="125"/>
      <c r="JH63" s="125"/>
      <c r="JI63" s="119">
        <f t="shared" si="0"/>
        <v>679000.24</v>
      </c>
      <c r="JJ63" s="339">
        <v>824</v>
      </c>
      <c r="JK63" s="122"/>
      <c r="JL63" s="125">
        <f t="shared" si="1"/>
        <v>679000.24</v>
      </c>
      <c r="JM63" s="1"/>
      <c r="JN63" s="1"/>
      <c r="JO63" s="1"/>
      <c r="JP63" s="1"/>
    </row>
    <row r="64" spans="1:276" x14ac:dyDescent="0.2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125"/>
      <c r="CX64" s="125"/>
      <c r="CY64" s="125"/>
      <c r="CZ64" s="125"/>
      <c r="DA64" s="125"/>
      <c r="DB64" s="125"/>
      <c r="DC64" s="125"/>
      <c r="DD64" s="125"/>
      <c r="DE64" s="125"/>
      <c r="DF64" s="125"/>
      <c r="DG64" s="125"/>
      <c r="DH64" s="125"/>
      <c r="DI64" s="125"/>
      <c r="DJ64" s="125"/>
      <c r="DK64" s="125">
        <v>19520</v>
      </c>
      <c r="DL64" s="125"/>
      <c r="DM64" s="125"/>
      <c r="DN64" s="125"/>
      <c r="DO64" s="125"/>
      <c r="DP64" s="125"/>
      <c r="DQ64" s="125"/>
      <c r="DR64" s="125"/>
      <c r="DS64" s="125"/>
      <c r="DT64" s="125"/>
      <c r="DU64" s="125"/>
      <c r="DV64" s="125"/>
      <c r="DW64" s="125"/>
      <c r="DX64" s="125"/>
      <c r="DY64" s="125"/>
      <c r="DZ64" s="125"/>
      <c r="EA64" s="125"/>
      <c r="EB64" s="125"/>
      <c r="EC64" s="125"/>
      <c r="ED64" s="125"/>
      <c r="EE64" s="125"/>
      <c r="EF64" s="125"/>
      <c r="EG64" s="125"/>
      <c r="EH64" s="125"/>
      <c r="EI64" s="125"/>
      <c r="EJ64" s="125"/>
      <c r="EK64" s="125"/>
      <c r="EL64" s="125"/>
      <c r="EM64" s="125"/>
      <c r="EN64" s="125"/>
      <c r="EO64" s="125"/>
      <c r="EP64" s="125"/>
      <c r="EQ64" s="125"/>
      <c r="ER64" s="125"/>
      <c r="ES64" s="125"/>
      <c r="ET64" s="125"/>
      <c r="EU64" s="125"/>
      <c r="EV64" s="125"/>
      <c r="EW64" s="125"/>
      <c r="EX64" s="125"/>
      <c r="EY64" s="125"/>
      <c r="EZ64" s="125"/>
      <c r="FA64" s="125"/>
      <c r="FB64" s="125"/>
      <c r="FC64" s="125"/>
      <c r="FD64" s="125"/>
      <c r="FE64" s="125"/>
      <c r="FF64" s="125"/>
      <c r="FG64" s="125"/>
      <c r="FH64" s="125"/>
      <c r="FI64" s="125"/>
      <c r="FJ64" s="125"/>
      <c r="FK64" s="125"/>
      <c r="FL64" s="125"/>
      <c r="FM64" s="125"/>
      <c r="FN64" s="125"/>
      <c r="FO64" s="125"/>
      <c r="FP64" s="125"/>
      <c r="FQ64" s="125"/>
      <c r="FR64" s="125"/>
      <c r="FS64" s="125"/>
      <c r="FT64" s="125"/>
      <c r="FU64" s="125"/>
      <c r="FV64" s="125"/>
      <c r="FW64" s="125"/>
      <c r="FX64" s="125"/>
      <c r="FY64" s="125"/>
      <c r="FZ64" s="125"/>
      <c r="GA64" s="125"/>
      <c r="GB64" s="125"/>
      <c r="GC64" s="125"/>
      <c r="GD64" s="125"/>
      <c r="GE64" s="125"/>
      <c r="GF64" s="125"/>
      <c r="GG64" s="125"/>
      <c r="GH64" s="125"/>
      <c r="GI64" s="125"/>
      <c r="GJ64" s="125"/>
      <c r="GK64" s="125"/>
      <c r="GL64" s="125"/>
      <c r="GM64" s="125"/>
      <c r="GN64" s="125"/>
      <c r="GO64" s="125"/>
      <c r="GP64" s="125"/>
      <c r="GQ64" s="125"/>
      <c r="GR64" s="125"/>
      <c r="GS64" s="125"/>
      <c r="GT64" s="125"/>
      <c r="GU64" s="125"/>
      <c r="GV64" s="125"/>
      <c r="GW64" s="125"/>
      <c r="GX64" s="125"/>
      <c r="GY64" s="125"/>
      <c r="GZ64" s="125"/>
      <c r="HA64" s="125"/>
      <c r="HB64" s="125"/>
      <c r="HC64" s="125"/>
      <c r="HD64" s="125"/>
      <c r="HE64" s="125"/>
      <c r="HF64" s="125"/>
      <c r="HG64" s="125"/>
      <c r="HH64" s="125"/>
      <c r="HI64" s="125"/>
      <c r="HJ64" s="125"/>
      <c r="HK64" s="125"/>
      <c r="HL64" s="125"/>
      <c r="HM64" s="125"/>
      <c r="HN64" s="125"/>
      <c r="HO64" s="125"/>
      <c r="HP64" s="125"/>
      <c r="HQ64" s="125"/>
      <c r="HR64" s="125"/>
      <c r="HS64" s="125"/>
      <c r="HT64" s="125"/>
      <c r="HU64" s="125"/>
      <c r="HV64" s="125"/>
      <c r="HW64" s="125"/>
      <c r="HX64" s="125"/>
      <c r="HY64" s="125"/>
      <c r="HZ64" s="125"/>
      <c r="IA64" s="125"/>
      <c r="IB64" s="125"/>
      <c r="IC64" s="125"/>
      <c r="ID64" s="125"/>
      <c r="IE64" s="125"/>
      <c r="IF64" s="125"/>
      <c r="IG64" s="125"/>
      <c r="IH64" s="125"/>
      <c r="II64" s="125"/>
      <c r="IJ64" s="125"/>
      <c r="IK64" s="125"/>
      <c r="IL64" s="125"/>
      <c r="IM64" s="125"/>
      <c r="IN64" s="125"/>
      <c r="IO64" s="125"/>
      <c r="IP64" s="125"/>
      <c r="IQ64" s="125"/>
      <c r="IR64" s="125"/>
      <c r="IS64" s="125"/>
      <c r="IT64" s="125"/>
      <c r="IU64" s="125"/>
      <c r="IV64" s="125"/>
      <c r="IW64" s="125"/>
      <c r="IX64" s="125"/>
      <c r="IY64" s="125"/>
      <c r="IZ64" s="125"/>
      <c r="JA64" s="125"/>
      <c r="JB64" s="125"/>
      <c r="JC64" s="125"/>
      <c r="JD64" s="125"/>
      <c r="JE64" s="125"/>
      <c r="JF64" s="125"/>
      <c r="JG64" s="125"/>
      <c r="JH64" s="125"/>
      <c r="JI64" s="119">
        <f t="shared" si="0"/>
        <v>19520</v>
      </c>
      <c r="JJ64" s="339">
        <v>828</v>
      </c>
      <c r="JK64" s="122"/>
      <c r="JL64" s="125">
        <f t="shared" si="1"/>
        <v>19520</v>
      </c>
      <c r="JM64" s="1"/>
      <c r="JN64" s="1"/>
      <c r="JO64" s="1"/>
      <c r="JP64" s="1"/>
    </row>
    <row r="65" spans="1:276" x14ac:dyDescent="0.2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>
        <v>60535</v>
      </c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  <c r="EM65" s="125"/>
      <c r="EN65" s="125"/>
      <c r="EO65" s="125"/>
      <c r="EP65" s="125"/>
      <c r="EQ65" s="125"/>
      <c r="ER65" s="125"/>
      <c r="ES65" s="125"/>
      <c r="ET65" s="125"/>
      <c r="EU65" s="125"/>
      <c r="EV65" s="125"/>
      <c r="EW65" s="125"/>
      <c r="EX65" s="125"/>
      <c r="EY65" s="125"/>
      <c r="EZ65" s="125"/>
      <c r="FA65" s="125"/>
      <c r="FB65" s="125"/>
      <c r="FC65" s="125"/>
      <c r="FD65" s="125"/>
      <c r="FE65" s="125"/>
      <c r="FF65" s="125"/>
      <c r="FG65" s="125"/>
      <c r="FH65" s="125"/>
      <c r="FI65" s="125"/>
      <c r="FJ65" s="125"/>
      <c r="FK65" s="125"/>
      <c r="FL65" s="125"/>
      <c r="FM65" s="125"/>
      <c r="FN65" s="125"/>
      <c r="FO65" s="125"/>
      <c r="FP65" s="125"/>
      <c r="FQ65" s="125"/>
      <c r="FR65" s="125"/>
      <c r="FS65" s="125"/>
      <c r="FT65" s="125"/>
      <c r="FU65" s="125"/>
      <c r="FV65" s="125"/>
      <c r="FW65" s="125"/>
      <c r="FX65" s="125"/>
      <c r="FY65" s="125"/>
      <c r="FZ65" s="125"/>
      <c r="GA65" s="125"/>
      <c r="GB65" s="125"/>
      <c r="GC65" s="125"/>
      <c r="GD65" s="125"/>
      <c r="GE65" s="125"/>
      <c r="GF65" s="125"/>
      <c r="GG65" s="125"/>
      <c r="GH65" s="125"/>
      <c r="GI65" s="125"/>
      <c r="GJ65" s="125"/>
      <c r="GK65" s="125"/>
      <c r="GL65" s="125"/>
      <c r="GM65" s="125"/>
      <c r="GN65" s="125"/>
      <c r="GO65" s="125"/>
      <c r="GP65" s="125"/>
      <c r="GQ65" s="125"/>
      <c r="GR65" s="125"/>
      <c r="GS65" s="125"/>
      <c r="GT65" s="125"/>
      <c r="GU65" s="125"/>
      <c r="GV65" s="125"/>
      <c r="GW65" s="125"/>
      <c r="GX65" s="125"/>
      <c r="GY65" s="125"/>
      <c r="GZ65" s="125"/>
      <c r="HA65" s="125"/>
      <c r="HB65" s="125"/>
      <c r="HC65" s="125"/>
      <c r="HD65" s="125"/>
      <c r="HE65" s="125"/>
      <c r="HF65" s="125"/>
      <c r="HG65" s="125"/>
      <c r="HH65" s="125"/>
      <c r="HI65" s="125"/>
      <c r="HJ65" s="125"/>
      <c r="HK65" s="125"/>
      <c r="HL65" s="125"/>
      <c r="HM65" s="125"/>
      <c r="HN65" s="125"/>
      <c r="HO65" s="125"/>
      <c r="HP65" s="125"/>
      <c r="HQ65" s="125"/>
      <c r="HR65" s="125"/>
      <c r="HS65" s="125"/>
      <c r="HT65" s="125"/>
      <c r="HU65" s="125"/>
      <c r="HV65" s="125"/>
      <c r="HW65" s="125"/>
      <c r="HX65" s="125"/>
      <c r="HY65" s="125"/>
      <c r="HZ65" s="125"/>
      <c r="IA65" s="125"/>
      <c r="IB65" s="125"/>
      <c r="IC65" s="125"/>
      <c r="ID65" s="125"/>
      <c r="IE65" s="125"/>
      <c r="IF65" s="125"/>
      <c r="IG65" s="125"/>
      <c r="IH65" s="125"/>
      <c r="II65" s="125"/>
      <c r="IJ65" s="125"/>
      <c r="IK65" s="125"/>
      <c r="IL65" s="125"/>
      <c r="IM65" s="125"/>
      <c r="IN65" s="125"/>
      <c r="IO65" s="125"/>
      <c r="IP65" s="125"/>
      <c r="IQ65" s="125"/>
      <c r="IR65" s="125"/>
      <c r="IS65" s="125"/>
      <c r="IT65" s="125"/>
      <c r="IU65" s="125"/>
      <c r="IV65" s="125"/>
      <c r="IW65" s="125"/>
      <c r="IX65" s="125"/>
      <c r="IY65" s="125"/>
      <c r="IZ65" s="125"/>
      <c r="JA65" s="125"/>
      <c r="JB65" s="125"/>
      <c r="JC65" s="125"/>
      <c r="JD65" s="125"/>
      <c r="JE65" s="125"/>
      <c r="JF65" s="125"/>
      <c r="JG65" s="125"/>
      <c r="JH65" s="125"/>
      <c r="JI65" s="119">
        <f t="shared" si="0"/>
        <v>60535</v>
      </c>
      <c r="JJ65" s="339">
        <v>838</v>
      </c>
      <c r="JK65" s="122"/>
      <c r="JL65" s="125">
        <f t="shared" si="1"/>
        <v>60535</v>
      </c>
      <c r="JM65" s="1"/>
      <c r="JN65" s="1"/>
      <c r="JO65" s="1"/>
      <c r="JP65" s="1"/>
    </row>
    <row r="66" spans="1:276" x14ac:dyDescent="0.2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  <c r="DB66" s="125"/>
      <c r="DC66" s="125"/>
      <c r="DD66" s="125"/>
      <c r="DE66" s="125"/>
      <c r="DF66" s="125"/>
      <c r="DG66" s="125"/>
      <c r="DH66" s="125"/>
      <c r="DI66" s="125"/>
      <c r="DJ66" s="125"/>
      <c r="DK66" s="125"/>
      <c r="DL66" s="125"/>
      <c r="DM66" s="125"/>
      <c r="DN66" s="125"/>
      <c r="DO66" s="125"/>
      <c r="DP66" s="125"/>
      <c r="DQ66" s="125"/>
      <c r="DR66" s="125"/>
      <c r="DS66" s="125"/>
      <c r="DT66" s="125"/>
      <c r="DU66" s="125"/>
      <c r="DV66" s="125"/>
      <c r="DW66" s="125"/>
      <c r="DX66" s="125"/>
      <c r="DY66" s="125"/>
      <c r="DZ66" s="125"/>
      <c r="EA66" s="125"/>
      <c r="EB66" s="125"/>
      <c r="EC66" s="125"/>
      <c r="ED66" s="125"/>
      <c r="EE66" s="125"/>
      <c r="EF66" s="125"/>
      <c r="EG66" s="125"/>
      <c r="EH66" s="125"/>
      <c r="EI66" s="125"/>
      <c r="EJ66" s="125"/>
      <c r="EK66" s="125"/>
      <c r="EL66" s="125"/>
      <c r="EM66" s="125"/>
      <c r="EN66" s="125"/>
      <c r="EO66" s="125"/>
      <c r="EP66" s="125"/>
      <c r="EQ66" s="125"/>
      <c r="ER66" s="125"/>
      <c r="ES66" s="125"/>
      <c r="ET66" s="125"/>
      <c r="EU66" s="125"/>
      <c r="EV66" s="125"/>
      <c r="EW66" s="125"/>
      <c r="EX66" s="125"/>
      <c r="EY66" s="125"/>
      <c r="EZ66" s="125"/>
      <c r="FA66" s="125"/>
      <c r="FB66" s="125"/>
      <c r="FC66" s="125"/>
      <c r="FD66" s="125"/>
      <c r="FE66" s="125"/>
      <c r="FF66" s="125"/>
      <c r="FG66" s="125"/>
      <c r="FH66" s="125"/>
      <c r="FI66" s="125"/>
      <c r="FJ66" s="125"/>
      <c r="FK66" s="125"/>
      <c r="FL66" s="125"/>
      <c r="FM66" s="125"/>
      <c r="FN66" s="125"/>
      <c r="FO66" s="125"/>
      <c r="FP66" s="125"/>
      <c r="FQ66" s="125"/>
      <c r="FR66" s="125"/>
      <c r="FS66" s="125"/>
      <c r="FT66" s="125">
        <v>214760</v>
      </c>
      <c r="FU66" s="125"/>
      <c r="FV66" s="125"/>
      <c r="FW66" s="125"/>
      <c r="FX66" s="125"/>
      <c r="FY66" s="125"/>
      <c r="FZ66" s="125"/>
      <c r="GA66" s="125"/>
      <c r="GB66" s="125"/>
      <c r="GC66" s="125"/>
      <c r="GD66" s="125"/>
      <c r="GE66" s="125"/>
      <c r="GF66" s="125"/>
      <c r="GG66" s="125"/>
      <c r="GH66" s="125"/>
      <c r="GI66" s="125"/>
      <c r="GJ66" s="125"/>
      <c r="GK66" s="125"/>
      <c r="GL66" s="125"/>
      <c r="GM66" s="125"/>
      <c r="GN66" s="125"/>
      <c r="GO66" s="125"/>
      <c r="GP66" s="125"/>
      <c r="GQ66" s="125"/>
      <c r="GR66" s="125"/>
      <c r="GS66" s="125"/>
      <c r="GT66" s="125"/>
      <c r="GU66" s="125"/>
      <c r="GV66" s="125"/>
      <c r="GW66" s="125"/>
      <c r="GX66" s="125"/>
      <c r="GY66" s="125"/>
      <c r="GZ66" s="125"/>
      <c r="HA66" s="125"/>
      <c r="HB66" s="125"/>
      <c r="HC66" s="125"/>
      <c r="HD66" s="125"/>
      <c r="HE66" s="125"/>
      <c r="HF66" s="125"/>
      <c r="HG66" s="125"/>
      <c r="HH66" s="125"/>
      <c r="HI66" s="125"/>
      <c r="HJ66" s="125"/>
      <c r="HK66" s="125"/>
      <c r="HL66" s="125"/>
      <c r="HM66" s="125"/>
      <c r="HN66" s="125"/>
      <c r="HO66" s="125"/>
      <c r="HP66" s="125"/>
      <c r="HQ66" s="125"/>
      <c r="HR66" s="125"/>
      <c r="HS66" s="125"/>
      <c r="HT66" s="125"/>
      <c r="HU66" s="125"/>
      <c r="HV66" s="125"/>
      <c r="HW66" s="125"/>
      <c r="HX66" s="125"/>
      <c r="HY66" s="125"/>
      <c r="HZ66" s="125"/>
      <c r="IA66" s="125"/>
      <c r="IB66" s="125"/>
      <c r="IC66" s="125"/>
      <c r="ID66" s="125"/>
      <c r="IE66" s="125"/>
      <c r="IF66" s="125"/>
      <c r="IG66" s="125"/>
      <c r="IH66" s="125"/>
      <c r="II66" s="125"/>
      <c r="IJ66" s="125"/>
      <c r="IK66" s="125"/>
      <c r="IL66" s="125"/>
      <c r="IM66" s="125"/>
      <c r="IN66" s="125"/>
      <c r="IO66" s="125"/>
      <c r="IP66" s="125"/>
      <c r="IQ66" s="125"/>
      <c r="IR66" s="125"/>
      <c r="IS66" s="125"/>
      <c r="IT66" s="125"/>
      <c r="IU66" s="125"/>
      <c r="IV66" s="125"/>
      <c r="IW66" s="125"/>
      <c r="IX66" s="125"/>
      <c r="IY66" s="125"/>
      <c r="IZ66" s="125"/>
      <c r="JA66" s="125"/>
      <c r="JB66" s="125"/>
      <c r="JC66" s="125"/>
      <c r="JD66" s="125"/>
      <c r="JE66" s="125"/>
      <c r="JF66" s="125"/>
      <c r="JG66" s="125"/>
      <c r="JH66" s="125"/>
      <c r="JI66" s="119">
        <f t="shared" si="0"/>
        <v>214760</v>
      </c>
      <c r="JJ66" s="339">
        <v>842</v>
      </c>
      <c r="JK66" s="122"/>
      <c r="JL66" s="125">
        <f t="shared" si="1"/>
        <v>214760</v>
      </c>
      <c r="JM66" s="1"/>
      <c r="JN66" s="1"/>
      <c r="JO66" s="1"/>
      <c r="JP66" s="1"/>
    </row>
    <row r="67" spans="1:276" x14ac:dyDescent="0.2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  <c r="CW67" s="125"/>
      <c r="CX67" s="125"/>
      <c r="CY67" s="125"/>
      <c r="CZ67" s="125"/>
      <c r="DA67" s="125"/>
      <c r="DB67" s="125"/>
      <c r="DC67" s="125"/>
      <c r="DD67" s="125"/>
      <c r="DE67" s="125"/>
      <c r="DF67" s="125"/>
      <c r="DG67" s="125"/>
      <c r="DH67" s="125"/>
      <c r="DI67" s="125"/>
      <c r="DJ67" s="125"/>
      <c r="DK67" s="125"/>
      <c r="DL67" s="125"/>
      <c r="DM67" s="125"/>
      <c r="DN67" s="125"/>
      <c r="DO67" s="125"/>
      <c r="DP67" s="125"/>
      <c r="DQ67" s="125"/>
      <c r="DR67" s="125"/>
      <c r="DS67" s="125"/>
      <c r="DT67" s="125"/>
      <c r="DU67" s="125"/>
      <c r="DV67" s="125"/>
      <c r="DW67" s="125"/>
      <c r="DX67" s="125"/>
      <c r="DY67" s="125"/>
      <c r="DZ67" s="125"/>
      <c r="EA67" s="125">
        <v>218816</v>
      </c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25"/>
      <c r="FV67" s="125"/>
      <c r="FW67" s="125">
        <v>38940</v>
      </c>
      <c r="FX67" s="125"/>
      <c r="FY67" s="125"/>
      <c r="FZ67" s="125"/>
      <c r="GA67" s="125"/>
      <c r="GB67" s="125"/>
      <c r="GC67" s="125"/>
      <c r="GD67" s="125"/>
      <c r="GE67" s="125"/>
      <c r="GF67" s="125"/>
      <c r="GG67" s="125"/>
      <c r="GH67" s="125"/>
      <c r="GI67" s="125"/>
      <c r="GJ67" s="125"/>
      <c r="GK67" s="125"/>
      <c r="GL67" s="125"/>
      <c r="GM67" s="125"/>
      <c r="GN67" s="125"/>
      <c r="GO67" s="125"/>
      <c r="GP67" s="125"/>
      <c r="GQ67" s="125"/>
      <c r="GR67" s="125"/>
      <c r="GS67" s="125"/>
      <c r="GT67" s="125"/>
      <c r="GU67" s="125"/>
      <c r="GV67" s="125"/>
      <c r="GW67" s="125"/>
      <c r="GX67" s="125"/>
      <c r="GY67" s="125"/>
      <c r="GZ67" s="125"/>
      <c r="HA67" s="125"/>
      <c r="HB67" s="125"/>
      <c r="HC67" s="125"/>
      <c r="HD67" s="125"/>
      <c r="HE67" s="125"/>
      <c r="HF67" s="125"/>
      <c r="HG67" s="125"/>
      <c r="HH67" s="125"/>
      <c r="HI67" s="125"/>
      <c r="HJ67" s="125"/>
      <c r="HK67" s="125"/>
      <c r="HL67" s="125"/>
      <c r="HM67" s="125"/>
      <c r="HN67" s="125"/>
      <c r="HO67" s="125"/>
      <c r="HP67" s="125"/>
      <c r="HQ67" s="125"/>
      <c r="HR67" s="125"/>
      <c r="HS67" s="125"/>
      <c r="HT67" s="125"/>
      <c r="HU67" s="125"/>
      <c r="HV67" s="125"/>
      <c r="HW67" s="125"/>
      <c r="HX67" s="125"/>
      <c r="HY67" s="125"/>
      <c r="HZ67" s="125"/>
      <c r="IA67" s="125"/>
      <c r="IB67" s="125"/>
      <c r="IC67" s="125"/>
      <c r="ID67" s="125"/>
      <c r="IE67" s="125"/>
      <c r="IF67" s="125"/>
      <c r="IG67" s="125"/>
      <c r="IH67" s="125"/>
      <c r="II67" s="125"/>
      <c r="IJ67" s="125"/>
      <c r="IK67" s="125"/>
      <c r="IL67" s="125"/>
      <c r="IM67" s="125"/>
      <c r="IN67" s="125"/>
      <c r="IO67" s="125"/>
      <c r="IP67" s="125"/>
      <c r="IQ67" s="125"/>
      <c r="IR67" s="125"/>
      <c r="IS67" s="125"/>
      <c r="IT67" s="125"/>
      <c r="IU67" s="125"/>
      <c r="IV67" s="125"/>
      <c r="IW67" s="125"/>
      <c r="IX67" s="125"/>
      <c r="IY67" s="125"/>
      <c r="IZ67" s="125"/>
      <c r="JA67" s="125"/>
      <c r="JB67" s="125"/>
      <c r="JC67" s="125"/>
      <c r="JD67" s="125"/>
      <c r="JE67" s="125"/>
      <c r="JF67" s="125"/>
      <c r="JG67" s="125"/>
      <c r="JH67" s="125"/>
      <c r="JI67" s="119">
        <f t="shared" si="0"/>
        <v>257756</v>
      </c>
      <c r="JJ67" s="339">
        <v>846</v>
      </c>
      <c r="JK67" s="122"/>
      <c r="JL67" s="125">
        <f t="shared" si="1"/>
        <v>257756</v>
      </c>
      <c r="JM67" s="1"/>
      <c r="JN67" s="1"/>
      <c r="JO67" s="1"/>
      <c r="JP67" s="1"/>
    </row>
    <row r="68" spans="1:276" x14ac:dyDescent="0.2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>
        <v>208010.4</v>
      </c>
      <c r="FU68" s="125"/>
      <c r="FV68" s="125"/>
      <c r="FW68" s="125"/>
      <c r="FX68" s="125"/>
      <c r="FY68" s="125"/>
      <c r="FZ68" s="125"/>
      <c r="GA68" s="125"/>
      <c r="GB68" s="125"/>
      <c r="GC68" s="125"/>
      <c r="GD68" s="125"/>
      <c r="GE68" s="125"/>
      <c r="GF68" s="125"/>
      <c r="GG68" s="125"/>
      <c r="GH68" s="125"/>
      <c r="GI68" s="125"/>
      <c r="GJ68" s="125"/>
      <c r="GK68" s="125"/>
      <c r="GL68" s="125"/>
      <c r="GM68" s="125"/>
      <c r="GN68" s="125"/>
      <c r="GO68" s="125"/>
      <c r="GP68" s="125"/>
      <c r="GQ68" s="125"/>
      <c r="GR68" s="125"/>
      <c r="GS68" s="125"/>
      <c r="GT68" s="125"/>
      <c r="GU68" s="125"/>
      <c r="GV68" s="125"/>
      <c r="GW68" s="125"/>
      <c r="GX68" s="125"/>
      <c r="GY68" s="125"/>
      <c r="GZ68" s="125"/>
      <c r="HA68" s="125"/>
      <c r="HB68" s="125"/>
      <c r="HC68" s="125"/>
      <c r="HD68" s="125"/>
      <c r="HE68" s="125"/>
      <c r="HF68" s="125"/>
      <c r="HG68" s="125"/>
      <c r="HH68" s="125"/>
      <c r="HI68" s="125"/>
      <c r="HJ68" s="125"/>
      <c r="HK68" s="125"/>
      <c r="HL68" s="125"/>
      <c r="HM68" s="125"/>
      <c r="HN68" s="125"/>
      <c r="HO68" s="125"/>
      <c r="HP68" s="125"/>
      <c r="HQ68" s="125"/>
      <c r="HR68" s="125"/>
      <c r="HS68" s="125"/>
      <c r="HT68" s="125"/>
      <c r="HU68" s="125"/>
      <c r="HV68" s="125"/>
      <c r="HW68" s="125"/>
      <c r="HX68" s="125"/>
      <c r="HY68" s="125"/>
      <c r="HZ68" s="125"/>
      <c r="IA68" s="125"/>
      <c r="IB68" s="125"/>
      <c r="IC68" s="125"/>
      <c r="ID68" s="125"/>
      <c r="IE68" s="125"/>
      <c r="IF68" s="125"/>
      <c r="IG68" s="125"/>
      <c r="IH68" s="125"/>
      <c r="II68" s="125"/>
      <c r="IJ68" s="125"/>
      <c r="IK68" s="125"/>
      <c r="IL68" s="125"/>
      <c r="IM68" s="125"/>
      <c r="IN68" s="125"/>
      <c r="IO68" s="125"/>
      <c r="IP68" s="125"/>
      <c r="IQ68" s="125"/>
      <c r="IR68" s="125"/>
      <c r="IS68" s="125"/>
      <c r="IT68" s="125"/>
      <c r="IU68" s="125"/>
      <c r="IV68" s="125"/>
      <c r="IW68" s="125"/>
      <c r="IX68" s="125"/>
      <c r="IY68" s="125"/>
      <c r="IZ68" s="125"/>
      <c r="JA68" s="125"/>
      <c r="JB68" s="125"/>
      <c r="JC68" s="125"/>
      <c r="JD68" s="125"/>
      <c r="JE68" s="125"/>
      <c r="JF68" s="125"/>
      <c r="JG68" s="125"/>
      <c r="JH68" s="125"/>
      <c r="JI68" s="119">
        <f t="shared" ref="JI68:JI100" si="2">SUM(A68:JH68)</f>
        <v>208010.4</v>
      </c>
      <c r="JJ68" s="339">
        <v>850</v>
      </c>
      <c r="JK68" s="122"/>
      <c r="JL68" s="125">
        <f t="shared" ref="JL68:JL126" si="3">+JI68-JK68</f>
        <v>208010.4</v>
      </c>
      <c r="JM68" s="1"/>
      <c r="JN68" s="1"/>
      <c r="JO68" s="1"/>
      <c r="JP68" s="1"/>
    </row>
    <row r="69" spans="1:276" x14ac:dyDescent="0.2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/>
      <c r="DL69" s="125"/>
      <c r="DM69" s="125"/>
      <c r="DN69" s="125"/>
      <c r="DO69" s="125"/>
      <c r="DP69" s="125"/>
      <c r="DQ69" s="125"/>
      <c r="DR69" s="125"/>
      <c r="DS69" s="125"/>
      <c r="DT69" s="125"/>
      <c r="DU69" s="125"/>
      <c r="DV69" s="125"/>
      <c r="DW69" s="125"/>
      <c r="DX69" s="125"/>
      <c r="DY69" s="125"/>
      <c r="DZ69" s="125"/>
      <c r="EA69" s="125">
        <v>12600</v>
      </c>
      <c r="EB69" s="125"/>
      <c r="EC69" s="125"/>
      <c r="ED69" s="125"/>
      <c r="EE69" s="125"/>
      <c r="EF69" s="125"/>
      <c r="EG69" s="125"/>
      <c r="EH69" s="125"/>
      <c r="EI69" s="125"/>
      <c r="EJ69" s="125"/>
      <c r="EK69" s="125"/>
      <c r="EL69" s="125"/>
      <c r="EM69" s="125"/>
      <c r="EN69" s="125"/>
      <c r="EO69" s="125"/>
      <c r="EP69" s="125"/>
      <c r="EQ69" s="125"/>
      <c r="ER69" s="125"/>
      <c r="ES69" s="125"/>
      <c r="ET69" s="125"/>
      <c r="EU69" s="125"/>
      <c r="EV69" s="125"/>
      <c r="EW69" s="125"/>
      <c r="EX69" s="125"/>
      <c r="EY69" s="125"/>
      <c r="EZ69" s="125"/>
      <c r="FA69" s="125"/>
      <c r="FB69" s="125"/>
      <c r="FC69" s="125"/>
      <c r="FD69" s="125"/>
      <c r="FE69" s="125"/>
      <c r="FF69" s="125"/>
      <c r="FG69" s="125"/>
      <c r="FH69" s="125"/>
      <c r="FI69" s="125"/>
      <c r="FJ69" s="125"/>
      <c r="FK69" s="125"/>
      <c r="FL69" s="125"/>
      <c r="FM69" s="125"/>
      <c r="FN69" s="125"/>
      <c r="FO69" s="125"/>
      <c r="FP69" s="125"/>
      <c r="FQ69" s="125"/>
      <c r="FR69" s="125"/>
      <c r="FS69" s="125"/>
      <c r="FT69" s="125">
        <v>18292.95</v>
      </c>
      <c r="FU69" s="125"/>
      <c r="FV69" s="125"/>
      <c r="FW69" s="125"/>
      <c r="FX69" s="125"/>
      <c r="FY69" s="125"/>
      <c r="FZ69" s="125"/>
      <c r="GA69" s="125"/>
      <c r="GB69" s="125"/>
      <c r="GC69" s="125"/>
      <c r="GD69" s="125"/>
      <c r="GE69" s="125"/>
      <c r="GF69" s="125"/>
      <c r="GG69" s="125"/>
      <c r="GH69" s="125"/>
      <c r="GI69" s="125"/>
      <c r="GJ69" s="125"/>
      <c r="GK69" s="125"/>
      <c r="GL69" s="125"/>
      <c r="GM69" s="125"/>
      <c r="GN69" s="125"/>
      <c r="GO69" s="125"/>
      <c r="GP69" s="125"/>
      <c r="GQ69" s="125"/>
      <c r="GR69" s="125"/>
      <c r="GS69" s="125"/>
      <c r="GT69" s="125"/>
      <c r="GU69" s="125"/>
      <c r="GV69" s="125"/>
      <c r="GW69" s="125"/>
      <c r="GX69" s="125"/>
      <c r="GY69" s="125"/>
      <c r="GZ69" s="125"/>
      <c r="HA69" s="125"/>
      <c r="HB69" s="125"/>
      <c r="HC69" s="125"/>
      <c r="HD69" s="125"/>
      <c r="HE69" s="125"/>
      <c r="HF69" s="125"/>
      <c r="HG69" s="125"/>
      <c r="HH69" s="125"/>
      <c r="HI69" s="125"/>
      <c r="HJ69" s="125"/>
      <c r="HK69" s="125"/>
      <c r="HL69" s="125"/>
      <c r="HM69" s="125"/>
      <c r="HN69" s="125"/>
      <c r="HO69" s="125"/>
      <c r="HP69" s="125"/>
      <c r="HQ69" s="125"/>
      <c r="HR69" s="125"/>
      <c r="HS69" s="125"/>
      <c r="HT69" s="125"/>
      <c r="HU69" s="125"/>
      <c r="HV69" s="125"/>
      <c r="HW69" s="125"/>
      <c r="HX69" s="125"/>
      <c r="HY69" s="125"/>
      <c r="HZ69" s="125"/>
      <c r="IA69" s="125"/>
      <c r="IB69" s="125"/>
      <c r="IC69" s="125"/>
      <c r="ID69" s="125"/>
      <c r="IE69" s="125"/>
      <c r="IF69" s="125"/>
      <c r="IG69" s="125"/>
      <c r="IH69" s="125"/>
      <c r="II69" s="125"/>
      <c r="IJ69" s="125"/>
      <c r="IK69" s="125"/>
      <c r="IL69" s="125"/>
      <c r="IM69" s="125"/>
      <c r="IN69" s="125"/>
      <c r="IO69" s="125"/>
      <c r="IP69" s="125"/>
      <c r="IQ69" s="125"/>
      <c r="IR69" s="125"/>
      <c r="IS69" s="125"/>
      <c r="IT69" s="125"/>
      <c r="IU69" s="125"/>
      <c r="IV69" s="125"/>
      <c r="IW69" s="125"/>
      <c r="IX69" s="125"/>
      <c r="IY69" s="125"/>
      <c r="IZ69" s="125"/>
      <c r="JA69" s="125"/>
      <c r="JB69" s="125"/>
      <c r="JC69" s="125"/>
      <c r="JD69" s="125"/>
      <c r="JE69" s="125"/>
      <c r="JF69" s="125"/>
      <c r="JG69" s="125"/>
      <c r="JH69" s="125"/>
      <c r="JI69" s="119">
        <f t="shared" si="2"/>
        <v>30892.95</v>
      </c>
      <c r="JJ69" s="339">
        <v>854</v>
      </c>
      <c r="JK69" s="122"/>
      <c r="JL69" s="125">
        <f t="shared" si="3"/>
        <v>30892.95</v>
      </c>
      <c r="JM69" s="1"/>
      <c r="JN69" s="1"/>
      <c r="JO69" s="1"/>
      <c r="JP69" s="1"/>
    </row>
    <row r="70" spans="1:276" x14ac:dyDescent="0.2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  <c r="CW70" s="125"/>
      <c r="CX70" s="125"/>
      <c r="CY70" s="125"/>
      <c r="CZ70" s="125"/>
      <c r="DA70" s="125"/>
      <c r="DB70" s="125"/>
      <c r="DC70" s="125"/>
      <c r="DD70" s="125"/>
      <c r="DE70" s="125"/>
      <c r="DF70" s="125"/>
      <c r="DG70" s="125"/>
      <c r="DH70" s="125"/>
      <c r="DI70" s="125"/>
      <c r="DJ70" s="125"/>
      <c r="DK70" s="125"/>
      <c r="DL70" s="125"/>
      <c r="DM70" s="125"/>
      <c r="DN70" s="125"/>
      <c r="DO70" s="125"/>
      <c r="DP70" s="125"/>
      <c r="DQ70" s="125"/>
      <c r="DR70" s="125"/>
      <c r="DS70" s="125"/>
      <c r="DT70" s="125"/>
      <c r="DU70" s="125"/>
      <c r="DV70" s="125"/>
      <c r="DW70" s="125"/>
      <c r="DX70" s="125"/>
      <c r="DY70" s="125"/>
      <c r="DZ70" s="125"/>
      <c r="EA70" s="125"/>
      <c r="EB70" s="125"/>
      <c r="EC70" s="125"/>
      <c r="ED70" s="125"/>
      <c r="EE70" s="125"/>
      <c r="EF70" s="125"/>
      <c r="EG70" s="125"/>
      <c r="EH70" s="125"/>
      <c r="EI70" s="125"/>
      <c r="EJ70" s="125"/>
      <c r="EK70" s="125"/>
      <c r="EL70" s="125"/>
      <c r="EM70" s="125"/>
      <c r="EN70" s="125"/>
      <c r="EO70" s="125"/>
      <c r="EP70" s="125"/>
      <c r="EQ70" s="125"/>
      <c r="ER70" s="125"/>
      <c r="ES70" s="125"/>
      <c r="ET70" s="125"/>
      <c r="EU70" s="125"/>
      <c r="EV70" s="125"/>
      <c r="EW70" s="125"/>
      <c r="EX70" s="125"/>
      <c r="EY70" s="125"/>
      <c r="EZ70" s="125"/>
      <c r="FA70" s="125"/>
      <c r="FB70" s="125"/>
      <c r="FC70" s="125"/>
      <c r="FD70" s="125"/>
      <c r="FE70" s="125"/>
      <c r="FF70" s="125"/>
      <c r="FG70" s="125"/>
      <c r="FH70" s="125"/>
      <c r="FI70" s="125"/>
      <c r="FJ70" s="125"/>
      <c r="FK70" s="125"/>
      <c r="FL70" s="125"/>
      <c r="FM70" s="125"/>
      <c r="FN70" s="125"/>
      <c r="FO70" s="125"/>
      <c r="FP70" s="125"/>
      <c r="FQ70" s="125"/>
      <c r="FR70" s="125"/>
      <c r="FS70" s="125"/>
      <c r="FT70" s="125"/>
      <c r="FU70" s="125"/>
      <c r="FV70" s="125"/>
      <c r="FW70" s="125"/>
      <c r="FX70" s="125"/>
      <c r="FY70" s="125"/>
      <c r="FZ70" s="125"/>
      <c r="GA70" s="125"/>
      <c r="GB70" s="125"/>
      <c r="GC70" s="125"/>
      <c r="GD70" s="125"/>
      <c r="GE70" s="125"/>
      <c r="GF70" s="125"/>
      <c r="GG70" s="125"/>
      <c r="GH70" s="125"/>
      <c r="GI70" s="125"/>
      <c r="GJ70" s="125"/>
      <c r="GK70" s="125"/>
      <c r="GL70" s="125"/>
      <c r="GM70" s="125"/>
      <c r="GN70" s="125"/>
      <c r="GO70" s="125"/>
      <c r="GP70" s="125"/>
      <c r="GQ70" s="125">
        <v>1882100</v>
      </c>
      <c r="GR70" s="125"/>
      <c r="GS70" s="125"/>
      <c r="GT70" s="125"/>
      <c r="GU70" s="125"/>
      <c r="GV70" s="125"/>
      <c r="GW70" s="125"/>
      <c r="GX70" s="125"/>
      <c r="GY70" s="125"/>
      <c r="GZ70" s="125"/>
      <c r="HA70" s="125"/>
      <c r="HB70" s="125"/>
      <c r="HC70" s="125"/>
      <c r="HD70" s="125"/>
      <c r="HE70" s="125"/>
      <c r="HF70" s="125"/>
      <c r="HG70" s="125"/>
      <c r="HH70" s="125"/>
      <c r="HI70" s="125"/>
      <c r="HJ70" s="125"/>
      <c r="HK70" s="125"/>
      <c r="HL70" s="125"/>
      <c r="HM70" s="125"/>
      <c r="HN70" s="125"/>
      <c r="HO70" s="125"/>
      <c r="HP70" s="125"/>
      <c r="HQ70" s="125"/>
      <c r="HR70" s="125"/>
      <c r="HS70" s="125"/>
      <c r="HT70" s="125"/>
      <c r="HU70" s="125"/>
      <c r="HV70" s="125"/>
      <c r="HW70" s="125"/>
      <c r="HX70" s="125"/>
      <c r="HY70" s="125"/>
      <c r="HZ70" s="125"/>
      <c r="IA70" s="125"/>
      <c r="IB70" s="125"/>
      <c r="IC70" s="125"/>
      <c r="ID70" s="125"/>
      <c r="IE70" s="125"/>
      <c r="IF70" s="125"/>
      <c r="IG70" s="125"/>
      <c r="IH70" s="125"/>
      <c r="II70" s="125"/>
      <c r="IJ70" s="125"/>
      <c r="IK70" s="125"/>
      <c r="IL70" s="125"/>
      <c r="IM70" s="125"/>
      <c r="IN70" s="125"/>
      <c r="IO70" s="125"/>
      <c r="IP70" s="125"/>
      <c r="IQ70" s="125"/>
      <c r="IR70" s="125"/>
      <c r="IS70" s="125"/>
      <c r="IT70" s="125"/>
      <c r="IU70" s="125"/>
      <c r="IV70" s="125"/>
      <c r="IW70" s="125"/>
      <c r="IX70" s="125"/>
      <c r="IY70" s="125"/>
      <c r="IZ70" s="125"/>
      <c r="JA70" s="125"/>
      <c r="JB70" s="125"/>
      <c r="JC70" s="125"/>
      <c r="JD70" s="125"/>
      <c r="JE70" s="125"/>
      <c r="JF70" s="125"/>
      <c r="JG70" s="125"/>
      <c r="JH70" s="125"/>
      <c r="JI70" s="119">
        <f t="shared" si="2"/>
        <v>1882100</v>
      </c>
      <c r="JJ70" s="339">
        <v>858</v>
      </c>
      <c r="JK70" s="122"/>
      <c r="JL70" s="125">
        <f t="shared" si="3"/>
        <v>1882100</v>
      </c>
      <c r="JM70" s="1"/>
      <c r="JN70" s="1"/>
      <c r="JO70" s="1"/>
      <c r="JP70" s="1"/>
    </row>
    <row r="71" spans="1:276" x14ac:dyDescent="0.2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5"/>
      <c r="DD71" s="125"/>
      <c r="DE71" s="125"/>
      <c r="DF71" s="125"/>
      <c r="DG71" s="125"/>
      <c r="DH71" s="125"/>
      <c r="DI71" s="125"/>
      <c r="DJ71" s="125"/>
      <c r="DK71" s="125"/>
      <c r="DL71" s="125"/>
      <c r="DM71" s="125"/>
      <c r="DN71" s="125"/>
      <c r="DO71" s="125"/>
      <c r="DP71" s="125"/>
      <c r="DQ71" s="125"/>
      <c r="DR71" s="125"/>
      <c r="DS71" s="125"/>
      <c r="DT71" s="125"/>
      <c r="DU71" s="125"/>
      <c r="DV71" s="125"/>
      <c r="DW71" s="125"/>
      <c r="DX71" s="125"/>
      <c r="DY71" s="125"/>
      <c r="DZ71" s="125"/>
      <c r="EA71" s="125"/>
      <c r="EB71" s="125"/>
      <c r="EC71" s="125"/>
      <c r="ED71" s="125"/>
      <c r="EE71" s="125"/>
      <c r="EF71" s="125"/>
      <c r="EG71" s="125"/>
      <c r="EH71" s="125"/>
      <c r="EI71" s="125"/>
      <c r="EJ71" s="125"/>
      <c r="EK71" s="125"/>
      <c r="EL71" s="125"/>
      <c r="EM71" s="125"/>
      <c r="EN71" s="125"/>
      <c r="EO71" s="125"/>
      <c r="EP71" s="125"/>
      <c r="EQ71" s="125"/>
      <c r="ER71" s="125"/>
      <c r="ES71" s="125"/>
      <c r="ET71" s="125"/>
      <c r="EU71" s="125"/>
      <c r="EV71" s="125"/>
      <c r="EW71" s="125"/>
      <c r="EX71" s="125"/>
      <c r="EY71" s="125"/>
      <c r="EZ71" s="125"/>
      <c r="FA71" s="125"/>
      <c r="FB71" s="125"/>
      <c r="FC71" s="125"/>
      <c r="FD71" s="125"/>
      <c r="FE71" s="125"/>
      <c r="FF71" s="125"/>
      <c r="FG71" s="125"/>
      <c r="FH71" s="125"/>
      <c r="FI71" s="125"/>
      <c r="FJ71" s="125"/>
      <c r="FK71" s="125"/>
      <c r="FL71" s="125"/>
      <c r="FM71" s="125"/>
      <c r="FN71" s="125"/>
      <c r="FO71" s="125"/>
      <c r="FP71" s="125"/>
      <c r="FQ71" s="125"/>
      <c r="FR71" s="125"/>
      <c r="FS71" s="125"/>
      <c r="FT71" s="125"/>
      <c r="FU71" s="125"/>
      <c r="FV71" s="125"/>
      <c r="FW71" s="125"/>
      <c r="FX71" s="125"/>
      <c r="FY71" s="125"/>
      <c r="FZ71" s="125"/>
      <c r="GA71" s="125"/>
      <c r="GB71" s="125"/>
      <c r="GC71" s="125"/>
      <c r="GD71" s="125"/>
      <c r="GE71" s="125"/>
      <c r="GF71" s="125"/>
      <c r="GG71" s="125"/>
      <c r="GH71" s="125"/>
      <c r="GI71" s="125"/>
      <c r="GJ71" s="125"/>
      <c r="GK71" s="125"/>
      <c r="GL71" s="125"/>
      <c r="GM71" s="125"/>
      <c r="GN71" s="125"/>
      <c r="GO71" s="125"/>
      <c r="GP71" s="125"/>
      <c r="GQ71" s="125">
        <v>1787700</v>
      </c>
      <c r="GR71" s="125"/>
      <c r="GS71" s="125"/>
      <c r="GT71" s="125"/>
      <c r="GU71" s="125"/>
      <c r="GV71" s="125"/>
      <c r="GW71" s="125"/>
      <c r="GX71" s="125"/>
      <c r="GY71" s="125"/>
      <c r="GZ71" s="125"/>
      <c r="HA71" s="125"/>
      <c r="HB71" s="125"/>
      <c r="HC71" s="125"/>
      <c r="HD71" s="125"/>
      <c r="HE71" s="125"/>
      <c r="HF71" s="125"/>
      <c r="HG71" s="125"/>
      <c r="HH71" s="125"/>
      <c r="HI71" s="125"/>
      <c r="HJ71" s="125"/>
      <c r="HK71" s="125"/>
      <c r="HL71" s="125"/>
      <c r="HM71" s="125"/>
      <c r="HN71" s="125"/>
      <c r="HO71" s="125"/>
      <c r="HP71" s="125"/>
      <c r="HQ71" s="125"/>
      <c r="HR71" s="125"/>
      <c r="HS71" s="125"/>
      <c r="HT71" s="125"/>
      <c r="HU71" s="125"/>
      <c r="HV71" s="125"/>
      <c r="HW71" s="125"/>
      <c r="HX71" s="125"/>
      <c r="HY71" s="125"/>
      <c r="HZ71" s="125"/>
      <c r="IA71" s="125"/>
      <c r="IB71" s="125"/>
      <c r="IC71" s="125"/>
      <c r="ID71" s="125"/>
      <c r="IE71" s="125"/>
      <c r="IF71" s="125"/>
      <c r="IG71" s="125"/>
      <c r="IH71" s="125"/>
      <c r="II71" s="125"/>
      <c r="IJ71" s="125"/>
      <c r="IK71" s="125"/>
      <c r="IL71" s="125"/>
      <c r="IM71" s="125"/>
      <c r="IN71" s="125"/>
      <c r="IO71" s="125"/>
      <c r="IP71" s="125"/>
      <c r="IQ71" s="125"/>
      <c r="IR71" s="125"/>
      <c r="IS71" s="125"/>
      <c r="IT71" s="125"/>
      <c r="IU71" s="125"/>
      <c r="IV71" s="125"/>
      <c r="IW71" s="125"/>
      <c r="IX71" s="125"/>
      <c r="IY71" s="125"/>
      <c r="IZ71" s="125"/>
      <c r="JA71" s="125"/>
      <c r="JB71" s="125"/>
      <c r="JC71" s="125"/>
      <c r="JD71" s="125"/>
      <c r="JE71" s="125"/>
      <c r="JF71" s="125"/>
      <c r="JG71" s="125"/>
      <c r="JH71" s="125"/>
      <c r="JI71" s="119">
        <f t="shared" si="2"/>
        <v>1787700</v>
      </c>
      <c r="JJ71" s="339">
        <v>862</v>
      </c>
      <c r="JK71" s="122"/>
      <c r="JL71" s="125">
        <f t="shared" si="3"/>
        <v>1787700</v>
      </c>
      <c r="JM71" s="1"/>
      <c r="JN71" s="1"/>
      <c r="JO71" s="1"/>
      <c r="JP71" s="1"/>
    </row>
    <row r="72" spans="1:276" x14ac:dyDescent="0.2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  <c r="CW72" s="125"/>
      <c r="CX72" s="125"/>
      <c r="CY72" s="125"/>
      <c r="CZ72" s="125"/>
      <c r="DA72" s="125"/>
      <c r="DB72" s="125"/>
      <c r="DC72" s="125"/>
      <c r="DD72" s="125"/>
      <c r="DE72" s="125"/>
      <c r="DF72" s="125"/>
      <c r="DG72" s="125"/>
      <c r="DH72" s="125"/>
      <c r="DI72" s="125"/>
      <c r="DJ72" s="125"/>
      <c r="DK72" s="125"/>
      <c r="DL72" s="125"/>
      <c r="DM72" s="125"/>
      <c r="DN72" s="125"/>
      <c r="DO72" s="125"/>
      <c r="DP72" s="125"/>
      <c r="DQ72" s="125"/>
      <c r="DR72" s="125"/>
      <c r="DS72" s="125"/>
      <c r="DT72" s="125"/>
      <c r="DU72" s="125"/>
      <c r="DV72" s="125"/>
      <c r="DW72" s="125"/>
      <c r="DX72" s="125"/>
      <c r="DY72" s="125"/>
      <c r="DZ72" s="125"/>
      <c r="EA72" s="125"/>
      <c r="EB72" s="125"/>
      <c r="EC72" s="125"/>
      <c r="ED72" s="125"/>
      <c r="EE72" s="125"/>
      <c r="EF72" s="125"/>
      <c r="EG72" s="125">
        <v>334708.95</v>
      </c>
      <c r="EH72" s="125"/>
      <c r="EI72" s="125"/>
      <c r="EJ72" s="125"/>
      <c r="EK72" s="125"/>
      <c r="EL72" s="125"/>
      <c r="EM72" s="125"/>
      <c r="EN72" s="125"/>
      <c r="EO72" s="125"/>
      <c r="EP72" s="125"/>
      <c r="EQ72" s="125"/>
      <c r="ER72" s="125"/>
      <c r="ES72" s="125"/>
      <c r="ET72" s="125"/>
      <c r="EU72" s="125"/>
      <c r="EV72" s="125"/>
      <c r="EW72" s="125"/>
      <c r="EX72" s="125"/>
      <c r="EY72" s="125"/>
      <c r="EZ72" s="125"/>
      <c r="FA72" s="125"/>
      <c r="FB72" s="125"/>
      <c r="FC72" s="125"/>
      <c r="FD72" s="125"/>
      <c r="FE72" s="125"/>
      <c r="FF72" s="125"/>
      <c r="FG72" s="125"/>
      <c r="FH72" s="125"/>
      <c r="FI72" s="125"/>
      <c r="FJ72" s="125"/>
      <c r="FK72" s="125"/>
      <c r="FL72" s="125"/>
      <c r="FM72" s="125"/>
      <c r="FN72" s="125"/>
      <c r="FO72" s="125"/>
      <c r="FP72" s="125"/>
      <c r="FQ72" s="125"/>
      <c r="FR72" s="125"/>
      <c r="FS72" s="125"/>
      <c r="FT72" s="125"/>
      <c r="FU72" s="125"/>
      <c r="FV72" s="125"/>
      <c r="FW72" s="125"/>
      <c r="FX72" s="125"/>
      <c r="FY72" s="125"/>
      <c r="FZ72" s="125"/>
      <c r="GA72" s="125"/>
      <c r="GB72" s="125"/>
      <c r="GC72" s="125"/>
      <c r="GD72" s="125"/>
      <c r="GE72" s="125"/>
      <c r="GF72" s="125"/>
      <c r="GG72" s="125"/>
      <c r="GH72" s="125"/>
      <c r="GI72" s="125"/>
      <c r="GJ72" s="125"/>
      <c r="GK72" s="125"/>
      <c r="GL72" s="125"/>
      <c r="GM72" s="125"/>
      <c r="GN72" s="125"/>
      <c r="GO72" s="125"/>
      <c r="GP72" s="125"/>
      <c r="GQ72" s="125"/>
      <c r="GR72" s="125"/>
      <c r="GS72" s="125"/>
      <c r="GT72" s="125"/>
      <c r="GU72" s="125"/>
      <c r="GV72" s="125"/>
      <c r="GW72" s="125"/>
      <c r="GX72" s="125"/>
      <c r="GY72" s="125"/>
      <c r="GZ72" s="125"/>
      <c r="HA72" s="125"/>
      <c r="HB72" s="125"/>
      <c r="HC72" s="125"/>
      <c r="HD72" s="125"/>
      <c r="HE72" s="125"/>
      <c r="HF72" s="125"/>
      <c r="HG72" s="125"/>
      <c r="HH72" s="125"/>
      <c r="HI72" s="125"/>
      <c r="HJ72" s="125"/>
      <c r="HK72" s="125"/>
      <c r="HL72" s="125"/>
      <c r="HM72" s="125"/>
      <c r="HN72" s="125"/>
      <c r="HO72" s="125"/>
      <c r="HP72" s="125"/>
      <c r="HQ72" s="125"/>
      <c r="HR72" s="125"/>
      <c r="HS72" s="125"/>
      <c r="HT72" s="125"/>
      <c r="HU72" s="125"/>
      <c r="HV72" s="125"/>
      <c r="HW72" s="125"/>
      <c r="HX72" s="125"/>
      <c r="HY72" s="125"/>
      <c r="HZ72" s="125"/>
      <c r="IA72" s="125"/>
      <c r="IB72" s="125"/>
      <c r="IC72" s="125"/>
      <c r="ID72" s="125"/>
      <c r="IE72" s="125"/>
      <c r="IF72" s="125"/>
      <c r="IG72" s="125"/>
      <c r="IH72" s="125"/>
      <c r="II72" s="125"/>
      <c r="IJ72" s="125"/>
      <c r="IK72" s="125"/>
      <c r="IL72" s="125"/>
      <c r="IM72" s="125"/>
      <c r="IN72" s="125"/>
      <c r="IO72" s="125"/>
      <c r="IP72" s="125"/>
      <c r="IQ72" s="125"/>
      <c r="IR72" s="125"/>
      <c r="IS72" s="125"/>
      <c r="IT72" s="125"/>
      <c r="IU72" s="125"/>
      <c r="IV72" s="125"/>
      <c r="IW72" s="125"/>
      <c r="IX72" s="125"/>
      <c r="IY72" s="125"/>
      <c r="IZ72" s="125"/>
      <c r="JA72" s="125"/>
      <c r="JB72" s="125"/>
      <c r="JC72" s="125"/>
      <c r="JD72" s="125"/>
      <c r="JE72" s="125"/>
      <c r="JF72" s="125"/>
      <c r="JG72" s="125"/>
      <c r="JH72" s="125"/>
      <c r="JI72" s="119">
        <f t="shared" si="2"/>
        <v>334708.95</v>
      </c>
      <c r="JJ72" s="339">
        <v>867</v>
      </c>
      <c r="JK72" s="122"/>
      <c r="JL72" s="125">
        <f t="shared" si="3"/>
        <v>334708.95</v>
      </c>
      <c r="JM72" s="1"/>
      <c r="JN72" s="1"/>
      <c r="JO72" s="1"/>
      <c r="JP72" s="1"/>
    </row>
    <row r="73" spans="1:276" x14ac:dyDescent="0.2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>
        <v>45000</v>
      </c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  <c r="CW73" s="125"/>
      <c r="CX73" s="125"/>
      <c r="CY73" s="125"/>
      <c r="CZ73" s="125"/>
      <c r="DA73" s="125"/>
      <c r="DB73" s="125"/>
      <c r="DC73" s="125"/>
      <c r="DD73" s="125"/>
      <c r="DE73" s="125"/>
      <c r="DF73" s="125"/>
      <c r="DG73" s="125"/>
      <c r="DH73" s="125"/>
      <c r="DI73" s="125"/>
      <c r="DJ73" s="125"/>
      <c r="DK73" s="125"/>
      <c r="DL73" s="125"/>
      <c r="DM73" s="125"/>
      <c r="DN73" s="125"/>
      <c r="DO73" s="125"/>
      <c r="DP73" s="125"/>
      <c r="DQ73" s="125"/>
      <c r="DR73" s="125"/>
      <c r="DS73" s="125"/>
      <c r="DT73" s="125"/>
      <c r="DU73" s="125"/>
      <c r="DV73" s="125"/>
      <c r="DW73" s="125"/>
      <c r="DX73" s="125"/>
      <c r="DY73" s="125"/>
      <c r="DZ73" s="125"/>
      <c r="EA73" s="125"/>
      <c r="EB73" s="125"/>
      <c r="EC73" s="125"/>
      <c r="ED73" s="125"/>
      <c r="EE73" s="125"/>
      <c r="EF73" s="125"/>
      <c r="EG73" s="125"/>
      <c r="EH73" s="125"/>
      <c r="EI73" s="125"/>
      <c r="EJ73" s="125"/>
      <c r="EK73" s="125"/>
      <c r="EL73" s="125"/>
      <c r="EM73" s="125"/>
      <c r="EN73" s="125"/>
      <c r="EO73" s="125"/>
      <c r="EP73" s="125"/>
      <c r="EQ73" s="125"/>
      <c r="ER73" s="125"/>
      <c r="ES73" s="125"/>
      <c r="ET73" s="125"/>
      <c r="EU73" s="125"/>
      <c r="EV73" s="125"/>
      <c r="EW73" s="125"/>
      <c r="EX73" s="125"/>
      <c r="EY73" s="125"/>
      <c r="EZ73" s="125"/>
      <c r="FA73" s="125"/>
      <c r="FB73" s="125"/>
      <c r="FC73" s="125"/>
      <c r="FD73" s="125"/>
      <c r="FE73" s="125"/>
      <c r="FF73" s="125"/>
      <c r="FG73" s="125"/>
      <c r="FH73" s="125"/>
      <c r="FI73" s="125"/>
      <c r="FJ73" s="125"/>
      <c r="FK73" s="125"/>
      <c r="FL73" s="125"/>
      <c r="FM73" s="125"/>
      <c r="FN73" s="125"/>
      <c r="FO73" s="125"/>
      <c r="FP73" s="125"/>
      <c r="FQ73" s="125"/>
      <c r="FR73" s="125"/>
      <c r="FS73" s="125"/>
      <c r="FT73" s="125"/>
      <c r="FU73" s="125"/>
      <c r="FV73" s="125"/>
      <c r="FW73" s="125"/>
      <c r="FX73" s="125"/>
      <c r="FY73" s="125"/>
      <c r="FZ73" s="125"/>
      <c r="GA73" s="125"/>
      <c r="GB73" s="125"/>
      <c r="GC73" s="125"/>
      <c r="GD73" s="125"/>
      <c r="GE73" s="125"/>
      <c r="GF73" s="125"/>
      <c r="GG73" s="125"/>
      <c r="GH73" s="125"/>
      <c r="GI73" s="125"/>
      <c r="GJ73" s="125"/>
      <c r="GK73" s="125"/>
      <c r="GL73" s="125"/>
      <c r="GM73" s="125"/>
      <c r="GN73" s="125"/>
      <c r="GO73" s="125"/>
      <c r="GP73" s="125"/>
      <c r="GQ73" s="125"/>
      <c r="GR73" s="125"/>
      <c r="GS73" s="125"/>
      <c r="GT73" s="125"/>
      <c r="GU73" s="125"/>
      <c r="GV73" s="125"/>
      <c r="GW73" s="125"/>
      <c r="GX73" s="125"/>
      <c r="GY73" s="125"/>
      <c r="GZ73" s="125"/>
      <c r="HA73" s="125"/>
      <c r="HB73" s="125"/>
      <c r="HC73" s="125"/>
      <c r="HD73" s="125"/>
      <c r="HE73" s="125"/>
      <c r="HF73" s="125"/>
      <c r="HG73" s="125"/>
      <c r="HH73" s="125"/>
      <c r="HI73" s="125"/>
      <c r="HJ73" s="125"/>
      <c r="HK73" s="125"/>
      <c r="HL73" s="125"/>
      <c r="HM73" s="125"/>
      <c r="HN73" s="125"/>
      <c r="HO73" s="125"/>
      <c r="HP73" s="125"/>
      <c r="HQ73" s="125"/>
      <c r="HR73" s="125"/>
      <c r="HS73" s="125"/>
      <c r="HT73" s="125"/>
      <c r="HU73" s="125"/>
      <c r="HV73" s="125"/>
      <c r="HW73" s="125"/>
      <c r="HX73" s="125"/>
      <c r="HY73" s="125"/>
      <c r="HZ73" s="125"/>
      <c r="IA73" s="125"/>
      <c r="IB73" s="125"/>
      <c r="IC73" s="125"/>
      <c r="ID73" s="125"/>
      <c r="IE73" s="125"/>
      <c r="IF73" s="125"/>
      <c r="IG73" s="125"/>
      <c r="IH73" s="125"/>
      <c r="II73" s="125"/>
      <c r="IJ73" s="125"/>
      <c r="IK73" s="125"/>
      <c r="IL73" s="125"/>
      <c r="IM73" s="125"/>
      <c r="IN73" s="125"/>
      <c r="IO73" s="125"/>
      <c r="IP73" s="125"/>
      <c r="IQ73" s="125"/>
      <c r="IR73" s="125"/>
      <c r="IS73" s="125"/>
      <c r="IT73" s="125"/>
      <c r="IU73" s="125"/>
      <c r="IV73" s="125"/>
      <c r="IW73" s="125"/>
      <c r="IX73" s="125"/>
      <c r="IY73" s="125"/>
      <c r="IZ73" s="125"/>
      <c r="JA73" s="125"/>
      <c r="JB73" s="125"/>
      <c r="JC73" s="125"/>
      <c r="JD73" s="125"/>
      <c r="JE73" s="125"/>
      <c r="JF73" s="125"/>
      <c r="JG73" s="125"/>
      <c r="JH73" s="125"/>
      <c r="JI73" s="119">
        <f t="shared" si="2"/>
        <v>45000</v>
      </c>
      <c r="JJ73" s="339">
        <v>871</v>
      </c>
      <c r="JK73" s="122"/>
      <c r="JL73" s="125">
        <f t="shared" si="3"/>
        <v>45000</v>
      </c>
      <c r="JM73" s="1"/>
      <c r="JN73" s="1"/>
      <c r="JO73" s="1"/>
      <c r="JP73" s="1"/>
    </row>
    <row r="74" spans="1:276" x14ac:dyDescent="0.2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  <c r="DN74" s="125"/>
      <c r="DO74" s="125"/>
      <c r="DP74" s="125"/>
      <c r="DQ74" s="125"/>
      <c r="DR74" s="125"/>
      <c r="DS74" s="125"/>
      <c r="DT74" s="125"/>
      <c r="DU74" s="125"/>
      <c r="DV74" s="125"/>
      <c r="DW74" s="125"/>
      <c r="DX74" s="125"/>
      <c r="DY74" s="125"/>
      <c r="DZ74" s="125"/>
      <c r="EA74" s="125"/>
      <c r="EB74" s="125"/>
      <c r="EC74" s="125"/>
      <c r="ED74" s="125"/>
      <c r="EE74" s="125"/>
      <c r="EF74" s="125"/>
      <c r="EG74" s="125"/>
      <c r="EH74" s="125"/>
      <c r="EI74" s="125"/>
      <c r="EJ74" s="125"/>
      <c r="EK74" s="125"/>
      <c r="EL74" s="125"/>
      <c r="EM74" s="125"/>
      <c r="EN74" s="125"/>
      <c r="EO74" s="125"/>
      <c r="EP74" s="125"/>
      <c r="EQ74" s="125"/>
      <c r="ER74" s="125"/>
      <c r="ES74" s="125"/>
      <c r="ET74" s="125"/>
      <c r="EU74" s="125"/>
      <c r="EV74" s="125"/>
      <c r="EW74" s="125"/>
      <c r="EX74" s="125"/>
      <c r="EY74" s="125"/>
      <c r="EZ74" s="125"/>
      <c r="FA74" s="125"/>
      <c r="FB74" s="125"/>
      <c r="FC74" s="125"/>
      <c r="FD74" s="125"/>
      <c r="FE74" s="125"/>
      <c r="FF74" s="125"/>
      <c r="FG74" s="125"/>
      <c r="FH74" s="125"/>
      <c r="FI74" s="125"/>
      <c r="FJ74" s="125"/>
      <c r="FK74" s="125"/>
      <c r="FL74" s="125"/>
      <c r="FM74" s="125"/>
      <c r="FN74" s="125"/>
      <c r="FO74" s="125"/>
      <c r="FP74" s="125"/>
      <c r="FQ74" s="125"/>
      <c r="FR74" s="125"/>
      <c r="FS74" s="125"/>
      <c r="FT74" s="125">
        <v>141954</v>
      </c>
      <c r="FU74" s="125"/>
      <c r="FV74" s="125"/>
      <c r="FW74" s="125"/>
      <c r="FX74" s="125"/>
      <c r="FY74" s="125"/>
      <c r="FZ74" s="125"/>
      <c r="GA74" s="125"/>
      <c r="GB74" s="125"/>
      <c r="GC74" s="125"/>
      <c r="GD74" s="125"/>
      <c r="GE74" s="125"/>
      <c r="GF74" s="125"/>
      <c r="GG74" s="125"/>
      <c r="GH74" s="125"/>
      <c r="GI74" s="125"/>
      <c r="GJ74" s="125"/>
      <c r="GK74" s="125"/>
      <c r="GL74" s="125"/>
      <c r="GM74" s="125"/>
      <c r="GN74" s="125"/>
      <c r="GO74" s="125"/>
      <c r="GP74" s="125"/>
      <c r="GQ74" s="125"/>
      <c r="GR74" s="125"/>
      <c r="GS74" s="125"/>
      <c r="GT74" s="125"/>
      <c r="GU74" s="125"/>
      <c r="GV74" s="125"/>
      <c r="GW74" s="125"/>
      <c r="GX74" s="125"/>
      <c r="GY74" s="125"/>
      <c r="GZ74" s="125"/>
      <c r="HA74" s="125"/>
      <c r="HB74" s="125"/>
      <c r="HC74" s="125"/>
      <c r="HD74" s="125"/>
      <c r="HE74" s="125"/>
      <c r="HF74" s="125"/>
      <c r="HG74" s="125"/>
      <c r="HH74" s="125"/>
      <c r="HI74" s="125"/>
      <c r="HJ74" s="125"/>
      <c r="HK74" s="125"/>
      <c r="HL74" s="125"/>
      <c r="HM74" s="125"/>
      <c r="HN74" s="125"/>
      <c r="HO74" s="125"/>
      <c r="HP74" s="125"/>
      <c r="HQ74" s="125"/>
      <c r="HR74" s="125"/>
      <c r="HS74" s="125"/>
      <c r="HT74" s="125"/>
      <c r="HU74" s="125"/>
      <c r="HV74" s="125"/>
      <c r="HW74" s="125"/>
      <c r="HX74" s="125"/>
      <c r="HY74" s="125"/>
      <c r="HZ74" s="125"/>
      <c r="IA74" s="125"/>
      <c r="IB74" s="125"/>
      <c r="IC74" s="125"/>
      <c r="ID74" s="125"/>
      <c r="IE74" s="125"/>
      <c r="IF74" s="125"/>
      <c r="IG74" s="125"/>
      <c r="IH74" s="125"/>
      <c r="II74" s="125"/>
      <c r="IJ74" s="125"/>
      <c r="IK74" s="125"/>
      <c r="IL74" s="125"/>
      <c r="IM74" s="125"/>
      <c r="IN74" s="125"/>
      <c r="IO74" s="125"/>
      <c r="IP74" s="125"/>
      <c r="IQ74" s="125"/>
      <c r="IR74" s="125"/>
      <c r="IS74" s="125"/>
      <c r="IT74" s="125"/>
      <c r="IU74" s="125"/>
      <c r="IV74" s="125"/>
      <c r="IW74" s="125"/>
      <c r="IX74" s="125"/>
      <c r="IY74" s="125"/>
      <c r="IZ74" s="125"/>
      <c r="JA74" s="125"/>
      <c r="JB74" s="125"/>
      <c r="JC74" s="125"/>
      <c r="JD74" s="125"/>
      <c r="JE74" s="125"/>
      <c r="JF74" s="125"/>
      <c r="JG74" s="125"/>
      <c r="JH74" s="125"/>
      <c r="JI74" s="119">
        <f t="shared" si="2"/>
        <v>141954</v>
      </c>
      <c r="JJ74" s="339">
        <v>872</v>
      </c>
      <c r="JK74" s="122"/>
      <c r="JL74" s="125">
        <f t="shared" si="3"/>
        <v>141954</v>
      </c>
      <c r="JM74" s="1"/>
      <c r="JN74" s="1"/>
      <c r="JO74" s="1"/>
      <c r="JP74" s="1"/>
    </row>
    <row r="75" spans="1:276" x14ac:dyDescent="0.25">
      <c r="A75" s="125"/>
      <c r="B75" s="125"/>
      <c r="C75" s="125"/>
      <c r="D75" s="125"/>
      <c r="E75" s="125"/>
      <c r="F75" s="125"/>
      <c r="G75" s="125"/>
      <c r="H75" s="125"/>
      <c r="I75" s="125"/>
      <c r="J75" s="125">
        <v>1107531.03</v>
      </c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>
        <v>78523.95</v>
      </c>
      <c r="AL75" s="125">
        <v>78634.7</v>
      </c>
      <c r="AM75" s="125">
        <v>13079.29</v>
      </c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  <c r="DN75" s="125"/>
      <c r="DO75" s="125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25"/>
      <c r="FV75" s="125"/>
      <c r="FW75" s="125"/>
      <c r="FX75" s="125"/>
      <c r="FY75" s="125"/>
      <c r="FZ75" s="125"/>
      <c r="GA75" s="125"/>
      <c r="GB75" s="125"/>
      <c r="GC75" s="125"/>
      <c r="GD75" s="125"/>
      <c r="GE75" s="125"/>
      <c r="GF75" s="125"/>
      <c r="GG75" s="125"/>
      <c r="GH75" s="125"/>
      <c r="GI75" s="125"/>
      <c r="GJ75" s="125"/>
      <c r="GK75" s="125"/>
      <c r="GL75" s="125"/>
      <c r="GM75" s="125"/>
      <c r="GN75" s="125"/>
      <c r="GO75" s="125"/>
      <c r="GP75" s="125"/>
      <c r="GQ75" s="125"/>
      <c r="GR75" s="125"/>
      <c r="GS75" s="125"/>
      <c r="GT75" s="125"/>
      <c r="GU75" s="125"/>
      <c r="GV75" s="125"/>
      <c r="GW75" s="125"/>
      <c r="GX75" s="125"/>
      <c r="GY75" s="125"/>
      <c r="GZ75" s="125"/>
      <c r="HA75" s="125"/>
      <c r="HB75" s="125"/>
      <c r="HC75" s="125"/>
      <c r="HD75" s="125"/>
      <c r="HE75" s="125"/>
      <c r="HF75" s="125"/>
      <c r="HG75" s="125"/>
      <c r="HH75" s="125"/>
      <c r="HI75" s="125"/>
      <c r="HJ75" s="125"/>
      <c r="HK75" s="125"/>
      <c r="HL75" s="125"/>
      <c r="HM75" s="125"/>
      <c r="HN75" s="125"/>
      <c r="HO75" s="125"/>
      <c r="HP75" s="125"/>
      <c r="HQ75" s="125"/>
      <c r="HR75" s="125"/>
      <c r="HS75" s="125"/>
      <c r="HT75" s="125"/>
      <c r="HU75" s="125"/>
      <c r="HV75" s="125"/>
      <c r="HW75" s="125"/>
      <c r="HX75" s="125"/>
      <c r="HY75" s="125"/>
      <c r="HZ75" s="125"/>
      <c r="IA75" s="125"/>
      <c r="IB75" s="125"/>
      <c r="IC75" s="125"/>
      <c r="ID75" s="125"/>
      <c r="IE75" s="125"/>
      <c r="IF75" s="125"/>
      <c r="IG75" s="125"/>
      <c r="IH75" s="125"/>
      <c r="II75" s="125"/>
      <c r="IJ75" s="125"/>
      <c r="IK75" s="125"/>
      <c r="IL75" s="125"/>
      <c r="IM75" s="125"/>
      <c r="IN75" s="125"/>
      <c r="IO75" s="125"/>
      <c r="IP75" s="125"/>
      <c r="IQ75" s="125"/>
      <c r="IR75" s="125"/>
      <c r="IS75" s="125"/>
      <c r="IT75" s="125"/>
      <c r="IU75" s="125"/>
      <c r="IV75" s="125"/>
      <c r="IW75" s="125"/>
      <c r="IX75" s="125"/>
      <c r="IY75" s="125"/>
      <c r="IZ75" s="125"/>
      <c r="JA75" s="125"/>
      <c r="JB75" s="125"/>
      <c r="JC75" s="125"/>
      <c r="JD75" s="125"/>
      <c r="JE75" s="125"/>
      <c r="JF75" s="125"/>
      <c r="JG75" s="125"/>
      <c r="JH75" s="125"/>
      <c r="JI75" s="119">
        <f t="shared" si="2"/>
        <v>1277768.97</v>
      </c>
      <c r="JJ75" s="339">
        <v>874</v>
      </c>
      <c r="JK75" s="122"/>
      <c r="JL75" s="125">
        <f t="shared" si="3"/>
        <v>1277768.97</v>
      </c>
      <c r="JM75" s="1"/>
      <c r="JN75" s="1"/>
      <c r="JO75" s="1"/>
      <c r="JP75" s="1"/>
    </row>
    <row r="76" spans="1:276" x14ac:dyDescent="0.2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  <c r="CW76" s="125"/>
      <c r="CX76" s="125"/>
      <c r="CY76" s="125"/>
      <c r="CZ76" s="125"/>
      <c r="DA76" s="125"/>
      <c r="DB76" s="125"/>
      <c r="DC76" s="125"/>
      <c r="DD76" s="125"/>
      <c r="DE76" s="125"/>
      <c r="DF76" s="125"/>
      <c r="DG76" s="125"/>
      <c r="DH76" s="125"/>
      <c r="DI76" s="125"/>
      <c r="DJ76" s="125"/>
      <c r="DK76" s="125"/>
      <c r="DL76" s="125"/>
      <c r="DM76" s="125"/>
      <c r="DN76" s="125"/>
      <c r="DO76" s="125"/>
      <c r="DP76" s="125"/>
      <c r="DQ76" s="125"/>
      <c r="DR76" s="125"/>
      <c r="DS76" s="125"/>
      <c r="DT76" s="125"/>
      <c r="DU76" s="125"/>
      <c r="DV76" s="125"/>
      <c r="DW76" s="125"/>
      <c r="DX76" s="125"/>
      <c r="DY76" s="125"/>
      <c r="DZ76" s="125"/>
      <c r="EA76" s="125"/>
      <c r="EB76" s="125"/>
      <c r="EC76" s="125"/>
      <c r="ED76" s="125"/>
      <c r="EE76" s="125"/>
      <c r="EF76" s="125"/>
      <c r="EG76" s="125"/>
      <c r="EH76" s="125"/>
      <c r="EI76" s="125"/>
      <c r="EJ76" s="125"/>
      <c r="EK76" s="125"/>
      <c r="EL76" s="125"/>
      <c r="EM76" s="125"/>
      <c r="EN76" s="125"/>
      <c r="EO76" s="125"/>
      <c r="EP76" s="125"/>
      <c r="EQ76" s="125"/>
      <c r="ER76" s="125"/>
      <c r="ES76" s="125"/>
      <c r="ET76" s="125"/>
      <c r="EU76" s="125"/>
      <c r="EV76" s="125"/>
      <c r="EW76" s="125"/>
      <c r="EX76" s="125"/>
      <c r="EY76" s="125"/>
      <c r="EZ76" s="125"/>
      <c r="FA76" s="125"/>
      <c r="FB76" s="125"/>
      <c r="FC76" s="125"/>
      <c r="FD76" s="125"/>
      <c r="FE76" s="125"/>
      <c r="FF76" s="125"/>
      <c r="FG76" s="125"/>
      <c r="FH76" s="125"/>
      <c r="FI76" s="125"/>
      <c r="FJ76" s="125"/>
      <c r="FK76" s="125"/>
      <c r="FL76" s="125"/>
      <c r="FM76" s="125"/>
      <c r="FN76" s="125"/>
      <c r="FO76" s="125"/>
      <c r="FP76" s="125"/>
      <c r="FQ76" s="125"/>
      <c r="FR76" s="125"/>
      <c r="FS76" s="125"/>
      <c r="FT76" s="125">
        <v>1056640</v>
      </c>
      <c r="FU76" s="125"/>
      <c r="FV76" s="125"/>
      <c r="FW76" s="125"/>
      <c r="FX76" s="125"/>
      <c r="FY76" s="125"/>
      <c r="FZ76" s="125"/>
      <c r="GA76" s="125"/>
      <c r="GB76" s="125"/>
      <c r="GC76" s="125"/>
      <c r="GD76" s="125"/>
      <c r="GE76" s="125"/>
      <c r="GF76" s="125"/>
      <c r="GG76" s="125"/>
      <c r="GH76" s="125"/>
      <c r="GI76" s="125"/>
      <c r="GJ76" s="125"/>
      <c r="GK76" s="125"/>
      <c r="GL76" s="125"/>
      <c r="GM76" s="125"/>
      <c r="GN76" s="125"/>
      <c r="GO76" s="125"/>
      <c r="GP76" s="125"/>
      <c r="GQ76" s="125"/>
      <c r="GR76" s="125"/>
      <c r="GS76" s="125"/>
      <c r="GT76" s="125"/>
      <c r="GU76" s="125"/>
      <c r="GV76" s="125"/>
      <c r="GW76" s="125"/>
      <c r="GX76" s="125"/>
      <c r="GY76" s="125"/>
      <c r="GZ76" s="125"/>
      <c r="HA76" s="125"/>
      <c r="HB76" s="125"/>
      <c r="HC76" s="125"/>
      <c r="HD76" s="125"/>
      <c r="HE76" s="125"/>
      <c r="HF76" s="125"/>
      <c r="HG76" s="125"/>
      <c r="HH76" s="125"/>
      <c r="HI76" s="125"/>
      <c r="HJ76" s="125"/>
      <c r="HK76" s="125"/>
      <c r="HL76" s="125"/>
      <c r="HM76" s="125"/>
      <c r="HN76" s="125"/>
      <c r="HO76" s="125"/>
      <c r="HP76" s="125"/>
      <c r="HQ76" s="125"/>
      <c r="HR76" s="125"/>
      <c r="HS76" s="125"/>
      <c r="HT76" s="125"/>
      <c r="HU76" s="125"/>
      <c r="HV76" s="125"/>
      <c r="HW76" s="125"/>
      <c r="HX76" s="125"/>
      <c r="HY76" s="125"/>
      <c r="HZ76" s="125"/>
      <c r="IA76" s="125"/>
      <c r="IB76" s="125"/>
      <c r="IC76" s="125"/>
      <c r="ID76" s="125"/>
      <c r="IE76" s="125"/>
      <c r="IF76" s="125"/>
      <c r="IG76" s="125"/>
      <c r="IH76" s="125"/>
      <c r="II76" s="125"/>
      <c r="IJ76" s="125"/>
      <c r="IK76" s="125"/>
      <c r="IL76" s="125"/>
      <c r="IM76" s="125"/>
      <c r="IN76" s="125"/>
      <c r="IO76" s="125"/>
      <c r="IP76" s="125"/>
      <c r="IQ76" s="125"/>
      <c r="IR76" s="125"/>
      <c r="IS76" s="125"/>
      <c r="IT76" s="125"/>
      <c r="IU76" s="125"/>
      <c r="IV76" s="125"/>
      <c r="IW76" s="125"/>
      <c r="IX76" s="125"/>
      <c r="IY76" s="125"/>
      <c r="IZ76" s="125"/>
      <c r="JA76" s="125"/>
      <c r="JB76" s="125"/>
      <c r="JC76" s="125"/>
      <c r="JD76" s="125"/>
      <c r="JE76" s="125"/>
      <c r="JF76" s="125"/>
      <c r="JG76" s="125"/>
      <c r="JH76" s="125"/>
      <c r="JI76" s="119">
        <f t="shared" si="2"/>
        <v>1056640</v>
      </c>
      <c r="JJ76" s="339">
        <v>878</v>
      </c>
      <c r="JK76" s="125"/>
      <c r="JL76" s="125">
        <f t="shared" si="3"/>
        <v>1056640</v>
      </c>
      <c r="JM76" s="1"/>
      <c r="JN76" s="1"/>
      <c r="JO76" s="1"/>
      <c r="JP76" s="1"/>
    </row>
    <row r="77" spans="1:276" x14ac:dyDescent="0.2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  <c r="CW77" s="125"/>
      <c r="CX77" s="125"/>
      <c r="CY77" s="125"/>
      <c r="CZ77" s="125"/>
      <c r="DA77" s="125"/>
      <c r="DB77" s="125"/>
      <c r="DC77" s="125"/>
      <c r="DD77" s="125"/>
      <c r="DE77" s="125"/>
      <c r="DF77" s="125"/>
      <c r="DG77" s="125"/>
      <c r="DH77" s="125"/>
      <c r="DI77" s="125"/>
      <c r="DJ77" s="125"/>
      <c r="DK77" s="125"/>
      <c r="DL77" s="125"/>
      <c r="DM77" s="125"/>
      <c r="DN77" s="125"/>
      <c r="DO77" s="125"/>
      <c r="DP77" s="125"/>
      <c r="DQ77" s="125"/>
      <c r="DR77" s="125"/>
      <c r="DS77" s="125"/>
      <c r="DT77" s="125"/>
      <c r="DU77" s="125"/>
      <c r="DV77" s="125"/>
      <c r="DW77" s="125"/>
      <c r="DX77" s="125"/>
      <c r="DY77" s="125"/>
      <c r="DZ77" s="125"/>
      <c r="EA77" s="125">
        <v>1518000</v>
      </c>
      <c r="EB77" s="125"/>
      <c r="EC77" s="125"/>
      <c r="ED77" s="125"/>
      <c r="EE77" s="125"/>
      <c r="EF77" s="125"/>
      <c r="EG77" s="125"/>
      <c r="EH77" s="125"/>
      <c r="EI77" s="125"/>
      <c r="EJ77" s="125"/>
      <c r="EK77" s="125"/>
      <c r="EL77" s="125"/>
      <c r="EM77" s="125"/>
      <c r="EN77" s="125"/>
      <c r="EO77" s="125"/>
      <c r="EP77" s="125"/>
      <c r="EQ77" s="125"/>
      <c r="ER77" s="125"/>
      <c r="ES77" s="125"/>
      <c r="ET77" s="125"/>
      <c r="EU77" s="125"/>
      <c r="EV77" s="125"/>
      <c r="EW77" s="125"/>
      <c r="EX77" s="125"/>
      <c r="EY77" s="125"/>
      <c r="EZ77" s="125"/>
      <c r="FA77" s="125"/>
      <c r="FB77" s="125"/>
      <c r="FC77" s="125"/>
      <c r="FD77" s="125"/>
      <c r="FE77" s="125"/>
      <c r="FF77" s="125"/>
      <c r="FG77" s="125"/>
      <c r="FH77" s="125"/>
      <c r="FI77" s="125"/>
      <c r="FJ77" s="125"/>
      <c r="FK77" s="125"/>
      <c r="FL77" s="125"/>
      <c r="FM77" s="125"/>
      <c r="FN77" s="125"/>
      <c r="FO77" s="125"/>
      <c r="FP77" s="125"/>
      <c r="FQ77" s="125"/>
      <c r="FR77" s="125"/>
      <c r="FS77" s="125"/>
      <c r="FT77" s="125"/>
      <c r="FU77" s="125"/>
      <c r="FV77" s="125"/>
      <c r="FW77" s="125"/>
      <c r="FX77" s="125"/>
      <c r="FY77" s="125"/>
      <c r="FZ77" s="125"/>
      <c r="GA77" s="125"/>
      <c r="GB77" s="125"/>
      <c r="GC77" s="125"/>
      <c r="GD77" s="125"/>
      <c r="GE77" s="125"/>
      <c r="GF77" s="125"/>
      <c r="GG77" s="125"/>
      <c r="GH77" s="125"/>
      <c r="GI77" s="125"/>
      <c r="GJ77" s="125"/>
      <c r="GK77" s="125"/>
      <c r="GL77" s="125"/>
      <c r="GM77" s="125"/>
      <c r="GN77" s="125"/>
      <c r="GO77" s="125"/>
      <c r="GP77" s="125"/>
      <c r="GQ77" s="125"/>
      <c r="GR77" s="125"/>
      <c r="GS77" s="125"/>
      <c r="GT77" s="125"/>
      <c r="GU77" s="125"/>
      <c r="GV77" s="125"/>
      <c r="GW77" s="125"/>
      <c r="GX77" s="125"/>
      <c r="GY77" s="125"/>
      <c r="GZ77" s="125"/>
      <c r="HA77" s="125"/>
      <c r="HB77" s="125"/>
      <c r="HC77" s="125"/>
      <c r="HD77" s="125"/>
      <c r="HE77" s="125"/>
      <c r="HF77" s="125"/>
      <c r="HG77" s="125"/>
      <c r="HH77" s="125"/>
      <c r="HI77" s="125"/>
      <c r="HJ77" s="125"/>
      <c r="HK77" s="125"/>
      <c r="HL77" s="125"/>
      <c r="HM77" s="125"/>
      <c r="HN77" s="125"/>
      <c r="HO77" s="125"/>
      <c r="HP77" s="125"/>
      <c r="HQ77" s="125"/>
      <c r="HR77" s="125"/>
      <c r="HS77" s="125"/>
      <c r="HT77" s="125"/>
      <c r="HU77" s="125"/>
      <c r="HV77" s="125"/>
      <c r="HW77" s="125"/>
      <c r="HX77" s="125"/>
      <c r="HY77" s="125"/>
      <c r="HZ77" s="125"/>
      <c r="IA77" s="125"/>
      <c r="IB77" s="125"/>
      <c r="IC77" s="125"/>
      <c r="ID77" s="125"/>
      <c r="IE77" s="125"/>
      <c r="IF77" s="125"/>
      <c r="IG77" s="125"/>
      <c r="IH77" s="125"/>
      <c r="II77" s="125"/>
      <c r="IJ77" s="125"/>
      <c r="IK77" s="125"/>
      <c r="IL77" s="125"/>
      <c r="IM77" s="125"/>
      <c r="IN77" s="125"/>
      <c r="IO77" s="125"/>
      <c r="IP77" s="125"/>
      <c r="IQ77" s="125"/>
      <c r="IR77" s="125"/>
      <c r="IS77" s="125"/>
      <c r="IT77" s="125"/>
      <c r="IU77" s="125"/>
      <c r="IV77" s="125"/>
      <c r="IW77" s="125"/>
      <c r="IX77" s="125"/>
      <c r="IY77" s="125"/>
      <c r="IZ77" s="125"/>
      <c r="JA77" s="125"/>
      <c r="JB77" s="125"/>
      <c r="JC77" s="125"/>
      <c r="JD77" s="125"/>
      <c r="JE77" s="125"/>
      <c r="JF77" s="125"/>
      <c r="JG77" s="125"/>
      <c r="JH77" s="125"/>
      <c r="JI77" s="119">
        <f t="shared" si="2"/>
        <v>1518000</v>
      </c>
      <c r="JJ77" s="339">
        <v>885</v>
      </c>
      <c r="JK77" s="125"/>
      <c r="JL77" s="125">
        <f t="shared" si="3"/>
        <v>1518000</v>
      </c>
      <c r="JM77" s="1"/>
      <c r="JN77" s="1"/>
      <c r="JO77" s="1"/>
      <c r="JP77" s="1"/>
    </row>
    <row r="78" spans="1:276" x14ac:dyDescent="0.2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5"/>
      <c r="BT78" s="125"/>
      <c r="BU78" s="125"/>
      <c r="BV78" s="125"/>
      <c r="BW78" s="125"/>
      <c r="BX78" s="125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5"/>
      <c r="CZ78" s="125"/>
      <c r="DA78" s="125"/>
      <c r="DB78" s="125"/>
      <c r="DC78" s="125"/>
      <c r="DD78" s="125"/>
      <c r="DE78" s="125"/>
      <c r="DF78" s="125"/>
      <c r="DG78" s="125"/>
      <c r="DH78" s="125"/>
      <c r="DI78" s="125"/>
      <c r="DJ78" s="125"/>
      <c r="DK78" s="125"/>
      <c r="DL78" s="125"/>
      <c r="DM78" s="125"/>
      <c r="DN78" s="125"/>
      <c r="DO78" s="125"/>
      <c r="DP78" s="125"/>
      <c r="DQ78" s="125"/>
      <c r="DR78" s="125"/>
      <c r="DS78" s="125"/>
      <c r="DT78" s="125"/>
      <c r="DU78" s="125"/>
      <c r="DV78" s="125"/>
      <c r="DW78" s="125"/>
      <c r="DX78" s="125"/>
      <c r="DY78" s="125"/>
      <c r="DZ78" s="125"/>
      <c r="EA78" s="125"/>
      <c r="EB78" s="125"/>
      <c r="EC78" s="125"/>
      <c r="ED78" s="125"/>
      <c r="EE78" s="125"/>
      <c r="EF78" s="125"/>
      <c r="EG78" s="125"/>
      <c r="EH78" s="125"/>
      <c r="EI78" s="125"/>
      <c r="EJ78" s="125"/>
      <c r="EK78" s="125"/>
      <c r="EL78" s="125"/>
      <c r="EM78" s="125"/>
      <c r="EN78" s="125"/>
      <c r="EO78" s="125"/>
      <c r="EP78" s="125"/>
      <c r="EQ78" s="125"/>
      <c r="ER78" s="125"/>
      <c r="ES78" s="125"/>
      <c r="ET78" s="125"/>
      <c r="EU78" s="125"/>
      <c r="EV78" s="125"/>
      <c r="EW78" s="125"/>
      <c r="EX78" s="125"/>
      <c r="EY78" s="125"/>
      <c r="EZ78" s="125"/>
      <c r="FA78" s="125"/>
      <c r="FB78" s="125"/>
      <c r="FC78" s="125"/>
      <c r="FD78" s="125"/>
      <c r="FE78" s="125"/>
      <c r="FF78" s="125"/>
      <c r="FG78" s="125"/>
      <c r="FH78" s="125"/>
      <c r="FI78" s="125"/>
      <c r="FJ78" s="125"/>
      <c r="FK78" s="125"/>
      <c r="FL78" s="125"/>
      <c r="FM78" s="125"/>
      <c r="FN78" s="125"/>
      <c r="FO78" s="125"/>
      <c r="FP78" s="125"/>
      <c r="FQ78" s="125"/>
      <c r="FR78" s="125"/>
      <c r="FS78" s="125"/>
      <c r="FT78" s="125"/>
      <c r="FU78" s="125"/>
      <c r="FV78" s="125"/>
      <c r="FW78" s="125"/>
      <c r="FX78" s="125"/>
      <c r="FY78" s="125"/>
      <c r="FZ78" s="125"/>
      <c r="GA78" s="125"/>
      <c r="GB78" s="125"/>
      <c r="GC78" s="125"/>
      <c r="GD78" s="125"/>
      <c r="GE78" s="125"/>
      <c r="GF78" s="125"/>
      <c r="GG78" s="125"/>
      <c r="GH78" s="125"/>
      <c r="GI78" s="125"/>
      <c r="GJ78" s="125"/>
      <c r="GK78" s="125"/>
      <c r="GL78" s="125"/>
      <c r="GM78" s="125"/>
      <c r="GN78" s="125"/>
      <c r="GO78" s="125"/>
      <c r="GP78" s="125"/>
      <c r="GQ78" s="125">
        <v>1177510.2</v>
      </c>
      <c r="GR78" s="125"/>
      <c r="GS78" s="125"/>
      <c r="GT78" s="125"/>
      <c r="GU78" s="125"/>
      <c r="GV78" s="125"/>
      <c r="GW78" s="125"/>
      <c r="GX78" s="125"/>
      <c r="GY78" s="125"/>
      <c r="GZ78" s="125"/>
      <c r="HA78" s="125"/>
      <c r="HB78" s="125"/>
      <c r="HC78" s="125"/>
      <c r="HD78" s="125"/>
      <c r="HE78" s="125"/>
      <c r="HF78" s="125"/>
      <c r="HG78" s="125"/>
      <c r="HH78" s="125"/>
      <c r="HI78" s="125"/>
      <c r="HJ78" s="125"/>
      <c r="HK78" s="125"/>
      <c r="HL78" s="125"/>
      <c r="HM78" s="125"/>
      <c r="HN78" s="125"/>
      <c r="HO78" s="125"/>
      <c r="HP78" s="125"/>
      <c r="HQ78" s="125"/>
      <c r="HR78" s="125"/>
      <c r="HS78" s="125"/>
      <c r="HT78" s="125"/>
      <c r="HU78" s="125"/>
      <c r="HV78" s="125"/>
      <c r="HW78" s="125"/>
      <c r="HX78" s="125"/>
      <c r="HY78" s="125"/>
      <c r="HZ78" s="125"/>
      <c r="IA78" s="125"/>
      <c r="IB78" s="125"/>
      <c r="IC78" s="125"/>
      <c r="ID78" s="125"/>
      <c r="IE78" s="125"/>
      <c r="IF78" s="125"/>
      <c r="IG78" s="125"/>
      <c r="IH78" s="125"/>
      <c r="II78" s="125"/>
      <c r="IJ78" s="125"/>
      <c r="IK78" s="125"/>
      <c r="IL78" s="125"/>
      <c r="IM78" s="125"/>
      <c r="IN78" s="125"/>
      <c r="IO78" s="125"/>
      <c r="IP78" s="125"/>
      <c r="IQ78" s="125"/>
      <c r="IR78" s="125"/>
      <c r="IS78" s="125"/>
      <c r="IT78" s="125"/>
      <c r="IU78" s="125"/>
      <c r="IV78" s="125"/>
      <c r="IW78" s="125"/>
      <c r="IX78" s="125"/>
      <c r="IY78" s="125"/>
      <c r="IZ78" s="125"/>
      <c r="JA78" s="125"/>
      <c r="JB78" s="125"/>
      <c r="JC78" s="125"/>
      <c r="JD78" s="125"/>
      <c r="JE78" s="125"/>
      <c r="JF78" s="125"/>
      <c r="JG78" s="125"/>
      <c r="JH78" s="125"/>
      <c r="JI78" s="119">
        <f t="shared" si="2"/>
        <v>1177510.2</v>
      </c>
      <c r="JJ78" s="339">
        <v>889</v>
      </c>
      <c r="JK78" s="125"/>
      <c r="JL78" s="125">
        <f t="shared" si="3"/>
        <v>1177510.2</v>
      </c>
      <c r="JM78" s="1"/>
      <c r="JN78" s="1"/>
      <c r="JO78" s="1"/>
      <c r="JP78" s="1"/>
    </row>
    <row r="79" spans="1:276" x14ac:dyDescent="0.2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  <c r="DB79" s="125"/>
      <c r="DC79" s="125"/>
      <c r="DD79" s="125"/>
      <c r="DE79" s="125"/>
      <c r="DF79" s="125"/>
      <c r="DG79" s="125"/>
      <c r="DH79" s="125"/>
      <c r="DI79" s="125"/>
      <c r="DJ79" s="125"/>
      <c r="DK79" s="125"/>
      <c r="DL79" s="125"/>
      <c r="DM79" s="125"/>
      <c r="DN79" s="125"/>
      <c r="DO79" s="125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>
        <v>272521</v>
      </c>
      <c r="FU79" s="125"/>
      <c r="FV79" s="125"/>
      <c r="FW79" s="125"/>
      <c r="FX79" s="125"/>
      <c r="FY79" s="125"/>
      <c r="FZ79" s="125"/>
      <c r="GA79" s="125"/>
      <c r="GB79" s="125"/>
      <c r="GC79" s="125"/>
      <c r="GD79" s="125"/>
      <c r="GE79" s="125"/>
      <c r="GF79" s="125"/>
      <c r="GG79" s="125"/>
      <c r="GH79" s="125"/>
      <c r="GI79" s="125"/>
      <c r="GJ79" s="125"/>
      <c r="GK79" s="125"/>
      <c r="GL79" s="125"/>
      <c r="GM79" s="125"/>
      <c r="GN79" s="125"/>
      <c r="GO79" s="125"/>
      <c r="GP79" s="125"/>
      <c r="GQ79" s="125"/>
      <c r="GR79" s="125"/>
      <c r="GS79" s="125"/>
      <c r="GT79" s="125"/>
      <c r="GU79" s="125"/>
      <c r="GV79" s="125"/>
      <c r="GW79" s="125"/>
      <c r="GX79" s="125"/>
      <c r="GY79" s="125"/>
      <c r="GZ79" s="125"/>
      <c r="HA79" s="125"/>
      <c r="HB79" s="125"/>
      <c r="HC79" s="125"/>
      <c r="HD79" s="125"/>
      <c r="HE79" s="125"/>
      <c r="HF79" s="125"/>
      <c r="HG79" s="125"/>
      <c r="HH79" s="125"/>
      <c r="HI79" s="125"/>
      <c r="HJ79" s="125"/>
      <c r="HK79" s="125"/>
      <c r="HL79" s="125"/>
      <c r="HM79" s="125"/>
      <c r="HN79" s="125"/>
      <c r="HO79" s="125"/>
      <c r="HP79" s="125"/>
      <c r="HQ79" s="125"/>
      <c r="HR79" s="125"/>
      <c r="HS79" s="125"/>
      <c r="HT79" s="125"/>
      <c r="HU79" s="125"/>
      <c r="HV79" s="125"/>
      <c r="HW79" s="125"/>
      <c r="HX79" s="125"/>
      <c r="HY79" s="125"/>
      <c r="HZ79" s="125"/>
      <c r="IA79" s="125"/>
      <c r="IB79" s="125"/>
      <c r="IC79" s="125"/>
      <c r="ID79" s="125"/>
      <c r="IE79" s="125"/>
      <c r="IF79" s="125"/>
      <c r="IG79" s="125"/>
      <c r="IH79" s="125"/>
      <c r="II79" s="125"/>
      <c r="IJ79" s="125"/>
      <c r="IK79" s="125"/>
      <c r="IL79" s="125"/>
      <c r="IM79" s="125"/>
      <c r="IN79" s="125"/>
      <c r="IO79" s="125"/>
      <c r="IP79" s="125"/>
      <c r="IQ79" s="125"/>
      <c r="IR79" s="125"/>
      <c r="IS79" s="125"/>
      <c r="IT79" s="125"/>
      <c r="IU79" s="125"/>
      <c r="IV79" s="125"/>
      <c r="IW79" s="125"/>
      <c r="IX79" s="125"/>
      <c r="IY79" s="125"/>
      <c r="IZ79" s="125"/>
      <c r="JA79" s="125"/>
      <c r="JB79" s="125"/>
      <c r="JC79" s="125"/>
      <c r="JD79" s="125"/>
      <c r="JE79" s="125"/>
      <c r="JF79" s="125"/>
      <c r="JG79" s="125"/>
      <c r="JH79" s="125"/>
      <c r="JI79" s="119">
        <f t="shared" si="2"/>
        <v>272521</v>
      </c>
      <c r="JJ79" s="339">
        <v>893</v>
      </c>
      <c r="JK79" s="125"/>
      <c r="JL79" s="125">
        <f t="shared" si="3"/>
        <v>272521</v>
      </c>
      <c r="JM79" s="1"/>
      <c r="JN79" s="1"/>
      <c r="JO79" s="1"/>
      <c r="JP79" s="1"/>
    </row>
    <row r="80" spans="1:276" x14ac:dyDescent="0.2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  <c r="CW80" s="125"/>
      <c r="CX80" s="125"/>
      <c r="CY80" s="125"/>
      <c r="CZ80" s="125"/>
      <c r="DA80" s="125"/>
      <c r="DB80" s="125"/>
      <c r="DC80" s="125"/>
      <c r="DD80" s="125"/>
      <c r="DE80" s="125"/>
      <c r="DF80" s="125"/>
      <c r="DG80" s="125"/>
      <c r="DH80" s="125"/>
      <c r="DI80" s="125"/>
      <c r="DJ80" s="125"/>
      <c r="DK80" s="125"/>
      <c r="DL80" s="125"/>
      <c r="DM80" s="125"/>
      <c r="DN80" s="125"/>
      <c r="DO80" s="125"/>
      <c r="DP80" s="125"/>
      <c r="DQ80" s="125"/>
      <c r="DR80" s="125"/>
      <c r="DS80" s="125"/>
      <c r="DT80" s="125"/>
      <c r="DU80" s="125"/>
      <c r="DV80" s="125">
        <v>8496</v>
      </c>
      <c r="DW80" s="125">
        <v>260780</v>
      </c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25"/>
      <c r="FV80" s="125"/>
      <c r="FW80" s="125"/>
      <c r="FX80" s="125"/>
      <c r="FY80" s="125"/>
      <c r="FZ80" s="125"/>
      <c r="GA80" s="125"/>
      <c r="GB80" s="125"/>
      <c r="GC80" s="125"/>
      <c r="GD80" s="125"/>
      <c r="GE80" s="125"/>
      <c r="GF80" s="125"/>
      <c r="GG80" s="125"/>
      <c r="GH80" s="125"/>
      <c r="GI80" s="125"/>
      <c r="GJ80" s="125"/>
      <c r="GK80" s="125"/>
      <c r="GL80" s="125"/>
      <c r="GM80" s="125"/>
      <c r="GN80" s="125"/>
      <c r="GO80" s="125"/>
      <c r="GP80" s="125"/>
      <c r="GQ80" s="125"/>
      <c r="GR80" s="125"/>
      <c r="GS80" s="125"/>
      <c r="GT80" s="125"/>
      <c r="GU80" s="125"/>
      <c r="GV80" s="125"/>
      <c r="GW80" s="125"/>
      <c r="GX80" s="125"/>
      <c r="GY80" s="125"/>
      <c r="GZ80" s="125"/>
      <c r="HA80" s="125"/>
      <c r="HB80" s="125"/>
      <c r="HC80" s="125"/>
      <c r="HD80" s="125"/>
      <c r="HE80" s="125"/>
      <c r="HF80" s="125"/>
      <c r="HG80" s="125"/>
      <c r="HH80" s="125"/>
      <c r="HI80" s="125"/>
      <c r="HJ80" s="125"/>
      <c r="HK80" s="125"/>
      <c r="HL80" s="125"/>
      <c r="HM80" s="125"/>
      <c r="HN80" s="125"/>
      <c r="HO80" s="125"/>
      <c r="HP80" s="125"/>
      <c r="HQ80" s="125"/>
      <c r="HR80" s="125"/>
      <c r="HS80" s="125"/>
      <c r="HT80" s="125"/>
      <c r="HU80" s="125"/>
      <c r="HV80" s="125"/>
      <c r="HW80" s="125"/>
      <c r="HX80" s="125"/>
      <c r="HY80" s="125"/>
      <c r="HZ80" s="125"/>
      <c r="IA80" s="125"/>
      <c r="IB80" s="125"/>
      <c r="IC80" s="125"/>
      <c r="ID80" s="125"/>
      <c r="IE80" s="125"/>
      <c r="IF80" s="125"/>
      <c r="IG80" s="125"/>
      <c r="IH80" s="125"/>
      <c r="II80" s="125"/>
      <c r="IJ80" s="125"/>
      <c r="IK80" s="125"/>
      <c r="IL80" s="125"/>
      <c r="IM80" s="125"/>
      <c r="IN80" s="125"/>
      <c r="IO80" s="125"/>
      <c r="IP80" s="125"/>
      <c r="IQ80" s="125"/>
      <c r="IR80" s="125"/>
      <c r="IS80" s="125"/>
      <c r="IT80" s="125"/>
      <c r="IU80" s="125"/>
      <c r="IV80" s="125"/>
      <c r="IW80" s="125"/>
      <c r="IX80" s="125"/>
      <c r="IY80" s="125"/>
      <c r="IZ80" s="125"/>
      <c r="JA80" s="125"/>
      <c r="JB80" s="125"/>
      <c r="JC80" s="125"/>
      <c r="JD80" s="125"/>
      <c r="JE80" s="125"/>
      <c r="JF80" s="125"/>
      <c r="JG80" s="125"/>
      <c r="JH80" s="125"/>
      <c r="JI80" s="119">
        <f t="shared" si="2"/>
        <v>269276</v>
      </c>
      <c r="JJ80" s="339">
        <v>924</v>
      </c>
      <c r="JK80" s="125"/>
      <c r="JL80" s="125">
        <f t="shared" si="3"/>
        <v>269276</v>
      </c>
      <c r="JM80" s="1"/>
      <c r="JN80" s="1"/>
      <c r="JO80" s="1"/>
      <c r="JP80" s="1"/>
    </row>
    <row r="81" spans="1:276" x14ac:dyDescent="0.25">
      <c r="A81" s="125">
        <v>53611206.039999999</v>
      </c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>
        <v>2752136.5</v>
      </c>
      <c r="T81" s="125"/>
      <c r="U81" s="125"/>
      <c r="V81" s="125"/>
      <c r="W81" s="125"/>
      <c r="X81" s="125"/>
      <c r="Y81" s="125"/>
      <c r="Z81" s="125">
        <v>332600</v>
      </c>
      <c r="AA81" s="125"/>
      <c r="AB81" s="125">
        <f>10717.4+58945.7</f>
        <v>69663.099999999991</v>
      </c>
      <c r="AC81" s="125"/>
      <c r="AD81" s="125"/>
      <c r="AE81" s="125"/>
      <c r="AF81" s="125"/>
      <c r="AG81" s="125"/>
      <c r="AH81" s="125"/>
      <c r="AI81" s="125"/>
      <c r="AJ81" s="125"/>
      <c r="AK81" s="125">
        <v>3801036.82</v>
      </c>
      <c r="AL81" s="125">
        <v>3806396.09</v>
      </c>
      <c r="AM81" s="125">
        <v>641812.30000000005</v>
      </c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25"/>
      <c r="FV81" s="125"/>
      <c r="FW81" s="125"/>
      <c r="FX81" s="125"/>
      <c r="FY81" s="125"/>
      <c r="FZ81" s="125"/>
      <c r="GA81" s="125"/>
      <c r="GB81" s="125"/>
      <c r="GC81" s="125"/>
      <c r="GD81" s="125"/>
      <c r="GE81" s="125"/>
      <c r="GF81" s="125"/>
      <c r="GG81" s="125"/>
      <c r="GH81" s="125"/>
      <c r="GI81" s="125"/>
      <c r="GJ81" s="125"/>
      <c r="GK81" s="125"/>
      <c r="GL81" s="125"/>
      <c r="GM81" s="125"/>
      <c r="GN81" s="125"/>
      <c r="GO81" s="125"/>
      <c r="GP81" s="125"/>
      <c r="GQ81" s="125"/>
      <c r="GR81" s="125"/>
      <c r="GS81" s="125"/>
      <c r="GT81" s="125"/>
      <c r="GU81" s="125"/>
      <c r="GV81" s="125"/>
      <c r="GW81" s="125"/>
      <c r="GX81" s="125"/>
      <c r="GY81" s="125"/>
      <c r="GZ81" s="125"/>
      <c r="HA81" s="125"/>
      <c r="HB81" s="125"/>
      <c r="HC81" s="125"/>
      <c r="HD81" s="125"/>
      <c r="HE81" s="125"/>
      <c r="HF81" s="125"/>
      <c r="HG81" s="125"/>
      <c r="HH81" s="125"/>
      <c r="HI81" s="125"/>
      <c r="HJ81" s="125"/>
      <c r="HK81" s="125"/>
      <c r="HL81" s="125"/>
      <c r="HM81" s="125"/>
      <c r="HN81" s="125"/>
      <c r="HO81" s="125"/>
      <c r="HP81" s="125"/>
      <c r="HQ81" s="125"/>
      <c r="HR81" s="125"/>
      <c r="HS81" s="125"/>
      <c r="HT81" s="125"/>
      <c r="HU81" s="125"/>
      <c r="HV81" s="125"/>
      <c r="HW81" s="125"/>
      <c r="HX81" s="125"/>
      <c r="HY81" s="125"/>
      <c r="HZ81" s="125"/>
      <c r="IA81" s="125"/>
      <c r="IB81" s="125"/>
      <c r="IC81" s="125"/>
      <c r="ID81" s="125"/>
      <c r="IE81" s="125"/>
      <c r="IF81" s="125"/>
      <c r="IG81" s="125"/>
      <c r="IH81" s="125"/>
      <c r="II81" s="125"/>
      <c r="IJ81" s="125"/>
      <c r="IK81" s="125"/>
      <c r="IL81" s="125"/>
      <c r="IM81" s="125"/>
      <c r="IN81" s="125"/>
      <c r="IO81" s="125"/>
      <c r="IP81" s="125"/>
      <c r="IQ81" s="125"/>
      <c r="IR81" s="125"/>
      <c r="IS81" s="125"/>
      <c r="IT81" s="125"/>
      <c r="IU81" s="125"/>
      <c r="IV81" s="125"/>
      <c r="IW81" s="125"/>
      <c r="IX81" s="125"/>
      <c r="IY81" s="125"/>
      <c r="IZ81" s="125"/>
      <c r="JA81" s="125"/>
      <c r="JB81" s="125"/>
      <c r="JC81" s="125"/>
      <c r="JD81" s="125"/>
      <c r="JE81" s="125"/>
      <c r="JF81" s="125"/>
      <c r="JG81" s="125"/>
      <c r="JH81" s="125"/>
      <c r="JI81" s="119">
        <f t="shared" si="2"/>
        <v>65014850.849999994</v>
      </c>
      <c r="JJ81" s="339">
        <v>926</v>
      </c>
      <c r="JK81" s="125"/>
      <c r="JL81" s="125">
        <f t="shared" si="3"/>
        <v>65014850.849999994</v>
      </c>
      <c r="JM81" s="1"/>
      <c r="JN81" s="1"/>
      <c r="JO81" s="1"/>
      <c r="JP81" s="1"/>
    </row>
    <row r="82" spans="1:276" x14ac:dyDescent="0.2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  <c r="DN82" s="125"/>
      <c r="DO82" s="125"/>
      <c r="DP82" s="125"/>
      <c r="DQ82" s="125"/>
      <c r="DR82" s="125"/>
      <c r="DS82" s="125"/>
      <c r="DT82" s="125"/>
      <c r="DU82" s="125"/>
      <c r="DV82" s="125"/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>
        <v>634769.19999999995</v>
      </c>
      <c r="FU82" s="125"/>
      <c r="FV82" s="125"/>
      <c r="FW82" s="125"/>
      <c r="FX82" s="125"/>
      <c r="FY82" s="125"/>
      <c r="FZ82" s="125"/>
      <c r="GA82" s="125"/>
      <c r="GB82" s="125"/>
      <c r="GC82" s="125"/>
      <c r="GD82" s="125"/>
      <c r="GE82" s="125"/>
      <c r="GF82" s="125"/>
      <c r="GG82" s="125"/>
      <c r="GH82" s="125"/>
      <c r="GI82" s="125"/>
      <c r="GJ82" s="125"/>
      <c r="GK82" s="125"/>
      <c r="GL82" s="125"/>
      <c r="GM82" s="125"/>
      <c r="GN82" s="125"/>
      <c r="GO82" s="125"/>
      <c r="GP82" s="125"/>
      <c r="GQ82" s="125"/>
      <c r="GR82" s="125"/>
      <c r="GS82" s="125"/>
      <c r="GT82" s="125"/>
      <c r="GU82" s="125"/>
      <c r="GV82" s="125"/>
      <c r="GW82" s="125"/>
      <c r="GX82" s="125"/>
      <c r="GY82" s="125"/>
      <c r="GZ82" s="125"/>
      <c r="HA82" s="125"/>
      <c r="HB82" s="125"/>
      <c r="HC82" s="125"/>
      <c r="HD82" s="125"/>
      <c r="HE82" s="125"/>
      <c r="HF82" s="125"/>
      <c r="HG82" s="125"/>
      <c r="HH82" s="125"/>
      <c r="HI82" s="125"/>
      <c r="HJ82" s="125"/>
      <c r="HK82" s="125"/>
      <c r="HL82" s="125"/>
      <c r="HM82" s="125"/>
      <c r="HN82" s="125"/>
      <c r="HO82" s="125"/>
      <c r="HP82" s="125"/>
      <c r="HQ82" s="125"/>
      <c r="HR82" s="125"/>
      <c r="HS82" s="125"/>
      <c r="HT82" s="125"/>
      <c r="HU82" s="125"/>
      <c r="HV82" s="125"/>
      <c r="HW82" s="125"/>
      <c r="HX82" s="125"/>
      <c r="HY82" s="125"/>
      <c r="HZ82" s="125"/>
      <c r="IA82" s="125"/>
      <c r="IB82" s="125"/>
      <c r="IC82" s="125"/>
      <c r="ID82" s="125"/>
      <c r="IE82" s="125"/>
      <c r="IF82" s="125"/>
      <c r="IG82" s="125"/>
      <c r="IH82" s="125"/>
      <c r="II82" s="125"/>
      <c r="IJ82" s="125"/>
      <c r="IK82" s="125"/>
      <c r="IL82" s="125"/>
      <c r="IM82" s="125"/>
      <c r="IN82" s="125"/>
      <c r="IO82" s="125"/>
      <c r="IP82" s="125"/>
      <c r="IQ82" s="125"/>
      <c r="IR82" s="125"/>
      <c r="IS82" s="125"/>
      <c r="IT82" s="125"/>
      <c r="IU82" s="125"/>
      <c r="IV82" s="125"/>
      <c r="IW82" s="125"/>
      <c r="IX82" s="125"/>
      <c r="IY82" s="125"/>
      <c r="IZ82" s="125"/>
      <c r="JA82" s="125"/>
      <c r="JB82" s="125"/>
      <c r="JC82" s="125"/>
      <c r="JD82" s="125"/>
      <c r="JE82" s="125"/>
      <c r="JF82" s="125"/>
      <c r="JG82" s="125"/>
      <c r="JH82" s="125"/>
      <c r="JI82" s="119">
        <f t="shared" si="2"/>
        <v>634769.19999999995</v>
      </c>
      <c r="JJ82" s="339">
        <v>953</v>
      </c>
      <c r="JK82" s="125"/>
      <c r="JL82" s="125">
        <f t="shared" si="3"/>
        <v>634769.19999999995</v>
      </c>
      <c r="JM82" s="1"/>
      <c r="JN82" s="1"/>
      <c r="JO82" s="1"/>
      <c r="JP82" s="1"/>
    </row>
    <row r="83" spans="1:276" x14ac:dyDescent="0.2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  <c r="CW83" s="125"/>
      <c r="CX83" s="125"/>
      <c r="CY83" s="125"/>
      <c r="CZ83" s="125"/>
      <c r="DA83" s="125"/>
      <c r="DB83" s="125"/>
      <c r="DC83" s="125"/>
      <c r="DD83" s="125"/>
      <c r="DE83" s="125"/>
      <c r="DF83" s="125"/>
      <c r="DG83" s="125"/>
      <c r="DH83" s="125"/>
      <c r="DI83" s="125"/>
      <c r="DJ83" s="125"/>
      <c r="DK83" s="125"/>
      <c r="DL83" s="125"/>
      <c r="DM83" s="125"/>
      <c r="DN83" s="125"/>
      <c r="DO83" s="125"/>
      <c r="DP83" s="125"/>
      <c r="DQ83" s="125"/>
      <c r="DR83" s="125"/>
      <c r="DS83" s="125"/>
      <c r="DT83" s="125"/>
      <c r="DU83" s="125"/>
      <c r="DV83" s="125">
        <v>105020</v>
      </c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>
        <v>132475.4</v>
      </c>
      <c r="FT83" s="125"/>
      <c r="FU83" s="125"/>
      <c r="FV83" s="125"/>
      <c r="FW83" s="125"/>
      <c r="FX83" s="125"/>
      <c r="FY83" s="125"/>
      <c r="FZ83" s="125"/>
      <c r="GA83" s="125"/>
      <c r="GB83" s="125"/>
      <c r="GC83" s="125"/>
      <c r="GD83" s="125"/>
      <c r="GE83" s="125"/>
      <c r="GF83" s="125"/>
      <c r="GG83" s="125"/>
      <c r="GH83" s="125"/>
      <c r="GI83" s="125"/>
      <c r="GJ83" s="125"/>
      <c r="GK83" s="125"/>
      <c r="GL83" s="125"/>
      <c r="GM83" s="125"/>
      <c r="GN83" s="125"/>
      <c r="GO83" s="125"/>
      <c r="GP83" s="125"/>
      <c r="GQ83" s="125"/>
      <c r="GR83" s="125"/>
      <c r="GS83" s="125"/>
      <c r="GT83" s="125"/>
      <c r="GU83" s="125"/>
      <c r="GV83" s="125"/>
      <c r="GW83" s="125"/>
      <c r="GX83" s="125"/>
      <c r="GY83" s="125"/>
      <c r="GZ83" s="125"/>
      <c r="HA83" s="125"/>
      <c r="HB83" s="125"/>
      <c r="HC83" s="125"/>
      <c r="HD83" s="125"/>
      <c r="HE83" s="125"/>
      <c r="HF83" s="125"/>
      <c r="HG83" s="125"/>
      <c r="HH83" s="125"/>
      <c r="HI83" s="125"/>
      <c r="HJ83" s="125"/>
      <c r="HK83" s="125"/>
      <c r="HL83" s="125"/>
      <c r="HM83" s="125"/>
      <c r="HN83" s="125"/>
      <c r="HO83" s="125"/>
      <c r="HP83" s="125"/>
      <c r="HQ83" s="125"/>
      <c r="HR83" s="125"/>
      <c r="HS83" s="125"/>
      <c r="HT83" s="125"/>
      <c r="HU83" s="125"/>
      <c r="HV83" s="125"/>
      <c r="HW83" s="125"/>
      <c r="HX83" s="125"/>
      <c r="HY83" s="125"/>
      <c r="HZ83" s="125"/>
      <c r="IA83" s="125"/>
      <c r="IB83" s="125"/>
      <c r="IC83" s="125"/>
      <c r="ID83" s="125"/>
      <c r="IE83" s="125"/>
      <c r="IF83" s="125"/>
      <c r="IG83" s="125"/>
      <c r="IH83" s="125"/>
      <c r="II83" s="125"/>
      <c r="IJ83" s="125"/>
      <c r="IK83" s="125"/>
      <c r="IL83" s="125"/>
      <c r="IM83" s="125"/>
      <c r="IN83" s="125"/>
      <c r="IO83" s="125"/>
      <c r="IP83" s="125"/>
      <c r="IQ83" s="125"/>
      <c r="IR83" s="125"/>
      <c r="IS83" s="125"/>
      <c r="IT83" s="125"/>
      <c r="IU83" s="125"/>
      <c r="IV83" s="125"/>
      <c r="IW83" s="125"/>
      <c r="IX83" s="125"/>
      <c r="IY83" s="125"/>
      <c r="IZ83" s="125"/>
      <c r="JA83" s="125"/>
      <c r="JB83" s="125"/>
      <c r="JC83" s="125"/>
      <c r="JD83" s="125"/>
      <c r="JE83" s="125"/>
      <c r="JF83" s="125"/>
      <c r="JG83" s="125"/>
      <c r="JH83" s="125"/>
      <c r="JI83" s="119">
        <f t="shared" si="2"/>
        <v>237495.4</v>
      </c>
      <c r="JJ83" s="339">
        <v>957</v>
      </c>
      <c r="JK83" s="125"/>
      <c r="JL83" s="125">
        <f t="shared" si="3"/>
        <v>237495.4</v>
      </c>
      <c r="JM83" s="1"/>
      <c r="JN83" s="1"/>
      <c r="JO83" s="1"/>
      <c r="JP83" s="1"/>
    </row>
    <row r="84" spans="1:276" x14ac:dyDescent="0.2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25">
        <v>456188</v>
      </c>
      <c r="FU84" s="125"/>
      <c r="FV84" s="125"/>
      <c r="FW84" s="125"/>
      <c r="FX84" s="125"/>
      <c r="FY84" s="125"/>
      <c r="FZ84" s="125"/>
      <c r="GA84" s="125"/>
      <c r="GB84" s="125"/>
      <c r="GC84" s="125"/>
      <c r="GD84" s="125"/>
      <c r="GE84" s="125"/>
      <c r="GF84" s="125"/>
      <c r="GG84" s="125"/>
      <c r="GH84" s="125"/>
      <c r="GI84" s="125"/>
      <c r="GJ84" s="125"/>
      <c r="GK84" s="125"/>
      <c r="GL84" s="125"/>
      <c r="GM84" s="125"/>
      <c r="GN84" s="125"/>
      <c r="GO84" s="125"/>
      <c r="GP84" s="125"/>
      <c r="GQ84" s="125"/>
      <c r="GR84" s="125"/>
      <c r="GS84" s="125"/>
      <c r="GT84" s="125"/>
      <c r="GU84" s="125"/>
      <c r="GV84" s="125"/>
      <c r="GW84" s="125"/>
      <c r="GX84" s="125"/>
      <c r="GY84" s="125"/>
      <c r="GZ84" s="125"/>
      <c r="HA84" s="125"/>
      <c r="HB84" s="125"/>
      <c r="HC84" s="125"/>
      <c r="HD84" s="125"/>
      <c r="HE84" s="125"/>
      <c r="HF84" s="125"/>
      <c r="HG84" s="125"/>
      <c r="HH84" s="125"/>
      <c r="HI84" s="125"/>
      <c r="HJ84" s="125"/>
      <c r="HK84" s="125"/>
      <c r="HL84" s="125"/>
      <c r="HM84" s="125"/>
      <c r="HN84" s="125"/>
      <c r="HO84" s="125"/>
      <c r="HP84" s="125"/>
      <c r="HQ84" s="125"/>
      <c r="HR84" s="125"/>
      <c r="HS84" s="125"/>
      <c r="HT84" s="125"/>
      <c r="HU84" s="125"/>
      <c r="HV84" s="125"/>
      <c r="HW84" s="125"/>
      <c r="HX84" s="125"/>
      <c r="HY84" s="125"/>
      <c r="HZ84" s="125"/>
      <c r="IA84" s="125"/>
      <c r="IB84" s="125"/>
      <c r="IC84" s="125"/>
      <c r="ID84" s="125"/>
      <c r="IE84" s="125"/>
      <c r="IF84" s="125"/>
      <c r="IG84" s="125"/>
      <c r="IH84" s="125"/>
      <c r="II84" s="125"/>
      <c r="IJ84" s="125"/>
      <c r="IK84" s="125"/>
      <c r="IL84" s="125"/>
      <c r="IM84" s="125"/>
      <c r="IN84" s="125"/>
      <c r="IO84" s="125"/>
      <c r="IP84" s="125"/>
      <c r="IQ84" s="125"/>
      <c r="IR84" s="125"/>
      <c r="IS84" s="125"/>
      <c r="IT84" s="125"/>
      <c r="IU84" s="125"/>
      <c r="IV84" s="125"/>
      <c r="IW84" s="125"/>
      <c r="IX84" s="125"/>
      <c r="IY84" s="125"/>
      <c r="IZ84" s="125"/>
      <c r="JA84" s="125"/>
      <c r="JB84" s="125"/>
      <c r="JC84" s="125"/>
      <c r="JD84" s="125"/>
      <c r="JE84" s="125"/>
      <c r="JF84" s="125"/>
      <c r="JG84" s="125"/>
      <c r="JH84" s="125"/>
      <c r="JI84" s="119">
        <f t="shared" si="2"/>
        <v>456188</v>
      </c>
      <c r="JJ84" s="339">
        <v>962</v>
      </c>
      <c r="JK84" s="125"/>
      <c r="JL84" s="125">
        <f t="shared" si="3"/>
        <v>456188</v>
      </c>
      <c r="JM84" s="1"/>
      <c r="JN84" s="1"/>
      <c r="JO84" s="1"/>
      <c r="JP84" s="1"/>
    </row>
    <row r="85" spans="1:276" x14ac:dyDescent="0.2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  <c r="CW85" s="125"/>
      <c r="CX85" s="125"/>
      <c r="CY85" s="125"/>
      <c r="CZ85" s="125"/>
      <c r="DA85" s="125"/>
      <c r="DB85" s="125"/>
      <c r="DC85" s="125"/>
      <c r="DD85" s="125"/>
      <c r="DE85" s="125"/>
      <c r="DF85" s="125"/>
      <c r="DG85" s="125"/>
      <c r="DH85" s="125"/>
      <c r="DI85" s="125"/>
      <c r="DJ85" s="125"/>
      <c r="DK85" s="125"/>
      <c r="DL85" s="125"/>
      <c r="DM85" s="125"/>
      <c r="DN85" s="125"/>
      <c r="DO85" s="125"/>
      <c r="DP85" s="125"/>
      <c r="DQ85" s="125"/>
      <c r="DR85" s="125"/>
      <c r="DS85" s="125"/>
      <c r="DT85" s="125"/>
      <c r="DU85" s="125"/>
      <c r="DV85" s="125"/>
      <c r="DW85" s="125"/>
      <c r="DX85" s="125"/>
      <c r="DY85" s="125"/>
      <c r="DZ85" s="125"/>
      <c r="EA85" s="125">
        <v>200000</v>
      </c>
      <c r="EB85" s="125"/>
      <c r="EC85" s="125"/>
      <c r="ED85" s="125"/>
      <c r="EE85" s="125"/>
      <c r="EF85" s="125"/>
      <c r="EG85" s="125"/>
      <c r="EH85" s="125"/>
      <c r="EI85" s="125"/>
      <c r="EJ85" s="125"/>
      <c r="EK85" s="125"/>
      <c r="EL85" s="125"/>
      <c r="EM85" s="125"/>
      <c r="EN85" s="125"/>
      <c r="EO85" s="125"/>
      <c r="EP85" s="125"/>
      <c r="EQ85" s="125"/>
      <c r="ER85" s="125"/>
      <c r="ES85" s="125"/>
      <c r="ET85" s="125"/>
      <c r="EU85" s="125"/>
      <c r="EV85" s="125"/>
      <c r="EW85" s="125"/>
      <c r="EX85" s="125"/>
      <c r="EY85" s="125"/>
      <c r="EZ85" s="125"/>
      <c r="FA85" s="125"/>
      <c r="FB85" s="125"/>
      <c r="FC85" s="125"/>
      <c r="FD85" s="125"/>
      <c r="FE85" s="125"/>
      <c r="FF85" s="125"/>
      <c r="FG85" s="125"/>
      <c r="FH85" s="125"/>
      <c r="FI85" s="125"/>
      <c r="FJ85" s="125"/>
      <c r="FK85" s="125"/>
      <c r="FL85" s="125"/>
      <c r="FM85" s="125"/>
      <c r="FN85" s="125"/>
      <c r="FO85" s="125"/>
      <c r="FP85" s="125"/>
      <c r="FQ85" s="125"/>
      <c r="FR85" s="125"/>
      <c r="FS85" s="125"/>
      <c r="FT85" s="125"/>
      <c r="FU85" s="125"/>
      <c r="FV85" s="125"/>
      <c r="FW85" s="125"/>
      <c r="FX85" s="125"/>
      <c r="FY85" s="125"/>
      <c r="FZ85" s="125"/>
      <c r="GA85" s="125"/>
      <c r="GB85" s="125"/>
      <c r="GC85" s="125"/>
      <c r="GD85" s="125"/>
      <c r="GE85" s="125"/>
      <c r="GF85" s="125"/>
      <c r="GG85" s="125"/>
      <c r="GH85" s="125"/>
      <c r="GI85" s="125"/>
      <c r="GJ85" s="125"/>
      <c r="GK85" s="125"/>
      <c r="GL85" s="125"/>
      <c r="GM85" s="125"/>
      <c r="GN85" s="125"/>
      <c r="GO85" s="125"/>
      <c r="GP85" s="125"/>
      <c r="GQ85" s="125"/>
      <c r="GR85" s="125"/>
      <c r="GS85" s="125"/>
      <c r="GT85" s="125"/>
      <c r="GU85" s="125"/>
      <c r="GV85" s="125"/>
      <c r="GW85" s="125"/>
      <c r="GX85" s="125"/>
      <c r="GY85" s="125"/>
      <c r="GZ85" s="125"/>
      <c r="HA85" s="125"/>
      <c r="HB85" s="125"/>
      <c r="HC85" s="125"/>
      <c r="HD85" s="125"/>
      <c r="HE85" s="125"/>
      <c r="HF85" s="125"/>
      <c r="HG85" s="125"/>
      <c r="HH85" s="125"/>
      <c r="HI85" s="125"/>
      <c r="HJ85" s="125"/>
      <c r="HK85" s="125"/>
      <c r="HL85" s="125"/>
      <c r="HM85" s="125"/>
      <c r="HN85" s="125"/>
      <c r="HO85" s="125"/>
      <c r="HP85" s="125"/>
      <c r="HQ85" s="125"/>
      <c r="HR85" s="125"/>
      <c r="HS85" s="125"/>
      <c r="HT85" s="125"/>
      <c r="HU85" s="125"/>
      <c r="HV85" s="125"/>
      <c r="HW85" s="125"/>
      <c r="HX85" s="125"/>
      <c r="HY85" s="125"/>
      <c r="HZ85" s="125"/>
      <c r="IA85" s="125"/>
      <c r="IB85" s="125"/>
      <c r="IC85" s="125"/>
      <c r="ID85" s="125"/>
      <c r="IE85" s="125"/>
      <c r="IF85" s="125"/>
      <c r="IG85" s="125"/>
      <c r="IH85" s="125"/>
      <c r="II85" s="125"/>
      <c r="IJ85" s="125"/>
      <c r="IK85" s="125"/>
      <c r="IL85" s="125"/>
      <c r="IM85" s="125"/>
      <c r="IN85" s="125"/>
      <c r="IO85" s="125"/>
      <c r="IP85" s="125"/>
      <c r="IQ85" s="125"/>
      <c r="IR85" s="125"/>
      <c r="IS85" s="125"/>
      <c r="IT85" s="125"/>
      <c r="IU85" s="125"/>
      <c r="IV85" s="125"/>
      <c r="IW85" s="125"/>
      <c r="IX85" s="125"/>
      <c r="IY85" s="125"/>
      <c r="IZ85" s="125"/>
      <c r="JA85" s="125"/>
      <c r="JB85" s="125"/>
      <c r="JC85" s="125"/>
      <c r="JD85" s="125"/>
      <c r="JE85" s="125"/>
      <c r="JF85" s="125"/>
      <c r="JG85" s="125"/>
      <c r="JH85" s="125"/>
      <c r="JI85" s="119">
        <f t="shared" si="2"/>
        <v>200000</v>
      </c>
      <c r="JJ85" s="339">
        <v>966</v>
      </c>
      <c r="JK85" s="125"/>
      <c r="JL85" s="125">
        <f t="shared" si="3"/>
        <v>200000</v>
      </c>
      <c r="JM85" s="1"/>
      <c r="JN85" s="1"/>
      <c r="JO85" s="1"/>
      <c r="JP85" s="1"/>
    </row>
    <row r="86" spans="1:276" x14ac:dyDescent="0.2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  <c r="DB86" s="125"/>
      <c r="DC86" s="125"/>
      <c r="DD86" s="125"/>
      <c r="DE86" s="125"/>
      <c r="DF86" s="125"/>
      <c r="DG86" s="125"/>
      <c r="DH86" s="125"/>
      <c r="DI86" s="125"/>
      <c r="DJ86" s="125"/>
      <c r="DK86" s="125"/>
      <c r="DL86" s="125"/>
      <c r="DM86" s="125"/>
      <c r="DN86" s="125"/>
      <c r="DO86" s="125"/>
      <c r="DP86" s="125"/>
      <c r="DQ86" s="125"/>
      <c r="DR86" s="125"/>
      <c r="DS86" s="125"/>
      <c r="DT86" s="125"/>
      <c r="DU86" s="125"/>
      <c r="DV86" s="125"/>
      <c r="DW86" s="125"/>
      <c r="DX86" s="125"/>
      <c r="DY86" s="125"/>
      <c r="DZ86" s="125"/>
      <c r="EA86" s="125">
        <v>179280</v>
      </c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25"/>
      <c r="FV86" s="125"/>
      <c r="FW86" s="125"/>
      <c r="FX86" s="125"/>
      <c r="FY86" s="125"/>
      <c r="FZ86" s="125"/>
      <c r="GA86" s="125"/>
      <c r="GB86" s="125"/>
      <c r="GC86" s="125"/>
      <c r="GD86" s="125"/>
      <c r="GE86" s="125"/>
      <c r="GF86" s="125"/>
      <c r="GG86" s="125"/>
      <c r="GH86" s="125"/>
      <c r="GI86" s="125"/>
      <c r="GJ86" s="125"/>
      <c r="GK86" s="125"/>
      <c r="GL86" s="125"/>
      <c r="GM86" s="125"/>
      <c r="GN86" s="125"/>
      <c r="GO86" s="125"/>
      <c r="GP86" s="125"/>
      <c r="GQ86" s="125"/>
      <c r="GR86" s="125"/>
      <c r="GS86" s="125"/>
      <c r="GT86" s="125"/>
      <c r="GU86" s="125"/>
      <c r="GV86" s="125"/>
      <c r="GW86" s="125"/>
      <c r="GX86" s="125"/>
      <c r="GY86" s="125"/>
      <c r="GZ86" s="125"/>
      <c r="HA86" s="125"/>
      <c r="HB86" s="125"/>
      <c r="HC86" s="125"/>
      <c r="HD86" s="125"/>
      <c r="HE86" s="125"/>
      <c r="HF86" s="125"/>
      <c r="HG86" s="125"/>
      <c r="HH86" s="125"/>
      <c r="HI86" s="125"/>
      <c r="HJ86" s="125"/>
      <c r="HK86" s="125"/>
      <c r="HL86" s="125"/>
      <c r="HM86" s="125"/>
      <c r="HN86" s="125"/>
      <c r="HO86" s="125"/>
      <c r="HP86" s="125"/>
      <c r="HQ86" s="125"/>
      <c r="HR86" s="125"/>
      <c r="HS86" s="125"/>
      <c r="HT86" s="125"/>
      <c r="HU86" s="125"/>
      <c r="HV86" s="125"/>
      <c r="HW86" s="125"/>
      <c r="HX86" s="125"/>
      <c r="HY86" s="125"/>
      <c r="HZ86" s="125"/>
      <c r="IA86" s="125"/>
      <c r="IB86" s="125"/>
      <c r="IC86" s="125"/>
      <c r="ID86" s="125"/>
      <c r="IE86" s="125"/>
      <c r="IF86" s="125"/>
      <c r="IG86" s="125"/>
      <c r="IH86" s="125"/>
      <c r="II86" s="125"/>
      <c r="IJ86" s="125"/>
      <c r="IK86" s="125"/>
      <c r="IL86" s="125"/>
      <c r="IM86" s="125"/>
      <c r="IN86" s="125"/>
      <c r="IO86" s="125"/>
      <c r="IP86" s="125"/>
      <c r="IQ86" s="125"/>
      <c r="IR86" s="125"/>
      <c r="IS86" s="125"/>
      <c r="IT86" s="125"/>
      <c r="IU86" s="125"/>
      <c r="IV86" s="125"/>
      <c r="IW86" s="125"/>
      <c r="IX86" s="125"/>
      <c r="IY86" s="125"/>
      <c r="IZ86" s="125"/>
      <c r="JA86" s="125"/>
      <c r="JB86" s="125"/>
      <c r="JC86" s="125"/>
      <c r="JD86" s="125"/>
      <c r="JE86" s="125"/>
      <c r="JF86" s="125"/>
      <c r="JG86" s="125"/>
      <c r="JH86" s="125"/>
      <c r="JI86" s="119">
        <f t="shared" si="2"/>
        <v>179280</v>
      </c>
      <c r="JJ86" s="339">
        <v>970</v>
      </c>
      <c r="JK86" s="125"/>
      <c r="JL86" s="125">
        <f t="shared" si="3"/>
        <v>179280</v>
      </c>
      <c r="JM86" s="1"/>
      <c r="JN86" s="1"/>
      <c r="JO86" s="1"/>
      <c r="JP86" s="1"/>
    </row>
    <row r="87" spans="1:276" x14ac:dyDescent="0.2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>
        <v>703496.94</v>
      </c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25"/>
      <c r="FV87" s="125"/>
      <c r="FW87" s="125"/>
      <c r="FX87" s="125"/>
      <c r="FY87" s="125"/>
      <c r="FZ87" s="125"/>
      <c r="GA87" s="125"/>
      <c r="GB87" s="125"/>
      <c r="GC87" s="125"/>
      <c r="GD87" s="125"/>
      <c r="GE87" s="125"/>
      <c r="GF87" s="125"/>
      <c r="GG87" s="125"/>
      <c r="GH87" s="125"/>
      <c r="GI87" s="125"/>
      <c r="GJ87" s="125"/>
      <c r="GK87" s="125"/>
      <c r="GL87" s="125"/>
      <c r="GM87" s="125"/>
      <c r="GN87" s="125"/>
      <c r="GO87" s="125"/>
      <c r="GP87" s="125"/>
      <c r="GQ87" s="125"/>
      <c r="GR87" s="125"/>
      <c r="GS87" s="125"/>
      <c r="GT87" s="125"/>
      <c r="GU87" s="125"/>
      <c r="GV87" s="125"/>
      <c r="GW87" s="125"/>
      <c r="GX87" s="125"/>
      <c r="GY87" s="125"/>
      <c r="GZ87" s="125"/>
      <c r="HA87" s="125"/>
      <c r="HB87" s="125"/>
      <c r="HC87" s="125"/>
      <c r="HD87" s="125"/>
      <c r="HE87" s="125"/>
      <c r="HF87" s="125"/>
      <c r="HG87" s="125"/>
      <c r="HH87" s="125"/>
      <c r="HI87" s="125"/>
      <c r="HJ87" s="125"/>
      <c r="HK87" s="125"/>
      <c r="HL87" s="125"/>
      <c r="HM87" s="125"/>
      <c r="HN87" s="125"/>
      <c r="HO87" s="125"/>
      <c r="HP87" s="125"/>
      <c r="HQ87" s="125"/>
      <c r="HR87" s="125"/>
      <c r="HS87" s="125"/>
      <c r="HT87" s="125"/>
      <c r="HU87" s="125"/>
      <c r="HV87" s="125"/>
      <c r="HW87" s="125"/>
      <c r="HX87" s="125"/>
      <c r="HY87" s="125"/>
      <c r="HZ87" s="125"/>
      <c r="IA87" s="125"/>
      <c r="IB87" s="125"/>
      <c r="IC87" s="125"/>
      <c r="ID87" s="125"/>
      <c r="IE87" s="125"/>
      <c r="IF87" s="125"/>
      <c r="IG87" s="125"/>
      <c r="IH87" s="125"/>
      <c r="II87" s="125"/>
      <c r="IJ87" s="125"/>
      <c r="IK87" s="125"/>
      <c r="IL87" s="125"/>
      <c r="IM87" s="125"/>
      <c r="IN87" s="125"/>
      <c r="IO87" s="125"/>
      <c r="IP87" s="125"/>
      <c r="IQ87" s="125"/>
      <c r="IR87" s="125"/>
      <c r="IS87" s="125"/>
      <c r="IT87" s="125"/>
      <c r="IU87" s="125"/>
      <c r="IV87" s="125"/>
      <c r="IW87" s="125"/>
      <c r="IX87" s="125"/>
      <c r="IY87" s="125"/>
      <c r="IZ87" s="125"/>
      <c r="JA87" s="125"/>
      <c r="JB87" s="125"/>
      <c r="JC87" s="125"/>
      <c r="JD87" s="125"/>
      <c r="JE87" s="125"/>
      <c r="JF87" s="125"/>
      <c r="JG87" s="125"/>
      <c r="JH87" s="125"/>
      <c r="JI87" s="119">
        <f t="shared" si="2"/>
        <v>703496.94</v>
      </c>
      <c r="JJ87" s="339">
        <v>974</v>
      </c>
      <c r="JK87" s="125"/>
      <c r="JL87" s="125">
        <f t="shared" si="3"/>
        <v>703496.94</v>
      </c>
      <c r="JM87" s="1"/>
      <c r="JN87" s="1"/>
      <c r="JO87" s="1"/>
      <c r="JP87" s="1"/>
    </row>
    <row r="88" spans="1:276" x14ac:dyDescent="0.2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  <c r="DN88" s="125"/>
      <c r="DO88" s="125"/>
      <c r="DP88" s="125"/>
      <c r="DQ88" s="125"/>
      <c r="DR88" s="125"/>
      <c r="DS88" s="125"/>
      <c r="DT88" s="125"/>
      <c r="DU88" s="125"/>
      <c r="DV88" s="125"/>
      <c r="DW88" s="125"/>
      <c r="DX88" s="125"/>
      <c r="DY88" s="125"/>
      <c r="DZ88" s="125"/>
      <c r="EA88" s="125"/>
      <c r="EB88" s="125"/>
      <c r="EC88" s="125"/>
      <c r="ED88" s="125"/>
      <c r="EE88" s="125"/>
      <c r="EF88" s="125"/>
      <c r="EG88" s="125"/>
      <c r="EH88" s="125"/>
      <c r="EI88" s="125"/>
      <c r="EJ88" s="125"/>
      <c r="EK88" s="125"/>
      <c r="EL88" s="125"/>
      <c r="EM88" s="125"/>
      <c r="EN88" s="125"/>
      <c r="EO88" s="125"/>
      <c r="EP88" s="125"/>
      <c r="EQ88" s="125"/>
      <c r="ER88" s="125"/>
      <c r="ES88" s="125"/>
      <c r="ET88" s="125"/>
      <c r="EU88" s="125"/>
      <c r="EV88" s="125"/>
      <c r="EW88" s="125"/>
      <c r="EX88" s="125"/>
      <c r="EY88" s="125"/>
      <c r="EZ88" s="125"/>
      <c r="FA88" s="125"/>
      <c r="FB88" s="125"/>
      <c r="FC88" s="125"/>
      <c r="FD88" s="125"/>
      <c r="FE88" s="125"/>
      <c r="FF88" s="125"/>
      <c r="FG88" s="125"/>
      <c r="FH88" s="125"/>
      <c r="FI88" s="125"/>
      <c r="FJ88" s="125"/>
      <c r="FK88" s="125"/>
      <c r="FL88" s="125"/>
      <c r="FM88" s="125"/>
      <c r="FN88" s="125"/>
      <c r="FO88" s="125"/>
      <c r="FP88" s="125"/>
      <c r="FQ88" s="125"/>
      <c r="FR88" s="125"/>
      <c r="FS88" s="125"/>
      <c r="FT88" s="125">
        <v>176528</v>
      </c>
      <c r="FU88" s="125"/>
      <c r="FV88" s="125"/>
      <c r="FW88" s="125"/>
      <c r="FX88" s="125"/>
      <c r="FY88" s="125"/>
      <c r="FZ88" s="125"/>
      <c r="GA88" s="125"/>
      <c r="GB88" s="125"/>
      <c r="GC88" s="125"/>
      <c r="GD88" s="125"/>
      <c r="GE88" s="125"/>
      <c r="GF88" s="125"/>
      <c r="GG88" s="125"/>
      <c r="GH88" s="125"/>
      <c r="GI88" s="125"/>
      <c r="GJ88" s="125"/>
      <c r="GK88" s="125"/>
      <c r="GL88" s="125"/>
      <c r="GM88" s="125"/>
      <c r="GN88" s="125"/>
      <c r="GO88" s="125"/>
      <c r="GP88" s="125"/>
      <c r="GQ88" s="125"/>
      <c r="GR88" s="125"/>
      <c r="GS88" s="125"/>
      <c r="GT88" s="125"/>
      <c r="GU88" s="125"/>
      <c r="GV88" s="125"/>
      <c r="GW88" s="125"/>
      <c r="GX88" s="125"/>
      <c r="GY88" s="125"/>
      <c r="GZ88" s="125"/>
      <c r="HA88" s="125"/>
      <c r="HB88" s="125"/>
      <c r="HC88" s="125"/>
      <c r="HD88" s="125"/>
      <c r="HE88" s="125"/>
      <c r="HF88" s="125"/>
      <c r="HG88" s="125"/>
      <c r="HH88" s="125"/>
      <c r="HI88" s="125"/>
      <c r="HJ88" s="125"/>
      <c r="HK88" s="125"/>
      <c r="HL88" s="125"/>
      <c r="HM88" s="125"/>
      <c r="HN88" s="125"/>
      <c r="HO88" s="125"/>
      <c r="HP88" s="125"/>
      <c r="HQ88" s="125"/>
      <c r="HR88" s="125"/>
      <c r="HS88" s="125"/>
      <c r="HT88" s="125"/>
      <c r="HU88" s="125"/>
      <c r="HV88" s="125"/>
      <c r="HW88" s="125"/>
      <c r="HX88" s="125"/>
      <c r="HY88" s="125"/>
      <c r="HZ88" s="125"/>
      <c r="IA88" s="125"/>
      <c r="IB88" s="125"/>
      <c r="IC88" s="125"/>
      <c r="ID88" s="125"/>
      <c r="IE88" s="125"/>
      <c r="IF88" s="125"/>
      <c r="IG88" s="125"/>
      <c r="IH88" s="125"/>
      <c r="II88" s="125"/>
      <c r="IJ88" s="125"/>
      <c r="IK88" s="125"/>
      <c r="IL88" s="125"/>
      <c r="IM88" s="125"/>
      <c r="IN88" s="125"/>
      <c r="IO88" s="125"/>
      <c r="IP88" s="125"/>
      <c r="IQ88" s="125"/>
      <c r="IR88" s="125"/>
      <c r="IS88" s="125"/>
      <c r="IT88" s="125"/>
      <c r="IU88" s="125"/>
      <c r="IV88" s="125"/>
      <c r="IW88" s="125"/>
      <c r="IX88" s="125"/>
      <c r="IY88" s="125"/>
      <c r="IZ88" s="125"/>
      <c r="JA88" s="125"/>
      <c r="JB88" s="125"/>
      <c r="JC88" s="125"/>
      <c r="JD88" s="125"/>
      <c r="JE88" s="125"/>
      <c r="JF88" s="125"/>
      <c r="JG88" s="125"/>
      <c r="JH88" s="125"/>
      <c r="JI88" s="119">
        <f t="shared" si="2"/>
        <v>176528</v>
      </c>
      <c r="JJ88" s="339">
        <v>978</v>
      </c>
      <c r="JK88" s="125"/>
      <c r="JL88" s="125">
        <f t="shared" si="3"/>
        <v>176528</v>
      </c>
      <c r="JM88" s="1"/>
      <c r="JN88" s="1"/>
      <c r="JO88" s="1"/>
      <c r="JP88" s="1"/>
    </row>
    <row r="89" spans="1:276" x14ac:dyDescent="0.2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  <c r="CW89" s="125"/>
      <c r="CX89" s="125"/>
      <c r="CY89" s="125"/>
      <c r="CZ89" s="125"/>
      <c r="DA89" s="125"/>
      <c r="DB89" s="125"/>
      <c r="DC89" s="125"/>
      <c r="DD89" s="125"/>
      <c r="DE89" s="125"/>
      <c r="DF89" s="125"/>
      <c r="DG89" s="125"/>
      <c r="DH89" s="125"/>
      <c r="DI89" s="125"/>
      <c r="DJ89" s="125"/>
      <c r="DK89" s="125"/>
      <c r="DL89" s="125"/>
      <c r="DM89" s="125"/>
      <c r="DN89" s="125"/>
      <c r="DO89" s="125"/>
      <c r="DP89" s="125"/>
      <c r="DQ89" s="125"/>
      <c r="DR89" s="125"/>
      <c r="DS89" s="125"/>
      <c r="DT89" s="125"/>
      <c r="DU89" s="125"/>
      <c r="DV89" s="125"/>
      <c r="DW89" s="125"/>
      <c r="DX89" s="125"/>
      <c r="DY89" s="125"/>
      <c r="DZ89" s="125"/>
      <c r="EA89" s="125"/>
      <c r="EB89" s="125"/>
      <c r="EC89" s="125"/>
      <c r="ED89" s="125"/>
      <c r="EE89" s="125"/>
      <c r="EF89" s="125"/>
      <c r="EG89" s="125"/>
      <c r="EH89" s="125"/>
      <c r="EI89" s="125"/>
      <c r="EJ89" s="125"/>
      <c r="EK89" s="125"/>
      <c r="EL89" s="125"/>
      <c r="EM89" s="125"/>
      <c r="EN89" s="125"/>
      <c r="EO89" s="125"/>
      <c r="EP89" s="125"/>
      <c r="EQ89" s="125"/>
      <c r="ER89" s="125"/>
      <c r="ES89" s="125"/>
      <c r="ET89" s="125"/>
      <c r="EU89" s="125"/>
      <c r="EV89" s="125"/>
      <c r="EW89" s="125"/>
      <c r="EX89" s="125"/>
      <c r="EY89" s="125"/>
      <c r="EZ89" s="125"/>
      <c r="FA89" s="125"/>
      <c r="FB89" s="125"/>
      <c r="FC89" s="125"/>
      <c r="FD89" s="125"/>
      <c r="FE89" s="125"/>
      <c r="FF89" s="125"/>
      <c r="FG89" s="125"/>
      <c r="FH89" s="125"/>
      <c r="FI89" s="125"/>
      <c r="FJ89" s="125"/>
      <c r="FK89" s="125"/>
      <c r="FL89" s="125"/>
      <c r="FM89" s="125"/>
      <c r="FN89" s="125"/>
      <c r="FO89" s="125"/>
      <c r="FP89" s="125"/>
      <c r="FQ89" s="125"/>
      <c r="FR89" s="125"/>
      <c r="FS89" s="125"/>
      <c r="FT89" s="125">
        <v>201500</v>
      </c>
      <c r="FU89" s="125"/>
      <c r="FV89" s="125"/>
      <c r="FW89" s="125"/>
      <c r="FX89" s="125"/>
      <c r="FY89" s="125"/>
      <c r="FZ89" s="125"/>
      <c r="GA89" s="125"/>
      <c r="GB89" s="125"/>
      <c r="GC89" s="125"/>
      <c r="GD89" s="125"/>
      <c r="GE89" s="125"/>
      <c r="GF89" s="125"/>
      <c r="GG89" s="125"/>
      <c r="GH89" s="125"/>
      <c r="GI89" s="125"/>
      <c r="GJ89" s="125"/>
      <c r="GK89" s="125"/>
      <c r="GL89" s="125"/>
      <c r="GM89" s="125"/>
      <c r="GN89" s="125"/>
      <c r="GO89" s="125"/>
      <c r="GP89" s="125"/>
      <c r="GQ89" s="125"/>
      <c r="GR89" s="125"/>
      <c r="GS89" s="125"/>
      <c r="GT89" s="125"/>
      <c r="GU89" s="125"/>
      <c r="GV89" s="125"/>
      <c r="GW89" s="125"/>
      <c r="GX89" s="125"/>
      <c r="GY89" s="125"/>
      <c r="GZ89" s="125"/>
      <c r="HA89" s="125"/>
      <c r="HB89" s="125"/>
      <c r="HC89" s="125"/>
      <c r="HD89" s="125"/>
      <c r="HE89" s="125"/>
      <c r="HF89" s="125"/>
      <c r="HG89" s="125"/>
      <c r="HH89" s="125"/>
      <c r="HI89" s="125"/>
      <c r="HJ89" s="125"/>
      <c r="HK89" s="125"/>
      <c r="HL89" s="125"/>
      <c r="HM89" s="125"/>
      <c r="HN89" s="125"/>
      <c r="HO89" s="125"/>
      <c r="HP89" s="125"/>
      <c r="HQ89" s="125"/>
      <c r="HR89" s="125"/>
      <c r="HS89" s="125"/>
      <c r="HT89" s="125"/>
      <c r="HU89" s="125"/>
      <c r="HV89" s="125"/>
      <c r="HW89" s="125"/>
      <c r="HX89" s="125"/>
      <c r="HY89" s="125"/>
      <c r="HZ89" s="125"/>
      <c r="IA89" s="125"/>
      <c r="IB89" s="125"/>
      <c r="IC89" s="125"/>
      <c r="ID89" s="125"/>
      <c r="IE89" s="125"/>
      <c r="IF89" s="125"/>
      <c r="IG89" s="125"/>
      <c r="IH89" s="125"/>
      <c r="II89" s="125"/>
      <c r="IJ89" s="125"/>
      <c r="IK89" s="125"/>
      <c r="IL89" s="125"/>
      <c r="IM89" s="125"/>
      <c r="IN89" s="125"/>
      <c r="IO89" s="125"/>
      <c r="IP89" s="125"/>
      <c r="IQ89" s="125"/>
      <c r="IR89" s="125"/>
      <c r="IS89" s="125"/>
      <c r="IT89" s="125"/>
      <c r="IU89" s="125"/>
      <c r="IV89" s="125"/>
      <c r="IW89" s="125"/>
      <c r="IX89" s="125"/>
      <c r="IY89" s="125"/>
      <c r="IZ89" s="125"/>
      <c r="JA89" s="125"/>
      <c r="JB89" s="125"/>
      <c r="JC89" s="125"/>
      <c r="JD89" s="125"/>
      <c r="JE89" s="125"/>
      <c r="JF89" s="125"/>
      <c r="JG89" s="125"/>
      <c r="JH89" s="125"/>
      <c r="JI89" s="119">
        <f t="shared" si="2"/>
        <v>201500</v>
      </c>
      <c r="JJ89" s="339">
        <v>982</v>
      </c>
      <c r="JK89" s="125"/>
      <c r="JL89" s="125">
        <f t="shared" si="3"/>
        <v>201500</v>
      </c>
      <c r="JM89" s="1"/>
      <c r="JN89" s="1"/>
      <c r="JO89" s="1"/>
      <c r="JP89" s="1"/>
    </row>
    <row r="90" spans="1:276" x14ac:dyDescent="0.2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  <c r="CW90" s="125"/>
      <c r="CX90" s="125"/>
      <c r="CY90" s="125"/>
      <c r="CZ90" s="125"/>
      <c r="DA90" s="125"/>
      <c r="DB90" s="125"/>
      <c r="DC90" s="125"/>
      <c r="DD90" s="125"/>
      <c r="DE90" s="125"/>
      <c r="DF90" s="125"/>
      <c r="DG90" s="125"/>
      <c r="DH90" s="125"/>
      <c r="DI90" s="125"/>
      <c r="DJ90" s="125"/>
      <c r="DK90" s="125"/>
      <c r="DL90" s="125"/>
      <c r="DM90" s="125"/>
      <c r="DN90" s="125"/>
      <c r="DO90" s="125"/>
      <c r="DP90" s="125"/>
      <c r="DQ90" s="125"/>
      <c r="DR90" s="125"/>
      <c r="DS90" s="125"/>
      <c r="DT90" s="125"/>
      <c r="DU90" s="125"/>
      <c r="DV90" s="125"/>
      <c r="DW90" s="125"/>
      <c r="DX90" s="125"/>
      <c r="DY90" s="125"/>
      <c r="DZ90" s="125"/>
      <c r="EA90" s="125">
        <v>169632</v>
      </c>
      <c r="EB90" s="125"/>
      <c r="EC90" s="125"/>
      <c r="ED90" s="125"/>
      <c r="EE90" s="125"/>
      <c r="EF90" s="125"/>
      <c r="EG90" s="125"/>
      <c r="EH90" s="125"/>
      <c r="EI90" s="125"/>
      <c r="EJ90" s="125"/>
      <c r="EK90" s="125"/>
      <c r="EL90" s="125"/>
      <c r="EM90" s="125"/>
      <c r="EN90" s="125"/>
      <c r="EO90" s="125"/>
      <c r="EP90" s="125"/>
      <c r="EQ90" s="125"/>
      <c r="ER90" s="125"/>
      <c r="ES90" s="125"/>
      <c r="ET90" s="125"/>
      <c r="EU90" s="125"/>
      <c r="EV90" s="125"/>
      <c r="EW90" s="125"/>
      <c r="EX90" s="125"/>
      <c r="EY90" s="125"/>
      <c r="EZ90" s="125"/>
      <c r="FA90" s="125"/>
      <c r="FB90" s="125"/>
      <c r="FC90" s="125"/>
      <c r="FD90" s="125"/>
      <c r="FE90" s="125"/>
      <c r="FF90" s="125"/>
      <c r="FG90" s="125"/>
      <c r="FH90" s="125"/>
      <c r="FI90" s="125"/>
      <c r="FJ90" s="125"/>
      <c r="FK90" s="125"/>
      <c r="FL90" s="125"/>
      <c r="FM90" s="125"/>
      <c r="FN90" s="125"/>
      <c r="FO90" s="125"/>
      <c r="FP90" s="125"/>
      <c r="FQ90" s="125"/>
      <c r="FR90" s="125"/>
      <c r="FS90" s="125"/>
      <c r="FT90" s="125"/>
      <c r="FU90" s="125"/>
      <c r="FV90" s="125"/>
      <c r="FW90" s="125"/>
      <c r="FX90" s="125"/>
      <c r="FY90" s="125"/>
      <c r="FZ90" s="125"/>
      <c r="GA90" s="125"/>
      <c r="GB90" s="125"/>
      <c r="GC90" s="125"/>
      <c r="GD90" s="125"/>
      <c r="GE90" s="125"/>
      <c r="GF90" s="125"/>
      <c r="GG90" s="125"/>
      <c r="GH90" s="125"/>
      <c r="GI90" s="125"/>
      <c r="GJ90" s="125"/>
      <c r="GK90" s="125"/>
      <c r="GL90" s="125"/>
      <c r="GM90" s="125"/>
      <c r="GN90" s="125"/>
      <c r="GO90" s="125"/>
      <c r="GP90" s="125"/>
      <c r="GQ90" s="125"/>
      <c r="GR90" s="125"/>
      <c r="GS90" s="125"/>
      <c r="GT90" s="125"/>
      <c r="GU90" s="125"/>
      <c r="GV90" s="125"/>
      <c r="GW90" s="125"/>
      <c r="GX90" s="125"/>
      <c r="GY90" s="125"/>
      <c r="GZ90" s="125"/>
      <c r="HA90" s="125"/>
      <c r="HB90" s="125"/>
      <c r="HC90" s="125"/>
      <c r="HD90" s="125"/>
      <c r="HE90" s="125"/>
      <c r="HF90" s="125"/>
      <c r="HG90" s="125"/>
      <c r="HH90" s="125"/>
      <c r="HI90" s="125"/>
      <c r="HJ90" s="125"/>
      <c r="HK90" s="125"/>
      <c r="HL90" s="125"/>
      <c r="HM90" s="125"/>
      <c r="HN90" s="125"/>
      <c r="HO90" s="125"/>
      <c r="HP90" s="125"/>
      <c r="HQ90" s="125"/>
      <c r="HR90" s="125"/>
      <c r="HS90" s="125"/>
      <c r="HT90" s="125"/>
      <c r="HU90" s="125"/>
      <c r="HV90" s="125"/>
      <c r="HW90" s="125"/>
      <c r="HX90" s="125"/>
      <c r="HY90" s="125"/>
      <c r="HZ90" s="125"/>
      <c r="IA90" s="125"/>
      <c r="IB90" s="125"/>
      <c r="IC90" s="125"/>
      <c r="ID90" s="125"/>
      <c r="IE90" s="125"/>
      <c r="IF90" s="125"/>
      <c r="IG90" s="125"/>
      <c r="IH90" s="125"/>
      <c r="II90" s="125"/>
      <c r="IJ90" s="125"/>
      <c r="IK90" s="125"/>
      <c r="IL90" s="125"/>
      <c r="IM90" s="125"/>
      <c r="IN90" s="125"/>
      <c r="IO90" s="125"/>
      <c r="IP90" s="125"/>
      <c r="IQ90" s="125"/>
      <c r="IR90" s="125"/>
      <c r="IS90" s="125"/>
      <c r="IT90" s="125"/>
      <c r="IU90" s="125"/>
      <c r="IV90" s="125"/>
      <c r="IW90" s="125"/>
      <c r="IX90" s="125"/>
      <c r="IY90" s="125"/>
      <c r="IZ90" s="125"/>
      <c r="JA90" s="125"/>
      <c r="JB90" s="125"/>
      <c r="JC90" s="125"/>
      <c r="JD90" s="125"/>
      <c r="JE90" s="125"/>
      <c r="JF90" s="125"/>
      <c r="JG90" s="125"/>
      <c r="JH90" s="125"/>
      <c r="JI90" s="119">
        <f t="shared" si="2"/>
        <v>169632</v>
      </c>
      <c r="JJ90" s="339">
        <v>989</v>
      </c>
      <c r="JK90" s="125"/>
      <c r="JL90" s="125">
        <f t="shared" si="3"/>
        <v>169632</v>
      </c>
      <c r="JM90" s="1"/>
      <c r="JN90" s="1"/>
      <c r="JO90" s="1"/>
      <c r="JP90" s="1"/>
    </row>
    <row r="91" spans="1:276" x14ac:dyDescent="0.2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>
        <v>243000</v>
      </c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  <c r="EM91" s="125"/>
      <c r="EN91" s="125"/>
      <c r="EO91" s="125"/>
      <c r="EP91" s="125"/>
      <c r="EQ91" s="125"/>
      <c r="ER91" s="125"/>
      <c r="ES91" s="125"/>
      <c r="ET91" s="125"/>
      <c r="EU91" s="125"/>
      <c r="EV91" s="125"/>
      <c r="EW91" s="125"/>
      <c r="EX91" s="125"/>
      <c r="EY91" s="125"/>
      <c r="EZ91" s="125"/>
      <c r="FA91" s="125"/>
      <c r="FB91" s="125"/>
      <c r="FC91" s="125"/>
      <c r="FD91" s="125"/>
      <c r="FE91" s="125"/>
      <c r="FF91" s="125"/>
      <c r="FG91" s="125"/>
      <c r="FH91" s="125"/>
      <c r="FI91" s="125"/>
      <c r="FJ91" s="125"/>
      <c r="FK91" s="125"/>
      <c r="FL91" s="125"/>
      <c r="FM91" s="125"/>
      <c r="FN91" s="125"/>
      <c r="FO91" s="125"/>
      <c r="FP91" s="125"/>
      <c r="FQ91" s="125"/>
      <c r="FR91" s="125"/>
      <c r="FS91" s="125"/>
      <c r="FT91" s="125"/>
      <c r="FU91" s="125"/>
      <c r="FV91" s="125"/>
      <c r="FW91" s="125"/>
      <c r="FX91" s="125"/>
      <c r="FY91" s="125"/>
      <c r="FZ91" s="125"/>
      <c r="GA91" s="125"/>
      <c r="GB91" s="125"/>
      <c r="GC91" s="125"/>
      <c r="GD91" s="125"/>
      <c r="GE91" s="125"/>
      <c r="GF91" s="125"/>
      <c r="GG91" s="125"/>
      <c r="GH91" s="125"/>
      <c r="GI91" s="125"/>
      <c r="GJ91" s="125"/>
      <c r="GK91" s="125"/>
      <c r="GL91" s="125"/>
      <c r="GM91" s="125"/>
      <c r="GN91" s="125"/>
      <c r="GO91" s="125"/>
      <c r="GP91" s="125"/>
      <c r="GQ91" s="125"/>
      <c r="GR91" s="125"/>
      <c r="GS91" s="125"/>
      <c r="GT91" s="125"/>
      <c r="GU91" s="125"/>
      <c r="GV91" s="125"/>
      <c r="GW91" s="125"/>
      <c r="GX91" s="125"/>
      <c r="GY91" s="125"/>
      <c r="GZ91" s="125"/>
      <c r="HA91" s="125"/>
      <c r="HB91" s="125"/>
      <c r="HC91" s="125"/>
      <c r="HD91" s="125"/>
      <c r="HE91" s="125"/>
      <c r="HF91" s="125"/>
      <c r="HG91" s="125"/>
      <c r="HH91" s="125"/>
      <c r="HI91" s="125"/>
      <c r="HJ91" s="125"/>
      <c r="HK91" s="125"/>
      <c r="HL91" s="125"/>
      <c r="HM91" s="125"/>
      <c r="HN91" s="125"/>
      <c r="HO91" s="125"/>
      <c r="HP91" s="125"/>
      <c r="HQ91" s="125"/>
      <c r="HR91" s="125"/>
      <c r="HS91" s="125"/>
      <c r="HT91" s="125"/>
      <c r="HU91" s="125"/>
      <c r="HV91" s="125"/>
      <c r="HW91" s="125"/>
      <c r="HX91" s="125"/>
      <c r="HY91" s="125"/>
      <c r="HZ91" s="125"/>
      <c r="IA91" s="125"/>
      <c r="IB91" s="125"/>
      <c r="IC91" s="125"/>
      <c r="ID91" s="125"/>
      <c r="IE91" s="125"/>
      <c r="IF91" s="125"/>
      <c r="IG91" s="125"/>
      <c r="IH91" s="125"/>
      <c r="II91" s="125"/>
      <c r="IJ91" s="125"/>
      <c r="IK91" s="125"/>
      <c r="IL91" s="125"/>
      <c r="IM91" s="125"/>
      <c r="IN91" s="125"/>
      <c r="IO91" s="125"/>
      <c r="IP91" s="125"/>
      <c r="IQ91" s="125"/>
      <c r="IR91" s="125"/>
      <c r="IS91" s="125"/>
      <c r="IT91" s="125"/>
      <c r="IU91" s="125"/>
      <c r="IV91" s="125"/>
      <c r="IW91" s="125"/>
      <c r="IX91" s="125"/>
      <c r="IY91" s="125"/>
      <c r="IZ91" s="125"/>
      <c r="JA91" s="125"/>
      <c r="JB91" s="125"/>
      <c r="JC91" s="125"/>
      <c r="JD91" s="125"/>
      <c r="JE91" s="125"/>
      <c r="JF91" s="125"/>
      <c r="JG91" s="125"/>
      <c r="JH91" s="125"/>
      <c r="JI91" s="119">
        <f t="shared" si="2"/>
        <v>243000</v>
      </c>
      <c r="JJ91" s="339">
        <v>993</v>
      </c>
      <c r="JK91" s="125"/>
      <c r="JL91" s="125">
        <f t="shared" si="3"/>
        <v>243000</v>
      </c>
      <c r="JM91" s="1"/>
      <c r="JN91" s="1"/>
      <c r="JO91" s="1"/>
      <c r="JP91" s="1"/>
    </row>
    <row r="92" spans="1:276" x14ac:dyDescent="0.2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  <c r="DB92" s="125"/>
      <c r="DC92" s="125"/>
      <c r="DD92" s="125"/>
      <c r="DE92" s="125"/>
      <c r="DF92" s="125"/>
      <c r="DG92" s="125"/>
      <c r="DH92" s="125"/>
      <c r="DI92" s="125"/>
      <c r="DJ92" s="125"/>
      <c r="DK92" s="125"/>
      <c r="DL92" s="125"/>
      <c r="DM92" s="125"/>
      <c r="DN92" s="125"/>
      <c r="DO92" s="125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25"/>
      <c r="FV92" s="125"/>
      <c r="FW92" s="125"/>
      <c r="FX92" s="125"/>
      <c r="FY92" s="125"/>
      <c r="FZ92" s="125"/>
      <c r="GA92" s="125"/>
      <c r="GB92" s="125"/>
      <c r="GC92" s="125"/>
      <c r="GD92" s="125"/>
      <c r="GE92" s="125"/>
      <c r="GF92" s="125"/>
      <c r="GG92" s="125"/>
      <c r="GH92" s="125"/>
      <c r="GI92" s="125"/>
      <c r="GJ92" s="125"/>
      <c r="GK92" s="125"/>
      <c r="GL92" s="125"/>
      <c r="GM92" s="125"/>
      <c r="GN92" s="125"/>
      <c r="GO92" s="125"/>
      <c r="GP92" s="125"/>
      <c r="GQ92" s="125">
        <v>264013.2</v>
      </c>
      <c r="GR92" s="125"/>
      <c r="GS92" s="125"/>
      <c r="GT92" s="125"/>
      <c r="GU92" s="125"/>
      <c r="GV92" s="125"/>
      <c r="GW92" s="125"/>
      <c r="GX92" s="125"/>
      <c r="GY92" s="125"/>
      <c r="GZ92" s="125"/>
      <c r="HA92" s="125"/>
      <c r="HB92" s="125"/>
      <c r="HC92" s="125"/>
      <c r="HD92" s="125"/>
      <c r="HE92" s="125"/>
      <c r="HF92" s="125"/>
      <c r="HG92" s="125"/>
      <c r="HH92" s="125"/>
      <c r="HI92" s="125"/>
      <c r="HJ92" s="125"/>
      <c r="HK92" s="125"/>
      <c r="HL92" s="125"/>
      <c r="HM92" s="125"/>
      <c r="HN92" s="125"/>
      <c r="HO92" s="125"/>
      <c r="HP92" s="125"/>
      <c r="HQ92" s="125"/>
      <c r="HR92" s="125"/>
      <c r="HS92" s="125"/>
      <c r="HT92" s="125"/>
      <c r="HU92" s="125"/>
      <c r="HV92" s="125"/>
      <c r="HW92" s="125"/>
      <c r="HX92" s="125"/>
      <c r="HY92" s="125"/>
      <c r="HZ92" s="125"/>
      <c r="IA92" s="125"/>
      <c r="IB92" s="125"/>
      <c r="IC92" s="125"/>
      <c r="ID92" s="125"/>
      <c r="IE92" s="125"/>
      <c r="IF92" s="125"/>
      <c r="IG92" s="125"/>
      <c r="IH92" s="125"/>
      <c r="II92" s="125"/>
      <c r="IJ92" s="125"/>
      <c r="IK92" s="125"/>
      <c r="IL92" s="125"/>
      <c r="IM92" s="125"/>
      <c r="IN92" s="125"/>
      <c r="IO92" s="125"/>
      <c r="IP92" s="125"/>
      <c r="IQ92" s="125"/>
      <c r="IR92" s="125"/>
      <c r="IS92" s="125"/>
      <c r="IT92" s="125"/>
      <c r="IU92" s="125"/>
      <c r="IV92" s="125"/>
      <c r="IW92" s="125"/>
      <c r="IX92" s="125"/>
      <c r="IY92" s="125"/>
      <c r="IZ92" s="125"/>
      <c r="JA92" s="125"/>
      <c r="JB92" s="125"/>
      <c r="JC92" s="125"/>
      <c r="JD92" s="125"/>
      <c r="JE92" s="125"/>
      <c r="JF92" s="125"/>
      <c r="JG92" s="125"/>
      <c r="JH92" s="125"/>
      <c r="JI92" s="119">
        <f t="shared" si="2"/>
        <v>264013.2</v>
      </c>
      <c r="JJ92" s="339">
        <v>997</v>
      </c>
      <c r="JK92" s="125"/>
      <c r="JL92" s="125">
        <f t="shared" si="3"/>
        <v>264013.2</v>
      </c>
      <c r="JM92" s="1"/>
      <c r="JN92" s="1"/>
      <c r="JO92" s="1"/>
      <c r="JP92" s="1"/>
    </row>
    <row r="93" spans="1:276" x14ac:dyDescent="0.2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  <c r="CW93" s="125"/>
      <c r="CX93" s="125"/>
      <c r="CY93" s="125"/>
      <c r="CZ93" s="125"/>
      <c r="DA93" s="125"/>
      <c r="DB93" s="125"/>
      <c r="DC93" s="125"/>
      <c r="DD93" s="125"/>
      <c r="DE93" s="125"/>
      <c r="DF93" s="125"/>
      <c r="DG93" s="125"/>
      <c r="DH93" s="125"/>
      <c r="DI93" s="125"/>
      <c r="DJ93" s="125"/>
      <c r="DK93" s="125"/>
      <c r="DL93" s="125"/>
      <c r="DM93" s="125"/>
      <c r="DN93" s="125"/>
      <c r="DO93" s="125"/>
      <c r="DP93" s="125"/>
      <c r="DQ93" s="125"/>
      <c r="DR93" s="125"/>
      <c r="DS93" s="125"/>
      <c r="DT93" s="125"/>
      <c r="DU93" s="125"/>
      <c r="DV93" s="125"/>
      <c r="DW93" s="125"/>
      <c r="DX93" s="125"/>
      <c r="DY93" s="125"/>
      <c r="DZ93" s="125"/>
      <c r="EA93" s="125"/>
      <c r="EB93" s="125"/>
      <c r="EC93" s="125"/>
      <c r="ED93" s="125"/>
      <c r="EE93" s="125"/>
      <c r="EF93" s="125"/>
      <c r="EG93" s="125"/>
      <c r="EH93" s="125"/>
      <c r="EI93" s="125"/>
      <c r="EJ93" s="125"/>
      <c r="EK93" s="125"/>
      <c r="EL93" s="125"/>
      <c r="EM93" s="125"/>
      <c r="EN93" s="125"/>
      <c r="EO93" s="125"/>
      <c r="EP93" s="125"/>
      <c r="EQ93" s="125"/>
      <c r="ER93" s="125"/>
      <c r="ES93" s="125"/>
      <c r="ET93" s="125"/>
      <c r="EU93" s="125"/>
      <c r="EV93" s="125"/>
      <c r="EW93" s="125"/>
      <c r="EX93" s="125"/>
      <c r="EY93" s="125"/>
      <c r="EZ93" s="125"/>
      <c r="FA93" s="125"/>
      <c r="FB93" s="125"/>
      <c r="FC93" s="125"/>
      <c r="FD93" s="125"/>
      <c r="FE93" s="125"/>
      <c r="FF93" s="125"/>
      <c r="FG93" s="125"/>
      <c r="FH93" s="125"/>
      <c r="FI93" s="125"/>
      <c r="FJ93" s="125"/>
      <c r="FK93" s="125"/>
      <c r="FL93" s="125"/>
      <c r="FM93" s="125"/>
      <c r="FN93" s="125"/>
      <c r="FO93" s="125"/>
      <c r="FP93" s="125"/>
      <c r="FQ93" s="125"/>
      <c r="FR93" s="125"/>
      <c r="FS93" s="125"/>
      <c r="FT93" s="125">
        <v>230320</v>
      </c>
      <c r="FU93" s="125"/>
      <c r="FV93" s="125"/>
      <c r="FW93" s="125"/>
      <c r="FX93" s="125"/>
      <c r="FY93" s="125"/>
      <c r="FZ93" s="125"/>
      <c r="GA93" s="125"/>
      <c r="GB93" s="125"/>
      <c r="GC93" s="125"/>
      <c r="GD93" s="125"/>
      <c r="GE93" s="125"/>
      <c r="GF93" s="125"/>
      <c r="GG93" s="125"/>
      <c r="GH93" s="125"/>
      <c r="GI93" s="125"/>
      <c r="GJ93" s="125"/>
      <c r="GK93" s="125"/>
      <c r="GL93" s="125"/>
      <c r="GM93" s="125"/>
      <c r="GN93" s="125"/>
      <c r="GO93" s="125"/>
      <c r="GP93" s="125"/>
      <c r="GQ93" s="125"/>
      <c r="GR93" s="125"/>
      <c r="GS93" s="125"/>
      <c r="GT93" s="125"/>
      <c r="GU93" s="125"/>
      <c r="GV93" s="125"/>
      <c r="GW93" s="125"/>
      <c r="GX93" s="125"/>
      <c r="GY93" s="125"/>
      <c r="GZ93" s="125"/>
      <c r="HA93" s="125"/>
      <c r="HB93" s="125"/>
      <c r="HC93" s="125"/>
      <c r="HD93" s="125"/>
      <c r="HE93" s="125"/>
      <c r="HF93" s="125"/>
      <c r="HG93" s="125"/>
      <c r="HH93" s="125"/>
      <c r="HI93" s="125"/>
      <c r="HJ93" s="125"/>
      <c r="HK93" s="125"/>
      <c r="HL93" s="125"/>
      <c r="HM93" s="125"/>
      <c r="HN93" s="125"/>
      <c r="HO93" s="125"/>
      <c r="HP93" s="125"/>
      <c r="HQ93" s="125"/>
      <c r="HR93" s="125"/>
      <c r="HS93" s="125"/>
      <c r="HT93" s="125"/>
      <c r="HU93" s="125"/>
      <c r="HV93" s="125"/>
      <c r="HW93" s="125"/>
      <c r="HX93" s="125"/>
      <c r="HY93" s="125"/>
      <c r="HZ93" s="125"/>
      <c r="IA93" s="125"/>
      <c r="IB93" s="125"/>
      <c r="IC93" s="125"/>
      <c r="ID93" s="125"/>
      <c r="IE93" s="125"/>
      <c r="IF93" s="125"/>
      <c r="IG93" s="125"/>
      <c r="IH93" s="125"/>
      <c r="II93" s="125"/>
      <c r="IJ93" s="125"/>
      <c r="IK93" s="125"/>
      <c r="IL93" s="125"/>
      <c r="IM93" s="125"/>
      <c r="IN93" s="125"/>
      <c r="IO93" s="125"/>
      <c r="IP93" s="125"/>
      <c r="IQ93" s="125"/>
      <c r="IR93" s="125"/>
      <c r="IS93" s="125"/>
      <c r="IT93" s="125"/>
      <c r="IU93" s="125"/>
      <c r="IV93" s="125"/>
      <c r="IW93" s="125"/>
      <c r="IX93" s="125"/>
      <c r="IY93" s="125"/>
      <c r="IZ93" s="125"/>
      <c r="JA93" s="125"/>
      <c r="JB93" s="125"/>
      <c r="JC93" s="125"/>
      <c r="JD93" s="125"/>
      <c r="JE93" s="125"/>
      <c r="JF93" s="125"/>
      <c r="JG93" s="125"/>
      <c r="JH93" s="125"/>
      <c r="JI93" s="119">
        <f t="shared" si="2"/>
        <v>230320</v>
      </c>
      <c r="JJ93" s="339">
        <v>1001</v>
      </c>
      <c r="JK93" s="125"/>
      <c r="JL93" s="125">
        <f t="shared" si="3"/>
        <v>230320</v>
      </c>
      <c r="JM93" s="1"/>
      <c r="JN93" s="1"/>
      <c r="JO93" s="1"/>
      <c r="JP93" s="1"/>
    </row>
    <row r="94" spans="1:276" x14ac:dyDescent="0.2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  <c r="EE94" s="125"/>
      <c r="EF94" s="125"/>
      <c r="EG94" s="125"/>
      <c r="EH94" s="125"/>
      <c r="EI94" s="125"/>
      <c r="EJ94" s="125"/>
      <c r="EK94" s="125"/>
      <c r="EL94" s="125"/>
      <c r="EM94" s="125"/>
      <c r="EN94" s="125"/>
      <c r="EO94" s="125"/>
      <c r="EP94" s="125"/>
      <c r="EQ94" s="125"/>
      <c r="ER94" s="125"/>
      <c r="ES94" s="125"/>
      <c r="ET94" s="125"/>
      <c r="EU94" s="125"/>
      <c r="EV94" s="125"/>
      <c r="EW94" s="125"/>
      <c r="EX94" s="125"/>
      <c r="EY94" s="125"/>
      <c r="EZ94" s="125"/>
      <c r="FA94" s="125"/>
      <c r="FB94" s="125"/>
      <c r="FC94" s="125"/>
      <c r="FD94" s="125"/>
      <c r="FE94" s="125"/>
      <c r="FF94" s="125"/>
      <c r="FG94" s="125"/>
      <c r="FH94" s="125"/>
      <c r="FI94" s="125"/>
      <c r="FJ94" s="125"/>
      <c r="FK94" s="125"/>
      <c r="FL94" s="125"/>
      <c r="FM94" s="125"/>
      <c r="FN94" s="125"/>
      <c r="FO94" s="125"/>
      <c r="FP94" s="125"/>
      <c r="FQ94" s="125"/>
      <c r="FR94" s="125"/>
      <c r="FS94" s="125"/>
      <c r="FT94" s="125">
        <v>140656</v>
      </c>
      <c r="FU94" s="125"/>
      <c r="FV94" s="125"/>
      <c r="FW94" s="125"/>
      <c r="FX94" s="125"/>
      <c r="FY94" s="125"/>
      <c r="FZ94" s="125"/>
      <c r="GA94" s="125"/>
      <c r="GB94" s="125"/>
      <c r="GC94" s="125"/>
      <c r="GD94" s="125"/>
      <c r="GE94" s="125"/>
      <c r="GF94" s="125"/>
      <c r="GG94" s="125"/>
      <c r="GH94" s="125"/>
      <c r="GI94" s="125"/>
      <c r="GJ94" s="125"/>
      <c r="GK94" s="125"/>
      <c r="GL94" s="125"/>
      <c r="GM94" s="125"/>
      <c r="GN94" s="125"/>
      <c r="GO94" s="125"/>
      <c r="GP94" s="125"/>
      <c r="GQ94" s="125"/>
      <c r="GR94" s="125"/>
      <c r="GS94" s="125"/>
      <c r="GT94" s="125"/>
      <c r="GU94" s="125"/>
      <c r="GV94" s="125"/>
      <c r="GW94" s="125"/>
      <c r="GX94" s="125"/>
      <c r="GY94" s="125"/>
      <c r="GZ94" s="125"/>
      <c r="HA94" s="125"/>
      <c r="HB94" s="125"/>
      <c r="HC94" s="125"/>
      <c r="HD94" s="125"/>
      <c r="HE94" s="125"/>
      <c r="HF94" s="125"/>
      <c r="HG94" s="125"/>
      <c r="HH94" s="125"/>
      <c r="HI94" s="125"/>
      <c r="HJ94" s="125"/>
      <c r="HK94" s="125"/>
      <c r="HL94" s="125"/>
      <c r="HM94" s="125"/>
      <c r="HN94" s="125"/>
      <c r="HO94" s="125"/>
      <c r="HP94" s="125"/>
      <c r="HQ94" s="125"/>
      <c r="HR94" s="125"/>
      <c r="HS94" s="125"/>
      <c r="HT94" s="125"/>
      <c r="HU94" s="125"/>
      <c r="HV94" s="125"/>
      <c r="HW94" s="125"/>
      <c r="HX94" s="125"/>
      <c r="HY94" s="125"/>
      <c r="HZ94" s="125"/>
      <c r="IA94" s="125"/>
      <c r="IB94" s="125"/>
      <c r="IC94" s="125"/>
      <c r="ID94" s="125"/>
      <c r="IE94" s="125"/>
      <c r="IF94" s="125"/>
      <c r="IG94" s="125"/>
      <c r="IH94" s="125"/>
      <c r="II94" s="125"/>
      <c r="IJ94" s="125"/>
      <c r="IK94" s="125"/>
      <c r="IL94" s="125"/>
      <c r="IM94" s="125"/>
      <c r="IN94" s="125"/>
      <c r="IO94" s="125"/>
      <c r="IP94" s="125"/>
      <c r="IQ94" s="125"/>
      <c r="IR94" s="125"/>
      <c r="IS94" s="125"/>
      <c r="IT94" s="125"/>
      <c r="IU94" s="125"/>
      <c r="IV94" s="125"/>
      <c r="IW94" s="125"/>
      <c r="IX94" s="125"/>
      <c r="IY94" s="125"/>
      <c r="IZ94" s="125"/>
      <c r="JA94" s="125"/>
      <c r="JB94" s="125"/>
      <c r="JC94" s="125"/>
      <c r="JD94" s="125"/>
      <c r="JE94" s="125"/>
      <c r="JF94" s="125"/>
      <c r="JG94" s="125"/>
      <c r="JH94" s="125"/>
      <c r="JI94" s="119">
        <f t="shared" si="2"/>
        <v>140656</v>
      </c>
      <c r="JJ94" s="339">
        <v>1005</v>
      </c>
      <c r="JK94" s="125"/>
      <c r="JL94" s="125">
        <f t="shared" si="3"/>
        <v>140656</v>
      </c>
      <c r="JM94" s="1"/>
      <c r="JN94" s="1"/>
      <c r="JO94" s="1"/>
      <c r="JP94" s="1"/>
    </row>
    <row r="95" spans="1:276" x14ac:dyDescent="0.2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DN95" s="125"/>
      <c r="DO95" s="125"/>
      <c r="DP95" s="125"/>
      <c r="DQ95" s="125"/>
      <c r="DR95" s="125"/>
      <c r="DS95" s="125"/>
      <c r="DT95" s="125"/>
      <c r="DU95" s="125"/>
      <c r="DV95" s="125"/>
      <c r="DW95" s="125"/>
      <c r="DX95" s="125"/>
      <c r="DY95" s="125"/>
      <c r="DZ95" s="125"/>
      <c r="EA95" s="125"/>
      <c r="EB95" s="125"/>
      <c r="EC95" s="125"/>
      <c r="ED95" s="125"/>
      <c r="EE95" s="125"/>
      <c r="EF95" s="125"/>
      <c r="EG95" s="125"/>
      <c r="EH95" s="125"/>
      <c r="EI95" s="125"/>
      <c r="EJ95" s="125"/>
      <c r="EK95" s="125"/>
      <c r="EL95" s="125"/>
      <c r="EM95" s="125"/>
      <c r="EN95" s="125"/>
      <c r="EO95" s="125"/>
      <c r="EP95" s="125"/>
      <c r="EQ95" s="125"/>
      <c r="ER95" s="125"/>
      <c r="ES95" s="125"/>
      <c r="ET95" s="125"/>
      <c r="EU95" s="125"/>
      <c r="EV95" s="125"/>
      <c r="EW95" s="125"/>
      <c r="EX95" s="125"/>
      <c r="EY95" s="125"/>
      <c r="EZ95" s="125"/>
      <c r="FA95" s="125"/>
      <c r="FB95" s="125"/>
      <c r="FC95" s="125"/>
      <c r="FD95" s="125"/>
      <c r="FE95" s="125"/>
      <c r="FF95" s="125"/>
      <c r="FG95" s="125"/>
      <c r="FH95" s="125"/>
      <c r="FI95" s="125"/>
      <c r="FJ95" s="125"/>
      <c r="FK95" s="125"/>
      <c r="FL95" s="125"/>
      <c r="FM95" s="125"/>
      <c r="FN95" s="125"/>
      <c r="FO95" s="125"/>
      <c r="FP95" s="125"/>
      <c r="FQ95" s="125">
        <v>209296.6</v>
      </c>
      <c r="FR95" s="125"/>
      <c r="FS95" s="125"/>
      <c r="FT95" s="125"/>
      <c r="FU95" s="125"/>
      <c r="FV95" s="125"/>
      <c r="FW95" s="125"/>
      <c r="FX95" s="125"/>
      <c r="FY95" s="125"/>
      <c r="FZ95" s="125"/>
      <c r="GA95" s="125"/>
      <c r="GB95" s="125"/>
      <c r="GC95" s="125"/>
      <c r="GD95" s="125"/>
      <c r="GE95" s="125"/>
      <c r="GF95" s="125"/>
      <c r="GG95" s="125"/>
      <c r="GH95" s="125"/>
      <c r="GI95" s="125"/>
      <c r="GJ95" s="125"/>
      <c r="GK95" s="125"/>
      <c r="GL95" s="125"/>
      <c r="GM95" s="125"/>
      <c r="GN95" s="125"/>
      <c r="GO95" s="125"/>
      <c r="GP95" s="125"/>
      <c r="GQ95" s="125"/>
      <c r="GR95" s="125"/>
      <c r="GS95" s="125"/>
      <c r="GT95" s="125"/>
      <c r="GU95" s="125"/>
      <c r="GV95" s="125"/>
      <c r="GW95" s="125"/>
      <c r="GX95" s="125"/>
      <c r="GY95" s="125"/>
      <c r="GZ95" s="125"/>
      <c r="HA95" s="125"/>
      <c r="HB95" s="125"/>
      <c r="HC95" s="125"/>
      <c r="HD95" s="125"/>
      <c r="HE95" s="125"/>
      <c r="HF95" s="125"/>
      <c r="HG95" s="125"/>
      <c r="HH95" s="125"/>
      <c r="HI95" s="125"/>
      <c r="HJ95" s="125"/>
      <c r="HK95" s="125"/>
      <c r="HL95" s="125"/>
      <c r="HM95" s="125"/>
      <c r="HN95" s="125"/>
      <c r="HO95" s="125"/>
      <c r="HP95" s="125"/>
      <c r="HQ95" s="125"/>
      <c r="HR95" s="125"/>
      <c r="HS95" s="125"/>
      <c r="HT95" s="125"/>
      <c r="HU95" s="125"/>
      <c r="HV95" s="125"/>
      <c r="HW95" s="125"/>
      <c r="HX95" s="125"/>
      <c r="HY95" s="125"/>
      <c r="HZ95" s="125"/>
      <c r="IA95" s="125"/>
      <c r="IB95" s="125"/>
      <c r="IC95" s="125"/>
      <c r="ID95" s="125"/>
      <c r="IE95" s="125"/>
      <c r="IF95" s="125"/>
      <c r="IG95" s="125"/>
      <c r="IH95" s="125"/>
      <c r="II95" s="125"/>
      <c r="IJ95" s="125"/>
      <c r="IK95" s="125"/>
      <c r="IL95" s="125"/>
      <c r="IM95" s="125"/>
      <c r="IN95" s="125"/>
      <c r="IO95" s="125"/>
      <c r="IP95" s="125"/>
      <c r="IQ95" s="125"/>
      <c r="IR95" s="125"/>
      <c r="IS95" s="125"/>
      <c r="IT95" s="125"/>
      <c r="IU95" s="125"/>
      <c r="IV95" s="125"/>
      <c r="IW95" s="125"/>
      <c r="IX95" s="125"/>
      <c r="IY95" s="125"/>
      <c r="IZ95" s="125"/>
      <c r="JA95" s="125"/>
      <c r="JB95" s="125"/>
      <c r="JC95" s="125"/>
      <c r="JD95" s="125"/>
      <c r="JE95" s="125"/>
      <c r="JF95" s="125"/>
      <c r="JG95" s="125"/>
      <c r="JH95" s="125"/>
      <c r="JI95" s="119">
        <f t="shared" si="2"/>
        <v>209296.6</v>
      </c>
      <c r="JJ95" s="339">
        <v>1009</v>
      </c>
      <c r="JK95" s="125"/>
      <c r="JL95" s="125">
        <f t="shared" si="3"/>
        <v>209296.6</v>
      </c>
      <c r="JM95" s="1"/>
      <c r="JN95" s="1"/>
      <c r="JO95" s="1"/>
      <c r="JP95" s="1"/>
    </row>
    <row r="96" spans="1:276" x14ac:dyDescent="0.2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  <c r="CW96" s="125"/>
      <c r="CX96" s="125"/>
      <c r="CY96" s="125"/>
      <c r="CZ96" s="125"/>
      <c r="DA96" s="125"/>
      <c r="DB96" s="125"/>
      <c r="DC96" s="125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DN96" s="125"/>
      <c r="DO96" s="125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>
        <v>247800</v>
      </c>
      <c r="FU96" s="125"/>
      <c r="FV96" s="125"/>
      <c r="FW96" s="125"/>
      <c r="FX96" s="125"/>
      <c r="FY96" s="125"/>
      <c r="FZ96" s="125"/>
      <c r="GA96" s="125"/>
      <c r="GB96" s="125"/>
      <c r="GC96" s="125"/>
      <c r="GD96" s="125"/>
      <c r="GE96" s="125"/>
      <c r="GF96" s="125"/>
      <c r="GG96" s="125"/>
      <c r="GH96" s="125"/>
      <c r="GI96" s="125"/>
      <c r="GJ96" s="125"/>
      <c r="GK96" s="125"/>
      <c r="GL96" s="125"/>
      <c r="GM96" s="125"/>
      <c r="GN96" s="125"/>
      <c r="GO96" s="125"/>
      <c r="GP96" s="125"/>
      <c r="GQ96" s="125"/>
      <c r="GR96" s="125"/>
      <c r="GS96" s="125"/>
      <c r="GT96" s="125"/>
      <c r="GU96" s="125"/>
      <c r="GV96" s="125"/>
      <c r="GW96" s="125"/>
      <c r="GX96" s="125"/>
      <c r="GY96" s="125"/>
      <c r="GZ96" s="125"/>
      <c r="HA96" s="125"/>
      <c r="HB96" s="125"/>
      <c r="HC96" s="125"/>
      <c r="HD96" s="125"/>
      <c r="HE96" s="125"/>
      <c r="HF96" s="125"/>
      <c r="HG96" s="125"/>
      <c r="HH96" s="125"/>
      <c r="HI96" s="125"/>
      <c r="HJ96" s="125"/>
      <c r="HK96" s="125"/>
      <c r="HL96" s="125"/>
      <c r="HM96" s="125"/>
      <c r="HN96" s="125"/>
      <c r="HO96" s="125"/>
      <c r="HP96" s="125"/>
      <c r="HQ96" s="125"/>
      <c r="HR96" s="125"/>
      <c r="HS96" s="125"/>
      <c r="HT96" s="125"/>
      <c r="HU96" s="125"/>
      <c r="HV96" s="125"/>
      <c r="HW96" s="125"/>
      <c r="HX96" s="125"/>
      <c r="HY96" s="125"/>
      <c r="HZ96" s="125"/>
      <c r="IA96" s="125"/>
      <c r="IB96" s="125"/>
      <c r="IC96" s="125"/>
      <c r="ID96" s="125"/>
      <c r="IE96" s="125"/>
      <c r="IF96" s="125"/>
      <c r="IG96" s="125"/>
      <c r="IH96" s="125"/>
      <c r="II96" s="125"/>
      <c r="IJ96" s="125"/>
      <c r="IK96" s="125"/>
      <c r="IL96" s="125"/>
      <c r="IM96" s="125"/>
      <c r="IN96" s="125"/>
      <c r="IO96" s="125"/>
      <c r="IP96" s="125"/>
      <c r="IQ96" s="125"/>
      <c r="IR96" s="125"/>
      <c r="IS96" s="125"/>
      <c r="IT96" s="125"/>
      <c r="IU96" s="125"/>
      <c r="IV96" s="125"/>
      <c r="IW96" s="125"/>
      <c r="IX96" s="125"/>
      <c r="IY96" s="125"/>
      <c r="IZ96" s="125"/>
      <c r="JA96" s="125"/>
      <c r="JB96" s="125"/>
      <c r="JC96" s="125"/>
      <c r="JD96" s="125"/>
      <c r="JE96" s="125"/>
      <c r="JF96" s="125"/>
      <c r="JG96" s="125"/>
      <c r="JH96" s="125"/>
      <c r="JI96" s="119">
        <f t="shared" si="2"/>
        <v>247800</v>
      </c>
      <c r="JJ96" s="339">
        <v>1013</v>
      </c>
      <c r="JK96" s="125"/>
      <c r="JL96" s="125">
        <f t="shared" si="3"/>
        <v>247800</v>
      </c>
      <c r="JM96" s="1"/>
      <c r="JN96" s="1"/>
      <c r="JO96" s="1"/>
      <c r="JP96" s="1"/>
    </row>
    <row r="97" spans="1:276" x14ac:dyDescent="0.2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  <c r="EM97" s="125"/>
      <c r="EN97" s="125"/>
      <c r="EO97" s="125"/>
      <c r="EP97" s="125"/>
      <c r="EQ97" s="125"/>
      <c r="ER97" s="125"/>
      <c r="ES97" s="125"/>
      <c r="ET97" s="125"/>
      <c r="EU97" s="125"/>
      <c r="EV97" s="125"/>
      <c r="EW97" s="125"/>
      <c r="EX97" s="125"/>
      <c r="EY97" s="125"/>
      <c r="EZ97" s="125"/>
      <c r="FA97" s="125"/>
      <c r="FB97" s="125"/>
      <c r="FC97" s="125"/>
      <c r="FD97" s="125"/>
      <c r="FE97" s="125"/>
      <c r="FF97" s="125"/>
      <c r="FG97" s="125"/>
      <c r="FH97" s="125"/>
      <c r="FI97" s="125"/>
      <c r="FJ97" s="125"/>
      <c r="FK97" s="125"/>
      <c r="FL97" s="125"/>
      <c r="FM97" s="125"/>
      <c r="FN97" s="125"/>
      <c r="FO97" s="125"/>
      <c r="FP97" s="125"/>
      <c r="FQ97" s="125"/>
      <c r="FR97" s="125"/>
      <c r="FS97" s="125"/>
      <c r="FT97" s="125">
        <v>542800</v>
      </c>
      <c r="FU97" s="125"/>
      <c r="FV97" s="125"/>
      <c r="FW97" s="125"/>
      <c r="FX97" s="125"/>
      <c r="FY97" s="125"/>
      <c r="FZ97" s="125"/>
      <c r="GA97" s="125"/>
      <c r="GB97" s="125"/>
      <c r="GC97" s="125"/>
      <c r="GD97" s="125"/>
      <c r="GE97" s="125"/>
      <c r="GF97" s="125"/>
      <c r="GG97" s="125"/>
      <c r="GH97" s="125"/>
      <c r="GI97" s="125"/>
      <c r="GJ97" s="125"/>
      <c r="GK97" s="125"/>
      <c r="GL97" s="125"/>
      <c r="GM97" s="125"/>
      <c r="GN97" s="125"/>
      <c r="GO97" s="125"/>
      <c r="GP97" s="125"/>
      <c r="GQ97" s="125"/>
      <c r="GR97" s="125"/>
      <c r="GS97" s="125"/>
      <c r="GT97" s="125"/>
      <c r="GU97" s="125"/>
      <c r="GV97" s="125"/>
      <c r="GW97" s="125"/>
      <c r="GX97" s="125"/>
      <c r="GY97" s="125"/>
      <c r="GZ97" s="125"/>
      <c r="HA97" s="125"/>
      <c r="HB97" s="125"/>
      <c r="HC97" s="125"/>
      <c r="HD97" s="125"/>
      <c r="HE97" s="125"/>
      <c r="HF97" s="125"/>
      <c r="HG97" s="125"/>
      <c r="HH97" s="125"/>
      <c r="HI97" s="125"/>
      <c r="HJ97" s="125"/>
      <c r="HK97" s="125"/>
      <c r="HL97" s="125"/>
      <c r="HM97" s="125"/>
      <c r="HN97" s="125"/>
      <c r="HO97" s="125"/>
      <c r="HP97" s="125"/>
      <c r="HQ97" s="125"/>
      <c r="HR97" s="125"/>
      <c r="HS97" s="125"/>
      <c r="HT97" s="125"/>
      <c r="HU97" s="125"/>
      <c r="HV97" s="125"/>
      <c r="HW97" s="125"/>
      <c r="HX97" s="125"/>
      <c r="HY97" s="125"/>
      <c r="HZ97" s="125"/>
      <c r="IA97" s="125"/>
      <c r="IB97" s="125"/>
      <c r="IC97" s="125"/>
      <c r="ID97" s="125"/>
      <c r="IE97" s="125"/>
      <c r="IF97" s="125"/>
      <c r="IG97" s="125"/>
      <c r="IH97" s="125"/>
      <c r="II97" s="125"/>
      <c r="IJ97" s="125"/>
      <c r="IK97" s="125"/>
      <c r="IL97" s="125"/>
      <c r="IM97" s="125"/>
      <c r="IN97" s="125"/>
      <c r="IO97" s="125"/>
      <c r="IP97" s="125"/>
      <c r="IQ97" s="125"/>
      <c r="IR97" s="125"/>
      <c r="IS97" s="125"/>
      <c r="IT97" s="125"/>
      <c r="IU97" s="125"/>
      <c r="IV97" s="125"/>
      <c r="IW97" s="125"/>
      <c r="IX97" s="125"/>
      <c r="IY97" s="125"/>
      <c r="IZ97" s="125"/>
      <c r="JA97" s="125"/>
      <c r="JB97" s="125"/>
      <c r="JC97" s="125"/>
      <c r="JD97" s="125"/>
      <c r="JE97" s="125"/>
      <c r="JF97" s="125"/>
      <c r="JG97" s="125"/>
      <c r="JH97" s="125"/>
      <c r="JI97" s="119">
        <f t="shared" si="2"/>
        <v>542800</v>
      </c>
      <c r="JJ97" s="339">
        <v>1017</v>
      </c>
      <c r="JK97" s="125"/>
      <c r="JL97" s="125">
        <f t="shared" si="3"/>
        <v>542800</v>
      </c>
      <c r="JM97" s="1"/>
      <c r="JN97" s="1"/>
      <c r="JO97" s="1"/>
      <c r="JP97" s="1"/>
    </row>
    <row r="98" spans="1:276" x14ac:dyDescent="0.2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  <c r="CW98" s="125"/>
      <c r="CX98" s="125"/>
      <c r="CY98" s="125"/>
      <c r="CZ98" s="125"/>
      <c r="DA98" s="125"/>
      <c r="DB98" s="125"/>
      <c r="DC98" s="125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DN98" s="125"/>
      <c r="DO98" s="125"/>
      <c r="DP98" s="125"/>
      <c r="DQ98" s="125"/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>
        <v>188847.2</v>
      </c>
      <c r="FU98" s="125"/>
      <c r="FV98" s="125"/>
      <c r="FW98" s="125"/>
      <c r="FX98" s="125"/>
      <c r="FY98" s="125"/>
      <c r="FZ98" s="125"/>
      <c r="GA98" s="125"/>
      <c r="GB98" s="125"/>
      <c r="GC98" s="125"/>
      <c r="GD98" s="125"/>
      <c r="GE98" s="125"/>
      <c r="GF98" s="125"/>
      <c r="GG98" s="125"/>
      <c r="GH98" s="125"/>
      <c r="GI98" s="125"/>
      <c r="GJ98" s="125"/>
      <c r="GK98" s="125"/>
      <c r="GL98" s="125"/>
      <c r="GM98" s="125"/>
      <c r="GN98" s="125"/>
      <c r="GO98" s="125"/>
      <c r="GP98" s="125"/>
      <c r="GQ98" s="125"/>
      <c r="GR98" s="125"/>
      <c r="GS98" s="125"/>
      <c r="GT98" s="125"/>
      <c r="GU98" s="125"/>
      <c r="GV98" s="125"/>
      <c r="GW98" s="125"/>
      <c r="GX98" s="125"/>
      <c r="GY98" s="125"/>
      <c r="GZ98" s="125"/>
      <c r="HA98" s="125"/>
      <c r="HB98" s="125"/>
      <c r="HC98" s="125"/>
      <c r="HD98" s="125"/>
      <c r="HE98" s="125"/>
      <c r="HF98" s="125"/>
      <c r="HG98" s="125"/>
      <c r="HH98" s="125"/>
      <c r="HI98" s="125"/>
      <c r="HJ98" s="125"/>
      <c r="HK98" s="125"/>
      <c r="HL98" s="125"/>
      <c r="HM98" s="125"/>
      <c r="HN98" s="125"/>
      <c r="HO98" s="125"/>
      <c r="HP98" s="125"/>
      <c r="HQ98" s="125"/>
      <c r="HR98" s="125"/>
      <c r="HS98" s="125"/>
      <c r="HT98" s="125"/>
      <c r="HU98" s="125"/>
      <c r="HV98" s="125"/>
      <c r="HW98" s="125"/>
      <c r="HX98" s="125"/>
      <c r="HY98" s="125"/>
      <c r="HZ98" s="125"/>
      <c r="IA98" s="125"/>
      <c r="IB98" s="125"/>
      <c r="IC98" s="125"/>
      <c r="ID98" s="125"/>
      <c r="IE98" s="125"/>
      <c r="IF98" s="125"/>
      <c r="IG98" s="125"/>
      <c r="IH98" s="125"/>
      <c r="II98" s="125"/>
      <c r="IJ98" s="125"/>
      <c r="IK98" s="125"/>
      <c r="IL98" s="125"/>
      <c r="IM98" s="125"/>
      <c r="IN98" s="125"/>
      <c r="IO98" s="125"/>
      <c r="IP98" s="125"/>
      <c r="IQ98" s="125"/>
      <c r="IR98" s="125"/>
      <c r="IS98" s="125"/>
      <c r="IT98" s="125"/>
      <c r="IU98" s="125"/>
      <c r="IV98" s="125"/>
      <c r="IW98" s="125"/>
      <c r="IX98" s="125"/>
      <c r="IY98" s="125"/>
      <c r="IZ98" s="125"/>
      <c r="JA98" s="125"/>
      <c r="JB98" s="125"/>
      <c r="JC98" s="125"/>
      <c r="JD98" s="125"/>
      <c r="JE98" s="125"/>
      <c r="JF98" s="125"/>
      <c r="JG98" s="125"/>
      <c r="JH98" s="125"/>
      <c r="JI98" s="119">
        <f t="shared" si="2"/>
        <v>188847.2</v>
      </c>
      <c r="JJ98" s="339">
        <v>1021</v>
      </c>
      <c r="JK98" s="125"/>
      <c r="JL98" s="125">
        <f t="shared" si="3"/>
        <v>188847.2</v>
      </c>
      <c r="JM98" s="1"/>
      <c r="JN98" s="1"/>
      <c r="JO98" s="1"/>
      <c r="JP98" s="1"/>
    </row>
    <row r="99" spans="1:276" x14ac:dyDescent="0.25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9"/>
      <c r="CA99" s="119"/>
      <c r="CB99" s="119"/>
      <c r="CC99" s="119"/>
      <c r="CD99" s="119"/>
      <c r="CE99" s="119"/>
      <c r="CF99" s="119"/>
      <c r="CG99" s="119"/>
      <c r="CH99" s="119"/>
      <c r="CI99" s="119"/>
      <c r="CJ99" s="119"/>
      <c r="CK99" s="119"/>
      <c r="CL99" s="119"/>
      <c r="CM99" s="119"/>
      <c r="CN99" s="119"/>
      <c r="CO99" s="119"/>
      <c r="CP99" s="119"/>
      <c r="CQ99" s="119"/>
      <c r="CR99" s="119"/>
      <c r="CS99" s="119"/>
      <c r="CT99" s="119"/>
      <c r="CU99" s="119"/>
      <c r="CV99" s="119"/>
      <c r="CW99" s="119"/>
      <c r="CX99" s="119"/>
      <c r="CY99" s="119"/>
      <c r="CZ99" s="119"/>
      <c r="DA99" s="119"/>
      <c r="DB99" s="119"/>
      <c r="DC99" s="119"/>
      <c r="DD99" s="119"/>
      <c r="DE99" s="119"/>
      <c r="DF99" s="119"/>
      <c r="DG99" s="119"/>
      <c r="DH99" s="119"/>
      <c r="DI99" s="119"/>
      <c r="DJ99" s="119"/>
      <c r="DK99" s="119"/>
      <c r="DL99" s="119"/>
      <c r="DM99" s="119"/>
      <c r="DN99" s="119"/>
      <c r="DO99" s="119"/>
      <c r="DP99" s="119"/>
      <c r="DQ99" s="119"/>
      <c r="DR99" s="119"/>
      <c r="DS99" s="119"/>
      <c r="DT99" s="119"/>
      <c r="DU99" s="119"/>
      <c r="DV99" s="119"/>
      <c r="DW99" s="119"/>
      <c r="DX99" s="119"/>
      <c r="DY99" s="119"/>
      <c r="DZ99" s="119"/>
      <c r="EA99" s="119">
        <v>271700</v>
      </c>
      <c r="EB99" s="119"/>
      <c r="EC99" s="119"/>
      <c r="ED99" s="119"/>
      <c r="EE99" s="119"/>
      <c r="EF99" s="119"/>
      <c r="EG99" s="119"/>
      <c r="EH99" s="119"/>
      <c r="EI99" s="119"/>
      <c r="EJ99" s="119"/>
      <c r="EK99" s="119"/>
      <c r="EL99" s="119"/>
      <c r="EM99" s="119"/>
      <c r="EN99" s="119"/>
      <c r="EO99" s="119"/>
      <c r="EP99" s="119"/>
      <c r="EQ99" s="119"/>
      <c r="ER99" s="119"/>
      <c r="ES99" s="119"/>
      <c r="ET99" s="119"/>
      <c r="EU99" s="119"/>
      <c r="EV99" s="119"/>
      <c r="EW99" s="119"/>
      <c r="EX99" s="119"/>
      <c r="EY99" s="119"/>
      <c r="EZ99" s="119"/>
      <c r="FA99" s="119"/>
      <c r="FB99" s="119"/>
      <c r="FC99" s="119"/>
      <c r="FD99" s="119"/>
      <c r="FE99" s="119"/>
      <c r="FF99" s="119"/>
      <c r="FG99" s="119"/>
      <c r="FH99" s="119"/>
      <c r="FI99" s="119"/>
      <c r="FJ99" s="119"/>
      <c r="FK99" s="119"/>
      <c r="FL99" s="119"/>
      <c r="FM99" s="119"/>
      <c r="FN99" s="119"/>
      <c r="FO99" s="119"/>
      <c r="FP99" s="119"/>
      <c r="FQ99" s="119"/>
      <c r="FR99" s="119"/>
      <c r="FS99" s="119"/>
      <c r="FT99" s="119"/>
      <c r="FU99" s="119"/>
      <c r="FV99" s="119"/>
      <c r="FW99" s="119"/>
      <c r="FX99" s="119"/>
      <c r="FY99" s="119"/>
      <c r="FZ99" s="119"/>
      <c r="GA99" s="119"/>
      <c r="GB99" s="119"/>
      <c r="GC99" s="119"/>
      <c r="GD99" s="119"/>
      <c r="GE99" s="119"/>
      <c r="GF99" s="119"/>
      <c r="GG99" s="119"/>
      <c r="GH99" s="119"/>
      <c r="GI99" s="119"/>
      <c r="GJ99" s="119"/>
      <c r="GK99" s="119"/>
      <c r="GL99" s="119"/>
      <c r="GM99" s="119"/>
      <c r="GN99" s="119"/>
      <c r="GO99" s="119"/>
      <c r="GP99" s="119"/>
      <c r="GQ99" s="119"/>
      <c r="GR99" s="119"/>
      <c r="GS99" s="119"/>
      <c r="GT99" s="119"/>
      <c r="GU99" s="119"/>
      <c r="GV99" s="119"/>
      <c r="GW99" s="119"/>
      <c r="GX99" s="119"/>
      <c r="GY99" s="119"/>
      <c r="GZ99" s="119"/>
      <c r="HA99" s="119"/>
      <c r="HB99" s="119"/>
      <c r="HC99" s="119"/>
      <c r="HD99" s="119"/>
      <c r="HE99" s="119"/>
      <c r="HF99" s="119"/>
      <c r="HG99" s="119"/>
      <c r="HH99" s="119"/>
      <c r="HI99" s="119"/>
      <c r="HJ99" s="119"/>
      <c r="HK99" s="119"/>
      <c r="HL99" s="119"/>
      <c r="HM99" s="119"/>
      <c r="HN99" s="119"/>
      <c r="HO99" s="119"/>
      <c r="HP99" s="119"/>
      <c r="HQ99" s="119"/>
      <c r="HR99" s="119"/>
      <c r="HS99" s="119"/>
      <c r="HT99" s="119"/>
      <c r="HU99" s="119"/>
      <c r="HV99" s="119"/>
      <c r="HW99" s="119"/>
      <c r="HX99" s="119"/>
      <c r="HY99" s="119"/>
      <c r="HZ99" s="119"/>
      <c r="IA99" s="119"/>
      <c r="IB99" s="119"/>
      <c r="IC99" s="119"/>
      <c r="ID99" s="119"/>
      <c r="IE99" s="119"/>
      <c r="IF99" s="119"/>
      <c r="IG99" s="119"/>
      <c r="IH99" s="119"/>
      <c r="II99" s="119"/>
      <c r="IJ99" s="119"/>
      <c r="IK99" s="119"/>
      <c r="IL99" s="119"/>
      <c r="IM99" s="119"/>
      <c r="IN99" s="119"/>
      <c r="IO99" s="119"/>
      <c r="IP99" s="119"/>
      <c r="IQ99" s="119"/>
      <c r="IR99" s="119"/>
      <c r="IS99" s="119"/>
      <c r="IT99" s="119"/>
      <c r="IU99" s="119"/>
      <c r="IV99" s="119"/>
      <c r="IW99" s="119"/>
      <c r="IX99" s="119"/>
      <c r="IY99" s="119"/>
      <c r="IZ99" s="119"/>
      <c r="JA99" s="119"/>
      <c r="JB99" s="119"/>
      <c r="JC99" s="119"/>
      <c r="JD99" s="119"/>
      <c r="JE99" s="119"/>
      <c r="JF99" s="119"/>
      <c r="JG99" s="119"/>
      <c r="JH99" s="284"/>
      <c r="JI99" s="119">
        <f t="shared" si="2"/>
        <v>271700</v>
      </c>
      <c r="JJ99" s="339">
        <v>1025</v>
      </c>
      <c r="JK99" s="125"/>
      <c r="JL99" s="125">
        <f t="shared" si="3"/>
        <v>271700</v>
      </c>
      <c r="JM99" s="1"/>
      <c r="JN99" s="1"/>
      <c r="JO99" s="1"/>
      <c r="JP99" s="1"/>
    </row>
    <row r="100" spans="1:276" ht="15.75" x14ac:dyDescent="0.25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277"/>
      <c r="BF100" s="277"/>
      <c r="BG100" s="277"/>
      <c r="BH100" s="277"/>
      <c r="BI100" s="277"/>
      <c r="BJ100" s="277"/>
      <c r="BK100" s="277"/>
      <c r="BL100" s="277"/>
      <c r="BM100" s="277"/>
      <c r="BN100" s="277"/>
      <c r="BO100" s="277"/>
      <c r="BP100" s="277"/>
      <c r="BQ100" s="277"/>
      <c r="BR100" s="277"/>
      <c r="BS100" s="277"/>
      <c r="BT100" s="277"/>
      <c r="BU100" s="277"/>
      <c r="BV100" s="277"/>
      <c r="BW100" s="277"/>
      <c r="BX100" s="277"/>
      <c r="BY100" s="277"/>
      <c r="BZ100" s="277"/>
      <c r="CA100" s="277"/>
      <c r="CB100" s="277"/>
      <c r="CC100" s="277"/>
      <c r="CD100" s="277"/>
      <c r="CE100" s="277"/>
      <c r="CF100" s="277"/>
      <c r="CG100" s="277"/>
      <c r="CH100" s="277"/>
      <c r="CI100" s="277"/>
      <c r="CJ100" s="277"/>
      <c r="CK100" s="277"/>
      <c r="CL100" s="277"/>
      <c r="CM100" s="277"/>
      <c r="CN100" s="277"/>
      <c r="CO100" s="277"/>
      <c r="CP100" s="277"/>
      <c r="CQ100" s="277"/>
      <c r="CR100" s="277"/>
      <c r="CS100" s="277"/>
      <c r="CT100" s="277"/>
      <c r="CU100" s="277"/>
      <c r="CV100" s="277"/>
      <c r="CW100" s="277"/>
      <c r="CX100" s="277"/>
      <c r="CY100" s="277"/>
      <c r="CZ100" s="277"/>
      <c r="DA100" s="277"/>
      <c r="DB100" s="277"/>
      <c r="DC100" s="277"/>
      <c r="DD100" s="277"/>
      <c r="DE100" s="277"/>
      <c r="DF100" s="277"/>
      <c r="DG100" s="277"/>
      <c r="DH100" s="277"/>
      <c r="DI100" s="277"/>
      <c r="DJ100" s="277"/>
      <c r="DK100" s="277"/>
      <c r="DL100" s="277"/>
      <c r="DM100" s="277"/>
      <c r="DN100" s="277"/>
      <c r="DO100" s="277"/>
      <c r="DP100" s="277"/>
      <c r="DQ100" s="277"/>
      <c r="DR100" s="277"/>
      <c r="DS100" s="277"/>
      <c r="DT100" s="277"/>
      <c r="DU100" s="277"/>
      <c r="DV100" s="277"/>
      <c r="DW100" s="277"/>
      <c r="DX100" s="277"/>
      <c r="DY100" s="277"/>
      <c r="DZ100" s="277"/>
      <c r="EA100" s="277">
        <v>97500</v>
      </c>
      <c r="EB100" s="277"/>
      <c r="EC100" s="277"/>
      <c r="ED100" s="277"/>
      <c r="EE100" s="277"/>
      <c r="EF100" s="277"/>
      <c r="EG100" s="277"/>
      <c r="EH100" s="277"/>
      <c r="EI100" s="277"/>
      <c r="EJ100" s="277"/>
      <c r="EK100" s="277"/>
      <c r="EL100" s="277"/>
      <c r="EM100" s="277"/>
      <c r="EN100" s="277"/>
      <c r="EO100" s="277"/>
      <c r="EP100" s="277"/>
      <c r="EQ100" s="277"/>
      <c r="ER100" s="277"/>
      <c r="ES100" s="277"/>
      <c r="ET100" s="277"/>
      <c r="EU100" s="277"/>
      <c r="EV100" s="277"/>
      <c r="EW100" s="277"/>
      <c r="EX100" s="277"/>
      <c r="EY100" s="277"/>
      <c r="EZ100" s="277"/>
      <c r="FA100" s="277"/>
      <c r="FB100" s="277"/>
      <c r="FC100" s="277"/>
      <c r="FD100" s="277"/>
      <c r="FE100" s="277"/>
      <c r="FF100" s="277"/>
      <c r="FG100" s="277"/>
      <c r="FH100" s="277"/>
      <c r="FI100" s="277"/>
      <c r="FJ100" s="277"/>
      <c r="FK100" s="277"/>
      <c r="FL100" s="277"/>
      <c r="FM100" s="277"/>
      <c r="FN100" s="277"/>
      <c r="FO100" s="277"/>
      <c r="FP100" s="277"/>
      <c r="FQ100" s="277"/>
      <c r="FR100" s="277"/>
      <c r="FS100" s="277"/>
      <c r="FT100" s="277"/>
      <c r="FU100" s="277"/>
      <c r="FV100" s="277"/>
      <c r="FW100" s="277"/>
      <c r="FX100" s="277"/>
      <c r="FY100" s="277"/>
      <c r="FZ100" s="277"/>
      <c r="GA100" s="277"/>
      <c r="GB100" s="277"/>
      <c r="GC100" s="277"/>
      <c r="GD100" s="277"/>
      <c r="GE100" s="277"/>
      <c r="GF100" s="277"/>
      <c r="GG100" s="277"/>
      <c r="GH100" s="277"/>
      <c r="GI100" s="277"/>
      <c r="GJ100" s="277"/>
      <c r="GK100" s="277"/>
      <c r="GL100" s="277"/>
      <c r="GM100" s="277"/>
      <c r="GN100" s="277"/>
      <c r="GO100" s="277"/>
      <c r="GP100" s="277"/>
      <c r="GQ100" s="277"/>
      <c r="GR100" s="277"/>
      <c r="GS100" s="277"/>
      <c r="GT100" s="277"/>
      <c r="GU100" s="277"/>
      <c r="GV100" s="277"/>
      <c r="GW100" s="277"/>
      <c r="GX100" s="277"/>
      <c r="GY100" s="277"/>
      <c r="GZ100" s="277"/>
      <c r="HA100" s="277"/>
      <c r="HB100" s="277"/>
      <c r="HC100" s="277"/>
      <c r="HD100" s="277"/>
      <c r="HE100" s="277"/>
      <c r="HF100" s="277"/>
      <c r="HG100" s="277"/>
      <c r="HH100" s="277"/>
      <c r="HI100" s="277"/>
      <c r="HJ100" s="277"/>
      <c r="HK100" s="277"/>
      <c r="HL100" s="277"/>
      <c r="HM100" s="277"/>
      <c r="HN100" s="277"/>
      <c r="HO100" s="277"/>
      <c r="HP100" s="277"/>
      <c r="HQ100" s="277"/>
      <c r="HR100" s="277"/>
      <c r="HS100" s="277"/>
      <c r="HT100" s="277"/>
      <c r="HU100" s="277"/>
      <c r="HV100" s="277"/>
      <c r="HW100" s="277"/>
      <c r="HX100" s="277"/>
      <c r="HY100" s="277"/>
      <c r="HZ100" s="277"/>
      <c r="IA100" s="277"/>
      <c r="IB100" s="277"/>
      <c r="IC100" s="277"/>
      <c r="ID100" s="277"/>
      <c r="IE100" s="277"/>
      <c r="IF100" s="277"/>
      <c r="IG100" s="277"/>
      <c r="IH100" s="277"/>
      <c r="II100" s="277"/>
      <c r="IJ100" s="277"/>
      <c r="IK100" s="277"/>
      <c r="IL100" s="277"/>
      <c r="IM100" s="277"/>
      <c r="IN100" s="277"/>
      <c r="IO100" s="277"/>
      <c r="IP100" s="277"/>
      <c r="IQ100" s="277"/>
      <c r="IR100" s="277"/>
      <c r="IS100" s="277"/>
      <c r="IT100" s="277"/>
      <c r="IU100" s="277"/>
      <c r="IV100" s="277"/>
      <c r="IW100" s="277"/>
      <c r="IX100" s="277"/>
      <c r="IY100" s="277"/>
      <c r="IZ100" s="277"/>
      <c r="JA100" s="277"/>
      <c r="JB100" s="277"/>
      <c r="JC100" s="277"/>
      <c r="JD100" s="277"/>
      <c r="JE100" s="277"/>
      <c r="JF100" s="277"/>
      <c r="JG100" s="277"/>
      <c r="JH100" s="277"/>
      <c r="JI100" s="119">
        <f t="shared" si="2"/>
        <v>97500</v>
      </c>
      <c r="JJ100" s="339">
        <v>1029</v>
      </c>
      <c r="JK100" s="125"/>
      <c r="JL100" s="125">
        <f t="shared" si="3"/>
        <v>97500</v>
      </c>
      <c r="JM100" s="1"/>
      <c r="JN100" s="1"/>
      <c r="JO100" s="1"/>
      <c r="JP100" s="1"/>
    </row>
    <row r="101" spans="1:276" x14ac:dyDescent="0.25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>
        <v>92000</v>
      </c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  <c r="GJ101" s="122"/>
      <c r="GK101" s="122"/>
      <c r="GL101" s="122"/>
      <c r="GM101" s="122"/>
      <c r="GN101" s="122"/>
      <c r="GO101" s="122"/>
      <c r="GP101" s="122"/>
      <c r="GQ101" s="122"/>
      <c r="GR101" s="122"/>
      <c r="GS101" s="122"/>
      <c r="GT101" s="122"/>
      <c r="GU101" s="122"/>
      <c r="GV101" s="122"/>
      <c r="GW101" s="122"/>
      <c r="GX101" s="122"/>
      <c r="GY101" s="122"/>
      <c r="GZ101" s="122"/>
      <c r="HA101" s="122"/>
      <c r="HB101" s="122"/>
      <c r="HC101" s="122"/>
      <c r="HD101" s="122"/>
      <c r="HE101" s="122"/>
      <c r="HF101" s="122"/>
      <c r="HG101" s="122"/>
      <c r="HH101" s="122"/>
      <c r="HI101" s="122"/>
      <c r="HJ101" s="122"/>
      <c r="HK101" s="122"/>
      <c r="HL101" s="122"/>
      <c r="HM101" s="122"/>
      <c r="HN101" s="122"/>
      <c r="HO101" s="122"/>
      <c r="HP101" s="122"/>
      <c r="HQ101" s="122"/>
      <c r="HR101" s="122"/>
      <c r="HS101" s="122"/>
      <c r="HT101" s="122"/>
      <c r="HU101" s="122"/>
      <c r="HV101" s="122"/>
      <c r="HW101" s="122"/>
      <c r="HX101" s="122"/>
      <c r="HY101" s="122"/>
      <c r="HZ101" s="122"/>
      <c r="IA101" s="122"/>
      <c r="IB101" s="122"/>
      <c r="IC101" s="122"/>
      <c r="ID101" s="122"/>
      <c r="IE101" s="122"/>
      <c r="IF101" s="122"/>
      <c r="IG101" s="122"/>
      <c r="IH101" s="122"/>
      <c r="II101" s="122"/>
      <c r="IJ101" s="122"/>
      <c r="IK101" s="122"/>
      <c r="IL101" s="122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122"/>
      <c r="JB101" s="122"/>
      <c r="JC101" s="122"/>
      <c r="JD101" s="122"/>
      <c r="JE101" s="122"/>
      <c r="JF101" s="122"/>
      <c r="JG101" s="122"/>
      <c r="JH101" s="122"/>
      <c r="JI101" s="119">
        <f>SUM(A101:JH101)</f>
        <v>92000</v>
      </c>
      <c r="JJ101" s="339">
        <v>1033</v>
      </c>
      <c r="JK101" s="125"/>
      <c r="JL101" s="125">
        <f t="shared" si="3"/>
        <v>92000</v>
      </c>
      <c r="JM101" s="1"/>
      <c r="JN101" s="1"/>
      <c r="JO101" s="1"/>
      <c r="JP101" s="1"/>
    </row>
    <row r="102" spans="1:276" x14ac:dyDescent="0.25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22"/>
      <c r="CC102" s="122"/>
      <c r="CD102" s="122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>
        <v>268500</v>
      </c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  <c r="GJ102" s="122"/>
      <c r="GK102" s="122"/>
      <c r="GL102" s="122"/>
      <c r="GM102" s="122"/>
      <c r="GN102" s="122"/>
      <c r="GO102" s="122"/>
      <c r="GP102" s="122"/>
      <c r="GQ102" s="122"/>
      <c r="GR102" s="122"/>
      <c r="GS102" s="122"/>
      <c r="GT102" s="122"/>
      <c r="GU102" s="122"/>
      <c r="GV102" s="122"/>
      <c r="GW102" s="122"/>
      <c r="GX102" s="122"/>
      <c r="GY102" s="122"/>
      <c r="GZ102" s="122"/>
      <c r="HA102" s="122"/>
      <c r="HB102" s="122"/>
      <c r="HC102" s="122"/>
      <c r="HD102" s="122"/>
      <c r="HE102" s="122"/>
      <c r="HF102" s="122"/>
      <c r="HG102" s="122"/>
      <c r="HH102" s="122"/>
      <c r="HI102" s="122"/>
      <c r="HJ102" s="122"/>
      <c r="HK102" s="122"/>
      <c r="HL102" s="122"/>
      <c r="HM102" s="122"/>
      <c r="HN102" s="122"/>
      <c r="HO102" s="122"/>
      <c r="HP102" s="122"/>
      <c r="HQ102" s="122"/>
      <c r="HR102" s="122"/>
      <c r="HS102" s="122"/>
      <c r="HT102" s="122"/>
      <c r="HU102" s="122"/>
      <c r="HV102" s="122"/>
      <c r="HW102" s="122"/>
      <c r="HX102" s="122"/>
      <c r="HY102" s="122"/>
      <c r="HZ102" s="122"/>
      <c r="IA102" s="122"/>
      <c r="IB102" s="122"/>
      <c r="IC102" s="122"/>
      <c r="ID102" s="122"/>
      <c r="IE102" s="122"/>
      <c r="IF102" s="122"/>
      <c r="IG102" s="122"/>
      <c r="IH102" s="122"/>
      <c r="II102" s="122"/>
      <c r="IJ102" s="122"/>
      <c r="IK102" s="122"/>
      <c r="IL102" s="122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122"/>
      <c r="JB102" s="122"/>
      <c r="JC102" s="122"/>
      <c r="JD102" s="122"/>
      <c r="JE102" s="122"/>
      <c r="JF102" s="122"/>
      <c r="JG102" s="122"/>
      <c r="JH102" s="122"/>
      <c r="JI102" s="119">
        <f t="shared" ref="JI102:JI124" si="4">SUM(A102:JH102)</f>
        <v>268500</v>
      </c>
      <c r="JJ102" s="339">
        <v>1050</v>
      </c>
      <c r="JK102" s="125"/>
      <c r="JL102" s="125">
        <f t="shared" si="3"/>
        <v>268500</v>
      </c>
      <c r="JM102" s="1"/>
      <c r="JN102" s="1"/>
      <c r="JO102" s="1"/>
      <c r="JP102" s="1"/>
    </row>
    <row r="103" spans="1:276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22"/>
      <c r="CC103" s="122"/>
      <c r="CD103" s="122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>
        <v>208800</v>
      </c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  <c r="GJ103" s="122"/>
      <c r="GK103" s="122"/>
      <c r="GL103" s="122"/>
      <c r="GM103" s="122"/>
      <c r="GN103" s="122"/>
      <c r="GO103" s="122"/>
      <c r="GP103" s="122"/>
      <c r="GQ103" s="122"/>
      <c r="GR103" s="122"/>
      <c r="GS103" s="122"/>
      <c r="GT103" s="122"/>
      <c r="GU103" s="122"/>
      <c r="GV103" s="122"/>
      <c r="GW103" s="122"/>
      <c r="GX103" s="122"/>
      <c r="GY103" s="122"/>
      <c r="GZ103" s="122"/>
      <c r="HA103" s="122"/>
      <c r="HB103" s="122"/>
      <c r="HC103" s="122"/>
      <c r="HD103" s="122"/>
      <c r="HE103" s="122"/>
      <c r="HF103" s="122"/>
      <c r="HG103" s="122"/>
      <c r="HH103" s="122"/>
      <c r="HI103" s="122"/>
      <c r="HJ103" s="122"/>
      <c r="HK103" s="122"/>
      <c r="HL103" s="122"/>
      <c r="HM103" s="122"/>
      <c r="HN103" s="122"/>
      <c r="HO103" s="122"/>
      <c r="HP103" s="122"/>
      <c r="HQ103" s="122"/>
      <c r="HR103" s="122"/>
      <c r="HS103" s="122"/>
      <c r="HT103" s="122"/>
      <c r="HU103" s="122"/>
      <c r="HV103" s="122"/>
      <c r="HW103" s="122"/>
      <c r="HX103" s="122"/>
      <c r="HY103" s="122"/>
      <c r="HZ103" s="122"/>
      <c r="IA103" s="122"/>
      <c r="IB103" s="122"/>
      <c r="IC103" s="122"/>
      <c r="ID103" s="122"/>
      <c r="IE103" s="122"/>
      <c r="IF103" s="122"/>
      <c r="IG103" s="122"/>
      <c r="IH103" s="122"/>
      <c r="II103" s="122"/>
      <c r="IJ103" s="122"/>
      <c r="IK103" s="122"/>
      <c r="IL103" s="122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122"/>
      <c r="JB103" s="122"/>
      <c r="JC103" s="122"/>
      <c r="JD103" s="122"/>
      <c r="JE103" s="122"/>
      <c r="JF103" s="122"/>
      <c r="JG103" s="122"/>
      <c r="JH103" s="122"/>
      <c r="JI103" s="119">
        <f t="shared" si="4"/>
        <v>208800</v>
      </c>
      <c r="JJ103" s="339">
        <v>1054</v>
      </c>
      <c r="JK103" s="125"/>
      <c r="JL103" s="125">
        <f t="shared" si="3"/>
        <v>208800</v>
      </c>
      <c r="JM103" s="1"/>
      <c r="JN103" s="1"/>
      <c r="JO103" s="1"/>
      <c r="JP103" s="1"/>
    </row>
    <row r="104" spans="1:276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22"/>
      <c r="CC104" s="122"/>
      <c r="CD104" s="122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>
        <v>191040</v>
      </c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  <c r="GJ104" s="122"/>
      <c r="GK104" s="122"/>
      <c r="GL104" s="122"/>
      <c r="GM104" s="122"/>
      <c r="GN104" s="122"/>
      <c r="GO104" s="122"/>
      <c r="GP104" s="122"/>
      <c r="GQ104" s="122"/>
      <c r="GR104" s="122"/>
      <c r="GS104" s="122"/>
      <c r="GT104" s="122"/>
      <c r="GU104" s="122"/>
      <c r="GV104" s="122"/>
      <c r="GW104" s="122"/>
      <c r="GX104" s="122"/>
      <c r="GY104" s="122"/>
      <c r="GZ104" s="122"/>
      <c r="HA104" s="122"/>
      <c r="HB104" s="122"/>
      <c r="HC104" s="122"/>
      <c r="HD104" s="122"/>
      <c r="HE104" s="122"/>
      <c r="HF104" s="122"/>
      <c r="HG104" s="122"/>
      <c r="HH104" s="122"/>
      <c r="HI104" s="122"/>
      <c r="HJ104" s="122"/>
      <c r="HK104" s="122"/>
      <c r="HL104" s="122"/>
      <c r="HM104" s="122"/>
      <c r="HN104" s="122"/>
      <c r="HO104" s="122"/>
      <c r="HP104" s="122"/>
      <c r="HQ104" s="122"/>
      <c r="HR104" s="122"/>
      <c r="HS104" s="122"/>
      <c r="HT104" s="122"/>
      <c r="HU104" s="122"/>
      <c r="HV104" s="122"/>
      <c r="HW104" s="122"/>
      <c r="HX104" s="122"/>
      <c r="HY104" s="122"/>
      <c r="HZ104" s="122"/>
      <c r="IA104" s="122"/>
      <c r="IB104" s="122"/>
      <c r="IC104" s="122"/>
      <c r="ID104" s="122"/>
      <c r="IE104" s="122"/>
      <c r="IF104" s="122"/>
      <c r="IG104" s="122"/>
      <c r="IH104" s="122"/>
      <c r="II104" s="122"/>
      <c r="IJ104" s="122"/>
      <c r="IK104" s="122"/>
      <c r="IL104" s="122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122"/>
      <c r="JB104" s="122"/>
      <c r="JC104" s="122"/>
      <c r="JD104" s="122"/>
      <c r="JE104" s="122"/>
      <c r="JF104" s="122"/>
      <c r="JG104" s="122"/>
      <c r="JH104" s="122"/>
      <c r="JI104" s="119">
        <f t="shared" si="4"/>
        <v>191040</v>
      </c>
      <c r="JJ104" s="339">
        <v>1058</v>
      </c>
      <c r="JK104" s="125"/>
      <c r="JL104" s="125">
        <f t="shared" si="3"/>
        <v>191040</v>
      </c>
      <c r="JM104" s="1"/>
      <c r="JN104" s="1"/>
      <c r="JO104" s="1"/>
      <c r="JP104" s="1"/>
    </row>
    <row r="105" spans="1:276" x14ac:dyDescent="0.2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22"/>
      <c r="CC105" s="122"/>
      <c r="CD105" s="122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>
        <v>322900</v>
      </c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  <c r="GJ105" s="122"/>
      <c r="GK105" s="122"/>
      <c r="GL105" s="122"/>
      <c r="GM105" s="122"/>
      <c r="GN105" s="122"/>
      <c r="GO105" s="122"/>
      <c r="GP105" s="122"/>
      <c r="GQ105" s="122"/>
      <c r="GR105" s="122"/>
      <c r="GS105" s="122"/>
      <c r="GT105" s="122"/>
      <c r="GU105" s="122"/>
      <c r="GV105" s="122"/>
      <c r="GW105" s="122"/>
      <c r="GX105" s="122"/>
      <c r="GY105" s="122"/>
      <c r="GZ105" s="122"/>
      <c r="HA105" s="122"/>
      <c r="HB105" s="122"/>
      <c r="HC105" s="122"/>
      <c r="HD105" s="122"/>
      <c r="HE105" s="122"/>
      <c r="HF105" s="122"/>
      <c r="HG105" s="122"/>
      <c r="HH105" s="122"/>
      <c r="HI105" s="122"/>
      <c r="HJ105" s="122"/>
      <c r="HK105" s="122"/>
      <c r="HL105" s="122"/>
      <c r="HM105" s="122"/>
      <c r="HN105" s="122"/>
      <c r="HO105" s="122"/>
      <c r="HP105" s="122"/>
      <c r="HQ105" s="122"/>
      <c r="HR105" s="122"/>
      <c r="HS105" s="122"/>
      <c r="HT105" s="122"/>
      <c r="HU105" s="122"/>
      <c r="HV105" s="122"/>
      <c r="HW105" s="122"/>
      <c r="HX105" s="122"/>
      <c r="HY105" s="122"/>
      <c r="HZ105" s="122"/>
      <c r="IA105" s="122"/>
      <c r="IB105" s="122"/>
      <c r="IC105" s="122"/>
      <c r="ID105" s="122"/>
      <c r="IE105" s="122"/>
      <c r="IF105" s="122"/>
      <c r="IG105" s="122"/>
      <c r="IH105" s="122"/>
      <c r="II105" s="122"/>
      <c r="IJ105" s="122"/>
      <c r="IK105" s="122"/>
      <c r="IL105" s="122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122"/>
      <c r="JB105" s="122"/>
      <c r="JC105" s="122"/>
      <c r="JD105" s="122"/>
      <c r="JE105" s="122"/>
      <c r="JF105" s="122"/>
      <c r="JG105" s="122"/>
      <c r="JH105" s="122"/>
      <c r="JI105" s="119">
        <f t="shared" si="4"/>
        <v>322900</v>
      </c>
      <c r="JJ105" s="339">
        <v>1062</v>
      </c>
      <c r="JK105" s="125"/>
      <c r="JL105" s="125">
        <f t="shared" si="3"/>
        <v>322900</v>
      </c>
      <c r="JM105" s="1"/>
      <c r="JN105" s="1"/>
      <c r="JO105" s="1"/>
      <c r="JP105" s="1"/>
    </row>
    <row r="106" spans="1:276" x14ac:dyDescent="0.25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22"/>
      <c r="CA106" s="122"/>
      <c r="CB106" s="122"/>
      <c r="CC106" s="122"/>
      <c r="CD106" s="122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>
        <v>187042.98</v>
      </c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  <c r="GJ106" s="122"/>
      <c r="GK106" s="122"/>
      <c r="GL106" s="122"/>
      <c r="GM106" s="122"/>
      <c r="GN106" s="122"/>
      <c r="GO106" s="122"/>
      <c r="GP106" s="122"/>
      <c r="GQ106" s="122"/>
      <c r="GR106" s="122"/>
      <c r="GS106" s="122"/>
      <c r="GT106" s="122"/>
      <c r="GU106" s="122"/>
      <c r="GV106" s="122"/>
      <c r="GW106" s="122"/>
      <c r="GX106" s="122"/>
      <c r="GY106" s="122"/>
      <c r="GZ106" s="122"/>
      <c r="HA106" s="122"/>
      <c r="HB106" s="122"/>
      <c r="HC106" s="122"/>
      <c r="HD106" s="122"/>
      <c r="HE106" s="122"/>
      <c r="HF106" s="122"/>
      <c r="HG106" s="122"/>
      <c r="HH106" s="122"/>
      <c r="HI106" s="122"/>
      <c r="HJ106" s="122"/>
      <c r="HK106" s="122"/>
      <c r="HL106" s="122"/>
      <c r="HM106" s="122"/>
      <c r="HN106" s="122"/>
      <c r="HO106" s="122"/>
      <c r="HP106" s="122"/>
      <c r="HQ106" s="122"/>
      <c r="HR106" s="122"/>
      <c r="HS106" s="122"/>
      <c r="HT106" s="122"/>
      <c r="HU106" s="122"/>
      <c r="HV106" s="122"/>
      <c r="HW106" s="122"/>
      <c r="HX106" s="122"/>
      <c r="HY106" s="122"/>
      <c r="HZ106" s="122"/>
      <c r="IA106" s="122"/>
      <c r="IB106" s="122"/>
      <c r="IC106" s="122"/>
      <c r="ID106" s="122"/>
      <c r="IE106" s="122"/>
      <c r="IF106" s="122"/>
      <c r="IG106" s="122"/>
      <c r="IH106" s="122"/>
      <c r="II106" s="122"/>
      <c r="IJ106" s="122"/>
      <c r="IK106" s="122"/>
      <c r="IL106" s="122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122"/>
      <c r="JB106" s="122"/>
      <c r="JC106" s="122"/>
      <c r="JD106" s="122"/>
      <c r="JE106" s="122"/>
      <c r="JF106" s="122"/>
      <c r="JG106" s="122"/>
      <c r="JH106" s="122"/>
      <c r="JI106" s="119">
        <f t="shared" si="4"/>
        <v>187042.98</v>
      </c>
      <c r="JJ106" s="339">
        <v>1078</v>
      </c>
      <c r="JK106" s="125"/>
      <c r="JL106" s="125">
        <f t="shared" si="3"/>
        <v>187042.98</v>
      </c>
      <c r="JM106" s="1"/>
      <c r="JN106" s="1"/>
      <c r="JO106" s="1"/>
      <c r="JP106" s="1"/>
    </row>
    <row r="107" spans="1:276" x14ac:dyDescent="0.25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22"/>
      <c r="CA107" s="122"/>
      <c r="CB107" s="122"/>
      <c r="CC107" s="122"/>
      <c r="CD107" s="122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>
        <v>63150</v>
      </c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>
        <v>126500</v>
      </c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  <c r="GJ107" s="122"/>
      <c r="GK107" s="122"/>
      <c r="GL107" s="122"/>
      <c r="GM107" s="122"/>
      <c r="GN107" s="122"/>
      <c r="GO107" s="122"/>
      <c r="GP107" s="122"/>
      <c r="GQ107" s="122"/>
      <c r="GR107" s="122"/>
      <c r="GS107" s="122"/>
      <c r="GT107" s="122"/>
      <c r="GU107" s="122"/>
      <c r="GV107" s="122"/>
      <c r="GW107" s="122"/>
      <c r="GX107" s="122"/>
      <c r="GY107" s="122"/>
      <c r="GZ107" s="122"/>
      <c r="HA107" s="122"/>
      <c r="HB107" s="122"/>
      <c r="HC107" s="122"/>
      <c r="HD107" s="122"/>
      <c r="HE107" s="122"/>
      <c r="HF107" s="122"/>
      <c r="HG107" s="122"/>
      <c r="HH107" s="122"/>
      <c r="HI107" s="122"/>
      <c r="HJ107" s="122"/>
      <c r="HK107" s="122"/>
      <c r="HL107" s="122"/>
      <c r="HM107" s="122"/>
      <c r="HN107" s="122"/>
      <c r="HO107" s="122"/>
      <c r="HP107" s="122"/>
      <c r="HQ107" s="122"/>
      <c r="HR107" s="122"/>
      <c r="HS107" s="122"/>
      <c r="HT107" s="122"/>
      <c r="HU107" s="122"/>
      <c r="HV107" s="122"/>
      <c r="HW107" s="122"/>
      <c r="HX107" s="122"/>
      <c r="HY107" s="122"/>
      <c r="HZ107" s="122"/>
      <c r="IA107" s="122"/>
      <c r="IB107" s="122"/>
      <c r="IC107" s="122"/>
      <c r="ID107" s="122"/>
      <c r="IE107" s="122"/>
      <c r="IF107" s="122"/>
      <c r="IG107" s="122"/>
      <c r="IH107" s="122"/>
      <c r="II107" s="122"/>
      <c r="IJ107" s="122"/>
      <c r="IK107" s="122"/>
      <c r="IL107" s="122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122"/>
      <c r="JB107" s="122"/>
      <c r="JC107" s="122"/>
      <c r="JD107" s="122"/>
      <c r="JE107" s="122"/>
      <c r="JF107" s="122"/>
      <c r="JG107" s="122"/>
      <c r="JH107" s="122"/>
      <c r="JI107" s="119">
        <f t="shared" si="4"/>
        <v>189650</v>
      </c>
      <c r="JJ107" s="339">
        <v>1082</v>
      </c>
      <c r="JK107" s="125"/>
      <c r="JL107" s="125">
        <f t="shared" si="3"/>
        <v>189650</v>
      </c>
      <c r="JM107" s="1"/>
      <c r="JN107" s="1"/>
      <c r="JO107" s="1"/>
      <c r="JP107" s="1"/>
    </row>
    <row r="108" spans="1:276" x14ac:dyDescent="0.25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>
        <v>272000</v>
      </c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  <c r="EM108" s="122"/>
      <c r="EN108" s="122"/>
      <c r="EO108" s="122"/>
      <c r="EP108" s="122"/>
      <c r="EQ108" s="122"/>
      <c r="ER108" s="122"/>
      <c r="ES108" s="122"/>
      <c r="ET108" s="122"/>
      <c r="EU108" s="122"/>
      <c r="EV108" s="122"/>
      <c r="EW108" s="122"/>
      <c r="EX108" s="122"/>
      <c r="EY108" s="122"/>
      <c r="EZ108" s="122"/>
      <c r="FA108" s="122"/>
      <c r="FB108" s="122"/>
      <c r="FC108" s="122"/>
      <c r="FD108" s="122"/>
      <c r="FE108" s="122"/>
      <c r="FF108" s="122"/>
      <c r="FG108" s="122"/>
      <c r="FH108" s="122"/>
      <c r="FI108" s="122"/>
      <c r="FJ108" s="122"/>
      <c r="FK108" s="122"/>
      <c r="FL108" s="122"/>
      <c r="FM108" s="122"/>
      <c r="FN108" s="122"/>
      <c r="FO108" s="122"/>
      <c r="FP108" s="122"/>
      <c r="FQ108" s="122"/>
      <c r="FR108" s="122"/>
      <c r="FS108" s="122"/>
      <c r="FT108" s="122"/>
      <c r="FU108" s="122"/>
      <c r="FV108" s="122"/>
      <c r="FW108" s="122"/>
      <c r="FX108" s="122"/>
      <c r="FY108" s="122"/>
      <c r="FZ108" s="122"/>
      <c r="GA108" s="122"/>
      <c r="GB108" s="122"/>
      <c r="GC108" s="122"/>
      <c r="GD108" s="122"/>
      <c r="GE108" s="122"/>
      <c r="GF108" s="122"/>
      <c r="GG108" s="122"/>
      <c r="GH108" s="122"/>
      <c r="GI108" s="122"/>
      <c r="GJ108" s="122"/>
      <c r="GK108" s="122"/>
      <c r="GL108" s="122"/>
      <c r="GM108" s="122"/>
      <c r="GN108" s="122"/>
      <c r="GO108" s="122"/>
      <c r="GP108" s="122"/>
      <c r="GQ108" s="122"/>
      <c r="GR108" s="122"/>
      <c r="GS108" s="122"/>
      <c r="GT108" s="122"/>
      <c r="GU108" s="122"/>
      <c r="GV108" s="122"/>
      <c r="GW108" s="122"/>
      <c r="GX108" s="122"/>
      <c r="GY108" s="122"/>
      <c r="GZ108" s="122"/>
      <c r="HA108" s="122"/>
      <c r="HB108" s="122"/>
      <c r="HC108" s="122"/>
      <c r="HD108" s="122"/>
      <c r="HE108" s="122"/>
      <c r="HF108" s="122"/>
      <c r="HG108" s="122"/>
      <c r="HH108" s="122"/>
      <c r="HI108" s="122"/>
      <c r="HJ108" s="122"/>
      <c r="HK108" s="122"/>
      <c r="HL108" s="122"/>
      <c r="HM108" s="122"/>
      <c r="HN108" s="122"/>
      <c r="HO108" s="122"/>
      <c r="HP108" s="122"/>
      <c r="HQ108" s="122"/>
      <c r="HR108" s="122"/>
      <c r="HS108" s="122"/>
      <c r="HT108" s="122"/>
      <c r="HU108" s="122"/>
      <c r="HV108" s="122"/>
      <c r="HW108" s="122"/>
      <c r="HX108" s="122"/>
      <c r="HY108" s="122"/>
      <c r="HZ108" s="122"/>
      <c r="IA108" s="122"/>
      <c r="IB108" s="122"/>
      <c r="IC108" s="122"/>
      <c r="ID108" s="122"/>
      <c r="IE108" s="122"/>
      <c r="IF108" s="122"/>
      <c r="IG108" s="122"/>
      <c r="IH108" s="122"/>
      <c r="II108" s="122"/>
      <c r="IJ108" s="122"/>
      <c r="IK108" s="122"/>
      <c r="IL108" s="122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122"/>
      <c r="JB108" s="122"/>
      <c r="JC108" s="122"/>
      <c r="JD108" s="122"/>
      <c r="JE108" s="122"/>
      <c r="JF108" s="122"/>
      <c r="JG108" s="122"/>
      <c r="JH108" s="122"/>
      <c r="JI108" s="119">
        <f t="shared" si="4"/>
        <v>272000</v>
      </c>
      <c r="JJ108" s="339">
        <v>1086</v>
      </c>
      <c r="JK108" s="125"/>
      <c r="JL108" s="125">
        <f t="shared" si="3"/>
        <v>272000</v>
      </c>
      <c r="JM108" s="1"/>
      <c r="JN108" s="1"/>
      <c r="JO108" s="1"/>
      <c r="JP108" s="1"/>
    </row>
    <row r="109" spans="1:276" x14ac:dyDescent="0.25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>
        <v>192000</v>
      </c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22"/>
      <c r="FD109" s="122"/>
      <c r="FE109" s="122"/>
      <c r="FF109" s="122"/>
      <c r="FG109" s="122"/>
      <c r="FH109" s="122"/>
      <c r="FI109" s="122"/>
      <c r="FJ109" s="122"/>
      <c r="FK109" s="122"/>
      <c r="FL109" s="122"/>
      <c r="FM109" s="122"/>
      <c r="FN109" s="122"/>
      <c r="FO109" s="122"/>
      <c r="FP109" s="122"/>
      <c r="FQ109" s="122"/>
      <c r="FR109" s="122"/>
      <c r="FS109" s="122"/>
      <c r="FT109" s="122"/>
      <c r="FU109" s="122"/>
      <c r="FV109" s="122"/>
      <c r="FW109" s="122"/>
      <c r="FX109" s="122"/>
      <c r="FY109" s="122"/>
      <c r="FZ109" s="122"/>
      <c r="GA109" s="122"/>
      <c r="GB109" s="122"/>
      <c r="GC109" s="122"/>
      <c r="GD109" s="122"/>
      <c r="GE109" s="122"/>
      <c r="GF109" s="122"/>
      <c r="GG109" s="122"/>
      <c r="GH109" s="122"/>
      <c r="GI109" s="122"/>
      <c r="GJ109" s="122"/>
      <c r="GK109" s="122"/>
      <c r="GL109" s="122"/>
      <c r="GM109" s="122"/>
      <c r="GN109" s="122"/>
      <c r="GO109" s="122"/>
      <c r="GP109" s="122"/>
      <c r="GQ109" s="122"/>
      <c r="GR109" s="122"/>
      <c r="GS109" s="122"/>
      <c r="GT109" s="122"/>
      <c r="GU109" s="122"/>
      <c r="GV109" s="122"/>
      <c r="GW109" s="122"/>
      <c r="GX109" s="122"/>
      <c r="GY109" s="122"/>
      <c r="GZ109" s="122"/>
      <c r="HA109" s="122"/>
      <c r="HB109" s="122"/>
      <c r="HC109" s="122"/>
      <c r="HD109" s="122"/>
      <c r="HE109" s="122"/>
      <c r="HF109" s="122"/>
      <c r="HG109" s="122"/>
      <c r="HH109" s="122"/>
      <c r="HI109" s="122"/>
      <c r="HJ109" s="122"/>
      <c r="HK109" s="122"/>
      <c r="HL109" s="122"/>
      <c r="HM109" s="122"/>
      <c r="HN109" s="122"/>
      <c r="HO109" s="122"/>
      <c r="HP109" s="122"/>
      <c r="HQ109" s="122"/>
      <c r="HR109" s="122"/>
      <c r="HS109" s="122"/>
      <c r="HT109" s="122"/>
      <c r="HU109" s="122"/>
      <c r="HV109" s="122"/>
      <c r="HW109" s="122"/>
      <c r="HX109" s="122"/>
      <c r="HY109" s="122"/>
      <c r="HZ109" s="122"/>
      <c r="IA109" s="122"/>
      <c r="IB109" s="122"/>
      <c r="IC109" s="122"/>
      <c r="ID109" s="122"/>
      <c r="IE109" s="122"/>
      <c r="IF109" s="122"/>
      <c r="IG109" s="122"/>
      <c r="IH109" s="122"/>
      <c r="II109" s="122"/>
      <c r="IJ109" s="122"/>
      <c r="IK109" s="122"/>
      <c r="IL109" s="122"/>
      <c r="IM109" s="122"/>
      <c r="IN109" s="122"/>
      <c r="IO109" s="122"/>
      <c r="IP109" s="122"/>
      <c r="IQ109" s="122"/>
      <c r="IR109" s="122"/>
      <c r="IS109" s="122"/>
      <c r="IT109" s="122"/>
      <c r="IU109" s="122"/>
      <c r="IV109" s="122"/>
      <c r="IW109" s="122"/>
      <c r="IX109" s="122"/>
      <c r="IY109" s="122"/>
      <c r="IZ109" s="122"/>
      <c r="JA109" s="122"/>
      <c r="JB109" s="122"/>
      <c r="JC109" s="122"/>
      <c r="JD109" s="122"/>
      <c r="JE109" s="122"/>
      <c r="JF109" s="122"/>
      <c r="JG109" s="122"/>
      <c r="JH109" s="122"/>
      <c r="JI109" s="119">
        <f t="shared" si="4"/>
        <v>192000</v>
      </c>
      <c r="JJ109" s="339">
        <v>1090</v>
      </c>
      <c r="JK109" s="125"/>
      <c r="JL109" s="125">
        <f t="shared" si="3"/>
        <v>192000</v>
      </c>
      <c r="JM109" s="1"/>
      <c r="JN109" s="1"/>
      <c r="JO109" s="1"/>
      <c r="JP109" s="1"/>
    </row>
    <row r="110" spans="1:276" x14ac:dyDescent="0.25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>
        <v>168400</v>
      </c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/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  <c r="GJ110" s="122"/>
      <c r="GK110" s="122"/>
      <c r="GL110" s="122"/>
      <c r="GM110" s="122"/>
      <c r="GN110" s="122"/>
      <c r="GO110" s="122"/>
      <c r="GP110" s="122"/>
      <c r="GQ110" s="122"/>
      <c r="GR110" s="122"/>
      <c r="GS110" s="122"/>
      <c r="GT110" s="122"/>
      <c r="GU110" s="122"/>
      <c r="GV110" s="122"/>
      <c r="GW110" s="122"/>
      <c r="GX110" s="122"/>
      <c r="GY110" s="122"/>
      <c r="GZ110" s="122"/>
      <c r="HA110" s="122"/>
      <c r="HB110" s="122"/>
      <c r="HC110" s="122"/>
      <c r="HD110" s="122"/>
      <c r="HE110" s="122"/>
      <c r="HF110" s="122"/>
      <c r="HG110" s="122"/>
      <c r="HH110" s="122"/>
      <c r="HI110" s="122"/>
      <c r="HJ110" s="122"/>
      <c r="HK110" s="122"/>
      <c r="HL110" s="122"/>
      <c r="HM110" s="122"/>
      <c r="HN110" s="122"/>
      <c r="HO110" s="122"/>
      <c r="HP110" s="122"/>
      <c r="HQ110" s="122"/>
      <c r="HR110" s="122"/>
      <c r="HS110" s="122"/>
      <c r="HT110" s="122"/>
      <c r="HU110" s="122"/>
      <c r="HV110" s="122"/>
      <c r="HW110" s="122"/>
      <c r="HX110" s="122"/>
      <c r="HY110" s="122"/>
      <c r="HZ110" s="122"/>
      <c r="IA110" s="122"/>
      <c r="IB110" s="122"/>
      <c r="IC110" s="122"/>
      <c r="ID110" s="122"/>
      <c r="IE110" s="122"/>
      <c r="IF110" s="122"/>
      <c r="IG110" s="122"/>
      <c r="IH110" s="122"/>
      <c r="II110" s="122"/>
      <c r="IJ110" s="122"/>
      <c r="IK110" s="122"/>
      <c r="IL110" s="122"/>
      <c r="IM110" s="122"/>
      <c r="IN110" s="122"/>
      <c r="IO110" s="122"/>
      <c r="IP110" s="122"/>
      <c r="IQ110" s="122"/>
      <c r="IR110" s="122"/>
      <c r="IS110" s="122"/>
      <c r="IT110" s="122"/>
      <c r="IU110" s="122"/>
      <c r="IV110" s="122"/>
      <c r="IW110" s="122"/>
      <c r="IX110" s="122"/>
      <c r="IY110" s="122"/>
      <c r="IZ110" s="122"/>
      <c r="JA110" s="122"/>
      <c r="JB110" s="122"/>
      <c r="JC110" s="122"/>
      <c r="JD110" s="122"/>
      <c r="JE110" s="122"/>
      <c r="JF110" s="122"/>
      <c r="JG110" s="122"/>
      <c r="JH110" s="122"/>
      <c r="JI110" s="119">
        <f t="shared" si="4"/>
        <v>168400</v>
      </c>
      <c r="JJ110" s="339">
        <v>1094</v>
      </c>
      <c r="JK110" s="125"/>
      <c r="JL110" s="125">
        <f t="shared" si="3"/>
        <v>168400</v>
      </c>
      <c r="JM110" s="1"/>
      <c r="JN110" s="1"/>
      <c r="JO110" s="1"/>
      <c r="JP110" s="1"/>
    </row>
    <row r="111" spans="1:276" x14ac:dyDescent="0.25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>
        <v>121662</v>
      </c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  <c r="GJ111" s="122"/>
      <c r="GK111" s="122"/>
      <c r="GL111" s="122"/>
      <c r="GM111" s="122"/>
      <c r="GN111" s="122"/>
      <c r="GO111" s="122"/>
      <c r="GP111" s="122"/>
      <c r="GQ111" s="122"/>
      <c r="GR111" s="122"/>
      <c r="GS111" s="122"/>
      <c r="GT111" s="122"/>
      <c r="GU111" s="122"/>
      <c r="GV111" s="122"/>
      <c r="GW111" s="122"/>
      <c r="GX111" s="122"/>
      <c r="GY111" s="122"/>
      <c r="GZ111" s="122"/>
      <c r="HA111" s="122"/>
      <c r="HB111" s="122"/>
      <c r="HC111" s="122"/>
      <c r="HD111" s="122"/>
      <c r="HE111" s="122"/>
      <c r="HF111" s="122"/>
      <c r="HG111" s="122"/>
      <c r="HH111" s="122"/>
      <c r="HI111" s="122"/>
      <c r="HJ111" s="122"/>
      <c r="HK111" s="122"/>
      <c r="HL111" s="122"/>
      <c r="HM111" s="122"/>
      <c r="HN111" s="122"/>
      <c r="HO111" s="122"/>
      <c r="HP111" s="122"/>
      <c r="HQ111" s="122"/>
      <c r="HR111" s="122"/>
      <c r="HS111" s="122"/>
      <c r="HT111" s="122"/>
      <c r="HU111" s="122"/>
      <c r="HV111" s="122"/>
      <c r="HW111" s="122"/>
      <c r="HX111" s="122"/>
      <c r="HY111" s="122"/>
      <c r="HZ111" s="122"/>
      <c r="IA111" s="122"/>
      <c r="IB111" s="122"/>
      <c r="IC111" s="122"/>
      <c r="ID111" s="122"/>
      <c r="IE111" s="122"/>
      <c r="IF111" s="122"/>
      <c r="IG111" s="122"/>
      <c r="IH111" s="122"/>
      <c r="II111" s="122"/>
      <c r="IJ111" s="122"/>
      <c r="IK111" s="122"/>
      <c r="IL111" s="122"/>
      <c r="IM111" s="122"/>
      <c r="IN111" s="122"/>
      <c r="IO111" s="122"/>
      <c r="IP111" s="122"/>
      <c r="IQ111" s="122"/>
      <c r="IR111" s="122"/>
      <c r="IS111" s="122"/>
      <c r="IT111" s="122"/>
      <c r="IU111" s="122"/>
      <c r="IV111" s="122"/>
      <c r="IW111" s="122"/>
      <c r="IX111" s="122"/>
      <c r="IY111" s="122"/>
      <c r="IZ111" s="122"/>
      <c r="JA111" s="122"/>
      <c r="JB111" s="122"/>
      <c r="JC111" s="122"/>
      <c r="JD111" s="122"/>
      <c r="JE111" s="122"/>
      <c r="JF111" s="122"/>
      <c r="JG111" s="122"/>
      <c r="JH111" s="122"/>
      <c r="JI111" s="119">
        <f t="shared" si="4"/>
        <v>121662</v>
      </c>
      <c r="JJ111" s="2">
        <v>1098</v>
      </c>
      <c r="JK111" s="125"/>
      <c r="JL111" s="125">
        <f t="shared" si="3"/>
        <v>121662</v>
      </c>
      <c r="JM111" s="1"/>
      <c r="JN111" s="1"/>
      <c r="JO111" s="1"/>
      <c r="JP111" s="1"/>
    </row>
    <row r="112" spans="1:276" x14ac:dyDescent="0.25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>
        <v>249000</v>
      </c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  <c r="GJ112" s="122"/>
      <c r="GK112" s="122"/>
      <c r="GL112" s="122"/>
      <c r="GM112" s="122"/>
      <c r="GN112" s="122"/>
      <c r="GO112" s="122"/>
      <c r="GP112" s="122"/>
      <c r="GQ112" s="122"/>
      <c r="GR112" s="122"/>
      <c r="GS112" s="122"/>
      <c r="GT112" s="122"/>
      <c r="GU112" s="122"/>
      <c r="GV112" s="122"/>
      <c r="GW112" s="122"/>
      <c r="GX112" s="122"/>
      <c r="GY112" s="122"/>
      <c r="GZ112" s="122"/>
      <c r="HA112" s="122"/>
      <c r="HB112" s="122"/>
      <c r="HC112" s="122"/>
      <c r="HD112" s="122"/>
      <c r="HE112" s="122"/>
      <c r="HF112" s="122"/>
      <c r="HG112" s="122"/>
      <c r="HH112" s="122"/>
      <c r="HI112" s="122"/>
      <c r="HJ112" s="122"/>
      <c r="HK112" s="122"/>
      <c r="HL112" s="122"/>
      <c r="HM112" s="122"/>
      <c r="HN112" s="122"/>
      <c r="HO112" s="122"/>
      <c r="HP112" s="122"/>
      <c r="HQ112" s="122"/>
      <c r="HR112" s="122"/>
      <c r="HS112" s="122"/>
      <c r="HT112" s="122"/>
      <c r="HU112" s="122"/>
      <c r="HV112" s="122"/>
      <c r="HW112" s="122"/>
      <c r="HX112" s="122"/>
      <c r="HY112" s="122"/>
      <c r="HZ112" s="122"/>
      <c r="IA112" s="122"/>
      <c r="IB112" s="122"/>
      <c r="IC112" s="122"/>
      <c r="ID112" s="122"/>
      <c r="IE112" s="122"/>
      <c r="IF112" s="122"/>
      <c r="IG112" s="122"/>
      <c r="IH112" s="122"/>
      <c r="II112" s="122"/>
      <c r="IJ112" s="122"/>
      <c r="IK112" s="122"/>
      <c r="IL112" s="122"/>
      <c r="IM112" s="122"/>
      <c r="IN112" s="122"/>
      <c r="IO112" s="122"/>
      <c r="IP112" s="122"/>
      <c r="IQ112" s="122"/>
      <c r="IR112" s="122"/>
      <c r="IS112" s="122"/>
      <c r="IT112" s="122"/>
      <c r="IU112" s="122"/>
      <c r="IV112" s="122"/>
      <c r="IW112" s="122"/>
      <c r="IX112" s="122"/>
      <c r="IY112" s="122"/>
      <c r="IZ112" s="122"/>
      <c r="JA112" s="122"/>
      <c r="JB112" s="122"/>
      <c r="JC112" s="122"/>
      <c r="JD112" s="122"/>
      <c r="JE112" s="122"/>
      <c r="JF112" s="122"/>
      <c r="JG112" s="122"/>
      <c r="JH112" s="122"/>
      <c r="JI112" s="119">
        <f t="shared" si="4"/>
        <v>249000</v>
      </c>
      <c r="JJ112" s="2">
        <v>1118</v>
      </c>
      <c r="JK112" s="125"/>
      <c r="JL112" s="125">
        <f t="shared" si="3"/>
        <v>249000</v>
      </c>
      <c r="JM112" s="1"/>
      <c r="JN112" s="1"/>
      <c r="JO112" s="1"/>
      <c r="JP112" s="1"/>
    </row>
    <row r="113" spans="1:276" x14ac:dyDescent="0.25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>
        <v>889762.48</v>
      </c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S113" s="122"/>
      <c r="GT113" s="122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T113" s="122"/>
      <c r="HU113" s="122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U113" s="122"/>
      <c r="IV113" s="122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19">
        <f t="shared" si="4"/>
        <v>889762.48</v>
      </c>
      <c r="JJ113" s="2">
        <v>1122</v>
      </c>
      <c r="JK113" s="125"/>
      <c r="JL113" s="125">
        <f t="shared" si="3"/>
        <v>889762.48</v>
      </c>
      <c r="JM113" s="1"/>
      <c r="JN113" s="1"/>
      <c r="JO113" s="1"/>
      <c r="JP113" s="1"/>
    </row>
    <row r="114" spans="1:276" x14ac:dyDescent="0.25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>
        <v>685353.9</v>
      </c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>
        <v>15286.37</v>
      </c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S114" s="122"/>
      <c r="GT114" s="122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T114" s="122"/>
      <c r="HU114" s="122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U114" s="122"/>
      <c r="IV114" s="122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19">
        <f t="shared" si="4"/>
        <v>700640.27</v>
      </c>
      <c r="JJ114" s="2">
        <v>1142</v>
      </c>
      <c r="JK114" s="125"/>
      <c r="JL114" s="125">
        <f t="shared" si="3"/>
        <v>700640.27</v>
      </c>
      <c r="JM114" s="1"/>
      <c r="JN114" s="1"/>
      <c r="JO114" s="1"/>
      <c r="JP114" s="1"/>
    </row>
    <row r="115" spans="1:276" x14ac:dyDescent="0.2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>
        <v>259600</v>
      </c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S115" s="122"/>
      <c r="GT115" s="122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T115" s="122"/>
      <c r="HU115" s="122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U115" s="122"/>
      <c r="IV115" s="122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19">
        <f t="shared" si="4"/>
        <v>259600</v>
      </c>
      <c r="JJ115" s="2">
        <v>1146</v>
      </c>
      <c r="JK115" s="125"/>
      <c r="JL115" s="125">
        <f t="shared" si="3"/>
        <v>259600</v>
      </c>
      <c r="JM115" s="1"/>
      <c r="JN115" s="1"/>
      <c r="JO115" s="1"/>
      <c r="JP115" s="1"/>
    </row>
    <row r="116" spans="1:276" x14ac:dyDescent="0.25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>
        <v>270000</v>
      </c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S116" s="122"/>
      <c r="GT116" s="122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T116" s="122"/>
      <c r="HU116" s="122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U116" s="122"/>
      <c r="IV116" s="122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19">
        <f t="shared" si="4"/>
        <v>270000</v>
      </c>
      <c r="JJ116" s="2">
        <v>1152</v>
      </c>
      <c r="JK116" s="125"/>
      <c r="JL116" s="125">
        <f t="shared" si="3"/>
        <v>270000</v>
      </c>
      <c r="JM116" s="1"/>
      <c r="JN116" s="1"/>
      <c r="JO116" s="1"/>
      <c r="JP116" s="1"/>
    </row>
    <row r="117" spans="1:276" x14ac:dyDescent="0.25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>
        <v>272500</v>
      </c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S117" s="122"/>
      <c r="GT117" s="122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T117" s="122"/>
      <c r="HU117" s="122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U117" s="122"/>
      <c r="IV117" s="122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19">
        <f t="shared" si="4"/>
        <v>272500</v>
      </c>
      <c r="JJ117" s="2">
        <v>1158</v>
      </c>
      <c r="JK117" s="125"/>
      <c r="JL117" s="125">
        <f t="shared" si="3"/>
        <v>272500</v>
      </c>
      <c r="JM117" s="1"/>
      <c r="JN117" s="1"/>
      <c r="JO117" s="1"/>
      <c r="JP117" s="1"/>
    </row>
    <row r="118" spans="1:276" x14ac:dyDescent="0.25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>
        <v>272580</v>
      </c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  <c r="GJ118" s="122"/>
      <c r="GK118" s="122"/>
      <c r="GL118" s="122"/>
      <c r="GM118" s="122"/>
      <c r="GN118" s="122"/>
      <c r="GO118" s="122"/>
      <c r="GP118" s="122"/>
      <c r="GQ118" s="122"/>
      <c r="GR118" s="122"/>
      <c r="GS118" s="122"/>
      <c r="GT118" s="122"/>
      <c r="GU118" s="122"/>
      <c r="GV118" s="122"/>
      <c r="GW118" s="122"/>
      <c r="GX118" s="122"/>
      <c r="GY118" s="122"/>
      <c r="GZ118" s="122"/>
      <c r="HA118" s="122"/>
      <c r="HB118" s="122"/>
      <c r="HC118" s="122"/>
      <c r="HD118" s="122"/>
      <c r="HE118" s="122"/>
      <c r="HF118" s="122"/>
      <c r="HG118" s="122"/>
      <c r="HH118" s="122"/>
      <c r="HI118" s="122"/>
      <c r="HJ118" s="122"/>
      <c r="HK118" s="122"/>
      <c r="HL118" s="122"/>
      <c r="HM118" s="122"/>
      <c r="HN118" s="122"/>
      <c r="HO118" s="122"/>
      <c r="HP118" s="122"/>
      <c r="HQ118" s="122"/>
      <c r="HR118" s="122"/>
      <c r="HS118" s="122"/>
      <c r="HT118" s="122"/>
      <c r="HU118" s="122"/>
      <c r="HV118" s="122"/>
      <c r="HW118" s="122"/>
      <c r="HX118" s="122"/>
      <c r="HY118" s="122"/>
      <c r="HZ118" s="122"/>
      <c r="IA118" s="122"/>
      <c r="IB118" s="122"/>
      <c r="IC118" s="122"/>
      <c r="ID118" s="122"/>
      <c r="IE118" s="122"/>
      <c r="IF118" s="122"/>
      <c r="IG118" s="122"/>
      <c r="IH118" s="122"/>
      <c r="II118" s="122"/>
      <c r="IJ118" s="122"/>
      <c r="IK118" s="122"/>
      <c r="IL118" s="122"/>
      <c r="IM118" s="122"/>
      <c r="IN118" s="122"/>
      <c r="IO118" s="122"/>
      <c r="IP118" s="122"/>
      <c r="IQ118" s="122"/>
      <c r="IR118" s="122"/>
      <c r="IS118" s="122"/>
      <c r="IT118" s="122"/>
      <c r="IU118" s="122"/>
      <c r="IV118" s="122"/>
      <c r="IW118" s="122"/>
      <c r="IX118" s="122"/>
      <c r="IY118" s="122"/>
      <c r="IZ118" s="122"/>
      <c r="JA118" s="122"/>
      <c r="JB118" s="122"/>
      <c r="JC118" s="122"/>
      <c r="JD118" s="122"/>
      <c r="JE118" s="122"/>
      <c r="JF118" s="122"/>
      <c r="JG118" s="122"/>
      <c r="JH118" s="122"/>
      <c r="JI118" s="119">
        <f t="shared" si="4"/>
        <v>272580</v>
      </c>
      <c r="JJ118" s="2">
        <v>1162</v>
      </c>
      <c r="JK118" s="125"/>
      <c r="JL118" s="125">
        <f t="shared" si="3"/>
        <v>272580</v>
      </c>
      <c r="JM118" s="1"/>
      <c r="JN118" s="1"/>
      <c r="JO118" s="1"/>
      <c r="JP118" s="1"/>
    </row>
    <row r="119" spans="1:276" x14ac:dyDescent="0.25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2"/>
      <c r="BT119" s="122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>
        <v>162722</v>
      </c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  <c r="GJ119" s="122"/>
      <c r="GK119" s="122"/>
      <c r="GL119" s="122"/>
      <c r="GM119" s="122"/>
      <c r="GN119" s="122"/>
      <c r="GO119" s="122"/>
      <c r="GP119" s="122"/>
      <c r="GQ119" s="122"/>
      <c r="GR119" s="122"/>
      <c r="GS119" s="122"/>
      <c r="GT119" s="122"/>
      <c r="GU119" s="122"/>
      <c r="GV119" s="122"/>
      <c r="GW119" s="122"/>
      <c r="GX119" s="122"/>
      <c r="GY119" s="122"/>
      <c r="GZ119" s="122"/>
      <c r="HA119" s="122"/>
      <c r="HB119" s="122"/>
      <c r="HC119" s="122"/>
      <c r="HD119" s="122"/>
      <c r="HE119" s="122"/>
      <c r="HF119" s="122"/>
      <c r="HG119" s="122"/>
      <c r="HH119" s="122"/>
      <c r="HI119" s="122"/>
      <c r="HJ119" s="122"/>
      <c r="HK119" s="122"/>
      <c r="HL119" s="122"/>
      <c r="HM119" s="122"/>
      <c r="HN119" s="122"/>
      <c r="HO119" s="122"/>
      <c r="HP119" s="122"/>
      <c r="HQ119" s="122"/>
      <c r="HR119" s="122"/>
      <c r="HS119" s="122"/>
      <c r="HT119" s="122"/>
      <c r="HU119" s="122"/>
      <c r="HV119" s="122"/>
      <c r="HW119" s="122"/>
      <c r="HX119" s="122"/>
      <c r="HY119" s="122"/>
      <c r="HZ119" s="122"/>
      <c r="IA119" s="122"/>
      <c r="IB119" s="122"/>
      <c r="IC119" s="122"/>
      <c r="ID119" s="122"/>
      <c r="IE119" s="122"/>
      <c r="IF119" s="122"/>
      <c r="IG119" s="122"/>
      <c r="IH119" s="122"/>
      <c r="II119" s="122"/>
      <c r="IJ119" s="122"/>
      <c r="IK119" s="122"/>
      <c r="IL119" s="122"/>
      <c r="IM119" s="122"/>
      <c r="IN119" s="122"/>
      <c r="IO119" s="122"/>
      <c r="IP119" s="122"/>
      <c r="IQ119" s="122"/>
      <c r="IR119" s="122"/>
      <c r="IS119" s="122"/>
      <c r="IT119" s="122"/>
      <c r="IU119" s="122"/>
      <c r="IV119" s="122"/>
      <c r="IW119" s="122"/>
      <c r="IX119" s="122"/>
      <c r="IY119" s="122"/>
      <c r="IZ119" s="122"/>
      <c r="JA119" s="122"/>
      <c r="JB119" s="122"/>
      <c r="JC119" s="122"/>
      <c r="JD119" s="122"/>
      <c r="JE119" s="122"/>
      <c r="JF119" s="122"/>
      <c r="JG119" s="122"/>
      <c r="JH119" s="122"/>
      <c r="JI119" s="119">
        <f t="shared" si="4"/>
        <v>162722</v>
      </c>
      <c r="JJ119" s="2">
        <v>1166</v>
      </c>
      <c r="JK119" s="125"/>
      <c r="JL119" s="125">
        <f t="shared" si="3"/>
        <v>162722</v>
      </c>
      <c r="JM119" s="1"/>
      <c r="JN119" s="1"/>
      <c r="JO119" s="1"/>
      <c r="JP119" s="1"/>
    </row>
    <row r="120" spans="1:276" x14ac:dyDescent="0.25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2"/>
      <c r="BT120" s="122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>
        <v>270000</v>
      </c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  <c r="GJ120" s="122"/>
      <c r="GK120" s="122"/>
      <c r="GL120" s="122"/>
      <c r="GM120" s="122"/>
      <c r="GN120" s="122"/>
      <c r="GO120" s="122"/>
      <c r="GP120" s="122"/>
      <c r="GQ120" s="122"/>
      <c r="GR120" s="122"/>
      <c r="GS120" s="122"/>
      <c r="GT120" s="122"/>
      <c r="GU120" s="122"/>
      <c r="GV120" s="122"/>
      <c r="GW120" s="122"/>
      <c r="GX120" s="122"/>
      <c r="GY120" s="122"/>
      <c r="GZ120" s="122"/>
      <c r="HA120" s="122"/>
      <c r="HB120" s="122"/>
      <c r="HC120" s="122"/>
      <c r="HD120" s="122"/>
      <c r="HE120" s="122"/>
      <c r="HF120" s="122"/>
      <c r="HG120" s="122"/>
      <c r="HH120" s="122"/>
      <c r="HI120" s="122"/>
      <c r="HJ120" s="122"/>
      <c r="HK120" s="122"/>
      <c r="HL120" s="122"/>
      <c r="HM120" s="122"/>
      <c r="HN120" s="122"/>
      <c r="HO120" s="122"/>
      <c r="HP120" s="122"/>
      <c r="HQ120" s="122"/>
      <c r="HR120" s="122"/>
      <c r="HS120" s="122"/>
      <c r="HT120" s="122"/>
      <c r="HU120" s="122"/>
      <c r="HV120" s="122"/>
      <c r="HW120" s="122"/>
      <c r="HX120" s="122"/>
      <c r="HY120" s="122"/>
      <c r="HZ120" s="122"/>
      <c r="IA120" s="122"/>
      <c r="IB120" s="122"/>
      <c r="IC120" s="122"/>
      <c r="ID120" s="122"/>
      <c r="IE120" s="122"/>
      <c r="IF120" s="122"/>
      <c r="IG120" s="122"/>
      <c r="IH120" s="122"/>
      <c r="II120" s="122"/>
      <c r="IJ120" s="122"/>
      <c r="IK120" s="122"/>
      <c r="IL120" s="122"/>
      <c r="IM120" s="122"/>
      <c r="IN120" s="122"/>
      <c r="IO120" s="122"/>
      <c r="IP120" s="122"/>
      <c r="IQ120" s="122"/>
      <c r="IR120" s="122"/>
      <c r="IS120" s="122"/>
      <c r="IT120" s="122"/>
      <c r="IU120" s="122"/>
      <c r="IV120" s="122"/>
      <c r="IW120" s="122"/>
      <c r="IX120" s="122"/>
      <c r="IY120" s="122"/>
      <c r="IZ120" s="122"/>
      <c r="JA120" s="122"/>
      <c r="JB120" s="122"/>
      <c r="JC120" s="122"/>
      <c r="JD120" s="122"/>
      <c r="JE120" s="122"/>
      <c r="JF120" s="122"/>
      <c r="JG120" s="122"/>
      <c r="JH120" s="122"/>
      <c r="JI120" s="119">
        <f t="shared" si="4"/>
        <v>270000</v>
      </c>
      <c r="JJ120" s="2">
        <v>1170</v>
      </c>
      <c r="JK120" s="125"/>
      <c r="JL120" s="125">
        <f t="shared" si="3"/>
        <v>270000</v>
      </c>
      <c r="JM120" s="1"/>
      <c r="JN120" s="1"/>
      <c r="JO120" s="1"/>
      <c r="JP120" s="1"/>
    </row>
    <row r="121" spans="1:276" x14ac:dyDescent="0.25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>
        <v>212284</v>
      </c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  <c r="GJ121" s="122"/>
      <c r="GK121" s="122"/>
      <c r="GL121" s="122"/>
      <c r="GM121" s="122"/>
      <c r="GN121" s="122"/>
      <c r="GO121" s="122"/>
      <c r="GP121" s="122"/>
      <c r="GQ121" s="122"/>
      <c r="GR121" s="122"/>
      <c r="GS121" s="122"/>
      <c r="GT121" s="122"/>
      <c r="GU121" s="122"/>
      <c r="GV121" s="122"/>
      <c r="GW121" s="122"/>
      <c r="GX121" s="122"/>
      <c r="GY121" s="122"/>
      <c r="GZ121" s="122"/>
      <c r="HA121" s="122"/>
      <c r="HB121" s="122"/>
      <c r="HC121" s="122"/>
      <c r="HD121" s="122"/>
      <c r="HE121" s="122"/>
      <c r="HF121" s="122"/>
      <c r="HG121" s="122"/>
      <c r="HH121" s="122"/>
      <c r="HI121" s="122"/>
      <c r="HJ121" s="122"/>
      <c r="HK121" s="122"/>
      <c r="HL121" s="122"/>
      <c r="HM121" s="122"/>
      <c r="HN121" s="122"/>
      <c r="HO121" s="122"/>
      <c r="HP121" s="122"/>
      <c r="HQ121" s="122"/>
      <c r="HR121" s="122"/>
      <c r="HS121" s="122"/>
      <c r="HT121" s="122"/>
      <c r="HU121" s="122"/>
      <c r="HV121" s="122"/>
      <c r="HW121" s="122"/>
      <c r="HX121" s="122"/>
      <c r="HY121" s="122"/>
      <c r="HZ121" s="122"/>
      <c r="IA121" s="122"/>
      <c r="IB121" s="122"/>
      <c r="IC121" s="122"/>
      <c r="ID121" s="122"/>
      <c r="IE121" s="122"/>
      <c r="IF121" s="122"/>
      <c r="IG121" s="122"/>
      <c r="IH121" s="122"/>
      <c r="II121" s="122"/>
      <c r="IJ121" s="122"/>
      <c r="IK121" s="122"/>
      <c r="IL121" s="122"/>
      <c r="IM121" s="122"/>
      <c r="IN121" s="122"/>
      <c r="IO121" s="122"/>
      <c r="IP121" s="122"/>
      <c r="IQ121" s="122"/>
      <c r="IR121" s="122"/>
      <c r="IS121" s="122"/>
      <c r="IT121" s="122"/>
      <c r="IU121" s="122"/>
      <c r="IV121" s="122"/>
      <c r="IW121" s="122"/>
      <c r="IX121" s="122"/>
      <c r="IY121" s="122"/>
      <c r="IZ121" s="122"/>
      <c r="JA121" s="122"/>
      <c r="JB121" s="122"/>
      <c r="JC121" s="122"/>
      <c r="JD121" s="122"/>
      <c r="JE121" s="122"/>
      <c r="JF121" s="122"/>
      <c r="JG121" s="122"/>
      <c r="JH121" s="122"/>
      <c r="JI121" s="119">
        <f t="shared" si="4"/>
        <v>212284</v>
      </c>
      <c r="JJ121" s="2">
        <v>1174</v>
      </c>
      <c r="JK121" s="125"/>
      <c r="JL121" s="125">
        <f t="shared" si="3"/>
        <v>212284</v>
      </c>
      <c r="JM121" s="1"/>
      <c r="JN121" s="1"/>
      <c r="JO121" s="1"/>
      <c r="JP121" s="1"/>
    </row>
    <row r="122" spans="1:276" x14ac:dyDescent="0.25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>
        <v>207868.79999999999</v>
      </c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  <c r="GJ122" s="122"/>
      <c r="GK122" s="122"/>
      <c r="GL122" s="122"/>
      <c r="GM122" s="122"/>
      <c r="GN122" s="122"/>
      <c r="GO122" s="122"/>
      <c r="GP122" s="122"/>
      <c r="GQ122" s="122"/>
      <c r="GR122" s="122"/>
      <c r="GS122" s="122"/>
      <c r="GT122" s="122"/>
      <c r="GU122" s="122"/>
      <c r="GV122" s="122"/>
      <c r="GW122" s="122"/>
      <c r="GX122" s="122"/>
      <c r="GY122" s="122"/>
      <c r="GZ122" s="122"/>
      <c r="HA122" s="122"/>
      <c r="HB122" s="122"/>
      <c r="HC122" s="122"/>
      <c r="HD122" s="122"/>
      <c r="HE122" s="122"/>
      <c r="HF122" s="122"/>
      <c r="HG122" s="122"/>
      <c r="HH122" s="122"/>
      <c r="HI122" s="122"/>
      <c r="HJ122" s="122"/>
      <c r="HK122" s="122"/>
      <c r="HL122" s="122"/>
      <c r="HM122" s="122"/>
      <c r="HN122" s="122"/>
      <c r="HO122" s="122"/>
      <c r="HP122" s="122"/>
      <c r="HQ122" s="122"/>
      <c r="HR122" s="122"/>
      <c r="HS122" s="122"/>
      <c r="HT122" s="122"/>
      <c r="HU122" s="122"/>
      <c r="HV122" s="122"/>
      <c r="HW122" s="122"/>
      <c r="HX122" s="122"/>
      <c r="HY122" s="122"/>
      <c r="HZ122" s="122"/>
      <c r="IA122" s="122"/>
      <c r="IB122" s="122"/>
      <c r="IC122" s="122"/>
      <c r="ID122" s="122"/>
      <c r="IE122" s="122"/>
      <c r="IF122" s="122"/>
      <c r="IG122" s="122"/>
      <c r="IH122" s="122"/>
      <c r="II122" s="122"/>
      <c r="IJ122" s="122"/>
      <c r="IK122" s="122"/>
      <c r="IL122" s="122"/>
      <c r="IM122" s="122"/>
      <c r="IN122" s="122"/>
      <c r="IO122" s="122"/>
      <c r="IP122" s="122"/>
      <c r="IQ122" s="122"/>
      <c r="IR122" s="122"/>
      <c r="IS122" s="122"/>
      <c r="IT122" s="122"/>
      <c r="IU122" s="122"/>
      <c r="IV122" s="122"/>
      <c r="IW122" s="122"/>
      <c r="IX122" s="122"/>
      <c r="IY122" s="122"/>
      <c r="IZ122" s="122"/>
      <c r="JA122" s="122"/>
      <c r="JB122" s="122"/>
      <c r="JC122" s="122"/>
      <c r="JD122" s="122"/>
      <c r="JE122" s="122"/>
      <c r="JF122" s="122"/>
      <c r="JG122" s="122"/>
      <c r="JH122" s="122"/>
      <c r="JI122" s="119">
        <f t="shared" si="4"/>
        <v>207868.79999999999</v>
      </c>
      <c r="JJ122" s="2">
        <v>1179</v>
      </c>
      <c r="JK122" s="125"/>
      <c r="JL122" s="125">
        <f t="shared" si="3"/>
        <v>207868.79999999999</v>
      </c>
      <c r="JM122" s="1"/>
      <c r="JN122" s="1"/>
      <c r="JO122" s="1"/>
      <c r="JP122" s="1"/>
    </row>
    <row r="123" spans="1:276" x14ac:dyDescent="0.25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>
        <v>272627.20000000001</v>
      </c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  <c r="GJ123" s="122"/>
      <c r="GK123" s="122"/>
      <c r="GL123" s="122"/>
      <c r="GM123" s="122"/>
      <c r="GN123" s="122"/>
      <c r="GO123" s="122"/>
      <c r="GP123" s="122"/>
      <c r="GQ123" s="122"/>
      <c r="GR123" s="122"/>
      <c r="GS123" s="122"/>
      <c r="GT123" s="122"/>
      <c r="GU123" s="122"/>
      <c r="GV123" s="122"/>
      <c r="GW123" s="122"/>
      <c r="GX123" s="122"/>
      <c r="GY123" s="122"/>
      <c r="GZ123" s="122"/>
      <c r="HA123" s="122"/>
      <c r="HB123" s="122"/>
      <c r="HC123" s="122"/>
      <c r="HD123" s="122"/>
      <c r="HE123" s="122"/>
      <c r="HF123" s="122"/>
      <c r="HG123" s="122"/>
      <c r="HH123" s="122"/>
      <c r="HI123" s="122"/>
      <c r="HJ123" s="122"/>
      <c r="HK123" s="122"/>
      <c r="HL123" s="122"/>
      <c r="HM123" s="122"/>
      <c r="HN123" s="122"/>
      <c r="HO123" s="122"/>
      <c r="HP123" s="122"/>
      <c r="HQ123" s="122"/>
      <c r="HR123" s="122"/>
      <c r="HS123" s="122"/>
      <c r="HT123" s="122"/>
      <c r="HU123" s="122"/>
      <c r="HV123" s="122"/>
      <c r="HW123" s="122"/>
      <c r="HX123" s="122"/>
      <c r="HY123" s="122"/>
      <c r="HZ123" s="122"/>
      <c r="IA123" s="122"/>
      <c r="IB123" s="122"/>
      <c r="IC123" s="122"/>
      <c r="ID123" s="122"/>
      <c r="IE123" s="122"/>
      <c r="IF123" s="122"/>
      <c r="IG123" s="122"/>
      <c r="IH123" s="122"/>
      <c r="II123" s="122"/>
      <c r="IJ123" s="122"/>
      <c r="IK123" s="122"/>
      <c r="IL123" s="122"/>
      <c r="IM123" s="122"/>
      <c r="IN123" s="122"/>
      <c r="IO123" s="122"/>
      <c r="IP123" s="122"/>
      <c r="IQ123" s="122"/>
      <c r="IR123" s="122"/>
      <c r="IS123" s="122"/>
      <c r="IT123" s="122"/>
      <c r="IU123" s="122"/>
      <c r="IV123" s="122"/>
      <c r="IW123" s="122"/>
      <c r="IX123" s="122"/>
      <c r="IY123" s="122"/>
      <c r="IZ123" s="122"/>
      <c r="JA123" s="122"/>
      <c r="JB123" s="122"/>
      <c r="JC123" s="122"/>
      <c r="JD123" s="122"/>
      <c r="JE123" s="122"/>
      <c r="JF123" s="122"/>
      <c r="JG123" s="122"/>
      <c r="JH123" s="122"/>
      <c r="JI123" s="119">
        <f t="shared" si="4"/>
        <v>272627.20000000001</v>
      </c>
      <c r="JJ123" s="2">
        <v>1183</v>
      </c>
      <c r="JK123" s="125"/>
      <c r="JL123" s="125">
        <f t="shared" si="3"/>
        <v>272627.20000000001</v>
      </c>
      <c r="JM123" s="1"/>
      <c r="JN123" s="1"/>
      <c r="JO123" s="1"/>
      <c r="JP123" s="1"/>
    </row>
    <row r="124" spans="1:276" x14ac:dyDescent="0.25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>
        <v>135036</v>
      </c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  <c r="GJ124" s="122"/>
      <c r="GK124" s="122"/>
      <c r="GL124" s="122"/>
      <c r="GM124" s="122"/>
      <c r="GN124" s="122"/>
      <c r="GO124" s="122"/>
      <c r="GP124" s="122"/>
      <c r="GQ124" s="122"/>
      <c r="GR124" s="122"/>
      <c r="GS124" s="122"/>
      <c r="GT124" s="122"/>
      <c r="GU124" s="122"/>
      <c r="GV124" s="122"/>
      <c r="GW124" s="122"/>
      <c r="GX124" s="122"/>
      <c r="GY124" s="122"/>
      <c r="GZ124" s="122"/>
      <c r="HA124" s="122"/>
      <c r="HB124" s="122"/>
      <c r="HC124" s="122"/>
      <c r="HD124" s="122"/>
      <c r="HE124" s="122"/>
      <c r="HF124" s="122"/>
      <c r="HG124" s="122"/>
      <c r="HH124" s="122"/>
      <c r="HI124" s="122"/>
      <c r="HJ124" s="122"/>
      <c r="HK124" s="122"/>
      <c r="HL124" s="122"/>
      <c r="HM124" s="122"/>
      <c r="HN124" s="122"/>
      <c r="HO124" s="122"/>
      <c r="HP124" s="122"/>
      <c r="HQ124" s="122"/>
      <c r="HR124" s="122"/>
      <c r="HS124" s="122"/>
      <c r="HT124" s="122"/>
      <c r="HU124" s="122"/>
      <c r="HV124" s="122"/>
      <c r="HW124" s="122"/>
      <c r="HX124" s="122"/>
      <c r="HY124" s="122"/>
      <c r="HZ124" s="122"/>
      <c r="IA124" s="122"/>
      <c r="IB124" s="122"/>
      <c r="IC124" s="122"/>
      <c r="ID124" s="122"/>
      <c r="IE124" s="122"/>
      <c r="IF124" s="122"/>
      <c r="IG124" s="122"/>
      <c r="IH124" s="122"/>
      <c r="II124" s="122"/>
      <c r="IJ124" s="122"/>
      <c r="IK124" s="122"/>
      <c r="IL124" s="122"/>
      <c r="IM124" s="122"/>
      <c r="IN124" s="122"/>
      <c r="IO124" s="122"/>
      <c r="IP124" s="122"/>
      <c r="IQ124" s="122"/>
      <c r="IR124" s="122"/>
      <c r="IS124" s="122"/>
      <c r="IT124" s="122"/>
      <c r="IU124" s="122"/>
      <c r="IV124" s="122"/>
      <c r="IW124" s="122"/>
      <c r="IX124" s="122"/>
      <c r="IY124" s="122"/>
      <c r="IZ124" s="122"/>
      <c r="JA124" s="122"/>
      <c r="JB124" s="122"/>
      <c r="JC124" s="122"/>
      <c r="JD124" s="122"/>
      <c r="JE124" s="122"/>
      <c r="JF124" s="122"/>
      <c r="JG124" s="122"/>
      <c r="JH124" s="122"/>
      <c r="JI124" s="119">
        <f t="shared" si="4"/>
        <v>135036</v>
      </c>
      <c r="JJ124" s="2">
        <v>1189</v>
      </c>
      <c r="JK124" s="125"/>
      <c r="JL124" s="125">
        <f t="shared" si="3"/>
        <v>135036</v>
      </c>
      <c r="JM124" s="1"/>
      <c r="JN124" s="1"/>
      <c r="JO124" s="1"/>
      <c r="JP124" s="1"/>
    </row>
    <row r="125" spans="1:276" x14ac:dyDescent="0.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2"/>
      <c r="BT125" s="122"/>
      <c r="BU125" s="122"/>
      <c r="BV125" s="122"/>
      <c r="BW125" s="122"/>
      <c r="BX125" s="122"/>
      <c r="BY125" s="122"/>
      <c r="BZ125" s="122"/>
      <c r="CA125" s="122"/>
      <c r="CB125" s="122"/>
      <c r="CC125" s="122"/>
      <c r="CD125" s="122"/>
      <c r="CE125" s="122"/>
      <c r="CF125" s="122"/>
      <c r="CG125" s="122"/>
      <c r="CH125" s="122"/>
      <c r="CI125" s="122"/>
      <c r="CJ125" s="122"/>
      <c r="CK125" s="122"/>
      <c r="CL125" s="122"/>
      <c r="CM125" s="122"/>
      <c r="CN125" s="122"/>
      <c r="CO125" s="122"/>
      <c r="CP125" s="122"/>
      <c r="CQ125" s="122"/>
      <c r="CR125" s="122"/>
      <c r="CS125" s="122"/>
      <c r="CT125" s="122"/>
      <c r="CU125" s="122"/>
      <c r="CV125" s="122"/>
      <c r="CW125" s="122"/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/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22"/>
      <c r="FD125" s="122"/>
      <c r="FE125" s="122"/>
      <c r="FF125" s="122"/>
      <c r="FG125" s="122"/>
      <c r="FH125" s="122"/>
      <c r="FI125" s="122"/>
      <c r="FJ125" s="122"/>
      <c r="FK125" s="122"/>
      <c r="FL125" s="122"/>
      <c r="FM125" s="122"/>
      <c r="FN125" s="122"/>
      <c r="FO125" s="122"/>
      <c r="FP125" s="122"/>
      <c r="FQ125" s="122"/>
      <c r="FR125" s="122"/>
      <c r="FS125" s="122"/>
      <c r="FT125" s="122"/>
      <c r="FU125" s="122"/>
      <c r="FV125" s="122"/>
      <c r="FW125" s="122"/>
      <c r="FX125" s="122"/>
      <c r="FY125" s="122"/>
      <c r="FZ125" s="122"/>
      <c r="GA125" s="122"/>
      <c r="GB125" s="122"/>
      <c r="GC125" s="122"/>
      <c r="GD125" s="122"/>
      <c r="GE125" s="122"/>
      <c r="GF125" s="122"/>
      <c r="GG125" s="122"/>
      <c r="GH125" s="122"/>
      <c r="GI125" s="122"/>
      <c r="GJ125" s="122"/>
      <c r="GK125" s="122"/>
      <c r="GL125" s="122"/>
      <c r="GM125" s="122"/>
      <c r="GN125" s="122"/>
      <c r="GO125" s="122"/>
      <c r="GP125" s="122"/>
      <c r="GQ125" s="122"/>
      <c r="GR125" s="122"/>
      <c r="GS125" s="122"/>
      <c r="GT125" s="122"/>
      <c r="GU125" s="122"/>
      <c r="GV125" s="122"/>
      <c r="GW125" s="122"/>
      <c r="GX125" s="122"/>
      <c r="GY125" s="122"/>
      <c r="GZ125" s="122"/>
      <c r="HA125" s="122"/>
      <c r="HB125" s="122"/>
      <c r="HC125" s="122"/>
      <c r="HD125" s="122"/>
      <c r="HE125" s="122"/>
      <c r="HF125" s="122"/>
      <c r="HG125" s="122"/>
      <c r="HH125" s="122"/>
      <c r="HI125" s="122"/>
      <c r="HJ125" s="122"/>
      <c r="HK125" s="122"/>
      <c r="HL125" s="122"/>
      <c r="HM125" s="122"/>
      <c r="HN125" s="122"/>
      <c r="HO125" s="122"/>
      <c r="HP125" s="122"/>
      <c r="HQ125" s="122"/>
      <c r="HR125" s="122"/>
      <c r="HS125" s="122"/>
      <c r="HT125" s="122"/>
      <c r="HU125" s="122"/>
      <c r="HV125" s="122"/>
      <c r="HW125" s="122"/>
      <c r="HX125" s="122"/>
      <c r="HY125" s="122"/>
      <c r="HZ125" s="122"/>
      <c r="IA125" s="122"/>
      <c r="IB125" s="122"/>
      <c r="IC125" s="122"/>
      <c r="ID125" s="122"/>
      <c r="IE125" s="122"/>
      <c r="IF125" s="122"/>
      <c r="IG125" s="122"/>
      <c r="IH125" s="122"/>
      <c r="II125" s="122"/>
      <c r="IJ125" s="122"/>
      <c r="IK125" s="122"/>
      <c r="IL125" s="122"/>
      <c r="IM125" s="122"/>
      <c r="IN125" s="122"/>
      <c r="IO125" s="122"/>
      <c r="IP125" s="122"/>
      <c r="IQ125" s="122"/>
      <c r="IR125" s="122"/>
      <c r="IS125" s="122"/>
      <c r="IT125" s="122"/>
      <c r="IU125" s="122"/>
      <c r="IV125" s="122"/>
      <c r="IW125" s="122"/>
      <c r="IX125" s="122"/>
      <c r="IY125" s="122"/>
      <c r="IZ125" s="122"/>
      <c r="JA125" s="122"/>
      <c r="JB125" s="122"/>
      <c r="JC125" s="122"/>
      <c r="JD125" s="122"/>
      <c r="JE125" s="122"/>
      <c r="JF125" s="122"/>
      <c r="JG125" s="122"/>
      <c r="JH125" s="122"/>
      <c r="JI125" s="119"/>
      <c r="JJ125" s="2"/>
      <c r="JK125" s="125"/>
      <c r="JL125" s="125"/>
      <c r="JM125" s="1"/>
      <c r="JN125" s="1"/>
      <c r="JO125" s="1"/>
      <c r="JP125" s="1"/>
    </row>
    <row r="126" spans="1:276" x14ac:dyDescent="0.25">
      <c r="A126" s="119">
        <f>SUM(A3:A125)</f>
        <v>53611206.039999999</v>
      </c>
      <c r="B126" s="119">
        <f t="shared" ref="B126:BM126" si="5">SUM(B3:B125)</f>
        <v>0</v>
      </c>
      <c r="C126" s="119">
        <f t="shared" si="5"/>
        <v>0</v>
      </c>
      <c r="D126" s="119">
        <f t="shared" si="5"/>
        <v>0</v>
      </c>
      <c r="E126" s="119">
        <f t="shared" si="5"/>
        <v>0</v>
      </c>
      <c r="F126" s="119">
        <f t="shared" si="5"/>
        <v>0</v>
      </c>
      <c r="G126" s="119">
        <f t="shared" si="5"/>
        <v>0</v>
      </c>
      <c r="H126" s="119">
        <f t="shared" si="5"/>
        <v>0</v>
      </c>
      <c r="I126" s="119">
        <f t="shared" si="5"/>
        <v>0</v>
      </c>
      <c r="J126" s="119">
        <f t="shared" si="5"/>
        <v>1107531.03</v>
      </c>
      <c r="K126" s="119">
        <f t="shared" si="5"/>
        <v>0</v>
      </c>
      <c r="L126" s="119">
        <f t="shared" si="5"/>
        <v>0</v>
      </c>
      <c r="M126" s="119">
        <f t="shared" si="5"/>
        <v>0</v>
      </c>
      <c r="N126" s="119">
        <f t="shared" si="5"/>
        <v>0</v>
      </c>
      <c r="O126" s="119">
        <f t="shared" si="5"/>
        <v>0</v>
      </c>
      <c r="P126" s="119">
        <f t="shared" si="5"/>
        <v>0</v>
      </c>
      <c r="Q126" s="119">
        <f t="shared" si="5"/>
        <v>0</v>
      </c>
      <c r="R126" s="119">
        <f t="shared" si="5"/>
        <v>0</v>
      </c>
      <c r="S126" s="119">
        <f t="shared" si="5"/>
        <v>2752136.5</v>
      </c>
      <c r="T126" s="119">
        <f t="shared" si="5"/>
        <v>0</v>
      </c>
      <c r="U126" s="119">
        <f t="shared" si="5"/>
        <v>0</v>
      </c>
      <c r="V126" s="119">
        <f t="shared" si="5"/>
        <v>0</v>
      </c>
      <c r="W126" s="119">
        <f t="shared" si="5"/>
        <v>45000</v>
      </c>
      <c r="X126" s="119">
        <f t="shared" si="5"/>
        <v>0</v>
      </c>
      <c r="Y126" s="119">
        <f t="shared" si="5"/>
        <v>0</v>
      </c>
      <c r="Z126" s="119">
        <f t="shared" si="5"/>
        <v>332600</v>
      </c>
      <c r="AA126" s="119">
        <f t="shared" si="5"/>
        <v>0</v>
      </c>
      <c r="AB126" s="119">
        <f t="shared" si="5"/>
        <v>69663.099999999991</v>
      </c>
      <c r="AC126" s="119">
        <f t="shared" si="5"/>
        <v>0</v>
      </c>
      <c r="AD126" s="119">
        <f t="shared" si="5"/>
        <v>0</v>
      </c>
      <c r="AE126" s="119">
        <f t="shared" si="5"/>
        <v>0</v>
      </c>
      <c r="AF126" s="119">
        <f t="shared" si="5"/>
        <v>0</v>
      </c>
      <c r="AG126" s="119">
        <f t="shared" si="5"/>
        <v>0</v>
      </c>
      <c r="AH126" s="119">
        <f t="shared" si="5"/>
        <v>0</v>
      </c>
      <c r="AI126" s="119">
        <f t="shared" si="5"/>
        <v>0</v>
      </c>
      <c r="AJ126" s="119">
        <f t="shared" si="5"/>
        <v>0</v>
      </c>
      <c r="AK126" s="119">
        <f t="shared" si="5"/>
        <v>3879560.77</v>
      </c>
      <c r="AL126" s="119">
        <f t="shared" si="5"/>
        <v>3885030.79</v>
      </c>
      <c r="AM126" s="119">
        <f t="shared" si="5"/>
        <v>654891.59000000008</v>
      </c>
      <c r="AN126" s="119">
        <f t="shared" si="5"/>
        <v>0</v>
      </c>
      <c r="AO126" s="119">
        <f t="shared" si="5"/>
        <v>0</v>
      </c>
      <c r="AP126" s="119">
        <f t="shared" si="5"/>
        <v>0</v>
      </c>
      <c r="AQ126" s="119">
        <f t="shared" si="5"/>
        <v>0</v>
      </c>
      <c r="AR126" s="119">
        <f t="shared" si="5"/>
        <v>0</v>
      </c>
      <c r="AS126" s="119">
        <f t="shared" si="5"/>
        <v>0</v>
      </c>
      <c r="AT126" s="119">
        <f t="shared" si="5"/>
        <v>0</v>
      </c>
      <c r="AU126" s="119">
        <f t="shared" si="5"/>
        <v>0</v>
      </c>
      <c r="AV126" s="119">
        <f t="shared" si="5"/>
        <v>2020024.3</v>
      </c>
      <c r="AW126" s="119">
        <f t="shared" si="5"/>
        <v>0</v>
      </c>
      <c r="AX126" s="119">
        <f t="shared" si="5"/>
        <v>0</v>
      </c>
      <c r="AY126" s="119">
        <f t="shared" si="5"/>
        <v>0</v>
      </c>
      <c r="AZ126" s="119">
        <f t="shared" si="5"/>
        <v>0</v>
      </c>
      <c r="BA126" s="119">
        <f t="shared" si="5"/>
        <v>0</v>
      </c>
      <c r="BB126" s="119">
        <f t="shared" si="5"/>
        <v>0</v>
      </c>
      <c r="BC126" s="119">
        <f t="shared" si="5"/>
        <v>0</v>
      </c>
      <c r="BD126" s="119">
        <f t="shared" si="5"/>
        <v>0</v>
      </c>
      <c r="BE126" s="119">
        <f t="shared" si="5"/>
        <v>0</v>
      </c>
      <c r="BF126" s="119">
        <f t="shared" si="5"/>
        <v>0</v>
      </c>
      <c r="BG126" s="119">
        <f t="shared" si="5"/>
        <v>0</v>
      </c>
      <c r="BH126" s="119">
        <f t="shared" si="5"/>
        <v>0</v>
      </c>
      <c r="BI126" s="119">
        <f t="shared" si="5"/>
        <v>0</v>
      </c>
      <c r="BJ126" s="119">
        <f t="shared" si="5"/>
        <v>0</v>
      </c>
      <c r="BK126" s="119">
        <f t="shared" si="5"/>
        <v>0</v>
      </c>
      <c r="BL126" s="119">
        <f t="shared" si="5"/>
        <v>0</v>
      </c>
      <c r="BM126" s="119">
        <f t="shared" si="5"/>
        <v>0</v>
      </c>
      <c r="BN126" s="119">
        <f t="shared" ref="BN126:DY126" si="6">SUM(BN3:BN125)</f>
        <v>0</v>
      </c>
      <c r="BO126" s="119">
        <f t="shared" si="6"/>
        <v>0</v>
      </c>
      <c r="BP126" s="119">
        <f t="shared" si="6"/>
        <v>0</v>
      </c>
      <c r="BQ126" s="119">
        <f t="shared" si="6"/>
        <v>0</v>
      </c>
      <c r="BR126" s="119">
        <f t="shared" si="6"/>
        <v>0</v>
      </c>
      <c r="BS126" s="119">
        <f t="shared" si="6"/>
        <v>0</v>
      </c>
      <c r="BT126" s="119">
        <f t="shared" si="6"/>
        <v>0</v>
      </c>
      <c r="BU126" s="119">
        <f t="shared" si="6"/>
        <v>0</v>
      </c>
      <c r="BV126" s="119">
        <f t="shared" si="6"/>
        <v>0</v>
      </c>
      <c r="BW126" s="119">
        <f t="shared" si="6"/>
        <v>5951371.9400000013</v>
      </c>
      <c r="BX126" s="119">
        <f t="shared" si="6"/>
        <v>0</v>
      </c>
      <c r="BY126" s="119">
        <f t="shared" si="6"/>
        <v>0</v>
      </c>
      <c r="BZ126" s="119">
        <f t="shared" si="6"/>
        <v>0</v>
      </c>
      <c r="CA126" s="119">
        <f t="shared" si="6"/>
        <v>0</v>
      </c>
      <c r="CB126" s="119">
        <f t="shared" si="6"/>
        <v>0</v>
      </c>
      <c r="CC126" s="119">
        <f t="shared" si="6"/>
        <v>0</v>
      </c>
      <c r="CD126" s="119">
        <f t="shared" si="6"/>
        <v>0</v>
      </c>
      <c r="CE126" s="119">
        <f t="shared" si="6"/>
        <v>0</v>
      </c>
      <c r="CF126" s="119">
        <f t="shared" si="6"/>
        <v>0</v>
      </c>
      <c r="CG126" s="119">
        <f t="shared" si="6"/>
        <v>0</v>
      </c>
      <c r="CH126" s="119">
        <f t="shared" si="6"/>
        <v>0</v>
      </c>
      <c r="CI126" s="119">
        <f t="shared" si="6"/>
        <v>0</v>
      </c>
      <c r="CJ126" s="119">
        <f t="shared" si="6"/>
        <v>0</v>
      </c>
      <c r="CK126" s="119">
        <f t="shared" si="6"/>
        <v>0</v>
      </c>
      <c r="CL126" s="119">
        <f t="shared" si="6"/>
        <v>0</v>
      </c>
      <c r="CM126" s="119">
        <f t="shared" si="6"/>
        <v>0</v>
      </c>
      <c r="CN126" s="119">
        <f t="shared" si="6"/>
        <v>0</v>
      </c>
      <c r="CO126" s="119">
        <f t="shared" si="6"/>
        <v>0</v>
      </c>
      <c r="CP126" s="119">
        <f t="shared" si="6"/>
        <v>0</v>
      </c>
      <c r="CQ126" s="119">
        <f t="shared" si="6"/>
        <v>0</v>
      </c>
      <c r="CR126" s="119">
        <f t="shared" si="6"/>
        <v>0</v>
      </c>
      <c r="CS126" s="119">
        <f t="shared" si="6"/>
        <v>0</v>
      </c>
      <c r="CT126" s="119">
        <f t="shared" si="6"/>
        <v>0</v>
      </c>
      <c r="CU126" s="119">
        <f t="shared" si="6"/>
        <v>0</v>
      </c>
      <c r="CV126" s="119">
        <f t="shared" si="6"/>
        <v>0</v>
      </c>
      <c r="CW126" s="119">
        <f t="shared" si="6"/>
        <v>0</v>
      </c>
      <c r="CX126" s="119">
        <f t="shared" si="6"/>
        <v>0</v>
      </c>
      <c r="CY126" s="119">
        <f t="shared" si="6"/>
        <v>0</v>
      </c>
      <c r="CZ126" s="119">
        <f t="shared" si="6"/>
        <v>0</v>
      </c>
      <c r="DA126" s="119">
        <f t="shared" si="6"/>
        <v>0</v>
      </c>
      <c r="DB126" s="119">
        <f t="shared" si="6"/>
        <v>0</v>
      </c>
      <c r="DC126" s="119">
        <f t="shared" si="6"/>
        <v>0</v>
      </c>
      <c r="DD126" s="119">
        <f t="shared" si="6"/>
        <v>0</v>
      </c>
      <c r="DE126" s="119">
        <f t="shared" si="6"/>
        <v>0</v>
      </c>
      <c r="DF126" s="119">
        <f t="shared" si="6"/>
        <v>0</v>
      </c>
      <c r="DG126" s="119">
        <f t="shared" si="6"/>
        <v>0</v>
      </c>
      <c r="DH126" s="119">
        <f t="shared" si="6"/>
        <v>0</v>
      </c>
      <c r="DI126" s="119">
        <f t="shared" si="6"/>
        <v>0</v>
      </c>
      <c r="DJ126" s="119">
        <f t="shared" si="6"/>
        <v>0</v>
      </c>
      <c r="DK126" s="119">
        <f t="shared" si="6"/>
        <v>3122436.84</v>
      </c>
      <c r="DL126" s="119">
        <f t="shared" si="6"/>
        <v>0</v>
      </c>
      <c r="DM126" s="119">
        <f t="shared" si="6"/>
        <v>0</v>
      </c>
      <c r="DN126" s="119">
        <f t="shared" si="6"/>
        <v>0</v>
      </c>
      <c r="DO126" s="119">
        <f t="shared" si="6"/>
        <v>0</v>
      </c>
      <c r="DP126" s="119">
        <f t="shared" si="6"/>
        <v>0</v>
      </c>
      <c r="DQ126" s="119">
        <f t="shared" si="6"/>
        <v>0</v>
      </c>
      <c r="DR126" s="119">
        <f t="shared" si="6"/>
        <v>0</v>
      </c>
      <c r="DS126" s="119">
        <f t="shared" si="6"/>
        <v>0</v>
      </c>
      <c r="DT126" s="119">
        <f t="shared" si="6"/>
        <v>0</v>
      </c>
      <c r="DU126" s="119">
        <f t="shared" si="6"/>
        <v>0</v>
      </c>
      <c r="DV126" s="119">
        <f t="shared" si="6"/>
        <v>170173.16999999998</v>
      </c>
      <c r="DW126" s="119">
        <f t="shared" si="6"/>
        <v>1304372</v>
      </c>
      <c r="DX126" s="119">
        <f t="shared" si="6"/>
        <v>0</v>
      </c>
      <c r="DY126" s="119">
        <f t="shared" si="6"/>
        <v>0</v>
      </c>
      <c r="DZ126" s="119">
        <f t="shared" ref="DZ126:GK126" si="7">SUM(DZ3:DZ125)</f>
        <v>0</v>
      </c>
      <c r="EA126" s="119">
        <f t="shared" si="7"/>
        <v>6919929</v>
      </c>
      <c r="EB126" s="119">
        <f t="shared" si="7"/>
        <v>0</v>
      </c>
      <c r="EC126" s="119">
        <f t="shared" si="7"/>
        <v>0</v>
      </c>
      <c r="ED126" s="119">
        <f t="shared" si="7"/>
        <v>0</v>
      </c>
      <c r="EE126" s="119">
        <f t="shared" si="7"/>
        <v>0</v>
      </c>
      <c r="EF126" s="119">
        <f t="shared" si="7"/>
        <v>0</v>
      </c>
      <c r="EG126" s="119">
        <f t="shared" si="7"/>
        <v>334708.95</v>
      </c>
      <c r="EH126" s="119">
        <f t="shared" si="7"/>
        <v>0</v>
      </c>
      <c r="EI126" s="119">
        <f t="shared" si="7"/>
        <v>0</v>
      </c>
      <c r="EJ126" s="119">
        <f t="shared" si="7"/>
        <v>0</v>
      </c>
      <c r="EK126" s="119">
        <f t="shared" si="7"/>
        <v>0</v>
      </c>
      <c r="EL126" s="119">
        <f t="shared" si="7"/>
        <v>0</v>
      </c>
      <c r="EM126" s="119">
        <f t="shared" si="7"/>
        <v>0</v>
      </c>
      <c r="EN126" s="119">
        <f t="shared" si="7"/>
        <v>0</v>
      </c>
      <c r="EO126" s="119">
        <f t="shared" si="7"/>
        <v>0</v>
      </c>
      <c r="EP126" s="119">
        <f t="shared" si="7"/>
        <v>0</v>
      </c>
      <c r="EQ126" s="119">
        <f t="shared" si="7"/>
        <v>0</v>
      </c>
      <c r="ER126" s="119">
        <f t="shared" si="7"/>
        <v>0</v>
      </c>
      <c r="ES126" s="119">
        <f t="shared" si="7"/>
        <v>0</v>
      </c>
      <c r="ET126" s="119">
        <f t="shared" si="7"/>
        <v>0</v>
      </c>
      <c r="EU126" s="119">
        <f t="shared" si="7"/>
        <v>0</v>
      </c>
      <c r="EV126" s="119">
        <f t="shared" si="7"/>
        <v>0</v>
      </c>
      <c r="EW126" s="119">
        <f t="shared" si="7"/>
        <v>0</v>
      </c>
      <c r="EX126" s="119">
        <f t="shared" si="7"/>
        <v>0</v>
      </c>
      <c r="EY126" s="119">
        <f t="shared" si="7"/>
        <v>0</v>
      </c>
      <c r="EZ126" s="119">
        <f t="shared" si="7"/>
        <v>0</v>
      </c>
      <c r="FA126" s="119">
        <f t="shared" si="7"/>
        <v>555829</v>
      </c>
      <c r="FB126" s="119">
        <f t="shared" si="7"/>
        <v>0</v>
      </c>
      <c r="FC126" s="119">
        <f t="shared" si="7"/>
        <v>0</v>
      </c>
      <c r="FD126" s="119">
        <f t="shared" si="7"/>
        <v>0</v>
      </c>
      <c r="FE126" s="119">
        <f t="shared" si="7"/>
        <v>0</v>
      </c>
      <c r="FF126" s="119">
        <f t="shared" si="7"/>
        <v>0</v>
      </c>
      <c r="FG126" s="119">
        <f t="shared" si="7"/>
        <v>0</v>
      </c>
      <c r="FH126" s="119">
        <f t="shared" si="7"/>
        <v>0</v>
      </c>
      <c r="FI126" s="119">
        <f t="shared" si="7"/>
        <v>0</v>
      </c>
      <c r="FJ126" s="119">
        <f t="shared" si="7"/>
        <v>2243769.91</v>
      </c>
      <c r="FK126" s="119">
        <f t="shared" si="7"/>
        <v>0</v>
      </c>
      <c r="FL126" s="119">
        <f t="shared" si="7"/>
        <v>0</v>
      </c>
      <c r="FM126" s="119">
        <f t="shared" si="7"/>
        <v>203654.83</v>
      </c>
      <c r="FN126" s="119">
        <f t="shared" si="7"/>
        <v>159269.28</v>
      </c>
      <c r="FO126" s="119">
        <f t="shared" si="7"/>
        <v>0</v>
      </c>
      <c r="FP126" s="119">
        <f t="shared" si="7"/>
        <v>0</v>
      </c>
      <c r="FQ126" s="119">
        <f t="shared" si="7"/>
        <v>369511.66000000003</v>
      </c>
      <c r="FR126" s="119">
        <f t="shared" si="7"/>
        <v>0</v>
      </c>
      <c r="FS126" s="119">
        <f t="shared" si="7"/>
        <v>132475.4</v>
      </c>
      <c r="FT126" s="119">
        <f t="shared" si="7"/>
        <v>10795595.390000001</v>
      </c>
      <c r="FU126" s="119">
        <f t="shared" si="7"/>
        <v>0</v>
      </c>
      <c r="FV126" s="119">
        <f t="shared" si="7"/>
        <v>0</v>
      </c>
      <c r="FW126" s="119">
        <f t="shared" si="7"/>
        <v>388540.1</v>
      </c>
      <c r="FX126" s="119">
        <f t="shared" si="7"/>
        <v>0</v>
      </c>
      <c r="FY126" s="119">
        <f t="shared" si="7"/>
        <v>19599.990000000002</v>
      </c>
      <c r="FZ126" s="119">
        <f t="shared" si="7"/>
        <v>4000.01</v>
      </c>
      <c r="GA126" s="119">
        <f t="shared" si="7"/>
        <v>0</v>
      </c>
      <c r="GB126" s="119">
        <f t="shared" si="7"/>
        <v>25685.99</v>
      </c>
      <c r="GC126" s="119">
        <f t="shared" si="7"/>
        <v>0</v>
      </c>
      <c r="GD126" s="119">
        <f t="shared" si="7"/>
        <v>0</v>
      </c>
      <c r="GE126" s="119">
        <f t="shared" si="7"/>
        <v>0</v>
      </c>
      <c r="GF126" s="119">
        <f t="shared" si="7"/>
        <v>0</v>
      </c>
      <c r="GG126" s="119">
        <f t="shared" si="7"/>
        <v>0</v>
      </c>
      <c r="GH126" s="119">
        <f t="shared" si="7"/>
        <v>494125</v>
      </c>
      <c r="GI126" s="119">
        <f t="shared" si="7"/>
        <v>0</v>
      </c>
      <c r="GJ126" s="119">
        <f t="shared" si="7"/>
        <v>184080</v>
      </c>
      <c r="GK126" s="119">
        <f t="shared" si="7"/>
        <v>0</v>
      </c>
      <c r="GL126" s="119">
        <f t="shared" ref="GL126:IW126" si="8">SUM(GL3:GL125)</f>
        <v>0</v>
      </c>
      <c r="GM126" s="119">
        <f t="shared" si="8"/>
        <v>0</v>
      </c>
      <c r="GN126" s="119">
        <f t="shared" si="8"/>
        <v>0</v>
      </c>
      <c r="GO126" s="119">
        <f t="shared" si="8"/>
        <v>0</v>
      </c>
      <c r="GP126" s="119">
        <f t="shared" si="8"/>
        <v>0</v>
      </c>
      <c r="GQ126" s="119">
        <f t="shared" si="8"/>
        <v>10667064.389999999</v>
      </c>
      <c r="GR126" s="119">
        <f t="shared" si="8"/>
        <v>48380</v>
      </c>
      <c r="GS126" s="119">
        <f t="shared" si="8"/>
        <v>0</v>
      </c>
      <c r="GT126" s="119">
        <f t="shared" si="8"/>
        <v>0</v>
      </c>
      <c r="GU126" s="119">
        <f t="shared" si="8"/>
        <v>0</v>
      </c>
      <c r="GV126" s="119">
        <f t="shared" si="8"/>
        <v>0</v>
      </c>
      <c r="GW126" s="119">
        <f t="shared" si="8"/>
        <v>0</v>
      </c>
      <c r="GX126" s="119">
        <f t="shared" si="8"/>
        <v>0</v>
      </c>
      <c r="GY126" s="119">
        <f t="shared" si="8"/>
        <v>0</v>
      </c>
      <c r="GZ126" s="119">
        <f t="shared" si="8"/>
        <v>0</v>
      </c>
      <c r="HA126" s="119">
        <f t="shared" si="8"/>
        <v>0</v>
      </c>
      <c r="HB126" s="119">
        <f t="shared" si="8"/>
        <v>0</v>
      </c>
      <c r="HC126" s="119">
        <f t="shared" si="8"/>
        <v>0</v>
      </c>
      <c r="HD126" s="119">
        <f t="shared" si="8"/>
        <v>0</v>
      </c>
      <c r="HE126" s="119">
        <f t="shared" si="8"/>
        <v>0</v>
      </c>
      <c r="HF126" s="119">
        <f t="shared" si="8"/>
        <v>0</v>
      </c>
      <c r="HG126" s="119">
        <f t="shared" si="8"/>
        <v>0</v>
      </c>
      <c r="HH126" s="119">
        <f t="shared" si="8"/>
        <v>3199.97</v>
      </c>
      <c r="HI126" s="119">
        <f t="shared" si="8"/>
        <v>0</v>
      </c>
      <c r="HJ126" s="119">
        <f t="shared" si="8"/>
        <v>0</v>
      </c>
      <c r="HK126" s="119">
        <f t="shared" si="8"/>
        <v>0</v>
      </c>
      <c r="HL126" s="119">
        <f t="shared" si="8"/>
        <v>0</v>
      </c>
      <c r="HM126" s="119">
        <f t="shared" si="8"/>
        <v>0</v>
      </c>
      <c r="HN126" s="119">
        <f t="shared" si="8"/>
        <v>0</v>
      </c>
      <c r="HO126" s="119">
        <f t="shared" si="8"/>
        <v>0</v>
      </c>
      <c r="HP126" s="119">
        <f t="shared" si="8"/>
        <v>0</v>
      </c>
      <c r="HQ126" s="119">
        <f t="shared" si="8"/>
        <v>0</v>
      </c>
      <c r="HR126" s="119">
        <f t="shared" si="8"/>
        <v>0</v>
      </c>
      <c r="HS126" s="119">
        <f t="shared" si="8"/>
        <v>0</v>
      </c>
      <c r="HT126" s="119">
        <f t="shared" si="8"/>
        <v>0</v>
      </c>
      <c r="HU126" s="119">
        <f t="shared" si="8"/>
        <v>0</v>
      </c>
      <c r="HV126" s="119">
        <f t="shared" si="8"/>
        <v>0</v>
      </c>
      <c r="HW126" s="119">
        <f t="shared" si="8"/>
        <v>0</v>
      </c>
      <c r="HX126" s="119">
        <f t="shared" si="8"/>
        <v>0</v>
      </c>
      <c r="HY126" s="119">
        <f t="shared" si="8"/>
        <v>0</v>
      </c>
      <c r="HZ126" s="119">
        <f t="shared" si="8"/>
        <v>0</v>
      </c>
      <c r="IA126" s="119">
        <f t="shared" si="8"/>
        <v>0</v>
      </c>
      <c r="IB126" s="119">
        <f t="shared" si="8"/>
        <v>0</v>
      </c>
      <c r="IC126" s="119">
        <f t="shared" si="8"/>
        <v>0</v>
      </c>
      <c r="ID126" s="119">
        <f t="shared" si="8"/>
        <v>0</v>
      </c>
      <c r="IE126" s="119">
        <f t="shared" si="8"/>
        <v>0</v>
      </c>
      <c r="IF126" s="119">
        <f t="shared" si="8"/>
        <v>0</v>
      </c>
      <c r="IG126" s="119">
        <f t="shared" si="8"/>
        <v>0</v>
      </c>
      <c r="IH126" s="119">
        <f t="shared" si="8"/>
        <v>0</v>
      </c>
      <c r="II126" s="119">
        <f t="shared" si="8"/>
        <v>0</v>
      </c>
      <c r="IJ126" s="119">
        <f t="shared" si="8"/>
        <v>0</v>
      </c>
      <c r="IK126" s="119">
        <f t="shared" si="8"/>
        <v>0</v>
      </c>
      <c r="IL126" s="119">
        <f t="shared" si="8"/>
        <v>0</v>
      </c>
      <c r="IM126" s="119">
        <f t="shared" si="8"/>
        <v>0</v>
      </c>
      <c r="IN126" s="119">
        <f t="shared" si="8"/>
        <v>0</v>
      </c>
      <c r="IO126" s="119">
        <f t="shared" si="8"/>
        <v>0</v>
      </c>
      <c r="IP126" s="119">
        <f t="shared" si="8"/>
        <v>0</v>
      </c>
      <c r="IQ126" s="119">
        <f t="shared" si="8"/>
        <v>0</v>
      </c>
      <c r="IR126" s="119">
        <f t="shared" si="8"/>
        <v>0</v>
      </c>
      <c r="IS126" s="119">
        <f t="shared" si="8"/>
        <v>0</v>
      </c>
      <c r="IT126" s="119">
        <f t="shared" si="8"/>
        <v>0</v>
      </c>
      <c r="IU126" s="119">
        <f t="shared" si="8"/>
        <v>0</v>
      </c>
      <c r="IV126" s="119">
        <f t="shared" si="8"/>
        <v>0</v>
      </c>
      <c r="IW126" s="119">
        <f t="shared" si="8"/>
        <v>0</v>
      </c>
      <c r="IX126" s="119">
        <f t="shared" ref="IX126:JH126" si="9">SUM(IX3:IX125)</f>
        <v>0</v>
      </c>
      <c r="IY126" s="119">
        <f t="shared" si="9"/>
        <v>0</v>
      </c>
      <c r="IZ126" s="119">
        <f t="shared" si="9"/>
        <v>0</v>
      </c>
      <c r="JA126" s="119">
        <f t="shared" si="9"/>
        <v>0</v>
      </c>
      <c r="JB126" s="119">
        <f t="shared" si="9"/>
        <v>0</v>
      </c>
      <c r="JC126" s="119">
        <f t="shared" si="9"/>
        <v>0</v>
      </c>
      <c r="JD126" s="119">
        <f t="shared" si="9"/>
        <v>0</v>
      </c>
      <c r="JE126" s="119">
        <f t="shared" si="9"/>
        <v>0</v>
      </c>
      <c r="JF126" s="119">
        <f t="shared" si="9"/>
        <v>0</v>
      </c>
      <c r="JG126" s="119">
        <f t="shared" si="9"/>
        <v>0</v>
      </c>
      <c r="JH126" s="119">
        <f t="shared" si="9"/>
        <v>0</v>
      </c>
      <c r="JI126" s="119">
        <f>SUM(JI3:JI124)</f>
        <v>112455416.94</v>
      </c>
      <c r="JJ126" s="2"/>
      <c r="JK126" s="125"/>
      <c r="JL126" s="125">
        <f t="shared" si="3"/>
        <v>112455416.94</v>
      </c>
      <c r="JM126" s="122">
        <f>SUM(JM3:JM57)</f>
        <v>0</v>
      </c>
      <c r="JN126" s="122">
        <f>SUM(JN3:JN57)</f>
        <v>0</v>
      </c>
      <c r="JO126" s="122">
        <f>SUM(JO3:JO57)</f>
        <v>0</v>
      </c>
      <c r="JP126" s="122">
        <f>SUM(JP3:JP57)</f>
        <v>0</v>
      </c>
    </row>
    <row r="127" spans="1:276" x14ac:dyDescent="0.25">
      <c r="A127" s="119">
        <f t="shared" ref="A127:BL127" si="10">+A126</f>
        <v>53611206.039999999</v>
      </c>
      <c r="B127" s="119">
        <f t="shared" si="10"/>
        <v>0</v>
      </c>
      <c r="C127" s="119">
        <f t="shared" si="10"/>
        <v>0</v>
      </c>
      <c r="D127" s="119">
        <f t="shared" si="10"/>
        <v>0</v>
      </c>
      <c r="E127" s="119">
        <f t="shared" si="10"/>
        <v>0</v>
      </c>
      <c r="F127" s="119">
        <f t="shared" si="10"/>
        <v>0</v>
      </c>
      <c r="G127" s="119">
        <f t="shared" si="10"/>
        <v>0</v>
      </c>
      <c r="H127" s="119">
        <f t="shared" si="10"/>
        <v>0</v>
      </c>
      <c r="I127" s="119">
        <f t="shared" si="10"/>
        <v>0</v>
      </c>
      <c r="J127" s="119">
        <f t="shared" si="10"/>
        <v>1107531.03</v>
      </c>
      <c r="K127" s="119">
        <f t="shared" si="10"/>
        <v>0</v>
      </c>
      <c r="L127" s="119">
        <f t="shared" si="10"/>
        <v>0</v>
      </c>
      <c r="M127" s="119">
        <f t="shared" si="10"/>
        <v>0</v>
      </c>
      <c r="N127" s="119">
        <f t="shared" si="10"/>
        <v>0</v>
      </c>
      <c r="O127" s="119">
        <f t="shared" si="10"/>
        <v>0</v>
      </c>
      <c r="P127" s="119">
        <f t="shared" si="10"/>
        <v>0</v>
      </c>
      <c r="Q127" s="119">
        <f t="shared" si="10"/>
        <v>0</v>
      </c>
      <c r="R127" s="119">
        <f t="shared" si="10"/>
        <v>0</v>
      </c>
      <c r="S127" s="119">
        <f t="shared" si="10"/>
        <v>2752136.5</v>
      </c>
      <c r="T127" s="119">
        <f t="shared" si="10"/>
        <v>0</v>
      </c>
      <c r="U127" s="119">
        <f t="shared" si="10"/>
        <v>0</v>
      </c>
      <c r="V127" s="119">
        <f t="shared" si="10"/>
        <v>0</v>
      </c>
      <c r="W127" s="119">
        <f t="shared" si="10"/>
        <v>45000</v>
      </c>
      <c r="X127" s="119">
        <f t="shared" si="10"/>
        <v>0</v>
      </c>
      <c r="Y127" s="119">
        <f t="shared" si="10"/>
        <v>0</v>
      </c>
      <c r="Z127" s="119">
        <f t="shared" si="10"/>
        <v>332600</v>
      </c>
      <c r="AA127" s="119">
        <f t="shared" si="10"/>
        <v>0</v>
      </c>
      <c r="AB127" s="119">
        <f t="shared" si="10"/>
        <v>69663.099999999991</v>
      </c>
      <c r="AC127" s="119">
        <f t="shared" si="10"/>
        <v>0</v>
      </c>
      <c r="AD127" s="119">
        <f t="shared" si="10"/>
        <v>0</v>
      </c>
      <c r="AE127" s="119">
        <f t="shared" si="10"/>
        <v>0</v>
      </c>
      <c r="AF127" s="119">
        <f t="shared" si="10"/>
        <v>0</v>
      </c>
      <c r="AG127" s="119">
        <f t="shared" si="10"/>
        <v>0</v>
      </c>
      <c r="AH127" s="119">
        <f t="shared" si="10"/>
        <v>0</v>
      </c>
      <c r="AI127" s="119">
        <f t="shared" si="10"/>
        <v>0</v>
      </c>
      <c r="AJ127" s="119">
        <f t="shared" si="10"/>
        <v>0</v>
      </c>
      <c r="AK127" s="119">
        <f t="shared" si="10"/>
        <v>3879560.77</v>
      </c>
      <c r="AL127" s="119">
        <f t="shared" si="10"/>
        <v>3885030.79</v>
      </c>
      <c r="AM127" s="119">
        <f t="shared" si="10"/>
        <v>654891.59000000008</v>
      </c>
      <c r="AN127" s="119">
        <f t="shared" si="10"/>
        <v>0</v>
      </c>
      <c r="AO127" s="119">
        <f t="shared" si="10"/>
        <v>0</v>
      </c>
      <c r="AP127" s="119">
        <f t="shared" si="10"/>
        <v>0</v>
      </c>
      <c r="AQ127" s="119">
        <f t="shared" si="10"/>
        <v>0</v>
      </c>
      <c r="AR127" s="119">
        <f t="shared" si="10"/>
        <v>0</v>
      </c>
      <c r="AS127" s="119">
        <f t="shared" si="10"/>
        <v>0</v>
      </c>
      <c r="AT127" s="119">
        <f t="shared" si="10"/>
        <v>0</v>
      </c>
      <c r="AU127" s="119">
        <f t="shared" si="10"/>
        <v>0</v>
      </c>
      <c r="AV127" s="119">
        <f t="shared" si="10"/>
        <v>2020024.3</v>
      </c>
      <c r="AW127" s="119">
        <f t="shared" si="10"/>
        <v>0</v>
      </c>
      <c r="AX127" s="119">
        <f t="shared" si="10"/>
        <v>0</v>
      </c>
      <c r="AY127" s="119">
        <f t="shared" si="10"/>
        <v>0</v>
      </c>
      <c r="AZ127" s="119">
        <f t="shared" si="10"/>
        <v>0</v>
      </c>
      <c r="BA127" s="119">
        <f t="shared" si="10"/>
        <v>0</v>
      </c>
      <c r="BB127" s="119">
        <f t="shared" si="10"/>
        <v>0</v>
      </c>
      <c r="BC127" s="119">
        <f t="shared" si="10"/>
        <v>0</v>
      </c>
      <c r="BD127" s="119">
        <f t="shared" si="10"/>
        <v>0</v>
      </c>
      <c r="BE127" s="119">
        <f t="shared" si="10"/>
        <v>0</v>
      </c>
      <c r="BF127" s="119">
        <f t="shared" si="10"/>
        <v>0</v>
      </c>
      <c r="BG127" s="119">
        <f t="shared" si="10"/>
        <v>0</v>
      </c>
      <c r="BH127" s="119">
        <f t="shared" si="10"/>
        <v>0</v>
      </c>
      <c r="BI127" s="119">
        <f t="shared" si="10"/>
        <v>0</v>
      </c>
      <c r="BJ127" s="119">
        <f t="shared" si="10"/>
        <v>0</v>
      </c>
      <c r="BK127" s="119">
        <f t="shared" si="10"/>
        <v>0</v>
      </c>
      <c r="BL127" s="119">
        <f t="shared" si="10"/>
        <v>0</v>
      </c>
      <c r="BM127" s="119">
        <f t="shared" ref="BM127:DX127" si="11">+BM126</f>
        <v>0</v>
      </c>
      <c r="BN127" s="119">
        <f t="shared" si="11"/>
        <v>0</v>
      </c>
      <c r="BO127" s="119">
        <f t="shared" si="11"/>
        <v>0</v>
      </c>
      <c r="BP127" s="119">
        <f t="shared" si="11"/>
        <v>0</v>
      </c>
      <c r="BQ127" s="119">
        <f t="shared" si="11"/>
        <v>0</v>
      </c>
      <c r="BR127" s="119">
        <f t="shared" si="11"/>
        <v>0</v>
      </c>
      <c r="BS127" s="119">
        <f t="shared" si="11"/>
        <v>0</v>
      </c>
      <c r="BT127" s="119">
        <f t="shared" si="11"/>
        <v>0</v>
      </c>
      <c r="BU127" s="119">
        <f t="shared" si="11"/>
        <v>0</v>
      </c>
      <c r="BV127" s="119">
        <f t="shared" si="11"/>
        <v>0</v>
      </c>
      <c r="BW127" s="119">
        <f t="shared" si="11"/>
        <v>5951371.9400000013</v>
      </c>
      <c r="BX127" s="119">
        <f t="shared" si="11"/>
        <v>0</v>
      </c>
      <c r="BY127" s="119">
        <f t="shared" si="11"/>
        <v>0</v>
      </c>
      <c r="BZ127" s="119">
        <f t="shared" si="11"/>
        <v>0</v>
      </c>
      <c r="CA127" s="119">
        <f t="shared" si="11"/>
        <v>0</v>
      </c>
      <c r="CB127" s="119">
        <f t="shared" si="11"/>
        <v>0</v>
      </c>
      <c r="CC127" s="119">
        <f t="shared" si="11"/>
        <v>0</v>
      </c>
      <c r="CD127" s="119">
        <f t="shared" si="11"/>
        <v>0</v>
      </c>
      <c r="CE127" s="119">
        <f t="shared" si="11"/>
        <v>0</v>
      </c>
      <c r="CF127" s="119">
        <f t="shared" si="11"/>
        <v>0</v>
      </c>
      <c r="CG127" s="119">
        <f t="shared" si="11"/>
        <v>0</v>
      </c>
      <c r="CH127" s="119">
        <f t="shared" si="11"/>
        <v>0</v>
      </c>
      <c r="CI127" s="119">
        <f t="shared" si="11"/>
        <v>0</v>
      </c>
      <c r="CJ127" s="119">
        <f t="shared" si="11"/>
        <v>0</v>
      </c>
      <c r="CK127" s="119">
        <f t="shared" si="11"/>
        <v>0</v>
      </c>
      <c r="CL127" s="119">
        <f t="shared" si="11"/>
        <v>0</v>
      </c>
      <c r="CM127" s="119">
        <f t="shared" si="11"/>
        <v>0</v>
      </c>
      <c r="CN127" s="119">
        <f t="shared" si="11"/>
        <v>0</v>
      </c>
      <c r="CO127" s="119">
        <f t="shared" si="11"/>
        <v>0</v>
      </c>
      <c r="CP127" s="119">
        <f t="shared" si="11"/>
        <v>0</v>
      </c>
      <c r="CQ127" s="119">
        <f t="shared" si="11"/>
        <v>0</v>
      </c>
      <c r="CR127" s="119">
        <f t="shared" si="11"/>
        <v>0</v>
      </c>
      <c r="CS127" s="119">
        <f t="shared" si="11"/>
        <v>0</v>
      </c>
      <c r="CT127" s="119">
        <f t="shared" si="11"/>
        <v>0</v>
      </c>
      <c r="CU127" s="119">
        <f t="shared" si="11"/>
        <v>0</v>
      </c>
      <c r="CV127" s="119">
        <f t="shared" si="11"/>
        <v>0</v>
      </c>
      <c r="CW127" s="119">
        <f t="shared" si="11"/>
        <v>0</v>
      </c>
      <c r="CX127" s="119">
        <f t="shared" si="11"/>
        <v>0</v>
      </c>
      <c r="CY127" s="119">
        <f t="shared" si="11"/>
        <v>0</v>
      </c>
      <c r="CZ127" s="119">
        <f t="shared" si="11"/>
        <v>0</v>
      </c>
      <c r="DA127" s="119">
        <f t="shared" si="11"/>
        <v>0</v>
      </c>
      <c r="DB127" s="119">
        <f t="shared" si="11"/>
        <v>0</v>
      </c>
      <c r="DC127" s="119">
        <f t="shared" si="11"/>
        <v>0</v>
      </c>
      <c r="DD127" s="119">
        <f t="shared" si="11"/>
        <v>0</v>
      </c>
      <c r="DE127" s="119">
        <f t="shared" si="11"/>
        <v>0</v>
      </c>
      <c r="DF127" s="119">
        <f t="shared" si="11"/>
        <v>0</v>
      </c>
      <c r="DG127" s="119">
        <f t="shared" si="11"/>
        <v>0</v>
      </c>
      <c r="DH127" s="119">
        <f t="shared" si="11"/>
        <v>0</v>
      </c>
      <c r="DI127" s="119">
        <f t="shared" si="11"/>
        <v>0</v>
      </c>
      <c r="DJ127" s="119">
        <f t="shared" si="11"/>
        <v>0</v>
      </c>
      <c r="DK127" s="119">
        <f t="shared" si="11"/>
        <v>3122436.84</v>
      </c>
      <c r="DL127" s="119">
        <f t="shared" si="11"/>
        <v>0</v>
      </c>
      <c r="DM127" s="119">
        <f t="shared" si="11"/>
        <v>0</v>
      </c>
      <c r="DN127" s="119">
        <f t="shared" si="11"/>
        <v>0</v>
      </c>
      <c r="DO127" s="119">
        <f t="shared" si="11"/>
        <v>0</v>
      </c>
      <c r="DP127" s="119">
        <f t="shared" si="11"/>
        <v>0</v>
      </c>
      <c r="DQ127" s="119">
        <f t="shared" si="11"/>
        <v>0</v>
      </c>
      <c r="DR127" s="119">
        <f t="shared" si="11"/>
        <v>0</v>
      </c>
      <c r="DS127" s="119">
        <f t="shared" si="11"/>
        <v>0</v>
      </c>
      <c r="DT127" s="119">
        <f t="shared" si="11"/>
        <v>0</v>
      </c>
      <c r="DU127" s="119">
        <f t="shared" si="11"/>
        <v>0</v>
      </c>
      <c r="DV127" s="119">
        <f t="shared" si="11"/>
        <v>170173.16999999998</v>
      </c>
      <c r="DW127" s="119">
        <f t="shared" si="11"/>
        <v>1304372</v>
      </c>
      <c r="DX127" s="119">
        <f t="shared" si="11"/>
        <v>0</v>
      </c>
      <c r="DY127" s="119">
        <f t="shared" ref="DY127:GJ127" si="12">+DY126</f>
        <v>0</v>
      </c>
      <c r="DZ127" s="119">
        <f t="shared" si="12"/>
        <v>0</v>
      </c>
      <c r="EA127" s="119">
        <f t="shared" si="12"/>
        <v>6919929</v>
      </c>
      <c r="EB127" s="119">
        <f t="shared" si="12"/>
        <v>0</v>
      </c>
      <c r="EC127" s="119">
        <f t="shared" si="12"/>
        <v>0</v>
      </c>
      <c r="ED127" s="119">
        <f t="shared" si="12"/>
        <v>0</v>
      </c>
      <c r="EE127" s="119">
        <f t="shared" si="12"/>
        <v>0</v>
      </c>
      <c r="EF127" s="119">
        <f t="shared" si="12"/>
        <v>0</v>
      </c>
      <c r="EG127" s="119">
        <f t="shared" si="12"/>
        <v>334708.95</v>
      </c>
      <c r="EH127" s="119">
        <f t="shared" si="12"/>
        <v>0</v>
      </c>
      <c r="EI127" s="119">
        <f t="shared" si="12"/>
        <v>0</v>
      </c>
      <c r="EJ127" s="119">
        <f t="shared" si="12"/>
        <v>0</v>
      </c>
      <c r="EK127" s="119">
        <f t="shared" si="12"/>
        <v>0</v>
      </c>
      <c r="EL127" s="119">
        <f t="shared" si="12"/>
        <v>0</v>
      </c>
      <c r="EM127" s="119">
        <f t="shared" si="12"/>
        <v>0</v>
      </c>
      <c r="EN127" s="119">
        <f t="shared" si="12"/>
        <v>0</v>
      </c>
      <c r="EO127" s="119">
        <f t="shared" si="12"/>
        <v>0</v>
      </c>
      <c r="EP127" s="119">
        <f t="shared" si="12"/>
        <v>0</v>
      </c>
      <c r="EQ127" s="119">
        <f t="shared" si="12"/>
        <v>0</v>
      </c>
      <c r="ER127" s="119">
        <f t="shared" si="12"/>
        <v>0</v>
      </c>
      <c r="ES127" s="119">
        <f t="shared" si="12"/>
        <v>0</v>
      </c>
      <c r="ET127" s="119">
        <f t="shared" si="12"/>
        <v>0</v>
      </c>
      <c r="EU127" s="119">
        <f t="shared" si="12"/>
        <v>0</v>
      </c>
      <c r="EV127" s="119">
        <f t="shared" si="12"/>
        <v>0</v>
      </c>
      <c r="EW127" s="119">
        <f t="shared" si="12"/>
        <v>0</v>
      </c>
      <c r="EX127" s="119">
        <f t="shared" si="12"/>
        <v>0</v>
      </c>
      <c r="EY127" s="119">
        <f t="shared" si="12"/>
        <v>0</v>
      </c>
      <c r="EZ127" s="119">
        <f t="shared" si="12"/>
        <v>0</v>
      </c>
      <c r="FA127" s="119">
        <f t="shared" si="12"/>
        <v>555829</v>
      </c>
      <c r="FB127" s="119">
        <f t="shared" si="12"/>
        <v>0</v>
      </c>
      <c r="FC127" s="119">
        <f t="shared" si="12"/>
        <v>0</v>
      </c>
      <c r="FD127" s="119">
        <f t="shared" si="12"/>
        <v>0</v>
      </c>
      <c r="FE127" s="119">
        <f t="shared" si="12"/>
        <v>0</v>
      </c>
      <c r="FF127" s="119">
        <f t="shared" si="12"/>
        <v>0</v>
      </c>
      <c r="FG127" s="119">
        <f t="shared" si="12"/>
        <v>0</v>
      </c>
      <c r="FH127" s="119">
        <f t="shared" si="12"/>
        <v>0</v>
      </c>
      <c r="FI127" s="119">
        <f t="shared" si="12"/>
        <v>0</v>
      </c>
      <c r="FJ127" s="119">
        <f t="shared" si="12"/>
        <v>2243769.91</v>
      </c>
      <c r="FK127" s="119">
        <f t="shared" si="12"/>
        <v>0</v>
      </c>
      <c r="FL127" s="119">
        <f t="shared" si="12"/>
        <v>0</v>
      </c>
      <c r="FM127" s="119">
        <f t="shared" si="12"/>
        <v>203654.83</v>
      </c>
      <c r="FN127" s="119">
        <f t="shared" si="12"/>
        <v>159269.28</v>
      </c>
      <c r="FO127" s="119">
        <f t="shared" si="12"/>
        <v>0</v>
      </c>
      <c r="FP127" s="119">
        <f t="shared" si="12"/>
        <v>0</v>
      </c>
      <c r="FQ127" s="119">
        <f t="shared" si="12"/>
        <v>369511.66000000003</v>
      </c>
      <c r="FR127" s="119">
        <f t="shared" si="12"/>
        <v>0</v>
      </c>
      <c r="FS127" s="119">
        <f t="shared" si="12"/>
        <v>132475.4</v>
      </c>
      <c r="FT127" s="119">
        <f t="shared" si="12"/>
        <v>10795595.390000001</v>
      </c>
      <c r="FU127" s="119">
        <f t="shared" si="12"/>
        <v>0</v>
      </c>
      <c r="FV127" s="119">
        <f t="shared" si="12"/>
        <v>0</v>
      </c>
      <c r="FW127" s="119">
        <f t="shared" si="12"/>
        <v>388540.1</v>
      </c>
      <c r="FX127" s="119">
        <f t="shared" si="12"/>
        <v>0</v>
      </c>
      <c r="FY127" s="119">
        <f t="shared" si="12"/>
        <v>19599.990000000002</v>
      </c>
      <c r="FZ127" s="119">
        <f t="shared" si="12"/>
        <v>4000.01</v>
      </c>
      <c r="GA127" s="119">
        <f t="shared" si="12"/>
        <v>0</v>
      </c>
      <c r="GB127" s="119">
        <f t="shared" si="12"/>
        <v>25685.99</v>
      </c>
      <c r="GC127" s="119">
        <f t="shared" si="12"/>
        <v>0</v>
      </c>
      <c r="GD127" s="119">
        <f t="shared" si="12"/>
        <v>0</v>
      </c>
      <c r="GE127" s="119">
        <f t="shared" si="12"/>
        <v>0</v>
      </c>
      <c r="GF127" s="119">
        <f t="shared" si="12"/>
        <v>0</v>
      </c>
      <c r="GG127" s="119">
        <f t="shared" si="12"/>
        <v>0</v>
      </c>
      <c r="GH127" s="119">
        <f t="shared" si="12"/>
        <v>494125</v>
      </c>
      <c r="GI127" s="119">
        <f t="shared" si="12"/>
        <v>0</v>
      </c>
      <c r="GJ127" s="119">
        <f t="shared" si="12"/>
        <v>184080</v>
      </c>
      <c r="GK127" s="119">
        <f t="shared" ref="GK127:IV127" si="13">+GK126</f>
        <v>0</v>
      </c>
      <c r="GL127" s="119">
        <f t="shared" si="13"/>
        <v>0</v>
      </c>
      <c r="GM127" s="119">
        <f t="shared" si="13"/>
        <v>0</v>
      </c>
      <c r="GN127" s="119">
        <f t="shared" si="13"/>
        <v>0</v>
      </c>
      <c r="GO127" s="119">
        <f t="shared" si="13"/>
        <v>0</v>
      </c>
      <c r="GP127" s="119">
        <f t="shared" si="13"/>
        <v>0</v>
      </c>
      <c r="GQ127" s="119">
        <f t="shared" si="13"/>
        <v>10667064.389999999</v>
      </c>
      <c r="GR127" s="119">
        <f t="shared" si="13"/>
        <v>48380</v>
      </c>
      <c r="GS127" s="119">
        <f t="shared" si="13"/>
        <v>0</v>
      </c>
      <c r="GT127" s="119">
        <f t="shared" si="13"/>
        <v>0</v>
      </c>
      <c r="GU127" s="119">
        <f t="shared" si="13"/>
        <v>0</v>
      </c>
      <c r="GV127" s="119">
        <f t="shared" si="13"/>
        <v>0</v>
      </c>
      <c r="GW127" s="119">
        <f t="shared" si="13"/>
        <v>0</v>
      </c>
      <c r="GX127" s="119">
        <f t="shared" si="13"/>
        <v>0</v>
      </c>
      <c r="GY127" s="119">
        <f t="shared" si="13"/>
        <v>0</v>
      </c>
      <c r="GZ127" s="119">
        <f t="shared" si="13"/>
        <v>0</v>
      </c>
      <c r="HA127" s="119">
        <f t="shared" si="13"/>
        <v>0</v>
      </c>
      <c r="HB127" s="119">
        <f t="shared" si="13"/>
        <v>0</v>
      </c>
      <c r="HC127" s="119">
        <f t="shared" si="13"/>
        <v>0</v>
      </c>
      <c r="HD127" s="119">
        <f t="shared" si="13"/>
        <v>0</v>
      </c>
      <c r="HE127" s="119">
        <f t="shared" si="13"/>
        <v>0</v>
      </c>
      <c r="HF127" s="119">
        <f t="shared" si="13"/>
        <v>0</v>
      </c>
      <c r="HG127" s="119">
        <f t="shared" si="13"/>
        <v>0</v>
      </c>
      <c r="HH127" s="119">
        <f t="shared" si="13"/>
        <v>3199.97</v>
      </c>
      <c r="HI127" s="119">
        <f t="shared" si="13"/>
        <v>0</v>
      </c>
      <c r="HJ127" s="119">
        <f t="shared" si="13"/>
        <v>0</v>
      </c>
      <c r="HK127" s="119">
        <f t="shared" si="13"/>
        <v>0</v>
      </c>
      <c r="HL127" s="119">
        <f t="shared" si="13"/>
        <v>0</v>
      </c>
      <c r="HM127" s="119">
        <f t="shared" si="13"/>
        <v>0</v>
      </c>
      <c r="HN127" s="119">
        <f t="shared" si="13"/>
        <v>0</v>
      </c>
      <c r="HO127" s="119">
        <f t="shared" si="13"/>
        <v>0</v>
      </c>
      <c r="HP127" s="119">
        <f t="shared" si="13"/>
        <v>0</v>
      </c>
      <c r="HQ127" s="119">
        <f t="shared" si="13"/>
        <v>0</v>
      </c>
      <c r="HR127" s="119">
        <f t="shared" si="13"/>
        <v>0</v>
      </c>
      <c r="HS127" s="119">
        <f t="shared" si="13"/>
        <v>0</v>
      </c>
      <c r="HT127" s="119">
        <f t="shared" si="13"/>
        <v>0</v>
      </c>
      <c r="HU127" s="119">
        <f t="shared" si="13"/>
        <v>0</v>
      </c>
      <c r="HV127" s="119">
        <f t="shared" si="13"/>
        <v>0</v>
      </c>
      <c r="HW127" s="119">
        <f t="shared" si="13"/>
        <v>0</v>
      </c>
      <c r="HX127" s="119">
        <f t="shared" si="13"/>
        <v>0</v>
      </c>
      <c r="HY127" s="119">
        <f t="shared" si="13"/>
        <v>0</v>
      </c>
      <c r="HZ127" s="119">
        <f t="shared" si="13"/>
        <v>0</v>
      </c>
      <c r="IA127" s="119">
        <f t="shared" si="13"/>
        <v>0</v>
      </c>
      <c r="IB127" s="119">
        <f t="shared" si="13"/>
        <v>0</v>
      </c>
      <c r="IC127" s="119">
        <f t="shared" si="13"/>
        <v>0</v>
      </c>
      <c r="ID127" s="119">
        <f t="shared" si="13"/>
        <v>0</v>
      </c>
      <c r="IE127" s="119">
        <f t="shared" si="13"/>
        <v>0</v>
      </c>
      <c r="IF127" s="119">
        <f t="shared" si="13"/>
        <v>0</v>
      </c>
      <c r="IG127" s="119">
        <f t="shared" si="13"/>
        <v>0</v>
      </c>
      <c r="IH127" s="119">
        <f t="shared" si="13"/>
        <v>0</v>
      </c>
      <c r="II127" s="119">
        <f t="shared" si="13"/>
        <v>0</v>
      </c>
      <c r="IJ127" s="119">
        <f t="shared" si="13"/>
        <v>0</v>
      </c>
      <c r="IK127" s="119">
        <f t="shared" si="13"/>
        <v>0</v>
      </c>
      <c r="IL127" s="119">
        <f t="shared" si="13"/>
        <v>0</v>
      </c>
      <c r="IM127" s="119">
        <f t="shared" si="13"/>
        <v>0</v>
      </c>
      <c r="IN127" s="119">
        <f t="shared" si="13"/>
        <v>0</v>
      </c>
      <c r="IO127" s="119">
        <f t="shared" si="13"/>
        <v>0</v>
      </c>
      <c r="IP127" s="119">
        <f t="shared" si="13"/>
        <v>0</v>
      </c>
      <c r="IQ127" s="119">
        <f t="shared" si="13"/>
        <v>0</v>
      </c>
      <c r="IR127" s="119">
        <f t="shared" si="13"/>
        <v>0</v>
      </c>
      <c r="IS127" s="119">
        <f t="shared" si="13"/>
        <v>0</v>
      </c>
      <c r="IT127" s="119">
        <f t="shared" si="13"/>
        <v>0</v>
      </c>
      <c r="IU127" s="119">
        <f t="shared" si="13"/>
        <v>0</v>
      </c>
      <c r="IV127" s="119">
        <f t="shared" si="13"/>
        <v>0</v>
      </c>
      <c r="IW127" s="119">
        <f t="shared" ref="IW127:JG127" si="14">+IW126</f>
        <v>0</v>
      </c>
      <c r="IX127" s="119">
        <f t="shared" si="14"/>
        <v>0</v>
      </c>
      <c r="IY127" s="119">
        <f t="shared" si="14"/>
        <v>0</v>
      </c>
      <c r="IZ127" s="119">
        <f t="shared" si="14"/>
        <v>0</v>
      </c>
      <c r="JA127" s="119">
        <f t="shared" si="14"/>
        <v>0</v>
      </c>
      <c r="JB127" s="119">
        <f t="shared" si="14"/>
        <v>0</v>
      </c>
      <c r="JC127" s="119">
        <f t="shared" si="14"/>
        <v>0</v>
      </c>
      <c r="JD127" s="119">
        <f t="shared" si="14"/>
        <v>0</v>
      </c>
      <c r="JE127" s="119">
        <f t="shared" si="14"/>
        <v>0</v>
      </c>
      <c r="JF127" s="119">
        <f t="shared" si="14"/>
        <v>0</v>
      </c>
      <c r="JG127" s="119">
        <f t="shared" si="14"/>
        <v>0</v>
      </c>
      <c r="JH127" s="119">
        <f>+JH126</f>
        <v>0</v>
      </c>
      <c r="JI127" s="284"/>
      <c r="JL127" s="285">
        <f t="shared" ref="JL127" si="15">+JI127-JK127</f>
        <v>0</v>
      </c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W96"/>
  <sheetViews>
    <sheetView topLeftCell="JG1" zoomScale="90" zoomScaleNormal="90" workbookViewId="0">
      <pane ySplit="2" topLeftCell="A39" activePane="bottomLeft" state="frozen"/>
      <selection activeCell="HJ1" sqref="HJ1"/>
      <selection pane="bottomLeft" activeCell="JJ83" sqref="JJ83"/>
    </sheetView>
  </sheetViews>
  <sheetFormatPr baseColWidth="10" defaultRowHeight="15" x14ac:dyDescent="0.25"/>
  <cols>
    <col min="1" max="23" width="7.85546875" bestFit="1" customWidth="1"/>
    <col min="24" max="24" width="13.85546875" bestFit="1" customWidth="1"/>
    <col min="25" max="25" width="7.85546875" bestFit="1" customWidth="1"/>
    <col min="26" max="26" width="13.85546875" bestFit="1" customWidth="1"/>
    <col min="27" max="42" width="7.85546875" bestFit="1" customWidth="1"/>
    <col min="43" max="43" width="12.140625" bestFit="1" customWidth="1"/>
    <col min="44" max="48" width="7.85546875" bestFit="1" customWidth="1"/>
    <col min="49" max="49" width="13.85546875" bestFit="1" customWidth="1"/>
    <col min="50" max="54" width="7.85546875" bestFit="1" customWidth="1"/>
    <col min="55" max="55" width="11.140625" bestFit="1" customWidth="1"/>
    <col min="56" max="74" width="7.85546875" bestFit="1" customWidth="1"/>
    <col min="75" max="75" width="12.140625" bestFit="1" customWidth="1"/>
    <col min="76" max="87" width="7.85546875" bestFit="1" customWidth="1"/>
    <col min="88" max="88" width="12.140625" bestFit="1" customWidth="1"/>
    <col min="89" max="89" width="7.85546875" bestFit="1" customWidth="1"/>
    <col min="90" max="90" width="12.140625" bestFit="1" customWidth="1"/>
    <col min="91" max="93" width="7.85546875" bestFit="1" customWidth="1"/>
    <col min="94" max="94" width="10" bestFit="1" customWidth="1"/>
    <col min="95" max="98" width="7.85546875" bestFit="1" customWidth="1"/>
    <col min="99" max="99" width="12.140625" bestFit="1" customWidth="1"/>
    <col min="100" max="107" width="7.85546875" bestFit="1" customWidth="1"/>
    <col min="108" max="108" width="11.140625" bestFit="1" customWidth="1"/>
    <col min="109" max="109" width="12.140625" bestFit="1" customWidth="1"/>
    <col min="110" max="114" width="7.85546875" bestFit="1" customWidth="1"/>
    <col min="115" max="115" width="12.140625" bestFit="1" customWidth="1"/>
    <col min="116" max="126" width="7.85546875" bestFit="1" customWidth="1"/>
    <col min="127" max="127" width="11.140625" bestFit="1" customWidth="1"/>
    <col min="128" max="130" width="7.85546875" bestFit="1" customWidth="1"/>
    <col min="131" max="131" width="12.140625" bestFit="1" customWidth="1"/>
    <col min="132" max="134" width="7.85546875" bestFit="1" customWidth="1"/>
    <col min="135" max="135" width="12.140625" bestFit="1" customWidth="1"/>
    <col min="136" max="136" width="7.85546875" bestFit="1" customWidth="1"/>
    <col min="137" max="137" width="11.140625" bestFit="1" customWidth="1"/>
    <col min="138" max="142" width="7.85546875" bestFit="1" customWidth="1"/>
    <col min="143" max="143" width="11.140625" bestFit="1" customWidth="1"/>
    <col min="144" max="145" width="7.85546875" bestFit="1" customWidth="1"/>
    <col min="146" max="146" width="11.140625" bestFit="1" customWidth="1"/>
    <col min="147" max="147" width="7.85546875" bestFit="1" customWidth="1"/>
    <col min="148" max="148" width="10" bestFit="1" customWidth="1"/>
    <col min="149" max="156" width="7.85546875" bestFit="1" customWidth="1"/>
    <col min="157" max="157" width="12.140625" bestFit="1" customWidth="1"/>
    <col min="158" max="159" width="7.85546875" bestFit="1" customWidth="1"/>
    <col min="160" max="160" width="11.140625" bestFit="1" customWidth="1"/>
    <col min="161" max="169" width="7.85546875" bestFit="1" customWidth="1"/>
    <col min="170" max="170" width="11.140625" bestFit="1" customWidth="1"/>
    <col min="171" max="175" width="7.85546875" bestFit="1" customWidth="1"/>
    <col min="176" max="176" width="11.140625" bestFit="1" customWidth="1"/>
    <col min="177" max="182" width="7.85546875" bestFit="1" customWidth="1"/>
    <col min="183" max="183" width="11.140625" bestFit="1" customWidth="1"/>
    <col min="184" max="185" width="7.85546875" bestFit="1" customWidth="1"/>
    <col min="186" max="186" width="12.140625" bestFit="1" customWidth="1"/>
    <col min="187" max="191" width="7.85546875" bestFit="1" customWidth="1"/>
    <col min="192" max="192" width="7.85546875" customWidth="1"/>
    <col min="193" max="207" width="7.85546875" bestFit="1" customWidth="1"/>
    <col min="208" max="208" width="12.140625" bestFit="1" customWidth="1"/>
    <col min="209" max="213" width="7.85546875" bestFit="1" customWidth="1"/>
    <col min="214" max="214" width="12.140625" bestFit="1" customWidth="1"/>
    <col min="215" max="250" width="7.85546875" bestFit="1" customWidth="1"/>
    <col min="251" max="251" width="9" bestFit="1" customWidth="1"/>
    <col min="252" max="268" width="7.85546875" bestFit="1" customWidth="1"/>
    <col min="269" max="269" width="14.85546875" bestFit="1" customWidth="1"/>
    <col min="270" max="270" width="11.7109375" bestFit="1" customWidth="1"/>
    <col min="271" max="271" width="14.85546875" bestFit="1" customWidth="1"/>
    <col min="272" max="272" width="13.85546875" bestFit="1" customWidth="1"/>
    <col min="273" max="273" width="17.7109375" bestFit="1" customWidth="1"/>
    <col min="274" max="274" width="15.28515625" customWidth="1"/>
    <col min="275" max="275" width="12.140625" bestFit="1" customWidth="1"/>
    <col min="276" max="276" width="18.42578125" bestFit="1" customWidth="1"/>
    <col min="1141" max="1141" width="11.42578125" style="1"/>
  </cols>
  <sheetData>
    <row r="1" spans="1:276" ht="23.25" x14ac:dyDescent="0.35">
      <c r="A1" s="485" t="s">
        <v>78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5"/>
      <c r="AM1" s="485"/>
      <c r="AN1" s="485"/>
      <c r="AO1" s="485"/>
      <c r="AP1" s="485"/>
      <c r="AQ1" s="485"/>
      <c r="AR1" s="485"/>
      <c r="AS1" s="485"/>
      <c r="AT1" s="485"/>
      <c r="AU1" s="485"/>
      <c r="AV1" s="485"/>
      <c r="AW1" s="485"/>
      <c r="AX1" s="485"/>
      <c r="AY1" s="485"/>
      <c r="AZ1" s="485"/>
      <c r="BA1" s="485"/>
      <c r="BB1" s="485"/>
      <c r="BC1" s="485"/>
      <c r="BD1" s="485"/>
      <c r="BE1" s="485"/>
      <c r="BF1" s="485"/>
      <c r="BG1" s="485"/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  <c r="CO1" s="485"/>
      <c r="CP1" s="485"/>
      <c r="CQ1" s="485"/>
      <c r="CR1" s="485"/>
      <c r="CS1" s="485"/>
      <c r="CT1" s="485"/>
      <c r="CU1" s="485"/>
      <c r="CV1" s="485"/>
      <c r="CW1" s="485"/>
      <c r="CX1" s="485"/>
      <c r="CY1" s="485"/>
      <c r="CZ1" s="485"/>
      <c r="DA1" s="485"/>
      <c r="DB1" s="485"/>
      <c r="DC1" s="485"/>
      <c r="DD1" s="485"/>
      <c r="DE1" s="485"/>
      <c r="DF1" s="485"/>
      <c r="DG1" s="485"/>
      <c r="DH1" s="485"/>
      <c r="DI1" s="485"/>
      <c r="DJ1" s="485"/>
      <c r="DK1" s="485"/>
      <c r="DL1" s="485"/>
      <c r="DM1" s="485"/>
      <c r="DN1" s="485"/>
      <c r="DO1" s="485"/>
      <c r="DP1" s="485"/>
      <c r="DQ1" s="485"/>
      <c r="DR1" s="485"/>
      <c r="DS1" s="485"/>
      <c r="DT1" s="485"/>
      <c r="DU1" s="485"/>
      <c r="DV1" s="485"/>
      <c r="DW1" s="485"/>
      <c r="DX1" s="485"/>
      <c r="DY1" s="485"/>
      <c r="DZ1" s="485"/>
      <c r="EA1" s="485"/>
      <c r="EB1" s="485"/>
      <c r="EC1" s="485"/>
      <c r="ED1" s="485"/>
      <c r="EE1" s="485"/>
      <c r="EF1" s="485"/>
      <c r="EG1" s="485"/>
      <c r="EH1" s="485"/>
      <c r="EI1" s="485"/>
      <c r="EJ1" s="485"/>
      <c r="EK1" s="485"/>
      <c r="EL1" s="485"/>
      <c r="EM1" s="485"/>
      <c r="EN1" s="485"/>
      <c r="EO1" s="485"/>
      <c r="EP1" s="485"/>
      <c r="EQ1" s="485"/>
      <c r="ER1" s="485"/>
      <c r="ES1" s="485"/>
      <c r="ET1" s="485"/>
      <c r="EU1" s="485"/>
      <c r="EV1" s="485"/>
      <c r="EW1" s="485"/>
      <c r="EX1" s="485"/>
      <c r="EY1" s="485"/>
      <c r="EZ1" s="485"/>
      <c r="FA1" s="485"/>
      <c r="FB1" s="485"/>
      <c r="FC1" s="485"/>
      <c r="FD1" s="485"/>
      <c r="FE1" s="485"/>
      <c r="FF1" s="485"/>
      <c r="FG1" s="485"/>
      <c r="FH1" s="485"/>
      <c r="FI1" s="485"/>
      <c r="FJ1" s="485"/>
      <c r="FK1" s="485"/>
      <c r="FL1" s="485"/>
      <c r="FM1" s="485"/>
      <c r="FN1" s="485"/>
      <c r="FO1" s="485"/>
      <c r="FP1" s="485"/>
      <c r="FQ1" s="485"/>
      <c r="FR1" s="485"/>
      <c r="FS1" s="485"/>
      <c r="FT1" s="485"/>
      <c r="FU1" s="485"/>
      <c r="FV1" s="485"/>
      <c r="FW1" s="485"/>
      <c r="FX1" s="485"/>
      <c r="FY1" s="485"/>
      <c r="FZ1" s="485"/>
      <c r="GA1" s="485"/>
      <c r="GB1" s="485"/>
      <c r="GC1" s="485"/>
      <c r="GD1" s="485"/>
      <c r="GE1" s="485"/>
      <c r="GF1" s="485"/>
      <c r="GG1" s="485"/>
      <c r="GH1" s="485"/>
      <c r="GI1" s="485"/>
      <c r="GJ1" s="485"/>
      <c r="GK1" s="485"/>
      <c r="GL1" s="485"/>
      <c r="GM1" s="485"/>
      <c r="GN1" s="485"/>
      <c r="GO1" s="485"/>
      <c r="GP1" s="485"/>
      <c r="GQ1" s="485"/>
      <c r="GR1" s="485"/>
      <c r="GS1" s="485"/>
      <c r="GT1" s="485"/>
      <c r="GU1" s="485"/>
      <c r="GV1" s="485"/>
      <c r="GW1" s="485"/>
      <c r="GX1" s="485"/>
      <c r="GY1" s="485"/>
      <c r="GZ1" s="485"/>
      <c r="HA1" s="485"/>
      <c r="HB1" s="485"/>
      <c r="HC1" s="485"/>
      <c r="HD1" s="485"/>
      <c r="HE1" s="485"/>
      <c r="HF1" s="485"/>
      <c r="HG1" s="485"/>
      <c r="HH1" s="485"/>
      <c r="HI1" s="485"/>
      <c r="HJ1" s="485"/>
      <c r="HK1" s="485"/>
      <c r="HL1" s="485"/>
      <c r="HM1" s="485"/>
      <c r="HN1" s="485"/>
      <c r="HO1" s="485"/>
      <c r="HP1" s="485"/>
      <c r="HQ1" s="485"/>
      <c r="HR1" s="485"/>
      <c r="HS1" s="485"/>
      <c r="HT1" s="485"/>
      <c r="HU1" s="485"/>
      <c r="HV1" s="485"/>
      <c r="HW1" s="485"/>
      <c r="HX1" s="485"/>
      <c r="HY1" s="485"/>
      <c r="HZ1" s="485"/>
      <c r="IA1" s="485"/>
      <c r="IB1" s="485"/>
      <c r="IC1" s="485"/>
      <c r="ID1" s="485"/>
      <c r="IE1" s="485"/>
      <c r="IF1" s="485"/>
      <c r="IG1" s="485"/>
      <c r="IH1" s="485"/>
      <c r="II1" s="485"/>
      <c r="IJ1" s="485"/>
      <c r="IK1" s="485"/>
      <c r="IL1" s="485"/>
      <c r="IM1" s="485"/>
      <c r="IN1" s="485"/>
      <c r="IO1" s="485"/>
      <c r="IP1" s="485"/>
      <c r="IQ1" s="485"/>
      <c r="IR1" s="485"/>
      <c r="IS1" s="485"/>
      <c r="IT1" s="485"/>
      <c r="IU1" s="485"/>
      <c r="IV1" s="485"/>
      <c r="IW1" s="485"/>
      <c r="IX1" s="485"/>
      <c r="IY1" s="485"/>
      <c r="IZ1" s="485"/>
      <c r="JA1" s="485"/>
      <c r="JB1" s="485"/>
      <c r="JC1" s="485"/>
      <c r="JD1" s="485"/>
      <c r="JE1" s="485"/>
      <c r="JF1" s="485"/>
      <c r="JG1" s="485"/>
      <c r="JH1" s="485"/>
    </row>
    <row r="2" spans="1:276" ht="18.75" x14ac:dyDescent="0.3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>
        <v>760000</v>
      </c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760000</v>
      </c>
      <c r="JJ3" s="2">
        <v>58</v>
      </c>
      <c r="JK3" s="122">
        <v>722000</v>
      </c>
      <c r="JL3" s="125">
        <f>+JI3-JK3</f>
        <v>38000</v>
      </c>
      <c r="JM3" s="125"/>
      <c r="JN3" s="125"/>
      <c r="JO3" s="125"/>
      <c r="JP3" s="125"/>
    </row>
    <row r="4" spans="1:276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>
        <v>192930</v>
      </c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77" si="0">SUM(A4:JH4)</f>
        <v>192930</v>
      </c>
      <c r="JJ4" s="2">
        <v>59</v>
      </c>
      <c r="JK4" s="122">
        <v>184755</v>
      </c>
      <c r="JL4" s="125">
        <f t="shared" ref="JL4:JL67" si="1">+JI4-JK4</f>
        <v>8175</v>
      </c>
      <c r="JM4" s="125"/>
      <c r="JN4" s="125"/>
      <c r="JO4" s="125"/>
      <c r="JP4" s="125"/>
    </row>
    <row r="5" spans="1:27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>
        <v>48852</v>
      </c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48852</v>
      </c>
      <c r="JJ5" s="2">
        <v>60</v>
      </c>
      <c r="JK5" s="122">
        <v>46782</v>
      </c>
      <c r="JL5" s="125">
        <f t="shared" si="1"/>
        <v>2070</v>
      </c>
      <c r="JM5" s="125"/>
      <c r="JN5" s="125"/>
      <c r="JO5" s="125"/>
      <c r="JP5" s="125"/>
    </row>
    <row r="6" spans="1:276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>
        <v>188564</v>
      </c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188564</v>
      </c>
      <c r="JJ6" s="2">
        <v>61</v>
      </c>
      <c r="JK6" s="122">
        <v>180574</v>
      </c>
      <c r="JL6" s="125">
        <f t="shared" si="1"/>
        <v>7990</v>
      </c>
      <c r="JM6" s="125"/>
      <c r="JN6" s="125"/>
      <c r="JO6" s="125"/>
      <c r="JP6" s="125"/>
    </row>
    <row r="7" spans="1:27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>
        <v>42000</v>
      </c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42000</v>
      </c>
      <c r="JJ7" s="2">
        <v>62</v>
      </c>
      <c r="JK7" s="122">
        <v>39900</v>
      </c>
      <c r="JL7" s="125">
        <f t="shared" si="1"/>
        <v>2100</v>
      </c>
      <c r="JM7" s="125"/>
      <c r="JN7" s="125"/>
      <c r="JO7" s="125"/>
      <c r="JP7" s="125"/>
    </row>
    <row r="8" spans="1:27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>
        <v>172000</v>
      </c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172000</v>
      </c>
      <c r="JJ8" s="2">
        <v>63</v>
      </c>
      <c r="JK8" s="122">
        <v>170573.26</v>
      </c>
      <c r="JL8" s="125">
        <f t="shared" si="1"/>
        <v>1426.7399999999907</v>
      </c>
      <c r="JM8" s="125"/>
      <c r="JN8" s="125"/>
      <c r="JO8" s="125"/>
      <c r="JP8" s="125"/>
    </row>
    <row r="9" spans="1:276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>
        <v>55029</v>
      </c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55029</v>
      </c>
      <c r="JJ9" s="2">
        <v>64</v>
      </c>
      <c r="JK9" s="122">
        <v>55029</v>
      </c>
      <c r="JL9" s="125">
        <f t="shared" si="1"/>
        <v>0</v>
      </c>
      <c r="JM9" s="125"/>
      <c r="JN9" s="125"/>
      <c r="JO9" s="125"/>
      <c r="JP9" s="125"/>
    </row>
    <row r="10" spans="1:27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>
        <v>15340.03</v>
      </c>
      <c r="EH10" s="122"/>
      <c r="EI10" s="122"/>
      <c r="EJ10" s="122"/>
      <c r="EK10" s="122"/>
      <c r="EL10" s="122"/>
      <c r="EM10" s="122"/>
      <c r="EN10" s="122"/>
      <c r="EO10" s="122"/>
      <c r="EP10" s="122">
        <v>16250</v>
      </c>
      <c r="EQ10" s="122"/>
      <c r="ER10" s="122">
        <v>7825</v>
      </c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>
        <v>1889.99</v>
      </c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41305.019999999997</v>
      </c>
      <c r="JJ10" s="2">
        <v>65</v>
      </c>
      <c r="JK10" s="122">
        <v>39555.019999999997</v>
      </c>
      <c r="JL10" s="125">
        <f t="shared" si="1"/>
        <v>1750</v>
      </c>
      <c r="JM10" s="125"/>
      <c r="JN10" s="125"/>
      <c r="JO10" s="125"/>
      <c r="JP10" s="125"/>
    </row>
    <row r="11" spans="1:276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>
        <v>34220</v>
      </c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34220</v>
      </c>
      <c r="JJ11" s="2">
        <v>66</v>
      </c>
      <c r="JK11" s="122">
        <v>32770</v>
      </c>
      <c r="JL11" s="125">
        <f t="shared" si="1"/>
        <v>1450</v>
      </c>
      <c r="JM11" s="125"/>
      <c r="JN11" s="125"/>
      <c r="JO11" s="125"/>
      <c r="JP11" s="125"/>
    </row>
    <row r="12" spans="1:27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>
        <v>473584</v>
      </c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473584</v>
      </c>
      <c r="JJ12" s="2">
        <v>67</v>
      </c>
      <c r="JK12" s="122">
        <v>451814</v>
      </c>
      <c r="JL12" s="125">
        <f t="shared" si="1"/>
        <v>21770</v>
      </c>
      <c r="JM12" s="125"/>
      <c r="JN12" s="125"/>
      <c r="JO12" s="125"/>
      <c r="JP12" s="125"/>
    </row>
    <row r="13" spans="1:27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>
        <v>0</v>
      </c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>
        <v>61500</v>
      </c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61500</v>
      </c>
      <c r="JJ13" s="2">
        <v>68</v>
      </c>
      <c r="JK13" s="122">
        <v>58425</v>
      </c>
      <c r="JL13" s="125">
        <f t="shared" si="1"/>
        <v>3075</v>
      </c>
      <c r="JM13" s="125"/>
      <c r="JN13" s="125"/>
      <c r="JO13" s="125"/>
      <c r="JP13" s="125"/>
    </row>
    <row r="14" spans="1:27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>
        <v>636067.19999999995</v>
      </c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636067.19999999995</v>
      </c>
      <c r="JJ14" s="2">
        <v>69</v>
      </c>
      <c r="JK14" s="122">
        <v>609115.19999999995</v>
      </c>
      <c r="JL14" s="125">
        <f t="shared" si="1"/>
        <v>26952</v>
      </c>
      <c r="JM14" s="125"/>
      <c r="JN14" s="125"/>
      <c r="JO14" s="125"/>
      <c r="JP14" s="125"/>
    </row>
    <row r="15" spans="1:27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>
        <v>211191.19</v>
      </c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211191.19</v>
      </c>
      <c r="JJ15" s="2">
        <v>70</v>
      </c>
      <c r="JK15" s="122">
        <v>211191.19</v>
      </c>
      <c r="JL15" s="125">
        <f t="shared" si="1"/>
        <v>0</v>
      </c>
      <c r="JM15" s="125"/>
      <c r="JN15" s="125"/>
      <c r="JO15" s="125"/>
      <c r="JP15" s="125"/>
    </row>
    <row r="16" spans="1:276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>
        <v>36420</v>
      </c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36420</v>
      </c>
      <c r="JJ16" s="2">
        <v>71</v>
      </c>
      <c r="JK16" s="122">
        <v>36420</v>
      </c>
      <c r="JL16" s="125">
        <f t="shared" si="1"/>
        <v>0</v>
      </c>
      <c r="JM16" s="125"/>
      <c r="JN16" s="125"/>
      <c r="JO16" s="125"/>
      <c r="JP16" s="125"/>
    </row>
    <row r="17" spans="1:27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>
        <v>188500</v>
      </c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188500</v>
      </c>
      <c r="JJ17" s="2">
        <v>72</v>
      </c>
      <c r="JK17" s="122">
        <v>179075</v>
      </c>
      <c r="JL17" s="125">
        <f t="shared" si="1"/>
        <v>9425</v>
      </c>
      <c r="JM17" s="125"/>
      <c r="JN17" s="125"/>
      <c r="JO17" s="125"/>
      <c r="JP17" s="125"/>
    </row>
    <row r="18" spans="1:27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>
        <v>2150</v>
      </c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2150</v>
      </c>
      <c r="JJ18" s="2">
        <v>73</v>
      </c>
      <c r="JK18" s="122">
        <v>2042.5</v>
      </c>
      <c r="JL18" s="125">
        <f t="shared" si="1"/>
        <v>107.5</v>
      </c>
      <c r="JM18" s="125"/>
      <c r="JN18" s="125"/>
      <c r="JO18" s="125"/>
      <c r="JP18" s="125"/>
    </row>
    <row r="19" spans="1:27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>
        <v>23868</v>
      </c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23868</v>
      </c>
      <c r="JJ19" s="2">
        <v>74</v>
      </c>
      <c r="JK19" s="122">
        <v>23868</v>
      </c>
      <c r="JL19" s="125">
        <f t="shared" si="1"/>
        <v>0</v>
      </c>
      <c r="JM19" s="125"/>
      <c r="JN19" s="125"/>
      <c r="JO19" s="125"/>
      <c r="JP19" s="125"/>
    </row>
    <row r="20" spans="1:27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>
        <v>85575</v>
      </c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85575</v>
      </c>
      <c r="JJ20" s="2">
        <v>75</v>
      </c>
      <c r="JK20" s="122">
        <v>81296.25</v>
      </c>
      <c r="JL20" s="125">
        <f t="shared" si="1"/>
        <v>4278.75</v>
      </c>
      <c r="JM20" s="125"/>
      <c r="JN20" s="125"/>
      <c r="JO20" s="125"/>
      <c r="JP20" s="125"/>
    </row>
    <row r="21" spans="1:276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>
        <v>282823.65000000002</v>
      </c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282823.65000000002</v>
      </c>
      <c r="JJ21" s="2">
        <v>76</v>
      </c>
      <c r="JK21" s="122">
        <v>270839.59999999998</v>
      </c>
      <c r="JL21" s="125">
        <f t="shared" si="1"/>
        <v>11984.050000000047</v>
      </c>
      <c r="JM21" s="125"/>
      <c r="JN21" s="125"/>
      <c r="JO21" s="125"/>
      <c r="JP21" s="125"/>
    </row>
    <row r="22" spans="1:276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>
        <v>14000</v>
      </c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14000</v>
      </c>
      <c r="JJ22" s="2">
        <v>77</v>
      </c>
      <c r="JK22" s="122">
        <v>14000</v>
      </c>
      <c r="JL22" s="125">
        <f t="shared" si="1"/>
        <v>0</v>
      </c>
      <c r="JM22" s="125"/>
      <c r="JN22" s="125"/>
      <c r="JO22" s="125"/>
      <c r="JP22" s="125"/>
    </row>
    <row r="23" spans="1:276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>
        <v>107609.37</v>
      </c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107609.37</v>
      </c>
      <c r="JJ23" s="2">
        <v>78</v>
      </c>
      <c r="JK23" s="122">
        <v>103049.65</v>
      </c>
      <c r="JL23" s="125">
        <f t="shared" si="1"/>
        <v>4559.7200000000012</v>
      </c>
      <c r="JM23" s="125"/>
      <c r="JN23" s="125"/>
      <c r="JO23" s="125"/>
      <c r="JP23" s="125"/>
    </row>
    <row r="24" spans="1:276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>
        <v>20000</v>
      </c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20000</v>
      </c>
      <c r="JJ24" s="2">
        <v>79</v>
      </c>
      <c r="JK24" s="122">
        <v>20000</v>
      </c>
      <c r="JL24" s="125">
        <f t="shared" si="1"/>
        <v>0</v>
      </c>
      <c r="JM24" s="125"/>
      <c r="JN24" s="125"/>
      <c r="JO24" s="125"/>
      <c r="JP24" s="125"/>
    </row>
    <row r="25" spans="1:276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>
        <v>26845</v>
      </c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26845</v>
      </c>
      <c r="JJ25" s="2">
        <v>80</v>
      </c>
      <c r="JK25" s="122">
        <v>25707.5</v>
      </c>
      <c r="JL25" s="125">
        <f t="shared" si="1"/>
        <v>1137.5</v>
      </c>
      <c r="JM25" s="125"/>
      <c r="JN25" s="125"/>
      <c r="JO25" s="125"/>
      <c r="JP25" s="125"/>
    </row>
    <row r="26" spans="1:276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>
        <v>8000</v>
      </c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8000</v>
      </c>
      <c r="JJ26" s="2">
        <v>81</v>
      </c>
      <c r="JK26" s="122">
        <v>7600</v>
      </c>
      <c r="JL26" s="125">
        <f t="shared" si="1"/>
        <v>400</v>
      </c>
      <c r="JM26" s="125"/>
      <c r="JN26" s="125"/>
      <c r="JO26" s="125"/>
      <c r="JP26" s="125"/>
    </row>
    <row r="27" spans="1:276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>
        <v>225000</v>
      </c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225000</v>
      </c>
      <c r="JJ27" s="2">
        <v>82</v>
      </c>
      <c r="JK27" s="122">
        <v>213750</v>
      </c>
      <c r="JL27" s="125">
        <f t="shared" si="1"/>
        <v>11250</v>
      </c>
      <c r="JM27" s="125"/>
      <c r="JN27" s="125"/>
      <c r="JO27" s="125"/>
      <c r="JP27" s="125"/>
    </row>
    <row r="28" spans="1:276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>
        <v>83800</v>
      </c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83800</v>
      </c>
      <c r="JJ28" s="2">
        <f>+JJ27+1</f>
        <v>83</v>
      </c>
      <c r="JK28" s="122">
        <v>79610</v>
      </c>
      <c r="JL28" s="125">
        <f t="shared" si="1"/>
        <v>4190</v>
      </c>
      <c r="JM28" s="125"/>
      <c r="JN28" s="125"/>
      <c r="JO28" s="125"/>
      <c r="JP28" s="125"/>
    </row>
    <row r="29" spans="1:276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>
        <v>31152</v>
      </c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31152</v>
      </c>
      <c r="JJ29" s="2">
        <f t="shared" ref="JJ29:JJ43" si="2">+JJ28+1</f>
        <v>84</v>
      </c>
      <c r="JK29" s="122">
        <v>29832</v>
      </c>
      <c r="JL29" s="125">
        <f t="shared" si="1"/>
        <v>1320</v>
      </c>
      <c r="JM29" s="125"/>
      <c r="JN29" s="125"/>
      <c r="JO29" s="125"/>
      <c r="JP29" s="125"/>
    </row>
    <row r="30" spans="1:276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>
        <v>22542</v>
      </c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22542</v>
      </c>
      <c r="JJ30" s="2">
        <f t="shared" si="2"/>
        <v>85</v>
      </c>
      <c r="JK30" s="122">
        <v>22542</v>
      </c>
      <c r="JL30" s="125">
        <f t="shared" si="1"/>
        <v>0</v>
      </c>
      <c r="JM30" s="125"/>
      <c r="JN30" s="125"/>
      <c r="JO30" s="125"/>
      <c r="JP30" s="125"/>
    </row>
    <row r="31" spans="1:276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>
        <v>24000</v>
      </c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24000</v>
      </c>
      <c r="JJ31" s="2">
        <f t="shared" si="2"/>
        <v>86</v>
      </c>
      <c r="JK31" s="122">
        <v>22800</v>
      </c>
      <c r="JL31" s="125">
        <f t="shared" si="1"/>
        <v>1200</v>
      </c>
      <c r="JM31" s="125"/>
      <c r="JN31" s="125"/>
      <c r="JO31" s="125"/>
      <c r="JP31" s="125"/>
    </row>
    <row r="32" spans="1:276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>
        <v>19499.990000000002</v>
      </c>
      <c r="EH32" s="122"/>
      <c r="EI32" s="122"/>
      <c r="EJ32" s="122"/>
      <c r="EK32" s="122"/>
      <c r="EL32" s="122"/>
      <c r="EM32" s="122">
        <v>15149.94</v>
      </c>
      <c r="EN32" s="122"/>
      <c r="EO32" s="122"/>
      <c r="EP32" s="122">
        <v>71000.03</v>
      </c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105649.95999999999</v>
      </c>
      <c r="JJ32" s="2">
        <f t="shared" si="2"/>
        <v>87</v>
      </c>
      <c r="JK32" s="122">
        <v>101173.27</v>
      </c>
      <c r="JL32" s="125">
        <f t="shared" si="1"/>
        <v>4476.6899999999878</v>
      </c>
      <c r="JM32" s="125"/>
      <c r="JN32" s="125"/>
      <c r="JO32" s="125"/>
      <c r="JP32" s="125"/>
    </row>
    <row r="33" spans="1:276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>
        <v>40000</v>
      </c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40000</v>
      </c>
      <c r="JJ33" s="2">
        <f t="shared" si="2"/>
        <v>88</v>
      </c>
      <c r="JK33" s="122">
        <v>40000</v>
      </c>
      <c r="JL33" s="125">
        <f t="shared" si="1"/>
        <v>0</v>
      </c>
      <c r="JM33" s="125"/>
      <c r="JN33" s="125"/>
      <c r="JO33" s="125"/>
      <c r="JP33" s="125"/>
    </row>
    <row r="34" spans="1:276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>
        <v>14000</v>
      </c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14000</v>
      </c>
      <c r="JJ34" s="2">
        <f t="shared" si="2"/>
        <v>89</v>
      </c>
      <c r="JK34" s="122">
        <v>14000</v>
      </c>
      <c r="JL34" s="125">
        <f t="shared" si="1"/>
        <v>0</v>
      </c>
      <c r="JM34" s="125"/>
      <c r="JN34" s="125"/>
      <c r="JO34" s="125"/>
      <c r="JP34" s="125"/>
    </row>
    <row r="35" spans="1:276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>
        <v>11640</v>
      </c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11640</v>
      </c>
      <c r="JJ35" s="2">
        <f t="shared" si="2"/>
        <v>90</v>
      </c>
      <c r="JK35" s="122">
        <v>11640</v>
      </c>
      <c r="JL35" s="125">
        <f t="shared" si="1"/>
        <v>0</v>
      </c>
      <c r="JM35" s="125"/>
      <c r="JN35" s="125"/>
      <c r="JO35" s="125"/>
      <c r="JP35" s="125"/>
    </row>
    <row r="36" spans="1:276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>
        <v>23580</v>
      </c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23580</v>
      </c>
      <c r="JJ36" s="2">
        <f t="shared" si="2"/>
        <v>91</v>
      </c>
      <c r="JK36" s="122">
        <v>23580</v>
      </c>
      <c r="JL36" s="125">
        <f t="shared" si="1"/>
        <v>0</v>
      </c>
      <c r="JM36" s="125"/>
      <c r="JN36" s="125"/>
      <c r="JO36" s="125"/>
      <c r="JP36" s="125"/>
    </row>
    <row r="37" spans="1:276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>
        <v>272580</v>
      </c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272580</v>
      </c>
      <c r="JJ37" s="2">
        <f t="shared" si="2"/>
        <v>92</v>
      </c>
      <c r="JK37" s="122">
        <v>261030</v>
      </c>
      <c r="JL37" s="125">
        <f t="shared" si="1"/>
        <v>11550</v>
      </c>
      <c r="JM37" s="125"/>
      <c r="JN37" s="125"/>
      <c r="JO37" s="125"/>
      <c r="JP37" s="125"/>
    </row>
    <row r="38" spans="1:276" ht="15.75" x14ac:dyDescent="0.3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37">
        <v>248711.41</v>
      </c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248711.41</v>
      </c>
      <c r="JJ38" s="2">
        <f t="shared" si="2"/>
        <v>93</v>
      </c>
      <c r="JK38" s="122">
        <v>238172.79</v>
      </c>
      <c r="JL38" s="125">
        <f t="shared" si="1"/>
        <v>10538.619999999995</v>
      </c>
      <c r="JM38" s="125"/>
      <c r="JN38" s="125"/>
      <c r="JO38" s="125"/>
      <c r="JP38" s="125"/>
    </row>
    <row r="39" spans="1:276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>
        <v>271800.26</v>
      </c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271800.26</v>
      </c>
      <c r="JJ39" s="2">
        <f t="shared" si="2"/>
        <v>94</v>
      </c>
      <c r="JK39" s="122">
        <v>260283.3</v>
      </c>
      <c r="JL39" s="125">
        <f t="shared" si="1"/>
        <v>11516.960000000021</v>
      </c>
      <c r="JM39" s="125"/>
      <c r="JN39" s="125"/>
      <c r="JO39" s="125"/>
      <c r="JP39" s="125"/>
    </row>
    <row r="40" spans="1:276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>
        <v>230085.84</v>
      </c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230085.84</v>
      </c>
      <c r="JJ40" s="2">
        <f t="shared" si="2"/>
        <v>95</v>
      </c>
      <c r="JK40" s="122">
        <v>220336.44</v>
      </c>
      <c r="JL40" s="125">
        <f t="shared" si="1"/>
        <v>9749.3999999999942</v>
      </c>
      <c r="JM40" s="125"/>
      <c r="JN40" s="125"/>
      <c r="JO40" s="125"/>
      <c r="JP40" s="125"/>
    </row>
    <row r="41" spans="1:276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>
        <v>272432.5</v>
      </c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272432.5</v>
      </c>
      <c r="JJ41" s="2">
        <f t="shared" si="2"/>
        <v>96</v>
      </c>
      <c r="JK41" s="122">
        <v>260888.75</v>
      </c>
      <c r="JL41" s="125">
        <f t="shared" si="1"/>
        <v>11543.75</v>
      </c>
      <c r="JM41" s="125"/>
      <c r="JN41" s="125"/>
      <c r="JO41" s="125"/>
      <c r="JP41" s="125"/>
    </row>
    <row r="42" spans="1:276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>
        <v>760000</v>
      </c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760000</v>
      </c>
      <c r="JJ42" s="2">
        <f t="shared" si="2"/>
        <v>97</v>
      </c>
      <c r="JK42" s="122">
        <v>722000</v>
      </c>
      <c r="JL42" s="125">
        <f t="shared" si="1"/>
        <v>38000</v>
      </c>
      <c r="JM42" s="125"/>
      <c r="JN42" s="125"/>
      <c r="JO42" s="125"/>
      <c r="JP42" s="125"/>
    </row>
    <row r="43" spans="1:276" ht="15.75" x14ac:dyDescent="0.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37">
        <v>5231553.59</v>
      </c>
      <c r="Y43" s="122"/>
      <c r="Z43" s="137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5231553.59</v>
      </c>
      <c r="JJ43" s="2">
        <f t="shared" si="2"/>
        <v>98</v>
      </c>
      <c r="JK43" s="122">
        <v>5231553.59</v>
      </c>
      <c r="JL43" s="125">
        <f t="shared" si="1"/>
        <v>0</v>
      </c>
      <c r="JM43" s="125"/>
      <c r="JN43" s="125"/>
      <c r="JO43" s="125"/>
      <c r="JP43" s="125"/>
    </row>
    <row r="44" spans="1:276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0</v>
      </c>
      <c r="JJ44" s="2">
        <v>37197</v>
      </c>
      <c r="JK44" s="122"/>
      <c r="JL44" s="125">
        <f t="shared" si="1"/>
        <v>0</v>
      </c>
      <c r="JM44" s="125"/>
      <c r="JN44" s="125"/>
      <c r="JO44" s="125"/>
      <c r="JP44" s="125"/>
    </row>
    <row r="45" spans="1:276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>
        <v>26000</v>
      </c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26000</v>
      </c>
      <c r="JJ45" s="2">
        <v>37198</v>
      </c>
      <c r="JK45" s="122">
        <v>26000</v>
      </c>
      <c r="JL45" s="125">
        <f t="shared" si="1"/>
        <v>0</v>
      </c>
      <c r="JM45" s="125"/>
      <c r="JN45" s="125"/>
      <c r="JO45" s="125"/>
      <c r="JP45" s="125"/>
    </row>
    <row r="46" spans="1:276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>
        <v>14000</v>
      </c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14000</v>
      </c>
      <c r="JJ46" s="2">
        <v>37199</v>
      </c>
      <c r="JK46" s="122">
        <v>14000</v>
      </c>
      <c r="JL46" s="125">
        <f t="shared" si="1"/>
        <v>0</v>
      </c>
      <c r="JM46" s="125"/>
      <c r="JN46" s="125"/>
      <c r="JO46" s="125"/>
      <c r="JP46" s="125"/>
    </row>
    <row r="47" spans="1:276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>
        <v>30102.04</v>
      </c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30102.04</v>
      </c>
      <c r="JJ47" s="2">
        <v>37200</v>
      </c>
      <c r="JK47" s="122">
        <v>30102.04</v>
      </c>
      <c r="JL47" s="125">
        <f t="shared" si="1"/>
        <v>0</v>
      </c>
      <c r="JM47" s="125"/>
      <c r="JN47" s="125"/>
      <c r="JO47" s="125"/>
      <c r="JP47" s="125"/>
    </row>
    <row r="48" spans="1:276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>
        <v>10000</v>
      </c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10000</v>
      </c>
      <c r="JJ48" s="2">
        <v>37201</v>
      </c>
      <c r="JK48" s="122">
        <v>10000</v>
      </c>
      <c r="JL48" s="125">
        <f t="shared" si="1"/>
        <v>0</v>
      </c>
      <c r="JM48" s="125"/>
      <c r="JN48" s="125"/>
      <c r="JO48" s="125"/>
      <c r="JP48" s="125"/>
    </row>
    <row r="49" spans="1:276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0</v>
      </c>
      <c r="JJ49" s="2">
        <v>37202</v>
      </c>
      <c r="JK49" s="122"/>
      <c r="JL49" s="125">
        <f t="shared" si="1"/>
        <v>0</v>
      </c>
      <c r="JM49" s="125"/>
      <c r="JN49" s="125"/>
      <c r="JO49" s="125"/>
      <c r="JP49" s="125"/>
    </row>
    <row r="50" spans="1:276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>
        <v>34020</v>
      </c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34020</v>
      </c>
      <c r="JJ50" s="2">
        <v>37203</v>
      </c>
      <c r="JK50" s="122">
        <v>34020</v>
      </c>
      <c r="JL50" s="125">
        <f t="shared" si="1"/>
        <v>0</v>
      </c>
      <c r="JM50" s="125"/>
      <c r="JN50" s="125"/>
      <c r="JO50" s="125"/>
      <c r="JP50" s="125"/>
    </row>
    <row r="51" spans="1:276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>
        <v>51304.69</v>
      </c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51304.69</v>
      </c>
      <c r="JJ51" s="2">
        <v>37204</v>
      </c>
      <c r="JK51" s="122">
        <v>51304.69</v>
      </c>
      <c r="JL51" s="125">
        <f t="shared" si="1"/>
        <v>0</v>
      </c>
      <c r="JM51" s="125"/>
      <c r="JN51" s="125"/>
      <c r="JO51" s="125"/>
      <c r="JP51" s="125"/>
    </row>
    <row r="52" spans="1:276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>
        <v>21673.47</v>
      </c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21673.47</v>
      </c>
      <c r="JJ52" s="2">
        <v>37205</v>
      </c>
      <c r="JK52" s="122">
        <v>18000</v>
      </c>
      <c r="JL52" s="125">
        <f t="shared" si="1"/>
        <v>3673.4700000000012</v>
      </c>
      <c r="JM52" s="125"/>
      <c r="JN52" s="125"/>
      <c r="JO52" s="125"/>
      <c r="JP52" s="125"/>
    </row>
    <row r="53" spans="1:276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>
        <v>18061.22</v>
      </c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18061.22</v>
      </c>
      <c r="JJ53" s="2">
        <v>37206</v>
      </c>
      <c r="JK53" s="122">
        <v>15000</v>
      </c>
      <c r="JL53" s="125">
        <f t="shared" si="1"/>
        <v>3061.2200000000012</v>
      </c>
      <c r="JM53" s="125"/>
      <c r="JN53" s="125"/>
      <c r="JO53" s="125"/>
      <c r="JP53" s="125"/>
    </row>
    <row r="54" spans="1:276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>
        <v>18061.22</v>
      </c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18061.22</v>
      </c>
      <c r="JJ54" s="2">
        <v>37207</v>
      </c>
      <c r="JK54" s="122">
        <v>15000</v>
      </c>
      <c r="JL54" s="125">
        <f t="shared" si="1"/>
        <v>3061.2200000000012</v>
      </c>
      <c r="JM54" s="125"/>
      <c r="JN54" s="125"/>
      <c r="JO54" s="125"/>
      <c r="JP54" s="125"/>
    </row>
    <row r="55" spans="1:276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>
        <v>3400</v>
      </c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3400</v>
      </c>
      <c r="JJ55" s="2">
        <v>37208</v>
      </c>
      <c r="JK55" s="122">
        <v>3400</v>
      </c>
      <c r="JL55" s="125">
        <f t="shared" si="1"/>
        <v>0</v>
      </c>
      <c r="JM55" s="125"/>
      <c r="JN55" s="125"/>
      <c r="JO55" s="125"/>
      <c r="JP55" s="125"/>
    </row>
    <row r="56" spans="1:276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>
        <v>8323.8700000000008</v>
      </c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8323.8700000000008</v>
      </c>
      <c r="JJ56" s="2"/>
      <c r="JK56" s="122"/>
      <c r="JL56" s="125">
        <f t="shared" si="1"/>
        <v>8323.8700000000008</v>
      </c>
      <c r="JM56" s="125"/>
      <c r="JN56" s="125"/>
      <c r="JO56" s="125"/>
      <c r="JP56" s="125"/>
    </row>
    <row r="57" spans="1:276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0</v>
      </c>
      <c r="JJ57" s="2"/>
      <c r="JK57" s="122"/>
      <c r="JL57" s="125">
        <f t="shared" si="1"/>
        <v>0</v>
      </c>
      <c r="JM57" s="125"/>
      <c r="JN57" s="125"/>
      <c r="JO57" s="125"/>
      <c r="JP57" s="125"/>
    </row>
    <row r="58" spans="1:276" x14ac:dyDescent="0.25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0</v>
      </c>
      <c r="JJ58" s="2"/>
      <c r="JK58" s="122"/>
      <c r="JL58" s="125">
        <f t="shared" si="1"/>
        <v>0</v>
      </c>
      <c r="JM58" s="125"/>
      <c r="JN58" s="125"/>
      <c r="JO58" s="125"/>
      <c r="JP58" s="125"/>
    </row>
    <row r="59" spans="1:276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0</v>
      </c>
      <c r="JJ59" s="2"/>
      <c r="JK59" s="122"/>
      <c r="JL59" s="125">
        <f t="shared" si="1"/>
        <v>0</v>
      </c>
      <c r="JM59" s="125"/>
      <c r="JN59" s="125"/>
      <c r="JO59" s="125"/>
      <c r="JP59" s="125"/>
    </row>
    <row r="60" spans="1:276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0</v>
      </c>
      <c r="JJ60" s="2"/>
      <c r="JK60" s="122"/>
      <c r="JL60" s="125">
        <f t="shared" si="1"/>
        <v>0</v>
      </c>
      <c r="JM60" s="125"/>
      <c r="JN60" s="125"/>
      <c r="JO60" s="125"/>
      <c r="JP60" s="125"/>
    </row>
    <row r="61" spans="1:276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0</v>
      </c>
      <c r="JJ61" s="2"/>
      <c r="JK61" s="122"/>
      <c r="JL61" s="125">
        <f t="shared" si="1"/>
        <v>0</v>
      </c>
      <c r="JM61" s="125"/>
      <c r="JN61" s="125"/>
      <c r="JO61" s="125"/>
      <c r="JP61" s="125"/>
    </row>
    <row r="62" spans="1:276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0</v>
      </c>
      <c r="JJ62" s="2"/>
      <c r="JK62" s="122"/>
      <c r="JL62" s="125">
        <f t="shared" si="1"/>
        <v>0</v>
      </c>
      <c r="JM62" s="125"/>
      <c r="JN62" s="125"/>
      <c r="JO62" s="125"/>
      <c r="JP62" s="125"/>
    </row>
    <row r="63" spans="1:276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0</v>
      </c>
      <c r="JJ63" s="2"/>
      <c r="JK63" s="122"/>
      <c r="JL63" s="125">
        <f t="shared" si="1"/>
        <v>0</v>
      </c>
      <c r="JM63" s="125"/>
      <c r="JN63" s="125"/>
      <c r="JO63" s="125"/>
      <c r="JP63" s="125"/>
    </row>
    <row r="64" spans="1:276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0</v>
      </c>
      <c r="JJ64" s="2"/>
      <c r="JK64" s="122"/>
      <c r="JL64" s="125">
        <f t="shared" si="1"/>
        <v>0</v>
      </c>
      <c r="JM64" s="125"/>
      <c r="JN64" s="125"/>
      <c r="JO64" s="125"/>
      <c r="JP64" s="125"/>
    </row>
    <row r="65" spans="1:276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0</v>
      </c>
      <c r="JJ65" s="2"/>
      <c r="JK65" s="122"/>
      <c r="JL65" s="125">
        <f t="shared" si="1"/>
        <v>0</v>
      </c>
      <c r="JM65" s="125"/>
      <c r="JN65" s="125"/>
      <c r="JO65" s="125"/>
      <c r="JP65" s="125"/>
    </row>
    <row r="66" spans="1:276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0</v>
      </c>
      <c r="JJ66" s="2"/>
      <c r="JK66" s="122"/>
      <c r="JL66" s="125">
        <f t="shared" si="1"/>
        <v>0</v>
      </c>
      <c r="JM66" s="125"/>
      <c r="JN66" s="125"/>
      <c r="JO66" s="125"/>
      <c r="JP66" s="125"/>
    </row>
    <row r="67" spans="1:276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0"/>
        <v>0</v>
      </c>
      <c r="JJ67" s="2"/>
      <c r="JK67" s="122"/>
      <c r="JL67" s="125">
        <f t="shared" si="1"/>
        <v>0</v>
      </c>
      <c r="JM67" s="125"/>
      <c r="JN67" s="125"/>
      <c r="JO67" s="125"/>
      <c r="JP67" s="125"/>
    </row>
    <row r="68" spans="1:276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0"/>
        <v>0</v>
      </c>
      <c r="JJ68" s="2"/>
      <c r="JK68" s="122"/>
      <c r="JL68" s="125">
        <f t="shared" ref="JL68:JL78" si="3">+JI68-JK68</f>
        <v>0</v>
      </c>
      <c r="JM68" s="125"/>
      <c r="JN68" s="125"/>
      <c r="JO68" s="125"/>
      <c r="JP68" s="125"/>
    </row>
    <row r="69" spans="1:276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0"/>
        <v>0</v>
      </c>
      <c r="JJ69" s="2"/>
      <c r="JK69" s="122"/>
      <c r="JL69" s="125">
        <f t="shared" si="3"/>
        <v>0</v>
      </c>
      <c r="JM69" s="125"/>
      <c r="JN69" s="125"/>
      <c r="JO69" s="125"/>
      <c r="JP69" s="125"/>
    </row>
    <row r="70" spans="1:276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0"/>
        <v>0</v>
      </c>
      <c r="JJ70" s="2"/>
      <c r="JK70" s="122"/>
      <c r="JL70" s="125">
        <f t="shared" si="3"/>
        <v>0</v>
      </c>
      <c r="JM70" s="125"/>
      <c r="JN70" s="125"/>
      <c r="JO70" s="125"/>
      <c r="JP70" s="125"/>
    </row>
    <row r="71" spans="1:276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0"/>
        <v>0</v>
      </c>
      <c r="JJ71" s="2"/>
      <c r="JK71" s="122"/>
      <c r="JL71" s="125">
        <f t="shared" si="3"/>
        <v>0</v>
      </c>
      <c r="JM71" s="125"/>
      <c r="JN71" s="125"/>
      <c r="JO71" s="125"/>
      <c r="JP71" s="125"/>
    </row>
    <row r="72" spans="1:276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0"/>
        <v>0</v>
      </c>
      <c r="JJ72" s="2"/>
      <c r="JK72" s="122"/>
      <c r="JL72" s="125">
        <f t="shared" si="3"/>
        <v>0</v>
      </c>
      <c r="JM72" s="125"/>
      <c r="JN72" s="125"/>
      <c r="JO72" s="125"/>
      <c r="JP72" s="125"/>
    </row>
    <row r="73" spans="1:276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0"/>
        <v>0</v>
      </c>
      <c r="JJ73" s="2"/>
      <c r="JK73" s="122"/>
      <c r="JL73" s="125">
        <f t="shared" si="3"/>
        <v>0</v>
      </c>
      <c r="JM73" s="125"/>
      <c r="JN73" s="125"/>
      <c r="JO73" s="125"/>
      <c r="JP73" s="125"/>
    </row>
    <row r="74" spans="1:276" x14ac:dyDescent="0.25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/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 t="shared" si="0"/>
        <v>0</v>
      </c>
      <c r="JJ74" s="2"/>
      <c r="JK74" s="122"/>
      <c r="JL74" s="125">
        <f t="shared" si="3"/>
        <v>0</v>
      </c>
      <c r="JM74" s="125"/>
      <c r="JN74" s="125"/>
      <c r="JO74" s="125"/>
      <c r="JP74" s="125"/>
    </row>
    <row r="75" spans="1:276" x14ac:dyDescent="0.2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si="0"/>
        <v>0</v>
      </c>
      <c r="JJ75" s="2"/>
      <c r="JK75" s="122"/>
      <c r="JL75" s="125">
        <f t="shared" si="3"/>
        <v>0</v>
      </c>
      <c r="JM75" s="125"/>
      <c r="JN75" s="125"/>
      <c r="JO75" s="125"/>
      <c r="JP75" s="125"/>
    </row>
    <row r="76" spans="1:276" x14ac:dyDescent="0.25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0"/>
        <v>0</v>
      </c>
      <c r="JJ76" s="2"/>
      <c r="JK76" s="122"/>
      <c r="JL76" s="125">
        <f t="shared" si="3"/>
        <v>0</v>
      </c>
      <c r="JM76" s="125"/>
      <c r="JN76" s="125"/>
      <c r="JO76" s="125"/>
      <c r="JP76" s="125"/>
    </row>
    <row r="77" spans="1:276" x14ac:dyDescent="0.25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0"/>
        <v>0</v>
      </c>
      <c r="JJ77" s="2"/>
      <c r="JK77" s="122"/>
      <c r="JL77" s="125">
        <f t="shared" si="3"/>
        <v>0</v>
      </c>
      <c r="JM77" s="125"/>
      <c r="JN77" s="125"/>
      <c r="JO77" s="125"/>
      <c r="JP77" s="125"/>
    </row>
    <row r="78" spans="1:276" x14ac:dyDescent="0.25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>SUM(A78:JH78)</f>
        <v>0</v>
      </c>
      <c r="JJ78" s="2"/>
      <c r="JK78" s="122"/>
      <c r="JL78" s="125">
        <f t="shared" si="3"/>
        <v>0</v>
      </c>
      <c r="JM78" s="125"/>
      <c r="JN78" s="125"/>
      <c r="JO78" s="125"/>
      <c r="JP78" s="125"/>
    </row>
    <row r="79" spans="1:276" x14ac:dyDescent="0.25">
      <c r="A79" s="119">
        <f>SUM(A3:A78)</f>
        <v>0</v>
      </c>
      <c r="B79" s="119">
        <f t="shared" ref="B79:BM79" si="4">SUM(B3:B78)</f>
        <v>0</v>
      </c>
      <c r="C79" s="119">
        <f t="shared" si="4"/>
        <v>0</v>
      </c>
      <c r="D79" s="119">
        <f t="shared" si="4"/>
        <v>0</v>
      </c>
      <c r="E79" s="119">
        <f t="shared" si="4"/>
        <v>0</v>
      </c>
      <c r="F79" s="119">
        <f t="shared" si="4"/>
        <v>0</v>
      </c>
      <c r="G79" s="119">
        <f t="shared" si="4"/>
        <v>0</v>
      </c>
      <c r="H79" s="119">
        <f t="shared" si="4"/>
        <v>0</v>
      </c>
      <c r="I79" s="119">
        <f t="shared" si="4"/>
        <v>0</v>
      </c>
      <c r="J79" s="119">
        <f t="shared" si="4"/>
        <v>0</v>
      </c>
      <c r="K79" s="119">
        <f t="shared" si="4"/>
        <v>0</v>
      </c>
      <c r="L79" s="119">
        <f t="shared" si="4"/>
        <v>0</v>
      </c>
      <c r="M79" s="119">
        <f t="shared" si="4"/>
        <v>0</v>
      </c>
      <c r="N79" s="119">
        <f t="shared" si="4"/>
        <v>0</v>
      </c>
      <c r="O79" s="119">
        <f t="shared" si="4"/>
        <v>0</v>
      </c>
      <c r="P79" s="119">
        <f t="shared" si="4"/>
        <v>0</v>
      </c>
      <c r="Q79" s="119">
        <f t="shared" si="4"/>
        <v>0</v>
      </c>
      <c r="R79" s="119">
        <f t="shared" si="4"/>
        <v>0</v>
      </c>
      <c r="S79" s="119">
        <f t="shared" si="4"/>
        <v>0</v>
      </c>
      <c r="T79" s="119">
        <f t="shared" si="4"/>
        <v>0</v>
      </c>
      <c r="U79" s="119">
        <f t="shared" si="4"/>
        <v>0</v>
      </c>
      <c r="V79" s="119">
        <f t="shared" si="4"/>
        <v>0</v>
      </c>
      <c r="W79" s="119">
        <f t="shared" si="4"/>
        <v>0</v>
      </c>
      <c r="X79" s="119">
        <f t="shared" si="4"/>
        <v>5231553.59</v>
      </c>
      <c r="Y79" s="119">
        <f t="shared" si="4"/>
        <v>0</v>
      </c>
      <c r="Z79" s="119">
        <f t="shared" si="4"/>
        <v>0</v>
      </c>
      <c r="AA79" s="119">
        <f t="shared" si="4"/>
        <v>0</v>
      </c>
      <c r="AB79" s="119">
        <f t="shared" si="4"/>
        <v>0</v>
      </c>
      <c r="AC79" s="119">
        <f t="shared" si="4"/>
        <v>0</v>
      </c>
      <c r="AD79" s="119">
        <f t="shared" si="4"/>
        <v>0</v>
      </c>
      <c r="AE79" s="119">
        <f t="shared" si="4"/>
        <v>0</v>
      </c>
      <c r="AF79" s="119">
        <f t="shared" si="4"/>
        <v>0</v>
      </c>
      <c r="AG79" s="119">
        <f t="shared" si="4"/>
        <v>0</v>
      </c>
      <c r="AH79" s="119">
        <f t="shared" si="4"/>
        <v>0</v>
      </c>
      <c r="AI79" s="119">
        <f t="shared" si="4"/>
        <v>0</v>
      </c>
      <c r="AJ79" s="119">
        <f t="shared" si="4"/>
        <v>0</v>
      </c>
      <c r="AK79" s="119">
        <f t="shared" si="4"/>
        <v>0</v>
      </c>
      <c r="AL79" s="119">
        <f t="shared" si="4"/>
        <v>0</v>
      </c>
      <c r="AM79" s="119">
        <f t="shared" si="4"/>
        <v>0</v>
      </c>
      <c r="AN79" s="119">
        <f t="shared" si="4"/>
        <v>0</v>
      </c>
      <c r="AO79" s="119">
        <f t="shared" si="4"/>
        <v>0</v>
      </c>
      <c r="AP79" s="119">
        <f t="shared" si="4"/>
        <v>0</v>
      </c>
      <c r="AQ79" s="119">
        <f t="shared" si="4"/>
        <v>211191.19</v>
      </c>
      <c r="AR79" s="119">
        <f t="shared" si="4"/>
        <v>0</v>
      </c>
      <c r="AS79" s="119">
        <f t="shared" si="4"/>
        <v>0</v>
      </c>
      <c r="AT79" s="119">
        <f t="shared" si="4"/>
        <v>0</v>
      </c>
      <c r="AU79" s="119">
        <f t="shared" si="4"/>
        <v>0</v>
      </c>
      <c r="AV79" s="119">
        <f t="shared" si="4"/>
        <v>0</v>
      </c>
      <c r="AW79" s="119">
        <f>SUM(AW3:AW78)</f>
        <v>1520000</v>
      </c>
      <c r="AX79" s="119">
        <f t="shared" si="4"/>
        <v>0</v>
      </c>
      <c r="AY79" s="119">
        <f t="shared" si="4"/>
        <v>0</v>
      </c>
      <c r="AZ79" s="119">
        <f t="shared" si="4"/>
        <v>0</v>
      </c>
      <c r="BA79" s="119">
        <f t="shared" si="4"/>
        <v>0</v>
      </c>
      <c r="BB79" s="119">
        <f t="shared" si="4"/>
        <v>0</v>
      </c>
      <c r="BC79" s="119">
        <f t="shared" si="4"/>
        <v>32000</v>
      </c>
      <c r="BD79" s="119">
        <f t="shared" si="4"/>
        <v>0</v>
      </c>
      <c r="BE79" s="119">
        <f t="shared" si="4"/>
        <v>0</v>
      </c>
      <c r="BF79" s="119">
        <f t="shared" si="4"/>
        <v>0</v>
      </c>
      <c r="BG79" s="119">
        <f t="shared" si="4"/>
        <v>0</v>
      </c>
      <c r="BH79" s="119">
        <f t="shared" si="4"/>
        <v>0</v>
      </c>
      <c r="BI79" s="119">
        <f t="shared" si="4"/>
        <v>0</v>
      </c>
      <c r="BJ79" s="119">
        <f t="shared" si="4"/>
        <v>0</v>
      </c>
      <c r="BK79" s="119">
        <f t="shared" si="4"/>
        <v>0</v>
      </c>
      <c r="BL79" s="119">
        <f t="shared" si="4"/>
        <v>0</v>
      </c>
      <c r="BM79" s="119">
        <f t="shared" si="4"/>
        <v>0</v>
      </c>
      <c r="BN79" s="119">
        <f t="shared" ref="BN79:DY79" si="5">SUM(BN3:BN78)</f>
        <v>0</v>
      </c>
      <c r="BO79" s="119">
        <f t="shared" si="5"/>
        <v>0</v>
      </c>
      <c r="BP79" s="119">
        <f t="shared" si="5"/>
        <v>0</v>
      </c>
      <c r="BQ79" s="119">
        <f t="shared" si="5"/>
        <v>0</v>
      </c>
      <c r="BR79" s="119">
        <f t="shared" si="5"/>
        <v>0</v>
      </c>
      <c r="BS79" s="119">
        <f t="shared" si="5"/>
        <v>0</v>
      </c>
      <c r="BT79" s="119">
        <f t="shared" si="5"/>
        <v>0</v>
      </c>
      <c r="BU79" s="119">
        <f t="shared" si="5"/>
        <v>0</v>
      </c>
      <c r="BV79" s="119">
        <f t="shared" si="5"/>
        <v>0</v>
      </c>
      <c r="BW79" s="119">
        <f t="shared" si="5"/>
        <v>904710.71</v>
      </c>
      <c r="BX79" s="119">
        <f t="shared" si="5"/>
        <v>0</v>
      </c>
      <c r="BY79" s="119">
        <f t="shared" si="5"/>
        <v>0</v>
      </c>
      <c r="BZ79" s="119">
        <f t="shared" si="5"/>
        <v>0</v>
      </c>
      <c r="CA79" s="119">
        <f t="shared" si="5"/>
        <v>0</v>
      </c>
      <c r="CB79" s="119">
        <f t="shared" si="5"/>
        <v>0</v>
      </c>
      <c r="CC79" s="119">
        <f t="shared" si="5"/>
        <v>0</v>
      </c>
      <c r="CD79" s="119">
        <f t="shared" si="5"/>
        <v>0</v>
      </c>
      <c r="CE79" s="119">
        <f t="shared" si="5"/>
        <v>0</v>
      </c>
      <c r="CF79" s="119">
        <f t="shared" si="5"/>
        <v>0</v>
      </c>
      <c r="CG79" s="119">
        <f t="shared" si="5"/>
        <v>0</v>
      </c>
      <c r="CH79" s="119">
        <f t="shared" si="5"/>
        <v>0</v>
      </c>
      <c r="CI79" s="119">
        <f t="shared" si="5"/>
        <v>0</v>
      </c>
      <c r="CJ79" s="119">
        <f t="shared" si="5"/>
        <v>636067.19999999995</v>
      </c>
      <c r="CK79" s="119">
        <f t="shared" si="5"/>
        <v>0</v>
      </c>
      <c r="CL79" s="119">
        <f t="shared" si="5"/>
        <v>478797.25</v>
      </c>
      <c r="CM79" s="119">
        <f t="shared" si="5"/>
        <v>0</v>
      </c>
      <c r="CN79" s="119">
        <f t="shared" si="5"/>
        <v>0</v>
      </c>
      <c r="CO79" s="119">
        <f t="shared" si="5"/>
        <v>0</v>
      </c>
      <c r="CP79" s="119">
        <f t="shared" si="5"/>
        <v>8323.8700000000008</v>
      </c>
      <c r="CQ79" s="119">
        <f t="shared" si="5"/>
        <v>0</v>
      </c>
      <c r="CR79" s="119">
        <f t="shared" si="5"/>
        <v>0</v>
      </c>
      <c r="CS79" s="119">
        <f t="shared" si="5"/>
        <v>0</v>
      </c>
      <c r="CT79" s="119">
        <f t="shared" si="5"/>
        <v>0</v>
      </c>
      <c r="CU79" s="119">
        <f t="shared" si="5"/>
        <v>188564</v>
      </c>
      <c r="CV79" s="119">
        <f t="shared" si="5"/>
        <v>0</v>
      </c>
      <c r="CW79" s="119">
        <f t="shared" si="5"/>
        <v>0</v>
      </c>
      <c r="CX79" s="119">
        <f t="shared" si="5"/>
        <v>0</v>
      </c>
      <c r="CY79" s="119">
        <f t="shared" si="5"/>
        <v>0</v>
      </c>
      <c r="CZ79" s="119">
        <f t="shared" si="5"/>
        <v>0</v>
      </c>
      <c r="DA79" s="119">
        <f t="shared" si="5"/>
        <v>0</v>
      </c>
      <c r="DB79" s="119">
        <f t="shared" si="5"/>
        <v>0</v>
      </c>
      <c r="DC79" s="119">
        <f t="shared" si="5"/>
        <v>0</v>
      </c>
      <c r="DD79" s="119">
        <f t="shared" si="5"/>
        <v>48852</v>
      </c>
      <c r="DE79" s="119">
        <f t="shared" si="5"/>
        <v>330950</v>
      </c>
      <c r="DF79" s="119">
        <f t="shared" si="5"/>
        <v>0</v>
      </c>
      <c r="DG79" s="119">
        <f t="shared" si="5"/>
        <v>0</v>
      </c>
      <c r="DH79" s="119">
        <f t="shared" si="5"/>
        <v>0</v>
      </c>
      <c r="DI79" s="119">
        <f t="shared" si="5"/>
        <v>0</v>
      </c>
      <c r="DJ79" s="119">
        <f t="shared" si="5"/>
        <v>0</v>
      </c>
      <c r="DK79" s="119">
        <f t="shared" si="5"/>
        <v>658799</v>
      </c>
      <c r="DL79" s="119">
        <f t="shared" si="5"/>
        <v>0</v>
      </c>
      <c r="DM79" s="119">
        <f t="shared" si="5"/>
        <v>0</v>
      </c>
      <c r="DN79" s="119">
        <f t="shared" si="5"/>
        <v>0</v>
      </c>
      <c r="DO79" s="119">
        <f t="shared" si="5"/>
        <v>0</v>
      </c>
      <c r="DP79" s="119">
        <f t="shared" si="5"/>
        <v>0</v>
      </c>
      <c r="DQ79" s="119">
        <f t="shared" si="5"/>
        <v>0</v>
      </c>
      <c r="DR79" s="119">
        <f t="shared" si="5"/>
        <v>0</v>
      </c>
      <c r="DS79" s="119">
        <f t="shared" si="5"/>
        <v>0</v>
      </c>
      <c r="DT79" s="119">
        <f t="shared" si="5"/>
        <v>0</v>
      </c>
      <c r="DU79" s="119">
        <f t="shared" si="5"/>
        <v>0</v>
      </c>
      <c r="DV79" s="119">
        <f t="shared" si="5"/>
        <v>0</v>
      </c>
      <c r="DW79" s="119">
        <f t="shared" si="5"/>
        <v>57997</v>
      </c>
      <c r="DX79" s="119">
        <f t="shared" si="5"/>
        <v>0</v>
      </c>
      <c r="DY79" s="119">
        <f t="shared" si="5"/>
        <v>0</v>
      </c>
      <c r="DZ79" s="119">
        <f t="shared" ref="DZ79:GK79" si="6">SUM(DZ3:DZ78)</f>
        <v>0</v>
      </c>
      <c r="EA79" s="119">
        <f t="shared" si="6"/>
        <v>250000</v>
      </c>
      <c r="EB79" s="119">
        <f t="shared" si="6"/>
        <v>0</v>
      </c>
      <c r="EC79" s="119">
        <f t="shared" si="6"/>
        <v>0</v>
      </c>
      <c r="ED79" s="119">
        <f t="shared" si="6"/>
        <v>0</v>
      </c>
      <c r="EE79" s="119">
        <f t="shared" si="6"/>
        <v>282823.65000000002</v>
      </c>
      <c r="EF79" s="119">
        <f t="shared" si="6"/>
        <v>0</v>
      </c>
      <c r="EG79" s="119">
        <f t="shared" si="6"/>
        <v>34840.020000000004</v>
      </c>
      <c r="EH79" s="119">
        <f t="shared" si="6"/>
        <v>0</v>
      </c>
      <c r="EI79" s="119">
        <f t="shared" si="6"/>
        <v>0</v>
      </c>
      <c r="EJ79" s="119">
        <f t="shared" si="6"/>
        <v>0</v>
      </c>
      <c r="EK79" s="119">
        <f t="shared" si="6"/>
        <v>0</v>
      </c>
      <c r="EL79" s="119">
        <f t="shared" si="6"/>
        <v>0</v>
      </c>
      <c r="EM79" s="119">
        <f t="shared" si="6"/>
        <v>15149.94</v>
      </c>
      <c r="EN79" s="119">
        <f t="shared" si="6"/>
        <v>0</v>
      </c>
      <c r="EO79" s="119">
        <f t="shared" si="6"/>
        <v>0</v>
      </c>
      <c r="EP79" s="119">
        <f t="shared" si="6"/>
        <v>87250.03</v>
      </c>
      <c r="EQ79" s="119">
        <f t="shared" si="6"/>
        <v>0</v>
      </c>
      <c r="ER79" s="119">
        <f t="shared" si="6"/>
        <v>7825</v>
      </c>
      <c r="ES79" s="119">
        <f t="shared" si="6"/>
        <v>0</v>
      </c>
      <c r="ET79" s="119">
        <f t="shared" si="6"/>
        <v>0</v>
      </c>
      <c r="EU79" s="119">
        <f t="shared" si="6"/>
        <v>0</v>
      </c>
      <c r="EV79" s="119">
        <f t="shared" si="6"/>
        <v>0</v>
      </c>
      <c r="EW79" s="119">
        <f t="shared" si="6"/>
        <v>0</v>
      </c>
      <c r="EX79" s="119">
        <f t="shared" si="6"/>
        <v>0</v>
      </c>
      <c r="EY79" s="119">
        <f t="shared" si="6"/>
        <v>0</v>
      </c>
      <c r="EZ79" s="119">
        <f t="shared" si="6"/>
        <v>0</v>
      </c>
      <c r="FA79" s="119">
        <f t="shared" si="6"/>
        <v>172000</v>
      </c>
      <c r="FB79" s="119">
        <f t="shared" si="6"/>
        <v>0</v>
      </c>
      <c r="FC79" s="119">
        <f t="shared" si="6"/>
        <v>0</v>
      </c>
      <c r="FD79" s="119">
        <f t="shared" si="6"/>
        <v>101439</v>
      </c>
      <c r="FE79" s="119">
        <f t="shared" si="6"/>
        <v>0</v>
      </c>
      <c r="FF79" s="119">
        <f t="shared" si="6"/>
        <v>0</v>
      </c>
      <c r="FG79" s="119">
        <f t="shared" si="6"/>
        <v>0</v>
      </c>
      <c r="FH79" s="119">
        <f t="shared" si="6"/>
        <v>0</v>
      </c>
      <c r="FI79" s="119">
        <f t="shared" si="6"/>
        <v>0</v>
      </c>
      <c r="FJ79" s="119">
        <f t="shared" si="6"/>
        <v>0</v>
      </c>
      <c r="FK79" s="119">
        <f t="shared" si="6"/>
        <v>0</v>
      </c>
      <c r="FL79" s="119">
        <f t="shared" si="6"/>
        <v>0</v>
      </c>
      <c r="FM79" s="119">
        <f t="shared" si="6"/>
        <v>0</v>
      </c>
      <c r="FN79" s="119">
        <f t="shared" si="6"/>
        <v>43889.99</v>
      </c>
      <c r="FO79" s="119">
        <f t="shared" si="6"/>
        <v>0</v>
      </c>
      <c r="FP79" s="119">
        <f t="shared" si="6"/>
        <v>0</v>
      </c>
      <c r="FQ79" s="119">
        <f t="shared" si="6"/>
        <v>0</v>
      </c>
      <c r="FR79" s="119">
        <f t="shared" si="6"/>
        <v>0</v>
      </c>
      <c r="FS79" s="119">
        <f t="shared" si="6"/>
        <v>0</v>
      </c>
      <c r="FT79" s="119">
        <f t="shared" si="6"/>
        <v>34220</v>
      </c>
      <c r="FU79" s="119">
        <f t="shared" si="6"/>
        <v>0</v>
      </c>
      <c r="FV79" s="119">
        <f t="shared" si="6"/>
        <v>0</v>
      </c>
      <c r="FW79" s="119">
        <f t="shared" si="6"/>
        <v>0</v>
      </c>
      <c r="FX79" s="119">
        <f t="shared" si="6"/>
        <v>0</v>
      </c>
      <c r="FY79" s="119">
        <f t="shared" si="6"/>
        <v>0</v>
      </c>
      <c r="FZ79" s="119">
        <f t="shared" si="6"/>
        <v>0</v>
      </c>
      <c r="GA79" s="119">
        <f t="shared" si="6"/>
        <v>51304.69</v>
      </c>
      <c r="GB79" s="119">
        <f t="shared" si="6"/>
        <v>0</v>
      </c>
      <c r="GC79" s="119">
        <f t="shared" si="6"/>
        <v>0</v>
      </c>
      <c r="GD79" s="119">
        <f t="shared" si="6"/>
        <v>127420</v>
      </c>
      <c r="GE79" s="119">
        <f t="shared" si="6"/>
        <v>0</v>
      </c>
      <c r="GF79" s="119">
        <f t="shared" si="6"/>
        <v>0</v>
      </c>
      <c r="GG79" s="119">
        <f t="shared" si="6"/>
        <v>0</v>
      </c>
      <c r="GH79" s="119">
        <f t="shared" si="6"/>
        <v>0</v>
      </c>
      <c r="GI79" s="119">
        <f t="shared" si="6"/>
        <v>0</v>
      </c>
      <c r="GJ79" s="119">
        <f t="shared" si="6"/>
        <v>0</v>
      </c>
      <c r="GK79" s="119">
        <f t="shared" si="6"/>
        <v>0</v>
      </c>
      <c r="GL79" s="119">
        <f t="shared" ref="GL79:IW79" si="7">SUM(GL3:GL78)</f>
        <v>0</v>
      </c>
      <c r="GM79" s="119">
        <f t="shared" si="7"/>
        <v>0</v>
      </c>
      <c r="GN79" s="119">
        <f t="shared" si="7"/>
        <v>0</v>
      </c>
      <c r="GO79" s="119">
        <f t="shared" si="7"/>
        <v>0</v>
      </c>
      <c r="GP79" s="119">
        <f t="shared" si="7"/>
        <v>0</v>
      </c>
      <c r="GQ79" s="119">
        <f t="shared" si="7"/>
        <v>0</v>
      </c>
      <c r="GR79" s="119">
        <f t="shared" si="7"/>
        <v>0</v>
      </c>
      <c r="GS79" s="119">
        <f t="shared" si="7"/>
        <v>0</v>
      </c>
      <c r="GT79" s="119">
        <f t="shared" si="7"/>
        <v>0</v>
      </c>
      <c r="GU79" s="119">
        <f t="shared" si="7"/>
        <v>0</v>
      </c>
      <c r="GV79" s="119">
        <f t="shared" si="7"/>
        <v>0</v>
      </c>
      <c r="GW79" s="119">
        <f t="shared" si="7"/>
        <v>0</v>
      </c>
      <c r="GX79" s="119">
        <f t="shared" si="7"/>
        <v>0</v>
      </c>
      <c r="GY79" s="119">
        <f t="shared" si="7"/>
        <v>0</v>
      </c>
      <c r="GZ79" s="119">
        <f t="shared" si="7"/>
        <v>107609.37</v>
      </c>
      <c r="HA79" s="119">
        <f t="shared" si="7"/>
        <v>0</v>
      </c>
      <c r="HB79" s="119">
        <f t="shared" si="7"/>
        <v>0</v>
      </c>
      <c r="HC79" s="119">
        <f t="shared" si="7"/>
        <v>0</v>
      </c>
      <c r="HD79" s="119">
        <f t="shared" si="7"/>
        <v>0</v>
      </c>
      <c r="HE79" s="119">
        <f t="shared" si="7"/>
        <v>0</v>
      </c>
      <c r="HF79" s="119">
        <f t="shared" si="7"/>
        <v>192930</v>
      </c>
      <c r="HG79" s="119">
        <f t="shared" si="7"/>
        <v>0</v>
      </c>
      <c r="HH79" s="119">
        <f t="shared" si="7"/>
        <v>0</v>
      </c>
      <c r="HI79" s="119">
        <f t="shared" si="7"/>
        <v>0</v>
      </c>
      <c r="HJ79" s="119">
        <f t="shared" si="7"/>
        <v>0</v>
      </c>
      <c r="HK79" s="119">
        <f t="shared" si="7"/>
        <v>0</v>
      </c>
      <c r="HL79" s="119">
        <f t="shared" si="7"/>
        <v>0</v>
      </c>
      <c r="HM79" s="119">
        <f t="shared" si="7"/>
        <v>0</v>
      </c>
      <c r="HN79" s="119">
        <f t="shared" si="7"/>
        <v>0</v>
      </c>
      <c r="HO79" s="119">
        <f t="shared" si="7"/>
        <v>0</v>
      </c>
      <c r="HP79" s="119">
        <f t="shared" si="7"/>
        <v>0</v>
      </c>
      <c r="HQ79" s="119">
        <f t="shared" si="7"/>
        <v>0</v>
      </c>
      <c r="HR79" s="119">
        <f t="shared" si="7"/>
        <v>0</v>
      </c>
      <c r="HS79" s="119">
        <f t="shared" si="7"/>
        <v>0</v>
      </c>
      <c r="HT79" s="119">
        <f t="shared" si="7"/>
        <v>0</v>
      </c>
      <c r="HU79" s="119">
        <f t="shared" si="7"/>
        <v>0</v>
      </c>
      <c r="HV79" s="119">
        <f t="shared" si="7"/>
        <v>0</v>
      </c>
      <c r="HW79" s="119">
        <f t="shared" si="7"/>
        <v>0</v>
      </c>
      <c r="HX79" s="119">
        <f t="shared" si="7"/>
        <v>0</v>
      </c>
      <c r="HY79" s="119">
        <f t="shared" si="7"/>
        <v>0</v>
      </c>
      <c r="HZ79" s="119">
        <f t="shared" si="7"/>
        <v>0</v>
      </c>
      <c r="IA79" s="119">
        <f t="shared" si="7"/>
        <v>0</v>
      </c>
      <c r="IB79" s="119">
        <f t="shared" si="7"/>
        <v>0</v>
      </c>
      <c r="IC79" s="119">
        <f t="shared" si="7"/>
        <v>0</v>
      </c>
      <c r="ID79" s="119">
        <f t="shared" si="7"/>
        <v>0</v>
      </c>
      <c r="IE79" s="119">
        <f t="shared" si="7"/>
        <v>0</v>
      </c>
      <c r="IF79" s="119">
        <f t="shared" si="7"/>
        <v>0</v>
      </c>
      <c r="IG79" s="119">
        <f t="shared" si="7"/>
        <v>0</v>
      </c>
      <c r="IH79" s="119">
        <f t="shared" si="7"/>
        <v>0</v>
      </c>
      <c r="II79" s="119">
        <f t="shared" si="7"/>
        <v>0</v>
      </c>
      <c r="IJ79" s="119">
        <f t="shared" si="7"/>
        <v>0</v>
      </c>
      <c r="IK79" s="119">
        <f t="shared" si="7"/>
        <v>0</v>
      </c>
      <c r="IL79" s="119">
        <f t="shared" si="7"/>
        <v>0</v>
      </c>
      <c r="IM79" s="119">
        <f t="shared" si="7"/>
        <v>0</v>
      </c>
      <c r="IN79" s="119">
        <f t="shared" si="7"/>
        <v>0</v>
      </c>
      <c r="IO79" s="119">
        <f t="shared" si="7"/>
        <v>0</v>
      </c>
      <c r="IP79" s="119">
        <f t="shared" si="7"/>
        <v>0</v>
      </c>
      <c r="IQ79" s="119">
        <f t="shared" si="7"/>
        <v>0</v>
      </c>
      <c r="IR79" s="119">
        <f t="shared" si="7"/>
        <v>0</v>
      </c>
      <c r="IS79" s="119">
        <f t="shared" si="7"/>
        <v>0</v>
      </c>
      <c r="IT79" s="119">
        <f t="shared" si="7"/>
        <v>0</v>
      </c>
      <c r="IU79" s="119">
        <f t="shared" si="7"/>
        <v>0</v>
      </c>
      <c r="IV79" s="119">
        <f t="shared" si="7"/>
        <v>0</v>
      </c>
      <c r="IW79" s="119">
        <f t="shared" si="7"/>
        <v>0</v>
      </c>
      <c r="IX79" s="119">
        <f t="shared" ref="IX79:JH79" si="8">SUM(IX3:IX78)</f>
        <v>0</v>
      </c>
      <c r="IY79" s="119">
        <f t="shared" si="8"/>
        <v>0</v>
      </c>
      <c r="IZ79" s="119">
        <f t="shared" si="8"/>
        <v>0</v>
      </c>
      <c r="JA79" s="119">
        <f t="shared" si="8"/>
        <v>0</v>
      </c>
      <c r="JB79" s="119">
        <f t="shared" si="8"/>
        <v>0</v>
      </c>
      <c r="JC79" s="119">
        <f t="shared" si="8"/>
        <v>0</v>
      </c>
      <c r="JD79" s="119">
        <f t="shared" si="8"/>
        <v>0</v>
      </c>
      <c r="JE79" s="119">
        <f t="shared" si="8"/>
        <v>0</v>
      </c>
      <c r="JF79" s="119">
        <f t="shared" si="8"/>
        <v>0</v>
      </c>
      <c r="JG79" s="119">
        <f t="shared" si="8"/>
        <v>0</v>
      </c>
      <c r="JH79" s="119">
        <f t="shared" si="8"/>
        <v>0</v>
      </c>
      <c r="JI79" s="119">
        <f>SUM(JI3:JI78)</f>
        <v>11816507.499999998</v>
      </c>
      <c r="JJ79" s="2"/>
      <c r="JK79" s="122">
        <f>SUM(JK3:JK78)</f>
        <v>11536401.039999997</v>
      </c>
      <c r="JL79" s="122">
        <f t="shared" ref="JL79:JP79" si="9">SUM(JL3:JL78)</f>
        <v>280106.45999999996</v>
      </c>
      <c r="JM79" s="122">
        <f t="shared" si="9"/>
        <v>0</v>
      </c>
      <c r="JN79" s="122">
        <f t="shared" si="9"/>
        <v>0</v>
      </c>
      <c r="JO79" s="122">
        <f t="shared" si="9"/>
        <v>0</v>
      </c>
      <c r="JP79" s="122">
        <f t="shared" si="9"/>
        <v>0</v>
      </c>
    </row>
    <row r="80" spans="1:276" ht="18.75" x14ac:dyDescent="0.3">
      <c r="A80" s="118">
        <v>211101</v>
      </c>
      <c r="B80" s="118">
        <v>211102</v>
      </c>
      <c r="C80" s="118">
        <v>211103</v>
      </c>
      <c r="D80" s="118">
        <v>211104</v>
      </c>
      <c r="E80" s="118">
        <v>211105</v>
      </c>
      <c r="F80" s="118">
        <v>211106</v>
      </c>
      <c r="G80" s="118">
        <v>211203</v>
      </c>
      <c r="H80" s="118">
        <v>211205</v>
      </c>
      <c r="I80" s="118">
        <v>211206</v>
      </c>
      <c r="J80" s="118">
        <v>211208</v>
      </c>
      <c r="K80" s="118">
        <v>211209</v>
      </c>
      <c r="L80" s="118">
        <v>211211</v>
      </c>
      <c r="M80" s="118">
        <v>211301</v>
      </c>
      <c r="N80" s="118">
        <v>211401</v>
      </c>
      <c r="O80" s="118">
        <v>211501</v>
      </c>
      <c r="P80" s="118">
        <v>211502</v>
      </c>
      <c r="Q80" s="118">
        <v>211503</v>
      </c>
      <c r="R80" s="118">
        <v>211504</v>
      </c>
      <c r="S80" s="118">
        <v>212101</v>
      </c>
      <c r="T80" s="118">
        <v>212201</v>
      </c>
      <c r="U80" s="118">
        <v>212203</v>
      </c>
      <c r="V80" s="118">
        <v>212204</v>
      </c>
      <c r="W80" s="118">
        <v>212205</v>
      </c>
      <c r="X80" s="118">
        <v>212206</v>
      </c>
      <c r="Y80" s="118">
        <v>212207</v>
      </c>
      <c r="Z80" s="118">
        <v>212208</v>
      </c>
      <c r="AA80" s="118">
        <v>212209</v>
      </c>
      <c r="AB80" s="118">
        <v>212210</v>
      </c>
      <c r="AC80" s="118">
        <v>213101</v>
      </c>
      <c r="AD80" s="118">
        <v>213102</v>
      </c>
      <c r="AE80" s="118">
        <v>213201</v>
      </c>
      <c r="AF80" s="118">
        <v>213202</v>
      </c>
      <c r="AG80" s="118">
        <v>214101</v>
      </c>
      <c r="AH80" s="118">
        <v>214201</v>
      </c>
      <c r="AI80" s="118">
        <v>214202</v>
      </c>
      <c r="AJ80" s="118">
        <v>214203</v>
      </c>
      <c r="AK80" s="118">
        <v>215101</v>
      </c>
      <c r="AL80" s="118">
        <v>215201</v>
      </c>
      <c r="AM80" s="118">
        <v>215301</v>
      </c>
      <c r="AN80" s="118">
        <v>215401</v>
      </c>
      <c r="AO80" s="118">
        <v>221101</v>
      </c>
      <c r="AP80" s="118">
        <v>221201</v>
      </c>
      <c r="AQ80" s="118">
        <v>221301</v>
      </c>
      <c r="AR80" s="118">
        <v>221401</v>
      </c>
      <c r="AS80" s="118">
        <v>221501</v>
      </c>
      <c r="AT80" s="118">
        <v>221601</v>
      </c>
      <c r="AU80" s="118">
        <v>221602</v>
      </c>
      <c r="AV80" s="118">
        <v>221701</v>
      </c>
      <c r="AW80" s="118">
        <v>221801</v>
      </c>
      <c r="AX80" s="118">
        <v>222101</v>
      </c>
      <c r="AY80" s="118">
        <v>222201</v>
      </c>
      <c r="AZ80" s="118">
        <v>223101</v>
      </c>
      <c r="BA80" s="118">
        <v>223201</v>
      </c>
      <c r="BB80" s="118">
        <v>224101</v>
      </c>
      <c r="BC80" s="118">
        <v>224201</v>
      </c>
      <c r="BD80" s="118">
        <v>224301</v>
      </c>
      <c r="BE80" s="118">
        <v>224401</v>
      </c>
      <c r="BF80" s="118">
        <v>225101</v>
      </c>
      <c r="BG80" s="118">
        <v>225201</v>
      </c>
      <c r="BH80" s="118">
        <v>225301</v>
      </c>
      <c r="BI80" s="118">
        <v>225302</v>
      </c>
      <c r="BJ80" s="118">
        <v>225303</v>
      </c>
      <c r="BK80" s="118">
        <v>225304</v>
      </c>
      <c r="BL80" s="118">
        <v>225305</v>
      </c>
      <c r="BM80" s="118">
        <v>225401</v>
      </c>
      <c r="BN80" s="118">
        <v>225501</v>
      </c>
      <c r="BO80" s="118">
        <v>225601</v>
      </c>
      <c r="BP80" s="118">
        <v>225701</v>
      </c>
      <c r="BQ80" s="118">
        <v>225801</v>
      </c>
      <c r="BR80" s="118">
        <v>225901</v>
      </c>
      <c r="BS80" s="118">
        <v>226101</v>
      </c>
      <c r="BT80" s="118">
        <v>226201</v>
      </c>
      <c r="BU80" s="118">
        <v>226301</v>
      </c>
      <c r="BV80" s="118">
        <v>226401</v>
      </c>
      <c r="BW80" s="118">
        <v>227101</v>
      </c>
      <c r="BX80" s="118">
        <v>227102</v>
      </c>
      <c r="BY80" s="118">
        <v>227103</v>
      </c>
      <c r="BZ80" s="118">
        <v>227104</v>
      </c>
      <c r="CA80" s="118">
        <v>227105</v>
      </c>
      <c r="CB80" s="118">
        <v>227106</v>
      </c>
      <c r="CC80" s="118">
        <v>227107</v>
      </c>
      <c r="CD80" s="118">
        <v>227199</v>
      </c>
      <c r="CE80" s="118">
        <v>227201</v>
      </c>
      <c r="CF80" s="118">
        <v>227202</v>
      </c>
      <c r="CG80" s="118">
        <v>227203</v>
      </c>
      <c r="CH80" s="118">
        <v>227204</v>
      </c>
      <c r="CI80" s="118">
        <v>227205</v>
      </c>
      <c r="CJ80" s="118">
        <v>227206</v>
      </c>
      <c r="CK80" s="118">
        <v>227207</v>
      </c>
      <c r="CL80" s="118">
        <v>227208</v>
      </c>
      <c r="CM80" s="118">
        <v>227299</v>
      </c>
      <c r="CN80" s="118">
        <v>227301</v>
      </c>
      <c r="CO80" s="118">
        <v>228101</v>
      </c>
      <c r="CP80" s="118">
        <v>228201</v>
      </c>
      <c r="CQ80" s="118">
        <v>228301</v>
      </c>
      <c r="CR80" s="118">
        <v>228401</v>
      </c>
      <c r="CS80" s="118">
        <v>228501</v>
      </c>
      <c r="CT80" s="118">
        <v>228502</v>
      </c>
      <c r="CU80" s="118">
        <v>228503</v>
      </c>
      <c r="CV80" s="118">
        <v>228601</v>
      </c>
      <c r="CW80" s="118">
        <v>228602</v>
      </c>
      <c r="CX80" s="118">
        <v>228603</v>
      </c>
      <c r="CY80" s="118">
        <v>228604</v>
      </c>
      <c r="CZ80" s="118">
        <v>228701</v>
      </c>
      <c r="DA80" s="118">
        <v>228702</v>
      </c>
      <c r="DB80" s="118">
        <v>228703</v>
      </c>
      <c r="DC80" s="118">
        <v>228704</v>
      </c>
      <c r="DD80" s="118">
        <v>228705</v>
      </c>
      <c r="DE80" s="118">
        <v>228706</v>
      </c>
      <c r="DF80" s="118">
        <v>228801</v>
      </c>
      <c r="DG80" s="118">
        <v>228802</v>
      </c>
      <c r="DH80" s="118">
        <v>228803</v>
      </c>
      <c r="DI80" s="118">
        <v>229201</v>
      </c>
      <c r="DJ80" s="118">
        <v>229203</v>
      </c>
      <c r="DK80" s="118">
        <v>231101</v>
      </c>
      <c r="DL80" s="118">
        <v>231102</v>
      </c>
      <c r="DM80" s="118">
        <v>231201</v>
      </c>
      <c r="DN80" s="118">
        <v>231301</v>
      </c>
      <c r="DO80" s="118">
        <v>231302</v>
      </c>
      <c r="DP80" s="118">
        <v>231303</v>
      </c>
      <c r="DQ80" s="118">
        <v>231401</v>
      </c>
      <c r="DR80" s="118">
        <v>232101</v>
      </c>
      <c r="DS80" s="118">
        <v>232201</v>
      </c>
      <c r="DT80" s="118">
        <v>232301</v>
      </c>
      <c r="DU80" s="118">
        <v>233101</v>
      </c>
      <c r="DV80" s="118">
        <v>233201</v>
      </c>
      <c r="DW80" s="118">
        <v>233301</v>
      </c>
      <c r="DX80" s="118">
        <v>233401</v>
      </c>
      <c r="DY80" s="118">
        <v>233501</v>
      </c>
      <c r="DZ80" s="118">
        <v>233601</v>
      </c>
      <c r="EA80" s="118">
        <v>234101</v>
      </c>
      <c r="EB80" s="118">
        <v>234201</v>
      </c>
      <c r="EC80" s="118">
        <v>235101</v>
      </c>
      <c r="ED80" s="118">
        <v>235201</v>
      </c>
      <c r="EE80" s="118">
        <v>235301</v>
      </c>
      <c r="EF80" s="118">
        <v>235401</v>
      </c>
      <c r="EG80" s="118">
        <v>235501</v>
      </c>
      <c r="EH80" s="118">
        <v>236101</v>
      </c>
      <c r="EI80" s="118">
        <v>236102</v>
      </c>
      <c r="EJ80" s="118">
        <v>236103</v>
      </c>
      <c r="EK80" s="118">
        <v>236104</v>
      </c>
      <c r="EL80" s="118">
        <v>236105</v>
      </c>
      <c r="EM80" s="118">
        <v>236201</v>
      </c>
      <c r="EN80" s="118">
        <v>236202</v>
      </c>
      <c r="EO80" s="118">
        <v>236203</v>
      </c>
      <c r="EP80" s="118">
        <v>236304</v>
      </c>
      <c r="EQ80" s="118">
        <v>236305</v>
      </c>
      <c r="ER80" s="118">
        <v>236306</v>
      </c>
      <c r="ES80" s="118">
        <v>236401</v>
      </c>
      <c r="ET80" s="118">
        <v>236402</v>
      </c>
      <c r="EU80" s="118">
        <v>236403</v>
      </c>
      <c r="EV80" s="118">
        <v>236404</v>
      </c>
      <c r="EW80" s="118">
        <v>236405</v>
      </c>
      <c r="EX80" s="118">
        <v>236406</v>
      </c>
      <c r="EY80" s="118">
        <v>236407</v>
      </c>
      <c r="EZ80" s="118">
        <v>236901</v>
      </c>
      <c r="FA80" s="118">
        <v>237101</v>
      </c>
      <c r="FB80" s="118">
        <v>237102</v>
      </c>
      <c r="FC80" s="118">
        <v>237103</v>
      </c>
      <c r="FD80" s="118">
        <v>237104</v>
      </c>
      <c r="FE80" s="118">
        <v>237105</v>
      </c>
      <c r="FF80" s="118">
        <v>237106</v>
      </c>
      <c r="FG80" s="118">
        <v>237107</v>
      </c>
      <c r="FH80" s="118">
        <v>237201</v>
      </c>
      <c r="FI80" s="118">
        <v>237202</v>
      </c>
      <c r="FJ80" s="118">
        <v>237203</v>
      </c>
      <c r="FK80" s="118">
        <v>237204</v>
      </c>
      <c r="FL80" s="118">
        <v>237205</v>
      </c>
      <c r="FM80" s="118">
        <v>237206</v>
      </c>
      <c r="FN80" s="118">
        <v>237299</v>
      </c>
      <c r="FO80" s="118">
        <v>238101</v>
      </c>
      <c r="FP80" s="118">
        <v>238201</v>
      </c>
      <c r="FQ80" s="118">
        <v>239101</v>
      </c>
      <c r="FR80" s="118">
        <v>239102</v>
      </c>
      <c r="FS80" s="118">
        <v>239201</v>
      </c>
      <c r="FT80" s="118">
        <v>239301</v>
      </c>
      <c r="FU80" s="118">
        <v>239401</v>
      </c>
      <c r="FV80" s="118">
        <v>239501</v>
      </c>
      <c r="FW80" s="118">
        <v>239601</v>
      </c>
      <c r="FX80" s="118">
        <v>239701</v>
      </c>
      <c r="FY80" s="118">
        <v>239801</v>
      </c>
      <c r="FZ80" s="118">
        <v>239802</v>
      </c>
      <c r="GA80" s="118">
        <v>239901</v>
      </c>
      <c r="GB80" s="118">
        <v>239904</v>
      </c>
      <c r="GC80" s="118">
        <v>241201</v>
      </c>
      <c r="GD80" s="118">
        <v>241202</v>
      </c>
      <c r="GE80" s="118">
        <v>241203</v>
      </c>
      <c r="GF80" s="118">
        <v>241204</v>
      </c>
      <c r="GG80" s="118">
        <v>241205</v>
      </c>
      <c r="GH80" s="118">
        <v>261101</v>
      </c>
      <c r="GI80" s="118">
        <v>261201</v>
      </c>
      <c r="GJ80" s="118">
        <v>261301</v>
      </c>
      <c r="GK80" s="118">
        <v>261401</v>
      </c>
      <c r="GL80" s="118">
        <v>261901</v>
      </c>
      <c r="GM80" s="118">
        <v>262101</v>
      </c>
      <c r="GN80" s="118">
        <v>262201</v>
      </c>
      <c r="GO80" s="118">
        <v>262301</v>
      </c>
      <c r="GP80" s="118">
        <v>262401</v>
      </c>
      <c r="GQ80" s="118">
        <v>263101</v>
      </c>
      <c r="GR80" s="118">
        <v>263201</v>
      </c>
      <c r="GS80" s="118">
        <v>263301</v>
      </c>
      <c r="GT80" s="118">
        <v>263401</v>
      </c>
      <c r="GU80" s="118">
        <v>264101</v>
      </c>
      <c r="GV80" s="118">
        <v>264201</v>
      </c>
      <c r="GW80" s="118">
        <v>264301</v>
      </c>
      <c r="GX80" s="118">
        <v>264401</v>
      </c>
      <c r="GY80" s="118">
        <v>264501</v>
      </c>
      <c r="GZ80" s="118">
        <v>264601</v>
      </c>
      <c r="HA80" s="118">
        <v>264701</v>
      </c>
      <c r="HB80" s="118">
        <v>264801</v>
      </c>
      <c r="HC80" s="118">
        <v>265101</v>
      </c>
      <c r="HD80" s="118">
        <v>265201</v>
      </c>
      <c r="HE80" s="118">
        <v>265301</v>
      </c>
      <c r="HF80" s="118">
        <v>265401</v>
      </c>
      <c r="HG80" s="118">
        <v>265501</v>
      </c>
      <c r="HH80" s="118">
        <v>265601</v>
      </c>
      <c r="HI80" s="118">
        <v>265701</v>
      </c>
      <c r="HJ80" s="118">
        <v>265801</v>
      </c>
      <c r="HK80" s="118">
        <v>266101</v>
      </c>
      <c r="HL80" s="118">
        <v>266201</v>
      </c>
      <c r="HM80" s="118">
        <v>267101</v>
      </c>
      <c r="HN80" s="118">
        <v>267201</v>
      </c>
      <c r="HO80" s="118">
        <v>267301</v>
      </c>
      <c r="HP80" s="118">
        <v>267401</v>
      </c>
      <c r="HQ80" s="118">
        <v>267501</v>
      </c>
      <c r="HR80" s="118">
        <v>267601</v>
      </c>
      <c r="HS80" s="118">
        <v>267701</v>
      </c>
      <c r="HT80" s="118">
        <v>267801</v>
      </c>
      <c r="HU80" s="118">
        <v>267901</v>
      </c>
      <c r="HV80" s="118">
        <v>268101</v>
      </c>
      <c r="HW80" s="118">
        <v>268201</v>
      </c>
      <c r="HX80" s="118">
        <v>268301</v>
      </c>
      <c r="HY80" s="118">
        <v>268302</v>
      </c>
      <c r="HZ80" s="118">
        <v>268401</v>
      </c>
      <c r="IA80" s="118">
        <v>268501</v>
      </c>
      <c r="IB80" s="118">
        <v>268601</v>
      </c>
      <c r="IC80" s="118">
        <v>268701</v>
      </c>
      <c r="ID80" s="118">
        <v>268802</v>
      </c>
      <c r="IE80" s="118">
        <v>268803</v>
      </c>
      <c r="IF80" s="118">
        <v>268804</v>
      </c>
      <c r="IG80" s="118">
        <v>268901</v>
      </c>
      <c r="IH80" s="118">
        <v>269101</v>
      </c>
      <c r="II80" s="118">
        <v>269102</v>
      </c>
      <c r="IJ80" s="118">
        <v>269201</v>
      </c>
      <c r="IK80" s="118">
        <v>269202</v>
      </c>
      <c r="IL80" s="118">
        <v>269301</v>
      </c>
      <c r="IM80" s="118">
        <v>269401</v>
      </c>
      <c r="IN80" s="118">
        <v>269501</v>
      </c>
      <c r="IO80" s="118">
        <v>269502</v>
      </c>
      <c r="IP80" s="118">
        <v>269503</v>
      </c>
      <c r="IQ80" s="118">
        <v>2269901</v>
      </c>
      <c r="IR80" s="118">
        <v>271101</v>
      </c>
      <c r="IS80" s="118">
        <v>271201</v>
      </c>
      <c r="IT80" s="118">
        <v>271301</v>
      </c>
      <c r="IU80" s="118">
        <v>271401</v>
      </c>
      <c r="IV80" s="118">
        <v>272101</v>
      </c>
      <c r="IW80" s="118">
        <v>272201</v>
      </c>
      <c r="IX80" s="118">
        <v>272301</v>
      </c>
      <c r="IY80" s="118">
        <v>272401</v>
      </c>
      <c r="IZ80" s="118">
        <v>272501</v>
      </c>
      <c r="JA80" s="118">
        <v>272601</v>
      </c>
      <c r="JB80" s="118">
        <v>272701</v>
      </c>
      <c r="JC80" s="118">
        <v>272801</v>
      </c>
      <c r="JD80" s="118">
        <v>272901</v>
      </c>
      <c r="JE80" s="118">
        <v>273101</v>
      </c>
      <c r="JF80" s="118">
        <v>273201</v>
      </c>
      <c r="JG80" s="118">
        <v>274101</v>
      </c>
      <c r="JH80" s="118">
        <v>274201</v>
      </c>
      <c r="JI80" s="120" t="s">
        <v>0</v>
      </c>
      <c r="JJ80" s="2"/>
      <c r="JK80" s="123"/>
    </row>
    <row r="81" spans="1:271" x14ac:dyDescent="0.25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  <c r="BS81" s="122"/>
      <c r="BT81" s="122"/>
      <c r="BU81" s="122"/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  <c r="GJ81" s="122"/>
      <c r="GK81" s="122"/>
      <c r="GL81" s="122"/>
      <c r="GM81" s="122"/>
      <c r="GN81" s="122"/>
      <c r="GO81" s="122"/>
      <c r="GP81" s="122"/>
      <c r="GQ81" s="122"/>
      <c r="GR81" s="122"/>
      <c r="GS81" s="122"/>
      <c r="GT81" s="122"/>
      <c r="GU81" s="122"/>
      <c r="GV81" s="122"/>
      <c r="GW81" s="122"/>
      <c r="GX81" s="122"/>
      <c r="GY81" s="122"/>
      <c r="GZ81" s="122"/>
      <c r="HA81" s="122"/>
      <c r="HB81" s="122"/>
      <c r="HC81" s="122"/>
      <c r="HD81" s="122"/>
      <c r="HE81" s="122"/>
      <c r="HF81" s="122"/>
      <c r="HG81" s="122"/>
      <c r="HH81" s="122"/>
      <c r="HI81" s="122"/>
      <c r="HJ81" s="122"/>
      <c r="HK81" s="122"/>
      <c r="HL81" s="122"/>
      <c r="HM81" s="122"/>
      <c r="HN81" s="122"/>
      <c r="HO81" s="122"/>
      <c r="HP81" s="122"/>
      <c r="HQ81" s="122"/>
      <c r="HR81" s="122"/>
      <c r="HS81" s="122"/>
      <c r="HT81" s="122"/>
      <c r="HU81" s="122"/>
      <c r="HV81" s="122"/>
      <c r="HW81" s="122"/>
      <c r="HX81" s="122"/>
      <c r="HY81" s="122"/>
      <c r="HZ81" s="122"/>
      <c r="IA81" s="122"/>
      <c r="IB81" s="122"/>
      <c r="IC81" s="122"/>
      <c r="ID81" s="122"/>
      <c r="IE81" s="122"/>
      <c r="IF81" s="122"/>
      <c r="IG81" s="122"/>
      <c r="IH81" s="122"/>
      <c r="II81" s="122"/>
      <c r="IJ81" s="122"/>
      <c r="IK81" s="122"/>
      <c r="IL81" s="122"/>
      <c r="IM81" s="122"/>
      <c r="IN81" s="122"/>
      <c r="IO81" s="122"/>
      <c r="IP81" s="122"/>
      <c r="IQ81" s="122"/>
      <c r="IR81" s="122"/>
      <c r="IS81" s="122"/>
      <c r="IT81" s="122"/>
      <c r="IU81" s="122"/>
      <c r="IV81" s="122"/>
      <c r="IW81" s="122"/>
      <c r="IX81" s="122"/>
      <c r="IY81" s="122"/>
      <c r="IZ81" s="122"/>
      <c r="JA81" s="122"/>
      <c r="JB81" s="122"/>
      <c r="JC81" s="122"/>
      <c r="JD81" s="122"/>
      <c r="JE81" s="122"/>
      <c r="JF81" s="122"/>
      <c r="JG81" s="122"/>
      <c r="JH81" s="122"/>
      <c r="JI81" s="119">
        <f>SUM(A81:JH81)</f>
        <v>0</v>
      </c>
      <c r="JJ81" s="316"/>
      <c r="JK81" s="2"/>
    </row>
    <row r="82" spans="1:271" x14ac:dyDescent="0.25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 t="shared" ref="JI82:JI94" si="10">SUM(A82:JH82)</f>
        <v>0</v>
      </c>
      <c r="JJ82" s="2"/>
      <c r="JK82" s="2"/>
    </row>
    <row r="83" spans="1:271" x14ac:dyDescent="0.25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si="10"/>
        <v>0</v>
      </c>
      <c r="JJ83" s="2"/>
      <c r="JK83" s="2"/>
    </row>
    <row r="84" spans="1:271" x14ac:dyDescent="0.25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10"/>
        <v>0</v>
      </c>
      <c r="JJ84" s="2"/>
      <c r="JK84" s="2"/>
    </row>
    <row r="85" spans="1:271" x14ac:dyDescent="0.2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10"/>
        <v>0</v>
      </c>
      <c r="JJ85" s="2"/>
      <c r="JK85" s="2"/>
    </row>
    <row r="86" spans="1:271" x14ac:dyDescent="0.25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10"/>
        <v>0</v>
      </c>
      <c r="JJ86" s="2"/>
      <c r="JK86" s="2"/>
    </row>
    <row r="87" spans="1:271" x14ac:dyDescent="0.25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10"/>
        <v>0</v>
      </c>
      <c r="JJ87" s="2"/>
      <c r="JK87" s="2"/>
    </row>
    <row r="88" spans="1:271" x14ac:dyDescent="0.25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>
        <f t="shared" si="10"/>
        <v>0</v>
      </c>
      <c r="JJ88" s="2"/>
      <c r="JK88" s="2"/>
    </row>
    <row r="89" spans="1:271" x14ac:dyDescent="0.25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19">
        <f t="shared" si="10"/>
        <v>0</v>
      </c>
      <c r="JJ89" s="2"/>
      <c r="JK89" s="2"/>
    </row>
    <row r="90" spans="1:271" x14ac:dyDescent="0.25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19">
        <f t="shared" si="10"/>
        <v>0</v>
      </c>
      <c r="JJ90" s="2"/>
      <c r="JK90" s="2"/>
    </row>
    <row r="91" spans="1:271" x14ac:dyDescent="0.25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>
        <f t="shared" si="10"/>
        <v>0</v>
      </c>
      <c r="JJ91" s="2"/>
      <c r="JK91" s="2"/>
    </row>
    <row r="92" spans="1:271" x14ac:dyDescent="0.25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si="10"/>
        <v>0</v>
      </c>
      <c r="JJ92" s="2"/>
      <c r="JK92" s="2"/>
    </row>
    <row r="93" spans="1:271" x14ac:dyDescent="0.25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10"/>
        <v>0</v>
      </c>
      <c r="JJ93" s="2"/>
      <c r="JK93" s="2"/>
    </row>
    <row r="94" spans="1:271" x14ac:dyDescent="0.25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10"/>
        <v>0</v>
      </c>
      <c r="JJ94" s="2"/>
      <c r="JK94" s="2"/>
    </row>
    <row r="95" spans="1:271" x14ac:dyDescent="0.25">
      <c r="A95" s="119">
        <f>SUM(A81:A94)</f>
        <v>0</v>
      </c>
      <c r="B95" s="119">
        <f t="shared" ref="B95:BM95" si="11">SUM(B81:B94)</f>
        <v>0</v>
      </c>
      <c r="C95" s="119">
        <f t="shared" si="11"/>
        <v>0</v>
      </c>
      <c r="D95" s="119">
        <f t="shared" si="11"/>
        <v>0</v>
      </c>
      <c r="E95" s="119">
        <f t="shared" si="11"/>
        <v>0</v>
      </c>
      <c r="F95" s="119">
        <f t="shared" si="11"/>
        <v>0</v>
      </c>
      <c r="G95" s="119">
        <f t="shared" si="11"/>
        <v>0</v>
      </c>
      <c r="H95" s="119">
        <f t="shared" si="11"/>
        <v>0</v>
      </c>
      <c r="I95" s="119">
        <f t="shared" si="11"/>
        <v>0</v>
      </c>
      <c r="J95" s="119">
        <f t="shared" si="11"/>
        <v>0</v>
      </c>
      <c r="K95" s="119">
        <f t="shared" si="11"/>
        <v>0</v>
      </c>
      <c r="L95" s="119">
        <f t="shared" si="11"/>
        <v>0</v>
      </c>
      <c r="M95" s="119">
        <f t="shared" si="11"/>
        <v>0</v>
      </c>
      <c r="N95" s="119">
        <f t="shared" si="11"/>
        <v>0</v>
      </c>
      <c r="O95" s="119">
        <f t="shared" si="11"/>
        <v>0</v>
      </c>
      <c r="P95" s="119">
        <f t="shared" si="11"/>
        <v>0</v>
      </c>
      <c r="Q95" s="119">
        <f t="shared" si="11"/>
        <v>0</v>
      </c>
      <c r="R95" s="119">
        <f t="shared" si="11"/>
        <v>0</v>
      </c>
      <c r="S95" s="119">
        <f t="shared" si="11"/>
        <v>0</v>
      </c>
      <c r="T95" s="119">
        <f t="shared" si="11"/>
        <v>0</v>
      </c>
      <c r="U95" s="119">
        <f t="shared" si="11"/>
        <v>0</v>
      </c>
      <c r="V95" s="119">
        <f t="shared" si="11"/>
        <v>0</v>
      </c>
      <c r="W95" s="119">
        <f t="shared" si="11"/>
        <v>0</v>
      </c>
      <c r="X95" s="119">
        <f t="shared" si="11"/>
        <v>0</v>
      </c>
      <c r="Y95" s="119">
        <f t="shared" si="11"/>
        <v>0</v>
      </c>
      <c r="Z95" s="119">
        <f t="shared" si="11"/>
        <v>0</v>
      </c>
      <c r="AA95" s="119">
        <f t="shared" si="11"/>
        <v>0</v>
      </c>
      <c r="AB95" s="119">
        <f t="shared" si="11"/>
        <v>0</v>
      </c>
      <c r="AC95" s="119">
        <f t="shared" si="11"/>
        <v>0</v>
      </c>
      <c r="AD95" s="119">
        <f t="shared" si="11"/>
        <v>0</v>
      </c>
      <c r="AE95" s="119">
        <f t="shared" si="11"/>
        <v>0</v>
      </c>
      <c r="AF95" s="119">
        <f t="shared" si="11"/>
        <v>0</v>
      </c>
      <c r="AG95" s="119">
        <f t="shared" si="11"/>
        <v>0</v>
      </c>
      <c r="AH95" s="119">
        <f t="shared" si="11"/>
        <v>0</v>
      </c>
      <c r="AI95" s="119">
        <f t="shared" si="11"/>
        <v>0</v>
      </c>
      <c r="AJ95" s="119">
        <f t="shared" si="11"/>
        <v>0</v>
      </c>
      <c r="AK95" s="119">
        <f t="shared" si="11"/>
        <v>0</v>
      </c>
      <c r="AL95" s="119">
        <f t="shared" si="11"/>
        <v>0</v>
      </c>
      <c r="AM95" s="119">
        <f t="shared" si="11"/>
        <v>0</v>
      </c>
      <c r="AN95" s="119">
        <f t="shared" si="11"/>
        <v>0</v>
      </c>
      <c r="AO95" s="119">
        <f t="shared" si="11"/>
        <v>0</v>
      </c>
      <c r="AP95" s="119">
        <f t="shared" si="11"/>
        <v>0</v>
      </c>
      <c r="AQ95" s="119">
        <f t="shared" si="11"/>
        <v>0</v>
      </c>
      <c r="AR95" s="119">
        <f t="shared" si="11"/>
        <v>0</v>
      </c>
      <c r="AS95" s="119">
        <f t="shared" si="11"/>
        <v>0</v>
      </c>
      <c r="AT95" s="119">
        <f t="shared" si="11"/>
        <v>0</v>
      </c>
      <c r="AU95" s="119">
        <f t="shared" si="11"/>
        <v>0</v>
      </c>
      <c r="AV95" s="119">
        <f t="shared" si="11"/>
        <v>0</v>
      </c>
      <c r="AW95" s="119">
        <f t="shared" si="11"/>
        <v>0</v>
      </c>
      <c r="AX95" s="119">
        <f t="shared" si="11"/>
        <v>0</v>
      </c>
      <c r="AY95" s="119">
        <f t="shared" si="11"/>
        <v>0</v>
      </c>
      <c r="AZ95" s="119">
        <f t="shared" si="11"/>
        <v>0</v>
      </c>
      <c r="BA95" s="119">
        <f t="shared" si="11"/>
        <v>0</v>
      </c>
      <c r="BB95" s="119">
        <f t="shared" si="11"/>
        <v>0</v>
      </c>
      <c r="BC95" s="119">
        <f t="shared" si="11"/>
        <v>0</v>
      </c>
      <c r="BD95" s="119">
        <f t="shared" si="11"/>
        <v>0</v>
      </c>
      <c r="BE95" s="119">
        <f t="shared" si="11"/>
        <v>0</v>
      </c>
      <c r="BF95" s="119">
        <f t="shared" si="11"/>
        <v>0</v>
      </c>
      <c r="BG95" s="119">
        <f t="shared" si="11"/>
        <v>0</v>
      </c>
      <c r="BH95" s="119">
        <f t="shared" si="11"/>
        <v>0</v>
      </c>
      <c r="BI95" s="119">
        <f t="shared" si="11"/>
        <v>0</v>
      </c>
      <c r="BJ95" s="119">
        <f t="shared" si="11"/>
        <v>0</v>
      </c>
      <c r="BK95" s="119">
        <f t="shared" si="11"/>
        <v>0</v>
      </c>
      <c r="BL95" s="119">
        <f t="shared" si="11"/>
        <v>0</v>
      </c>
      <c r="BM95" s="119">
        <f t="shared" si="11"/>
        <v>0</v>
      </c>
      <c r="BN95" s="119">
        <f t="shared" ref="BN95:DY95" si="12">SUM(BN81:BN94)</f>
        <v>0</v>
      </c>
      <c r="BO95" s="119">
        <f t="shared" si="12"/>
        <v>0</v>
      </c>
      <c r="BP95" s="119">
        <f t="shared" si="12"/>
        <v>0</v>
      </c>
      <c r="BQ95" s="119">
        <f t="shared" si="12"/>
        <v>0</v>
      </c>
      <c r="BR95" s="119">
        <f t="shared" si="12"/>
        <v>0</v>
      </c>
      <c r="BS95" s="119">
        <f t="shared" si="12"/>
        <v>0</v>
      </c>
      <c r="BT95" s="119">
        <f t="shared" si="12"/>
        <v>0</v>
      </c>
      <c r="BU95" s="119">
        <f t="shared" si="12"/>
        <v>0</v>
      </c>
      <c r="BV95" s="119">
        <f t="shared" si="12"/>
        <v>0</v>
      </c>
      <c r="BW95" s="119">
        <f t="shared" si="12"/>
        <v>0</v>
      </c>
      <c r="BX95" s="119">
        <f t="shared" si="12"/>
        <v>0</v>
      </c>
      <c r="BY95" s="119">
        <f t="shared" si="12"/>
        <v>0</v>
      </c>
      <c r="BZ95" s="119">
        <f t="shared" si="12"/>
        <v>0</v>
      </c>
      <c r="CA95" s="119">
        <f t="shared" si="12"/>
        <v>0</v>
      </c>
      <c r="CB95" s="119">
        <f t="shared" si="12"/>
        <v>0</v>
      </c>
      <c r="CC95" s="119">
        <f t="shared" si="12"/>
        <v>0</v>
      </c>
      <c r="CD95" s="119">
        <f t="shared" si="12"/>
        <v>0</v>
      </c>
      <c r="CE95" s="119">
        <f t="shared" si="12"/>
        <v>0</v>
      </c>
      <c r="CF95" s="119">
        <f t="shared" si="12"/>
        <v>0</v>
      </c>
      <c r="CG95" s="119">
        <f t="shared" si="12"/>
        <v>0</v>
      </c>
      <c r="CH95" s="119">
        <f t="shared" si="12"/>
        <v>0</v>
      </c>
      <c r="CI95" s="119">
        <f t="shared" si="12"/>
        <v>0</v>
      </c>
      <c r="CJ95" s="119">
        <f t="shared" si="12"/>
        <v>0</v>
      </c>
      <c r="CK95" s="119">
        <f t="shared" si="12"/>
        <v>0</v>
      </c>
      <c r="CL95" s="119">
        <f t="shared" si="12"/>
        <v>0</v>
      </c>
      <c r="CM95" s="119">
        <f t="shared" si="12"/>
        <v>0</v>
      </c>
      <c r="CN95" s="119">
        <f t="shared" si="12"/>
        <v>0</v>
      </c>
      <c r="CO95" s="119">
        <f t="shared" si="12"/>
        <v>0</v>
      </c>
      <c r="CP95" s="119">
        <f t="shared" si="12"/>
        <v>0</v>
      </c>
      <c r="CQ95" s="119">
        <f t="shared" si="12"/>
        <v>0</v>
      </c>
      <c r="CR95" s="119">
        <f t="shared" si="12"/>
        <v>0</v>
      </c>
      <c r="CS95" s="119">
        <f t="shared" si="12"/>
        <v>0</v>
      </c>
      <c r="CT95" s="119">
        <f t="shared" si="12"/>
        <v>0</v>
      </c>
      <c r="CU95" s="119">
        <f t="shared" si="12"/>
        <v>0</v>
      </c>
      <c r="CV95" s="119">
        <f t="shared" si="12"/>
        <v>0</v>
      </c>
      <c r="CW95" s="119">
        <f t="shared" si="12"/>
        <v>0</v>
      </c>
      <c r="CX95" s="119">
        <f t="shared" si="12"/>
        <v>0</v>
      </c>
      <c r="CY95" s="119">
        <f t="shared" si="12"/>
        <v>0</v>
      </c>
      <c r="CZ95" s="119">
        <f t="shared" si="12"/>
        <v>0</v>
      </c>
      <c r="DA95" s="119">
        <f t="shared" si="12"/>
        <v>0</v>
      </c>
      <c r="DB95" s="119">
        <f t="shared" si="12"/>
        <v>0</v>
      </c>
      <c r="DC95" s="119">
        <f t="shared" si="12"/>
        <v>0</v>
      </c>
      <c r="DD95" s="119">
        <f t="shared" si="12"/>
        <v>0</v>
      </c>
      <c r="DE95" s="119">
        <f t="shared" si="12"/>
        <v>0</v>
      </c>
      <c r="DF95" s="119">
        <f t="shared" si="12"/>
        <v>0</v>
      </c>
      <c r="DG95" s="119">
        <f t="shared" si="12"/>
        <v>0</v>
      </c>
      <c r="DH95" s="119">
        <f t="shared" si="12"/>
        <v>0</v>
      </c>
      <c r="DI95" s="119">
        <f t="shared" si="12"/>
        <v>0</v>
      </c>
      <c r="DJ95" s="119">
        <f t="shared" si="12"/>
        <v>0</v>
      </c>
      <c r="DK95" s="119">
        <f t="shared" si="12"/>
        <v>0</v>
      </c>
      <c r="DL95" s="119">
        <f t="shared" si="12"/>
        <v>0</v>
      </c>
      <c r="DM95" s="119">
        <f t="shared" si="12"/>
        <v>0</v>
      </c>
      <c r="DN95" s="119">
        <f t="shared" si="12"/>
        <v>0</v>
      </c>
      <c r="DO95" s="119">
        <f t="shared" si="12"/>
        <v>0</v>
      </c>
      <c r="DP95" s="119">
        <f t="shared" si="12"/>
        <v>0</v>
      </c>
      <c r="DQ95" s="119">
        <f t="shared" si="12"/>
        <v>0</v>
      </c>
      <c r="DR95" s="119">
        <f t="shared" si="12"/>
        <v>0</v>
      </c>
      <c r="DS95" s="119">
        <f t="shared" si="12"/>
        <v>0</v>
      </c>
      <c r="DT95" s="119">
        <f t="shared" si="12"/>
        <v>0</v>
      </c>
      <c r="DU95" s="119">
        <f t="shared" si="12"/>
        <v>0</v>
      </c>
      <c r="DV95" s="119">
        <f t="shared" si="12"/>
        <v>0</v>
      </c>
      <c r="DW95" s="119">
        <f t="shared" si="12"/>
        <v>0</v>
      </c>
      <c r="DX95" s="119">
        <f t="shared" si="12"/>
        <v>0</v>
      </c>
      <c r="DY95" s="119">
        <f t="shared" si="12"/>
        <v>0</v>
      </c>
      <c r="DZ95" s="119">
        <f t="shared" ref="DZ95:GK95" si="13">SUM(DZ81:DZ94)</f>
        <v>0</v>
      </c>
      <c r="EA95" s="119">
        <f t="shared" si="13"/>
        <v>0</v>
      </c>
      <c r="EB95" s="119">
        <f t="shared" si="13"/>
        <v>0</v>
      </c>
      <c r="EC95" s="119">
        <f t="shared" si="13"/>
        <v>0</v>
      </c>
      <c r="ED95" s="119">
        <f t="shared" si="13"/>
        <v>0</v>
      </c>
      <c r="EE95" s="119">
        <f t="shared" si="13"/>
        <v>0</v>
      </c>
      <c r="EF95" s="119">
        <f t="shared" si="13"/>
        <v>0</v>
      </c>
      <c r="EG95" s="119">
        <f t="shared" si="13"/>
        <v>0</v>
      </c>
      <c r="EH95" s="119">
        <f t="shared" si="13"/>
        <v>0</v>
      </c>
      <c r="EI95" s="119">
        <f t="shared" si="13"/>
        <v>0</v>
      </c>
      <c r="EJ95" s="119">
        <f t="shared" si="13"/>
        <v>0</v>
      </c>
      <c r="EK95" s="119">
        <f t="shared" si="13"/>
        <v>0</v>
      </c>
      <c r="EL95" s="119">
        <f t="shared" si="13"/>
        <v>0</v>
      </c>
      <c r="EM95" s="119">
        <f t="shared" si="13"/>
        <v>0</v>
      </c>
      <c r="EN95" s="119">
        <f t="shared" si="13"/>
        <v>0</v>
      </c>
      <c r="EO95" s="119">
        <f t="shared" si="13"/>
        <v>0</v>
      </c>
      <c r="EP95" s="119">
        <f t="shared" si="13"/>
        <v>0</v>
      </c>
      <c r="EQ95" s="119">
        <f t="shared" si="13"/>
        <v>0</v>
      </c>
      <c r="ER95" s="119">
        <f t="shared" si="13"/>
        <v>0</v>
      </c>
      <c r="ES95" s="119">
        <f t="shared" si="13"/>
        <v>0</v>
      </c>
      <c r="ET95" s="119">
        <f t="shared" si="13"/>
        <v>0</v>
      </c>
      <c r="EU95" s="119">
        <f t="shared" si="13"/>
        <v>0</v>
      </c>
      <c r="EV95" s="119">
        <f t="shared" si="13"/>
        <v>0</v>
      </c>
      <c r="EW95" s="119">
        <f t="shared" si="13"/>
        <v>0</v>
      </c>
      <c r="EX95" s="119">
        <f t="shared" si="13"/>
        <v>0</v>
      </c>
      <c r="EY95" s="119">
        <f t="shared" si="13"/>
        <v>0</v>
      </c>
      <c r="EZ95" s="119">
        <f t="shared" si="13"/>
        <v>0</v>
      </c>
      <c r="FA95" s="119">
        <f t="shared" si="13"/>
        <v>0</v>
      </c>
      <c r="FB95" s="119">
        <f t="shared" si="13"/>
        <v>0</v>
      </c>
      <c r="FC95" s="119">
        <f t="shared" si="13"/>
        <v>0</v>
      </c>
      <c r="FD95" s="119">
        <f t="shared" si="13"/>
        <v>0</v>
      </c>
      <c r="FE95" s="119">
        <f t="shared" si="13"/>
        <v>0</v>
      </c>
      <c r="FF95" s="119">
        <f t="shared" si="13"/>
        <v>0</v>
      </c>
      <c r="FG95" s="119">
        <f t="shared" si="13"/>
        <v>0</v>
      </c>
      <c r="FH95" s="119">
        <f t="shared" si="13"/>
        <v>0</v>
      </c>
      <c r="FI95" s="119">
        <f t="shared" si="13"/>
        <v>0</v>
      </c>
      <c r="FJ95" s="119">
        <f t="shared" si="13"/>
        <v>0</v>
      </c>
      <c r="FK95" s="119">
        <f t="shared" si="13"/>
        <v>0</v>
      </c>
      <c r="FL95" s="119">
        <f t="shared" si="13"/>
        <v>0</v>
      </c>
      <c r="FM95" s="119">
        <f t="shared" si="13"/>
        <v>0</v>
      </c>
      <c r="FN95" s="119">
        <f t="shared" si="13"/>
        <v>0</v>
      </c>
      <c r="FO95" s="119">
        <f t="shared" si="13"/>
        <v>0</v>
      </c>
      <c r="FP95" s="119">
        <f t="shared" si="13"/>
        <v>0</v>
      </c>
      <c r="FQ95" s="119">
        <f t="shared" si="13"/>
        <v>0</v>
      </c>
      <c r="FR95" s="119">
        <f t="shared" si="13"/>
        <v>0</v>
      </c>
      <c r="FS95" s="119">
        <f t="shared" si="13"/>
        <v>0</v>
      </c>
      <c r="FT95" s="119">
        <f t="shared" si="13"/>
        <v>0</v>
      </c>
      <c r="FU95" s="119">
        <f t="shared" si="13"/>
        <v>0</v>
      </c>
      <c r="FV95" s="119">
        <f t="shared" si="13"/>
        <v>0</v>
      </c>
      <c r="FW95" s="119">
        <f t="shared" si="13"/>
        <v>0</v>
      </c>
      <c r="FX95" s="119">
        <f t="shared" si="13"/>
        <v>0</v>
      </c>
      <c r="FY95" s="119">
        <f t="shared" si="13"/>
        <v>0</v>
      </c>
      <c r="FZ95" s="119">
        <f t="shared" si="13"/>
        <v>0</v>
      </c>
      <c r="GA95" s="119">
        <f t="shared" si="13"/>
        <v>0</v>
      </c>
      <c r="GB95" s="119">
        <f t="shared" si="13"/>
        <v>0</v>
      </c>
      <c r="GC95" s="119">
        <f t="shared" si="13"/>
        <v>0</v>
      </c>
      <c r="GD95" s="119">
        <f t="shared" si="13"/>
        <v>0</v>
      </c>
      <c r="GE95" s="119">
        <f t="shared" si="13"/>
        <v>0</v>
      </c>
      <c r="GF95" s="119">
        <f t="shared" si="13"/>
        <v>0</v>
      </c>
      <c r="GG95" s="119">
        <f t="shared" si="13"/>
        <v>0</v>
      </c>
      <c r="GH95" s="119">
        <f t="shared" si="13"/>
        <v>0</v>
      </c>
      <c r="GI95" s="119">
        <f t="shared" si="13"/>
        <v>0</v>
      </c>
      <c r="GJ95" s="119">
        <f t="shared" si="13"/>
        <v>0</v>
      </c>
      <c r="GK95" s="119">
        <f t="shared" si="13"/>
        <v>0</v>
      </c>
      <c r="GL95" s="119">
        <f t="shared" ref="GL95:IW95" si="14">SUM(GL81:GL94)</f>
        <v>0</v>
      </c>
      <c r="GM95" s="119">
        <f t="shared" si="14"/>
        <v>0</v>
      </c>
      <c r="GN95" s="119">
        <f t="shared" si="14"/>
        <v>0</v>
      </c>
      <c r="GO95" s="119">
        <f t="shared" si="14"/>
        <v>0</v>
      </c>
      <c r="GP95" s="119">
        <f t="shared" si="14"/>
        <v>0</v>
      </c>
      <c r="GQ95" s="119">
        <f t="shared" si="14"/>
        <v>0</v>
      </c>
      <c r="GR95" s="119">
        <f t="shared" si="14"/>
        <v>0</v>
      </c>
      <c r="GS95" s="119">
        <f t="shared" si="14"/>
        <v>0</v>
      </c>
      <c r="GT95" s="119">
        <f t="shared" si="14"/>
        <v>0</v>
      </c>
      <c r="GU95" s="119">
        <f t="shared" si="14"/>
        <v>0</v>
      </c>
      <c r="GV95" s="119">
        <f t="shared" si="14"/>
        <v>0</v>
      </c>
      <c r="GW95" s="119">
        <f t="shared" si="14"/>
        <v>0</v>
      </c>
      <c r="GX95" s="119">
        <f t="shared" si="14"/>
        <v>0</v>
      </c>
      <c r="GY95" s="119">
        <f t="shared" si="14"/>
        <v>0</v>
      </c>
      <c r="GZ95" s="119">
        <f t="shared" si="14"/>
        <v>0</v>
      </c>
      <c r="HA95" s="119">
        <f t="shared" si="14"/>
        <v>0</v>
      </c>
      <c r="HB95" s="119">
        <f t="shared" si="14"/>
        <v>0</v>
      </c>
      <c r="HC95" s="119">
        <f t="shared" si="14"/>
        <v>0</v>
      </c>
      <c r="HD95" s="119">
        <f t="shared" si="14"/>
        <v>0</v>
      </c>
      <c r="HE95" s="119">
        <f t="shared" si="14"/>
        <v>0</v>
      </c>
      <c r="HF95" s="119">
        <f t="shared" si="14"/>
        <v>0</v>
      </c>
      <c r="HG95" s="119">
        <f t="shared" si="14"/>
        <v>0</v>
      </c>
      <c r="HH95" s="119">
        <f t="shared" si="14"/>
        <v>0</v>
      </c>
      <c r="HI95" s="119">
        <f t="shared" si="14"/>
        <v>0</v>
      </c>
      <c r="HJ95" s="119">
        <f t="shared" si="14"/>
        <v>0</v>
      </c>
      <c r="HK95" s="119">
        <f t="shared" si="14"/>
        <v>0</v>
      </c>
      <c r="HL95" s="119">
        <f t="shared" si="14"/>
        <v>0</v>
      </c>
      <c r="HM95" s="119">
        <f t="shared" si="14"/>
        <v>0</v>
      </c>
      <c r="HN95" s="119">
        <f t="shared" si="14"/>
        <v>0</v>
      </c>
      <c r="HO95" s="119">
        <f t="shared" si="14"/>
        <v>0</v>
      </c>
      <c r="HP95" s="119">
        <f t="shared" si="14"/>
        <v>0</v>
      </c>
      <c r="HQ95" s="119">
        <f t="shared" si="14"/>
        <v>0</v>
      </c>
      <c r="HR95" s="119">
        <f t="shared" si="14"/>
        <v>0</v>
      </c>
      <c r="HS95" s="119">
        <f t="shared" si="14"/>
        <v>0</v>
      </c>
      <c r="HT95" s="119">
        <f t="shared" si="14"/>
        <v>0</v>
      </c>
      <c r="HU95" s="119">
        <f t="shared" si="14"/>
        <v>0</v>
      </c>
      <c r="HV95" s="119">
        <f t="shared" si="14"/>
        <v>0</v>
      </c>
      <c r="HW95" s="119">
        <f t="shared" si="14"/>
        <v>0</v>
      </c>
      <c r="HX95" s="119">
        <f t="shared" si="14"/>
        <v>0</v>
      </c>
      <c r="HY95" s="119">
        <f t="shared" si="14"/>
        <v>0</v>
      </c>
      <c r="HZ95" s="119">
        <f t="shared" si="14"/>
        <v>0</v>
      </c>
      <c r="IA95" s="119">
        <f t="shared" si="14"/>
        <v>0</v>
      </c>
      <c r="IB95" s="119">
        <f t="shared" si="14"/>
        <v>0</v>
      </c>
      <c r="IC95" s="119">
        <f t="shared" si="14"/>
        <v>0</v>
      </c>
      <c r="ID95" s="119">
        <f t="shared" si="14"/>
        <v>0</v>
      </c>
      <c r="IE95" s="119">
        <f t="shared" si="14"/>
        <v>0</v>
      </c>
      <c r="IF95" s="119">
        <f t="shared" si="14"/>
        <v>0</v>
      </c>
      <c r="IG95" s="119">
        <f t="shared" si="14"/>
        <v>0</v>
      </c>
      <c r="IH95" s="119">
        <f t="shared" si="14"/>
        <v>0</v>
      </c>
      <c r="II95" s="119">
        <f t="shared" si="14"/>
        <v>0</v>
      </c>
      <c r="IJ95" s="119">
        <f t="shared" si="14"/>
        <v>0</v>
      </c>
      <c r="IK95" s="119">
        <f t="shared" si="14"/>
        <v>0</v>
      </c>
      <c r="IL95" s="119">
        <f t="shared" si="14"/>
        <v>0</v>
      </c>
      <c r="IM95" s="119">
        <f t="shared" si="14"/>
        <v>0</v>
      </c>
      <c r="IN95" s="119">
        <f t="shared" si="14"/>
        <v>0</v>
      </c>
      <c r="IO95" s="119">
        <f t="shared" si="14"/>
        <v>0</v>
      </c>
      <c r="IP95" s="119">
        <f t="shared" si="14"/>
        <v>0</v>
      </c>
      <c r="IQ95" s="119">
        <f t="shared" si="14"/>
        <v>0</v>
      </c>
      <c r="IR95" s="119">
        <f t="shared" si="14"/>
        <v>0</v>
      </c>
      <c r="IS95" s="119">
        <f t="shared" si="14"/>
        <v>0</v>
      </c>
      <c r="IT95" s="119">
        <f t="shared" si="14"/>
        <v>0</v>
      </c>
      <c r="IU95" s="119">
        <f t="shared" si="14"/>
        <v>0</v>
      </c>
      <c r="IV95" s="119">
        <f t="shared" si="14"/>
        <v>0</v>
      </c>
      <c r="IW95" s="119">
        <f t="shared" si="14"/>
        <v>0</v>
      </c>
      <c r="IX95" s="119">
        <f t="shared" ref="IX95:JH95" si="15">SUM(IX81:IX94)</f>
        <v>0</v>
      </c>
      <c r="IY95" s="119">
        <f t="shared" si="15"/>
        <v>0</v>
      </c>
      <c r="IZ95" s="119">
        <f t="shared" si="15"/>
        <v>0</v>
      </c>
      <c r="JA95" s="119">
        <f t="shared" si="15"/>
        <v>0</v>
      </c>
      <c r="JB95" s="119">
        <f t="shared" si="15"/>
        <v>0</v>
      </c>
      <c r="JC95" s="119">
        <f t="shared" si="15"/>
        <v>0</v>
      </c>
      <c r="JD95" s="119">
        <f t="shared" si="15"/>
        <v>0</v>
      </c>
      <c r="JE95" s="119">
        <f t="shared" si="15"/>
        <v>0</v>
      </c>
      <c r="JF95" s="119">
        <f t="shared" si="15"/>
        <v>0</v>
      </c>
      <c r="JG95" s="119">
        <f t="shared" si="15"/>
        <v>0</v>
      </c>
      <c r="JH95" s="119">
        <f t="shared" si="15"/>
        <v>0</v>
      </c>
      <c r="JI95" s="119">
        <f>SUM(JI81:JI94)</f>
        <v>0</v>
      </c>
      <c r="JJ95" s="2"/>
      <c r="JK95" s="2"/>
    </row>
    <row r="96" spans="1:271" x14ac:dyDescent="0.25">
      <c r="A96" s="119">
        <f>A79+A95</f>
        <v>0</v>
      </c>
      <c r="B96" s="119">
        <f t="shared" ref="B96:BM96" si="16">B79+B95</f>
        <v>0</v>
      </c>
      <c r="C96" s="119">
        <f t="shared" si="16"/>
        <v>0</v>
      </c>
      <c r="D96" s="119">
        <f t="shared" si="16"/>
        <v>0</v>
      </c>
      <c r="E96" s="119">
        <f t="shared" si="16"/>
        <v>0</v>
      </c>
      <c r="F96" s="119">
        <f t="shared" si="16"/>
        <v>0</v>
      </c>
      <c r="G96" s="119">
        <f t="shared" si="16"/>
        <v>0</v>
      </c>
      <c r="H96" s="119">
        <f t="shared" si="16"/>
        <v>0</v>
      </c>
      <c r="I96" s="119">
        <f t="shared" si="16"/>
        <v>0</v>
      </c>
      <c r="J96" s="119">
        <f t="shared" si="16"/>
        <v>0</v>
      </c>
      <c r="K96" s="119">
        <f t="shared" si="16"/>
        <v>0</v>
      </c>
      <c r="L96" s="119">
        <f t="shared" si="16"/>
        <v>0</v>
      </c>
      <c r="M96" s="119">
        <f t="shared" si="16"/>
        <v>0</v>
      </c>
      <c r="N96" s="119">
        <f t="shared" si="16"/>
        <v>0</v>
      </c>
      <c r="O96" s="119">
        <f t="shared" si="16"/>
        <v>0</v>
      </c>
      <c r="P96" s="119">
        <f t="shared" si="16"/>
        <v>0</v>
      </c>
      <c r="Q96" s="119">
        <f t="shared" si="16"/>
        <v>0</v>
      </c>
      <c r="R96" s="119">
        <f t="shared" si="16"/>
        <v>0</v>
      </c>
      <c r="S96" s="119">
        <f t="shared" si="16"/>
        <v>0</v>
      </c>
      <c r="T96" s="119">
        <f t="shared" si="16"/>
        <v>0</v>
      </c>
      <c r="U96" s="119">
        <f t="shared" si="16"/>
        <v>0</v>
      </c>
      <c r="V96" s="119">
        <f t="shared" si="16"/>
        <v>0</v>
      </c>
      <c r="W96" s="119">
        <f t="shared" si="16"/>
        <v>0</v>
      </c>
      <c r="X96" s="119">
        <f t="shared" si="16"/>
        <v>5231553.59</v>
      </c>
      <c r="Y96" s="119">
        <f t="shared" si="16"/>
        <v>0</v>
      </c>
      <c r="Z96" s="119">
        <f t="shared" si="16"/>
        <v>0</v>
      </c>
      <c r="AA96" s="119">
        <f t="shared" si="16"/>
        <v>0</v>
      </c>
      <c r="AB96" s="119">
        <f t="shared" si="16"/>
        <v>0</v>
      </c>
      <c r="AC96" s="119">
        <f t="shared" si="16"/>
        <v>0</v>
      </c>
      <c r="AD96" s="119">
        <f t="shared" si="16"/>
        <v>0</v>
      </c>
      <c r="AE96" s="119">
        <f t="shared" si="16"/>
        <v>0</v>
      </c>
      <c r="AF96" s="119">
        <f t="shared" si="16"/>
        <v>0</v>
      </c>
      <c r="AG96" s="119">
        <f t="shared" si="16"/>
        <v>0</v>
      </c>
      <c r="AH96" s="119">
        <f t="shared" si="16"/>
        <v>0</v>
      </c>
      <c r="AI96" s="119">
        <f t="shared" si="16"/>
        <v>0</v>
      </c>
      <c r="AJ96" s="119">
        <f t="shared" si="16"/>
        <v>0</v>
      </c>
      <c r="AK96" s="119">
        <f t="shared" si="16"/>
        <v>0</v>
      </c>
      <c r="AL96" s="119">
        <f t="shared" si="16"/>
        <v>0</v>
      </c>
      <c r="AM96" s="119">
        <f t="shared" si="16"/>
        <v>0</v>
      </c>
      <c r="AN96" s="119">
        <f t="shared" si="16"/>
        <v>0</v>
      </c>
      <c r="AO96" s="119">
        <f t="shared" si="16"/>
        <v>0</v>
      </c>
      <c r="AP96" s="119">
        <f t="shared" si="16"/>
        <v>0</v>
      </c>
      <c r="AQ96" s="119">
        <f t="shared" si="16"/>
        <v>211191.19</v>
      </c>
      <c r="AR96" s="119">
        <f t="shared" si="16"/>
        <v>0</v>
      </c>
      <c r="AS96" s="119">
        <f t="shared" si="16"/>
        <v>0</v>
      </c>
      <c r="AT96" s="119">
        <f t="shared" si="16"/>
        <v>0</v>
      </c>
      <c r="AU96" s="119">
        <f t="shared" si="16"/>
        <v>0</v>
      </c>
      <c r="AV96" s="119">
        <f t="shared" si="16"/>
        <v>0</v>
      </c>
      <c r="AW96" s="119">
        <f t="shared" si="16"/>
        <v>1520000</v>
      </c>
      <c r="AX96" s="119">
        <f t="shared" si="16"/>
        <v>0</v>
      </c>
      <c r="AY96" s="119">
        <f t="shared" si="16"/>
        <v>0</v>
      </c>
      <c r="AZ96" s="119">
        <f t="shared" si="16"/>
        <v>0</v>
      </c>
      <c r="BA96" s="119">
        <f t="shared" si="16"/>
        <v>0</v>
      </c>
      <c r="BB96" s="119">
        <f t="shared" si="16"/>
        <v>0</v>
      </c>
      <c r="BC96" s="119">
        <f t="shared" si="16"/>
        <v>32000</v>
      </c>
      <c r="BD96" s="119">
        <f t="shared" si="16"/>
        <v>0</v>
      </c>
      <c r="BE96" s="119">
        <f t="shared" si="16"/>
        <v>0</v>
      </c>
      <c r="BF96" s="119">
        <f t="shared" si="16"/>
        <v>0</v>
      </c>
      <c r="BG96" s="119">
        <f t="shared" si="16"/>
        <v>0</v>
      </c>
      <c r="BH96" s="119">
        <f t="shared" si="16"/>
        <v>0</v>
      </c>
      <c r="BI96" s="119">
        <f t="shared" si="16"/>
        <v>0</v>
      </c>
      <c r="BJ96" s="119">
        <f t="shared" si="16"/>
        <v>0</v>
      </c>
      <c r="BK96" s="119">
        <f t="shared" si="16"/>
        <v>0</v>
      </c>
      <c r="BL96" s="119">
        <f t="shared" si="16"/>
        <v>0</v>
      </c>
      <c r="BM96" s="119">
        <f t="shared" si="16"/>
        <v>0</v>
      </c>
      <c r="BN96" s="119">
        <f t="shared" ref="BN96:DY96" si="17">BN79+BN95</f>
        <v>0</v>
      </c>
      <c r="BO96" s="119">
        <f t="shared" si="17"/>
        <v>0</v>
      </c>
      <c r="BP96" s="119">
        <f t="shared" si="17"/>
        <v>0</v>
      </c>
      <c r="BQ96" s="119">
        <f t="shared" si="17"/>
        <v>0</v>
      </c>
      <c r="BR96" s="119">
        <f t="shared" si="17"/>
        <v>0</v>
      </c>
      <c r="BS96" s="119">
        <f t="shared" si="17"/>
        <v>0</v>
      </c>
      <c r="BT96" s="119">
        <f t="shared" si="17"/>
        <v>0</v>
      </c>
      <c r="BU96" s="119">
        <f t="shared" si="17"/>
        <v>0</v>
      </c>
      <c r="BV96" s="119">
        <f t="shared" si="17"/>
        <v>0</v>
      </c>
      <c r="BW96" s="119">
        <f t="shared" si="17"/>
        <v>904710.71</v>
      </c>
      <c r="BX96" s="119">
        <f t="shared" si="17"/>
        <v>0</v>
      </c>
      <c r="BY96" s="119">
        <f t="shared" si="17"/>
        <v>0</v>
      </c>
      <c r="BZ96" s="119">
        <f t="shared" si="17"/>
        <v>0</v>
      </c>
      <c r="CA96" s="119">
        <f t="shared" si="17"/>
        <v>0</v>
      </c>
      <c r="CB96" s="119">
        <f t="shared" si="17"/>
        <v>0</v>
      </c>
      <c r="CC96" s="119">
        <f t="shared" si="17"/>
        <v>0</v>
      </c>
      <c r="CD96" s="119">
        <f t="shared" si="17"/>
        <v>0</v>
      </c>
      <c r="CE96" s="119">
        <f t="shared" si="17"/>
        <v>0</v>
      </c>
      <c r="CF96" s="119">
        <f t="shared" si="17"/>
        <v>0</v>
      </c>
      <c r="CG96" s="119">
        <f t="shared" si="17"/>
        <v>0</v>
      </c>
      <c r="CH96" s="119">
        <f t="shared" si="17"/>
        <v>0</v>
      </c>
      <c r="CI96" s="119">
        <f t="shared" si="17"/>
        <v>0</v>
      </c>
      <c r="CJ96" s="119">
        <f t="shared" si="17"/>
        <v>636067.19999999995</v>
      </c>
      <c r="CK96" s="119">
        <f t="shared" si="17"/>
        <v>0</v>
      </c>
      <c r="CL96" s="119">
        <f t="shared" si="17"/>
        <v>478797.25</v>
      </c>
      <c r="CM96" s="119">
        <f t="shared" si="17"/>
        <v>0</v>
      </c>
      <c r="CN96" s="119">
        <f t="shared" si="17"/>
        <v>0</v>
      </c>
      <c r="CO96" s="119">
        <f t="shared" si="17"/>
        <v>0</v>
      </c>
      <c r="CP96" s="119">
        <f t="shared" si="17"/>
        <v>8323.8700000000008</v>
      </c>
      <c r="CQ96" s="119">
        <f t="shared" si="17"/>
        <v>0</v>
      </c>
      <c r="CR96" s="119">
        <f t="shared" si="17"/>
        <v>0</v>
      </c>
      <c r="CS96" s="119">
        <f t="shared" si="17"/>
        <v>0</v>
      </c>
      <c r="CT96" s="119">
        <f t="shared" si="17"/>
        <v>0</v>
      </c>
      <c r="CU96" s="119">
        <f t="shared" si="17"/>
        <v>188564</v>
      </c>
      <c r="CV96" s="119">
        <f t="shared" si="17"/>
        <v>0</v>
      </c>
      <c r="CW96" s="119">
        <f t="shared" si="17"/>
        <v>0</v>
      </c>
      <c r="CX96" s="119">
        <f t="shared" si="17"/>
        <v>0</v>
      </c>
      <c r="CY96" s="119">
        <f t="shared" si="17"/>
        <v>0</v>
      </c>
      <c r="CZ96" s="119">
        <f t="shared" si="17"/>
        <v>0</v>
      </c>
      <c r="DA96" s="119">
        <f t="shared" si="17"/>
        <v>0</v>
      </c>
      <c r="DB96" s="119">
        <f t="shared" si="17"/>
        <v>0</v>
      </c>
      <c r="DC96" s="119">
        <f t="shared" si="17"/>
        <v>0</v>
      </c>
      <c r="DD96" s="119">
        <f t="shared" si="17"/>
        <v>48852</v>
      </c>
      <c r="DE96" s="119">
        <f t="shared" si="17"/>
        <v>330950</v>
      </c>
      <c r="DF96" s="119">
        <f t="shared" si="17"/>
        <v>0</v>
      </c>
      <c r="DG96" s="119">
        <f t="shared" si="17"/>
        <v>0</v>
      </c>
      <c r="DH96" s="119">
        <f t="shared" si="17"/>
        <v>0</v>
      </c>
      <c r="DI96" s="119">
        <f t="shared" si="17"/>
        <v>0</v>
      </c>
      <c r="DJ96" s="119">
        <f t="shared" si="17"/>
        <v>0</v>
      </c>
      <c r="DK96" s="119">
        <f t="shared" si="17"/>
        <v>658799</v>
      </c>
      <c r="DL96" s="119">
        <f t="shared" si="17"/>
        <v>0</v>
      </c>
      <c r="DM96" s="119">
        <f t="shared" si="17"/>
        <v>0</v>
      </c>
      <c r="DN96" s="119">
        <f t="shared" si="17"/>
        <v>0</v>
      </c>
      <c r="DO96" s="119">
        <f t="shared" si="17"/>
        <v>0</v>
      </c>
      <c r="DP96" s="119">
        <f t="shared" si="17"/>
        <v>0</v>
      </c>
      <c r="DQ96" s="119">
        <f t="shared" si="17"/>
        <v>0</v>
      </c>
      <c r="DR96" s="119">
        <f t="shared" si="17"/>
        <v>0</v>
      </c>
      <c r="DS96" s="119">
        <f t="shared" si="17"/>
        <v>0</v>
      </c>
      <c r="DT96" s="119">
        <f t="shared" si="17"/>
        <v>0</v>
      </c>
      <c r="DU96" s="119">
        <f t="shared" si="17"/>
        <v>0</v>
      </c>
      <c r="DV96" s="119">
        <f t="shared" si="17"/>
        <v>0</v>
      </c>
      <c r="DW96" s="119">
        <f t="shared" si="17"/>
        <v>57997</v>
      </c>
      <c r="DX96" s="119">
        <f t="shared" si="17"/>
        <v>0</v>
      </c>
      <c r="DY96" s="119">
        <f t="shared" si="17"/>
        <v>0</v>
      </c>
      <c r="DZ96" s="119">
        <f t="shared" ref="DZ96:GK96" si="18">DZ79+DZ95</f>
        <v>0</v>
      </c>
      <c r="EA96" s="119">
        <f t="shared" si="18"/>
        <v>250000</v>
      </c>
      <c r="EB96" s="119">
        <f t="shared" si="18"/>
        <v>0</v>
      </c>
      <c r="EC96" s="119">
        <f t="shared" si="18"/>
        <v>0</v>
      </c>
      <c r="ED96" s="119">
        <f t="shared" si="18"/>
        <v>0</v>
      </c>
      <c r="EE96" s="119">
        <f t="shared" si="18"/>
        <v>282823.65000000002</v>
      </c>
      <c r="EF96" s="119">
        <f t="shared" si="18"/>
        <v>0</v>
      </c>
      <c r="EG96" s="119">
        <f t="shared" si="18"/>
        <v>34840.020000000004</v>
      </c>
      <c r="EH96" s="119">
        <f t="shared" si="18"/>
        <v>0</v>
      </c>
      <c r="EI96" s="119">
        <f t="shared" si="18"/>
        <v>0</v>
      </c>
      <c r="EJ96" s="119">
        <f t="shared" si="18"/>
        <v>0</v>
      </c>
      <c r="EK96" s="119">
        <f t="shared" si="18"/>
        <v>0</v>
      </c>
      <c r="EL96" s="119">
        <f t="shared" si="18"/>
        <v>0</v>
      </c>
      <c r="EM96" s="119">
        <f t="shared" si="18"/>
        <v>15149.94</v>
      </c>
      <c r="EN96" s="119">
        <f t="shared" si="18"/>
        <v>0</v>
      </c>
      <c r="EO96" s="119">
        <f t="shared" si="18"/>
        <v>0</v>
      </c>
      <c r="EP96" s="119">
        <f t="shared" si="18"/>
        <v>87250.03</v>
      </c>
      <c r="EQ96" s="119">
        <f t="shared" si="18"/>
        <v>0</v>
      </c>
      <c r="ER96" s="119">
        <f t="shared" si="18"/>
        <v>7825</v>
      </c>
      <c r="ES96" s="119">
        <f t="shared" si="18"/>
        <v>0</v>
      </c>
      <c r="ET96" s="119">
        <f t="shared" si="18"/>
        <v>0</v>
      </c>
      <c r="EU96" s="119">
        <f t="shared" si="18"/>
        <v>0</v>
      </c>
      <c r="EV96" s="119">
        <f t="shared" si="18"/>
        <v>0</v>
      </c>
      <c r="EW96" s="119">
        <f t="shared" si="18"/>
        <v>0</v>
      </c>
      <c r="EX96" s="119">
        <f t="shared" si="18"/>
        <v>0</v>
      </c>
      <c r="EY96" s="119">
        <f t="shared" si="18"/>
        <v>0</v>
      </c>
      <c r="EZ96" s="119">
        <f t="shared" si="18"/>
        <v>0</v>
      </c>
      <c r="FA96" s="119">
        <f t="shared" si="18"/>
        <v>172000</v>
      </c>
      <c r="FB96" s="119">
        <f t="shared" si="18"/>
        <v>0</v>
      </c>
      <c r="FC96" s="119">
        <f t="shared" si="18"/>
        <v>0</v>
      </c>
      <c r="FD96" s="119">
        <f t="shared" si="18"/>
        <v>101439</v>
      </c>
      <c r="FE96" s="119">
        <f t="shared" si="18"/>
        <v>0</v>
      </c>
      <c r="FF96" s="119">
        <f t="shared" si="18"/>
        <v>0</v>
      </c>
      <c r="FG96" s="119">
        <f t="shared" si="18"/>
        <v>0</v>
      </c>
      <c r="FH96" s="119">
        <f t="shared" si="18"/>
        <v>0</v>
      </c>
      <c r="FI96" s="119">
        <f t="shared" si="18"/>
        <v>0</v>
      </c>
      <c r="FJ96" s="119">
        <f t="shared" si="18"/>
        <v>0</v>
      </c>
      <c r="FK96" s="119">
        <f t="shared" si="18"/>
        <v>0</v>
      </c>
      <c r="FL96" s="119">
        <f t="shared" si="18"/>
        <v>0</v>
      </c>
      <c r="FM96" s="119">
        <f t="shared" si="18"/>
        <v>0</v>
      </c>
      <c r="FN96" s="119">
        <f t="shared" si="18"/>
        <v>43889.99</v>
      </c>
      <c r="FO96" s="119">
        <f t="shared" si="18"/>
        <v>0</v>
      </c>
      <c r="FP96" s="119">
        <f t="shared" si="18"/>
        <v>0</v>
      </c>
      <c r="FQ96" s="119">
        <f t="shared" si="18"/>
        <v>0</v>
      </c>
      <c r="FR96" s="119">
        <f t="shared" si="18"/>
        <v>0</v>
      </c>
      <c r="FS96" s="119">
        <f t="shared" si="18"/>
        <v>0</v>
      </c>
      <c r="FT96" s="119">
        <f t="shared" si="18"/>
        <v>34220</v>
      </c>
      <c r="FU96" s="119">
        <f t="shared" si="18"/>
        <v>0</v>
      </c>
      <c r="FV96" s="119">
        <f t="shared" si="18"/>
        <v>0</v>
      </c>
      <c r="FW96" s="119">
        <f t="shared" si="18"/>
        <v>0</v>
      </c>
      <c r="FX96" s="119">
        <f t="shared" si="18"/>
        <v>0</v>
      </c>
      <c r="FY96" s="119">
        <f t="shared" si="18"/>
        <v>0</v>
      </c>
      <c r="FZ96" s="119">
        <f t="shared" si="18"/>
        <v>0</v>
      </c>
      <c r="GA96" s="119">
        <f t="shared" si="18"/>
        <v>51304.69</v>
      </c>
      <c r="GB96" s="119">
        <f t="shared" si="18"/>
        <v>0</v>
      </c>
      <c r="GC96" s="119">
        <f t="shared" si="18"/>
        <v>0</v>
      </c>
      <c r="GD96" s="119">
        <f t="shared" si="18"/>
        <v>127420</v>
      </c>
      <c r="GE96" s="119">
        <f t="shared" si="18"/>
        <v>0</v>
      </c>
      <c r="GF96" s="119">
        <f t="shared" si="18"/>
        <v>0</v>
      </c>
      <c r="GG96" s="119">
        <f t="shared" si="18"/>
        <v>0</v>
      </c>
      <c r="GH96" s="119">
        <f t="shared" si="18"/>
        <v>0</v>
      </c>
      <c r="GI96" s="119">
        <f t="shared" si="18"/>
        <v>0</v>
      </c>
      <c r="GJ96" s="119">
        <f t="shared" si="18"/>
        <v>0</v>
      </c>
      <c r="GK96" s="119">
        <f t="shared" si="18"/>
        <v>0</v>
      </c>
      <c r="GL96" s="119">
        <f t="shared" ref="GL96:IW96" si="19">GL79+GL95</f>
        <v>0</v>
      </c>
      <c r="GM96" s="119">
        <f t="shared" si="19"/>
        <v>0</v>
      </c>
      <c r="GN96" s="119">
        <f t="shared" si="19"/>
        <v>0</v>
      </c>
      <c r="GO96" s="119">
        <f t="shared" si="19"/>
        <v>0</v>
      </c>
      <c r="GP96" s="119">
        <f t="shared" si="19"/>
        <v>0</v>
      </c>
      <c r="GQ96" s="119">
        <f t="shared" si="19"/>
        <v>0</v>
      </c>
      <c r="GR96" s="119">
        <f t="shared" si="19"/>
        <v>0</v>
      </c>
      <c r="GS96" s="119">
        <f t="shared" si="19"/>
        <v>0</v>
      </c>
      <c r="GT96" s="119">
        <f t="shared" si="19"/>
        <v>0</v>
      </c>
      <c r="GU96" s="119">
        <f t="shared" si="19"/>
        <v>0</v>
      </c>
      <c r="GV96" s="119">
        <f t="shared" si="19"/>
        <v>0</v>
      </c>
      <c r="GW96" s="119">
        <f t="shared" si="19"/>
        <v>0</v>
      </c>
      <c r="GX96" s="119">
        <f t="shared" si="19"/>
        <v>0</v>
      </c>
      <c r="GY96" s="119">
        <f t="shared" si="19"/>
        <v>0</v>
      </c>
      <c r="GZ96" s="119">
        <f t="shared" si="19"/>
        <v>107609.37</v>
      </c>
      <c r="HA96" s="119">
        <f t="shared" si="19"/>
        <v>0</v>
      </c>
      <c r="HB96" s="119">
        <f t="shared" si="19"/>
        <v>0</v>
      </c>
      <c r="HC96" s="119">
        <f t="shared" si="19"/>
        <v>0</v>
      </c>
      <c r="HD96" s="119">
        <f t="shared" si="19"/>
        <v>0</v>
      </c>
      <c r="HE96" s="119">
        <f t="shared" si="19"/>
        <v>0</v>
      </c>
      <c r="HF96" s="119">
        <f t="shared" si="19"/>
        <v>192930</v>
      </c>
      <c r="HG96" s="119">
        <f t="shared" si="19"/>
        <v>0</v>
      </c>
      <c r="HH96" s="119">
        <f t="shared" si="19"/>
        <v>0</v>
      </c>
      <c r="HI96" s="119">
        <f t="shared" si="19"/>
        <v>0</v>
      </c>
      <c r="HJ96" s="119">
        <f t="shared" si="19"/>
        <v>0</v>
      </c>
      <c r="HK96" s="119">
        <f t="shared" si="19"/>
        <v>0</v>
      </c>
      <c r="HL96" s="119">
        <f t="shared" si="19"/>
        <v>0</v>
      </c>
      <c r="HM96" s="119">
        <f t="shared" si="19"/>
        <v>0</v>
      </c>
      <c r="HN96" s="119">
        <f t="shared" si="19"/>
        <v>0</v>
      </c>
      <c r="HO96" s="119">
        <f t="shared" si="19"/>
        <v>0</v>
      </c>
      <c r="HP96" s="119">
        <f t="shared" si="19"/>
        <v>0</v>
      </c>
      <c r="HQ96" s="119">
        <f t="shared" si="19"/>
        <v>0</v>
      </c>
      <c r="HR96" s="119">
        <f t="shared" si="19"/>
        <v>0</v>
      </c>
      <c r="HS96" s="119">
        <f t="shared" si="19"/>
        <v>0</v>
      </c>
      <c r="HT96" s="119">
        <f t="shared" si="19"/>
        <v>0</v>
      </c>
      <c r="HU96" s="119">
        <f t="shared" si="19"/>
        <v>0</v>
      </c>
      <c r="HV96" s="119">
        <f t="shared" si="19"/>
        <v>0</v>
      </c>
      <c r="HW96" s="119">
        <f t="shared" si="19"/>
        <v>0</v>
      </c>
      <c r="HX96" s="119">
        <f t="shared" si="19"/>
        <v>0</v>
      </c>
      <c r="HY96" s="119">
        <f t="shared" si="19"/>
        <v>0</v>
      </c>
      <c r="HZ96" s="119">
        <f t="shared" si="19"/>
        <v>0</v>
      </c>
      <c r="IA96" s="119">
        <f t="shared" si="19"/>
        <v>0</v>
      </c>
      <c r="IB96" s="119">
        <f t="shared" si="19"/>
        <v>0</v>
      </c>
      <c r="IC96" s="119">
        <f t="shared" si="19"/>
        <v>0</v>
      </c>
      <c r="ID96" s="119">
        <f t="shared" si="19"/>
        <v>0</v>
      </c>
      <c r="IE96" s="119">
        <f t="shared" si="19"/>
        <v>0</v>
      </c>
      <c r="IF96" s="119">
        <f t="shared" si="19"/>
        <v>0</v>
      </c>
      <c r="IG96" s="119">
        <f t="shared" si="19"/>
        <v>0</v>
      </c>
      <c r="IH96" s="119">
        <f t="shared" si="19"/>
        <v>0</v>
      </c>
      <c r="II96" s="119">
        <f t="shared" si="19"/>
        <v>0</v>
      </c>
      <c r="IJ96" s="119">
        <f t="shared" si="19"/>
        <v>0</v>
      </c>
      <c r="IK96" s="119">
        <f t="shared" si="19"/>
        <v>0</v>
      </c>
      <c r="IL96" s="119">
        <f t="shared" si="19"/>
        <v>0</v>
      </c>
      <c r="IM96" s="119">
        <f t="shared" si="19"/>
        <v>0</v>
      </c>
      <c r="IN96" s="119">
        <f t="shared" si="19"/>
        <v>0</v>
      </c>
      <c r="IO96" s="119">
        <f t="shared" si="19"/>
        <v>0</v>
      </c>
      <c r="IP96" s="119">
        <f t="shared" si="19"/>
        <v>0</v>
      </c>
      <c r="IQ96" s="119">
        <f t="shared" si="19"/>
        <v>0</v>
      </c>
      <c r="IR96" s="119">
        <f t="shared" si="19"/>
        <v>0</v>
      </c>
      <c r="IS96" s="119">
        <f t="shared" si="19"/>
        <v>0</v>
      </c>
      <c r="IT96" s="119">
        <f t="shared" si="19"/>
        <v>0</v>
      </c>
      <c r="IU96" s="119">
        <f t="shared" si="19"/>
        <v>0</v>
      </c>
      <c r="IV96" s="119">
        <f t="shared" si="19"/>
        <v>0</v>
      </c>
      <c r="IW96" s="119">
        <f t="shared" si="19"/>
        <v>0</v>
      </c>
      <c r="IX96" s="119">
        <f t="shared" ref="IX96:JH96" si="20">IX79+IX95</f>
        <v>0</v>
      </c>
      <c r="IY96" s="119">
        <f t="shared" si="20"/>
        <v>0</v>
      </c>
      <c r="IZ96" s="119">
        <f t="shared" si="20"/>
        <v>0</v>
      </c>
      <c r="JA96" s="119">
        <f t="shared" si="20"/>
        <v>0</v>
      </c>
      <c r="JB96" s="119">
        <f t="shared" si="20"/>
        <v>0</v>
      </c>
      <c r="JC96" s="119">
        <f t="shared" si="20"/>
        <v>0</v>
      </c>
      <c r="JD96" s="119">
        <f t="shared" si="20"/>
        <v>0</v>
      </c>
      <c r="JE96" s="119">
        <f t="shared" si="20"/>
        <v>0</v>
      </c>
      <c r="JF96" s="119">
        <f t="shared" si="20"/>
        <v>0</v>
      </c>
      <c r="JG96" s="119">
        <f t="shared" si="20"/>
        <v>0</v>
      </c>
      <c r="JH96" s="119">
        <f t="shared" si="20"/>
        <v>0</v>
      </c>
      <c r="JI96" s="119">
        <f t="shared" ref="JI96" si="21">JI79+JI95</f>
        <v>11816507.499999998</v>
      </c>
      <c r="JJ96" s="2"/>
      <c r="JK96" s="2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zoomScale="90" zoomScaleNormal="90" workbookViewId="0">
      <selection activeCell="A28" sqref="A28"/>
    </sheetView>
  </sheetViews>
  <sheetFormatPr baseColWidth="10" defaultColWidth="11.42578125" defaultRowHeight="12.75" x14ac:dyDescent="0.2"/>
  <cols>
    <col min="1" max="1" width="64.42578125" style="3" customWidth="1"/>
    <col min="2" max="2" width="18.7109375" style="3" customWidth="1"/>
    <col min="3" max="3" width="18" style="3" customWidth="1"/>
    <col min="4" max="4" width="17.7109375" style="3" customWidth="1"/>
    <col min="5" max="5" width="21" style="3" customWidth="1"/>
    <col min="6" max="16384" width="11.42578125" style="3"/>
  </cols>
  <sheetData>
    <row r="1" spans="1:5" ht="33" x14ac:dyDescent="0.45">
      <c r="A1" s="486" t="s">
        <v>77</v>
      </c>
      <c r="B1" s="486"/>
      <c r="C1" s="486"/>
      <c r="D1" s="486"/>
      <c r="E1" s="486"/>
    </row>
    <row r="2" spans="1:5" ht="20.25" x14ac:dyDescent="0.3">
      <c r="A2" s="487" t="str">
        <f>'CONS. FUENTES FINAN'!A6</f>
        <v>HOSPITAL MATERNO INFANTIL SAN LORENZO DE LOS MINA</v>
      </c>
      <c r="B2" s="487"/>
      <c r="C2" s="487"/>
      <c r="D2" s="487"/>
      <c r="E2" s="487"/>
    </row>
    <row r="3" spans="1:5" ht="15.75" x14ac:dyDescent="0.25">
      <c r="A3" s="488" t="s">
        <v>424</v>
      </c>
      <c r="B3" s="488"/>
      <c r="C3" s="488"/>
      <c r="D3" s="488"/>
      <c r="E3" s="488"/>
    </row>
    <row r="4" spans="1:5" ht="15.75" x14ac:dyDescent="0.25">
      <c r="A4" s="488"/>
      <c r="B4" s="488"/>
      <c r="C4" s="488"/>
      <c r="D4" s="488"/>
      <c r="E4" s="488"/>
    </row>
    <row r="5" spans="1:5" ht="16.5" thickBot="1" x14ac:dyDescent="0.3">
      <c r="A5" s="117"/>
      <c r="B5" s="117"/>
      <c r="C5" s="117"/>
      <c r="D5" s="117"/>
      <c r="E5" s="117"/>
    </row>
    <row r="6" spans="1:5" x14ac:dyDescent="0.2">
      <c r="A6" s="489" t="s">
        <v>372</v>
      </c>
      <c r="B6" s="491" t="s">
        <v>668</v>
      </c>
      <c r="C6" s="493" t="s">
        <v>371</v>
      </c>
      <c r="D6" s="489" t="s">
        <v>328</v>
      </c>
      <c r="E6" s="489" t="s">
        <v>72</v>
      </c>
    </row>
    <row r="7" spans="1:5" ht="20.25" customHeight="1" thickBot="1" x14ac:dyDescent="0.25">
      <c r="A7" s="490"/>
      <c r="B7" s="492"/>
      <c r="C7" s="494"/>
      <c r="D7" s="490"/>
      <c r="E7" s="490"/>
    </row>
    <row r="8" spans="1:5" ht="20.25" x14ac:dyDescent="0.25">
      <c r="A8" s="113" t="s">
        <v>370</v>
      </c>
      <c r="B8" s="112"/>
      <c r="C8" s="112"/>
      <c r="D8" s="111"/>
      <c r="E8" s="110"/>
    </row>
    <row r="9" spans="1:5" ht="18.75" x14ac:dyDescent="0.3">
      <c r="A9" s="116" t="s">
        <v>369</v>
      </c>
      <c r="B9" s="105">
        <f>'CONS. FUENTES FINAN'!G245+'CONS. FUENTES FINAN'!G315</f>
        <v>17715524.390000001</v>
      </c>
      <c r="C9" s="105">
        <f>'CONS. FUENTES FINAN'!H245+'CONS. FUENTES FINAN'!H315</f>
        <v>284220</v>
      </c>
      <c r="D9" s="105">
        <f>SUM(B9:C9)</f>
        <v>17999744.390000001</v>
      </c>
      <c r="E9" s="107">
        <f>+D9/D12</f>
        <v>0.88032629505122972</v>
      </c>
    </row>
    <row r="10" spans="1:5" ht="18.75" x14ac:dyDescent="0.3">
      <c r="A10" s="108" t="s">
        <v>368</v>
      </c>
      <c r="B10" s="105">
        <f>'CONS. FUENTES FINAN'!G302</f>
        <v>159269.28</v>
      </c>
      <c r="C10" s="105">
        <f>'CONS. FUENTES FINAN'!H302</f>
        <v>43889.99</v>
      </c>
      <c r="D10" s="105">
        <f>SUM(B10:C10)</f>
        <v>203159.27</v>
      </c>
      <c r="E10" s="107">
        <f>+D10/D12</f>
        <v>9.9360548455217496E-3</v>
      </c>
    </row>
    <row r="11" spans="1:5" ht="18.75" x14ac:dyDescent="0.3">
      <c r="A11" s="108" t="s">
        <v>367</v>
      </c>
      <c r="B11" s="105">
        <f>'CONS. FUENTES FINAN'!G296+'CONS. FUENTES FINAN'!G297+'CONS. FUENTES FINAN'!G298</f>
        <v>2243769.91</v>
      </c>
      <c r="C11" s="105">
        <f>'CONS. FUENTES FINAN'!H296+'CONS. FUENTES FINAN'!H297+'CONS. FUENTES FINAN'!H298</f>
        <v>0</v>
      </c>
      <c r="D11" s="105">
        <f>SUM(B11:C11)</f>
        <v>2243769.91</v>
      </c>
      <c r="E11" s="107">
        <f>+D11/D12</f>
        <v>0.10973765010324855</v>
      </c>
    </row>
    <row r="12" spans="1:5" ht="18.75" x14ac:dyDescent="0.3">
      <c r="A12" s="115" t="s">
        <v>348</v>
      </c>
      <c r="B12" s="101">
        <f>SUM(B9:B11)</f>
        <v>20118563.580000002</v>
      </c>
      <c r="C12" s="101">
        <f>SUM(C9:C11)</f>
        <v>328109.99</v>
      </c>
      <c r="D12" s="101">
        <f>SUM(D9:D11)</f>
        <v>20446673.57</v>
      </c>
      <c r="E12" s="114">
        <f>+D12/D39</f>
        <v>0.16453172075782815</v>
      </c>
    </row>
    <row r="13" spans="1:5" ht="20.25" x14ac:dyDescent="0.25">
      <c r="A13" s="113" t="s">
        <v>366</v>
      </c>
      <c r="B13" s="112"/>
      <c r="C13" s="112"/>
      <c r="D13" s="111"/>
      <c r="E13" s="110"/>
    </row>
    <row r="14" spans="1:5" ht="18.75" x14ac:dyDescent="0.3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6178626.7700000014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2601187.7800000003</v>
      </c>
      <c r="D14" s="104">
        <f>SUM(B14:C14)</f>
        <v>8779814.5500000007</v>
      </c>
      <c r="E14" s="107">
        <f>+D14/D16</f>
        <v>0.95762161098338405</v>
      </c>
    </row>
    <row r="15" spans="1:5" ht="18.75" x14ac:dyDescent="0.3">
      <c r="A15" s="108" t="s">
        <v>364</v>
      </c>
      <c r="B15" s="105">
        <f>'CONS. FUENTES FINAN'!G320</f>
        <v>388540.1</v>
      </c>
      <c r="C15" s="105">
        <f>'CONS. FUENTES FINAN'!H320</f>
        <v>0</v>
      </c>
      <c r="D15" s="104">
        <f>SUM(B15:C15)</f>
        <v>388540.1</v>
      </c>
      <c r="E15" s="107">
        <f>+D15/D16</f>
        <v>4.2378389016615968E-2</v>
      </c>
    </row>
    <row r="16" spans="1:5" ht="18.75" x14ac:dyDescent="0.3">
      <c r="A16" s="115" t="s">
        <v>348</v>
      </c>
      <c r="B16" s="101">
        <f>SUM(B14:B15)</f>
        <v>6567166.870000001</v>
      </c>
      <c r="C16" s="101">
        <f>SUM(C14:C15)</f>
        <v>2601187.7800000003</v>
      </c>
      <c r="D16" s="101">
        <f>SUM(D14:D15)</f>
        <v>9168354.6500000004</v>
      </c>
      <c r="E16" s="114">
        <f>+D16/D39</f>
        <v>7.3776556461283366E-2</v>
      </c>
    </row>
    <row r="17" spans="1:5" ht="20.25" x14ac:dyDescent="0.25">
      <c r="A17" s="113" t="s">
        <v>363</v>
      </c>
      <c r="B17" s="112"/>
      <c r="C17" s="112"/>
      <c r="D17" s="111"/>
      <c r="E17" s="110"/>
    </row>
    <row r="18" spans="1:5" ht="18.75" x14ac:dyDescent="0.3">
      <c r="A18" s="109" t="s">
        <v>362</v>
      </c>
      <c r="B18" s="105">
        <f>'CONS. FUENTES FINAN'!G26</f>
        <v>66337619.82</v>
      </c>
      <c r="C18" s="105">
        <f>'CONS. FUENTES FINAN'!H26</f>
        <v>5231553.59</v>
      </c>
      <c r="D18" s="104">
        <f t="shared" ref="D18:D33" si="0">SUM(B18:C18)</f>
        <v>71569173.409999996</v>
      </c>
      <c r="E18" s="107">
        <f>+D18/D34</f>
        <v>0.8627000759210991</v>
      </c>
    </row>
    <row r="19" spans="1:5" ht="18.75" x14ac:dyDescent="0.3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211191.19</v>
      </c>
      <c r="D19" s="104">
        <f t="shared" si="0"/>
        <v>211191.19</v>
      </c>
      <c r="E19" s="107">
        <f>+D19/D34</f>
        <v>2.5457141247548646E-3</v>
      </c>
    </row>
    <row r="20" spans="1:5" ht="18.75" x14ac:dyDescent="0.3">
      <c r="A20" s="108" t="s">
        <v>422</v>
      </c>
      <c r="B20" s="104">
        <f>'CONS. FUENTES FINAN'!G99+'CONS. FUENTES FINAN'!G102+'CONS. FUENTES FINAN'!G104</f>
        <v>2020024.3</v>
      </c>
      <c r="C20" s="104">
        <f>'CONS. FUENTES FINAN'!H99+'CONS. FUENTES FINAN'!H102+'CONS. FUENTES FINAN'!H104</f>
        <v>1520000</v>
      </c>
      <c r="D20" s="104">
        <f t="shared" si="0"/>
        <v>3540024.3</v>
      </c>
      <c r="E20" s="107">
        <f>+D20/D34</f>
        <v>4.267171306949618E-2</v>
      </c>
    </row>
    <row r="21" spans="1:5" ht="18.75" x14ac:dyDescent="0.3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.75" x14ac:dyDescent="0.3">
      <c r="A22" s="108" t="s">
        <v>359</v>
      </c>
      <c r="B22" s="104">
        <f>'CONS. FUENTES FINAN'!G116</f>
        <v>0</v>
      </c>
      <c r="C22" s="104">
        <f>'CONS. FUENTES FINAN'!H116</f>
        <v>32000</v>
      </c>
      <c r="D22" s="104">
        <f t="shared" si="0"/>
        <v>32000</v>
      </c>
      <c r="E22" s="107">
        <f>+D22/D34</f>
        <v>3.8573035168822936E-4</v>
      </c>
    </row>
    <row r="23" spans="1:5" ht="18.75" x14ac:dyDescent="0.3">
      <c r="A23" s="108" t="s">
        <v>358</v>
      </c>
      <c r="B23" s="104">
        <f>'CONS. FUENTES FINAN'!G125</f>
        <v>0</v>
      </c>
      <c r="C23" s="104">
        <f>'CONS. FUENTES FINAN'!H125</f>
        <v>0</v>
      </c>
      <c r="D23" s="104">
        <f t="shared" si="0"/>
        <v>0</v>
      </c>
      <c r="E23" s="107">
        <f>+D23/D34</f>
        <v>0</v>
      </c>
    </row>
    <row r="24" spans="1:5" ht="18.75" x14ac:dyDescent="0.3">
      <c r="A24" s="108" t="s">
        <v>357</v>
      </c>
      <c r="B24" s="104">
        <f>'CONS. FUENTES FINAN'!G182</f>
        <v>0</v>
      </c>
      <c r="C24" s="104">
        <f>'CONS. FUENTES FINAN'!H182</f>
        <v>8323.8700000000008</v>
      </c>
      <c r="D24" s="104">
        <f t="shared" si="0"/>
        <v>8323.8700000000008</v>
      </c>
      <c r="E24" s="107">
        <f>+D24/D34</f>
        <v>1.0033654070334693E-4</v>
      </c>
    </row>
    <row r="25" spans="1:5" ht="18.75" x14ac:dyDescent="0.3">
      <c r="A25" s="108" t="s">
        <v>356</v>
      </c>
      <c r="B25" s="105">
        <f>'CONS. FUENTES FINAN'!G109+'CONS. FUENTES FINAN'!G312</f>
        <v>132475.4</v>
      </c>
      <c r="C25" s="105">
        <f>'CONS. FUENTES FINAN'!H109+'CONS. FUENTES FINAN'!H312</f>
        <v>0</v>
      </c>
      <c r="D25" s="104">
        <f t="shared" si="0"/>
        <v>132475.4</v>
      </c>
      <c r="E25" s="107">
        <f>+D25/D34</f>
        <v>1.5968682072512142E-3</v>
      </c>
    </row>
    <row r="26" spans="1:5" ht="18.75" x14ac:dyDescent="0.3">
      <c r="A26" s="108" t="s">
        <v>355</v>
      </c>
      <c r="B26" s="104">
        <f>'CONS. FUENTES FINAN'!G208+'CONS. FUENTES FINAN'!G214+'CONS. FUENTES FINAN'!G217+'CONS. FUENTES FINAN'!G219</f>
        <v>3122436.84</v>
      </c>
      <c r="C26" s="104">
        <f>'CONS. FUENTES FINAN'!H208+'CONS. FUENTES FINAN'!H214+'CONS. FUENTES FINAN'!H217+'CONS. FUENTES FINAN'!H219</f>
        <v>658799</v>
      </c>
      <c r="D26" s="104">
        <f t="shared" si="0"/>
        <v>3781235.84</v>
      </c>
      <c r="E26" s="107">
        <f>+D26/D34</f>
        <v>4.5579294699354289E-2</v>
      </c>
    </row>
    <row r="27" spans="1:5" ht="18.75" x14ac:dyDescent="0.3">
      <c r="A27" s="108" t="s">
        <v>354</v>
      </c>
      <c r="B27" s="104">
        <f>'CONS. FUENTES FINAN'!G232</f>
        <v>1474545.17</v>
      </c>
      <c r="C27" s="104">
        <f>'CONS. FUENTES FINAN'!H232</f>
        <v>57997</v>
      </c>
      <c r="D27" s="104">
        <f t="shared" si="0"/>
        <v>1532542.17</v>
      </c>
      <c r="E27" s="107">
        <f>+D27/D34</f>
        <v>1.8473375944098192E-2</v>
      </c>
    </row>
    <row r="28" spans="1:5" ht="18.75" x14ac:dyDescent="0.3">
      <c r="A28" s="108" t="s">
        <v>353</v>
      </c>
      <c r="B28" s="104">
        <f>'CONS. FUENTES FINAN'!G259</f>
        <v>334708.95</v>
      </c>
      <c r="C28" s="104">
        <f>'CONS. FUENTES FINAN'!H259</f>
        <v>34840.020000000004</v>
      </c>
      <c r="D28" s="104">
        <f t="shared" si="0"/>
        <v>369548.97000000003</v>
      </c>
      <c r="E28" s="107">
        <f>+D28/D34</f>
        <v>4.4545704426288413E-3</v>
      </c>
    </row>
    <row r="29" spans="1:5" ht="18.75" x14ac:dyDescent="0.3">
      <c r="A29" s="108" t="s">
        <v>352</v>
      </c>
      <c r="B29" s="104">
        <f>'CONS. FUENTES FINAN'!G288</f>
        <v>555829</v>
      </c>
      <c r="C29" s="104">
        <f>'CONS. FUENTES FINAN'!H288</f>
        <v>172000</v>
      </c>
      <c r="D29" s="104">
        <f t="shared" si="0"/>
        <v>727829</v>
      </c>
      <c r="E29" s="107">
        <f>+D29/D34</f>
        <v>8.773304254340383E-3</v>
      </c>
    </row>
    <row r="30" spans="1:5" ht="18.75" x14ac:dyDescent="0.3">
      <c r="A30" s="108" t="s">
        <v>11</v>
      </c>
      <c r="B30" s="104">
        <f>'CONS. FUENTES FINAN'!G289+'CONS. FUENTES FINAN'!G290</f>
        <v>0</v>
      </c>
      <c r="C30" s="104">
        <f>'CONS. FUENTES FINAN'!H289+'CONS. FUENTES FINAN'!H290</f>
        <v>0</v>
      </c>
      <c r="D30" s="104">
        <f t="shared" si="0"/>
        <v>0</v>
      </c>
      <c r="E30" s="107">
        <f>+D30/D34</f>
        <v>0</v>
      </c>
    </row>
    <row r="31" spans="1:5" ht="18.75" x14ac:dyDescent="0.3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101439</v>
      </c>
      <c r="D31" s="104">
        <f t="shared" si="0"/>
        <v>101439</v>
      </c>
      <c r="E31" s="107">
        <f>+D31/D34</f>
        <v>1.2227531607781968E-3</v>
      </c>
    </row>
    <row r="32" spans="1:5" ht="18.75" x14ac:dyDescent="0.3">
      <c r="A32" s="108" t="s">
        <v>350</v>
      </c>
      <c r="B32" s="104">
        <f>'CONS. FUENTES FINAN'!G309</f>
        <v>369511.66000000003</v>
      </c>
      <c r="C32" s="104">
        <f>'CONS. FUENTES FINAN'!H309</f>
        <v>0</v>
      </c>
      <c r="D32" s="104">
        <f t="shared" si="0"/>
        <v>369511.66000000003</v>
      </c>
      <c r="E32" s="107">
        <f>+D32/D34</f>
        <v>4.4541207051469198E-3</v>
      </c>
    </row>
    <row r="33" spans="1:5" ht="18.75" x14ac:dyDescent="0.3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25685.99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558526.68999999994</v>
      </c>
      <c r="D33" s="104">
        <f t="shared" si="0"/>
        <v>584212.67999999993</v>
      </c>
      <c r="E33" s="107">
        <f>+D33/D34</f>
        <v>7.0421425786600924E-3</v>
      </c>
    </row>
    <row r="34" spans="1:5" ht="18.75" x14ac:dyDescent="0.3">
      <c r="A34" s="115" t="s">
        <v>348</v>
      </c>
      <c r="B34" s="101">
        <f>SUM(B17:B33)</f>
        <v>74372837.13000001</v>
      </c>
      <c r="C34" s="101">
        <f>SUM(C17:C33)</f>
        <v>8586670.3599999994</v>
      </c>
      <c r="D34" s="101">
        <f t="shared" ref="D34" si="1">SUM(D17:D33)</f>
        <v>82959507.49000001</v>
      </c>
      <c r="E34" s="114">
        <f>+D34/D39</f>
        <v>0.66756435827187877</v>
      </c>
    </row>
    <row r="35" spans="1:5" ht="20.25" x14ac:dyDescent="0.25">
      <c r="A35" s="113" t="s">
        <v>421</v>
      </c>
      <c r="B35" s="112"/>
      <c r="C35" s="112"/>
      <c r="D35" s="111"/>
      <c r="E35" s="110"/>
    </row>
    <row r="36" spans="1:5" ht="18.75" x14ac:dyDescent="0.3">
      <c r="A36" s="109" t="s">
        <v>168</v>
      </c>
      <c r="B36" s="105">
        <f>'CONS. FUENTES FINAN'!G336</f>
        <v>11396849.359999999</v>
      </c>
      <c r="C36" s="105">
        <f>'CONS. FUENTES FINAN'!H336</f>
        <v>300539.37</v>
      </c>
      <c r="D36" s="105">
        <f>SUM(B36:C36)</f>
        <v>11697388.729999999</v>
      </c>
      <c r="E36" s="103">
        <f>+D36/D38</f>
        <v>1</v>
      </c>
    </row>
    <row r="37" spans="1:5" ht="19.5" thickBot="1" x14ac:dyDescent="0.35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5" thickBot="1" x14ac:dyDescent="0.3">
      <c r="A38" s="102" t="s">
        <v>348</v>
      </c>
      <c r="B38" s="128">
        <f>SUM(B36:B37)</f>
        <v>11396849.359999999</v>
      </c>
      <c r="C38" s="129">
        <f t="shared" ref="C38:D38" si="2">SUM(C36:C37)</f>
        <v>300539.37</v>
      </c>
      <c r="D38" s="129">
        <f t="shared" si="2"/>
        <v>11697388.729999999</v>
      </c>
      <c r="E38" s="100">
        <f>+D38/D39</f>
        <v>9.4127364509009756E-2</v>
      </c>
    </row>
    <row r="39" spans="1:5" ht="19.5" thickBot="1" x14ac:dyDescent="0.35">
      <c r="A39" s="98" t="s">
        <v>347</v>
      </c>
      <c r="B39" s="99">
        <f>+B12+B16+B34+B38</f>
        <v>112455416.94000001</v>
      </c>
      <c r="C39" s="99">
        <f>+C12+C16+C34+C38</f>
        <v>11816507.499999998</v>
      </c>
      <c r="D39" s="99">
        <f t="shared" ref="D39" si="3">+D12+D16+D34+D38</f>
        <v>124271924.44000001</v>
      </c>
      <c r="E39" s="96">
        <f>+E12+E16+E34+E38</f>
        <v>1</v>
      </c>
    </row>
    <row r="40" spans="1:5" ht="19.5" thickBot="1" x14ac:dyDescent="0.35">
      <c r="A40" s="98" t="s">
        <v>346</v>
      </c>
      <c r="B40" s="97">
        <f>+B39/D39</f>
        <v>0.90491410225400382</v>
      </c>
      <c r="C40" s="97">
        <f>+C39/D39</f>
        <v>9.5085897745996129E-2</v>
      </c>
      <c r="D40" s="97">
        <f>+B40+C40</f>
        <v>1</v>
      </c>
      <c r="E40" s="96"/>
    </row>
    <row r="42" spans="1:5" ht="26.25" x14ac:dyDescent="0.4">
      <c r="A42" s="95"/>
    </row>
    <row r="43" spans="1:5" ht="26.25" x14ac:dyDescent="0.4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view="pageBreakPreview" zoomScale="60" zoomScaleNormal="90" workbookViewId="0">
      <pane xSplit="1" ySplit="7" topLeftCell="G17" activePane="bottomRight" state="frozen"/>
      <selection pane="topRight" activeCell="B1" sqref="B1"/>
      <selection pane="bottomLeft" activeCell="A8" sqref="A8"/>
      <selection pane="bottomRight" activeCell="A34" sqref="A34"/>
    </sheetView>
  </sheetViews>
  <sheetFormatPr baseColWidth="10" defaultColWidth="9.140625" defaultRowHeight="15" x14ac:dyDescent="0.25"/>
  <cols>
    <col min="1" max="1" width="84.42578125" customWidth="1"/>
    <col min="2" max="2" width="25.140625" customWidth="1"/>
    <col min="3" max="5" width="13.85546875" customWidth="1"/>
    <col min="6" max="6" width="15.85546875" customWidth="1"/>
    <col min="7" max="7" width="18.42578125" bestFit="1" customWidth="1"/>
    <col min="8" max="11" width="15.85546875" customWidth="1"/>
    <col min="12" max="12" width="20.5703125" bestFit="1" customWidth="1"/>
    <col min="13" max="15" width="15.85546875" customWidth="1"/>
  </cols>
  <sheetData>
    <row r="1" spans="1:15" ht="18.75" x14ac:dyDescent="0.25">
      <c r="A1" s="495" t="s">
        <v>555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</row>
    <row r="2" spans="1:15" ht="18.75" x14ac:dyDescent="0.25">
      <c r="A2" s="495" t="s">
        <v>706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</row>
    <row r="3" spans="1:15" ht="18.75" customHeight="1" x14ac:dyDescent="0.25">
      <c r="A3" s="496" t="s">
        <v>671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</row>
    <row r="4" spans="1:15" x14ac:dyDescent="0.25">
      <c r="A4" s="439" t="s">
        <v>553</v>
      </c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</row>
    <row r="5" spans="1:15" x14ac:dyDescent="0.25">
      <c r="L5" s="139"/>
      <c r="M5" s="139"/>
      <c r="N5" s="139"/>
      <c r="O5" s="139"/>
    </row>
    <row r="6" spans="1:15" ht="48" customHeight="1" x14ac:dyDescent="0.25">
      <c r="A6" s="161" t="s">
        <v>552</v>
      </c>
      <c r="B6" s="497" t="s">
        <v>556</v>
      </c>
      <c r="C6" s="498"/>
      <c r="D6" s="498"/>
      <c r="E6" s="498"/>
      <c r="F6" s="499"/>
      <c r="G6" s="502" t="s">
        <v>557</v>
      </c>
      <c r="H6" s="502"/>
      <c r="I6" s="502"/>
      <c r="J6" s="502"/>
      <c r="K6" s="499"/>
      <c r="L6" s="503" t="s">
        <v>558</v>
      </c>
      <c r="M6" s="504"/>
      <c r="N6" s="504"/>
      <c r="O6" s="505"/>
    </row>
    <row r="7" spans="1:15" x14ac:dyDescent="0.25">
      <c r="A7" s="150" t="s">
        <v>538</v>
      </c>
      <c r="B7" s="162" t="s">
        <v>559</v>
      </c>
      <c r="C7" s="162" t="s">
        <v>560</v>
      </c>
      <c r="D7" s="162" t="s">
        <v>561</v>
      </c>
      <c r="E7" s="162" t="s">
        <v>562</v>
      </c>
      <c r="F7" s="500"/>
      <c r="G7" s="162" t="s">
        <v>559</v>
      </c>
      <c r="H7" s="162" t="s">
        <v>560</v>
      </c>
      <c r="I7" s="162" t="s">
        <v>561</v>
      </c>
      <c r="J7" s="162" t="s">
        <v>562</v>
      </c>
      <c r="K7" s="500"/>
      <c r="L7" s="162" t="s">
        <v>559</v>
      </c>
      <c r="M7" s="162" t="s">
        <v>560</v>
      </c>
      <c r="N7" s="162" t="s">
        <v>561</v>
      </c>
      <c r="O7" s="162" t="s">
        <v>562</v>
      </c>
    </row>
    <row r="8" spans="1:15" x14ac:dyDescent="0.25">
      <c r="A8" s="154" t="s">
        <v>537</v>
      </c>
      <c r="B8" s="163">
        <f>SUM(B9:B13)</f>
        <v>198560735.68000001</v>
      </c>
      <c r="C8" s="163">
        <f t="shared" ref="C8:D8" si="0">SUM(C9:C13)</f>
        <v>0</v>
      </c>
      <c r="D8" s="163">
        <f t="shared" si="0"/>
        <v>0</v>
      </c>
      <c r="E8" s="163">
        <f>SUM(E9:E13)</f>
        <v>0</v>
      </c>
      <c r="F8" s="500"/>
      <c r="G8" s="163">
        <f>SUM(G9:G13)</f>
        <v>5231553.59</v>
      </c>
      <c r="H8" s="163">
        <f>SUM(H9:H13)</f>
        <v>0</v>
      </c>
      <c r="I8" s="163">
        <f t="shared" ref="I8:J8" si="1">SUM(I9:I13)</f>
        <v>0</v>
      </c>
      <c r="J8" s="163">
        <f t="shared" si="1"/>
        <v>0</v>
      </c>
      <c r="K8" s="500"/>
      <c r="L8" s="164">
        <f>SUM(B8+G8)</f>
        <v>203792289.27000001</v>
      </c>
      <c r="M8" s="164">
        <f t="shared" ref="M8:O8" si="2">SUM(C8+H8)</f>
        <v>0</v>
      </c>
      <c r="N8" s="164">
        <f t="shared" si="2"/>
        <v>0</v>
      </c>
      <c r="O8" s="164">
        <f t="shared" si="2"/>
        <v>0</v>
      </c>
    </row>
    <row r="9" spans="1:15" x14ac:dyDescent="0.25">
      <c r="A9" s="148" t="s">
        <v>536</v>
      </c>
      <c r="B9" s="165">
        <f>SUM('TRANSFERENCIA CORRIENTE'!C10:E10)</f>
        <v>163945204.59</v>
      </c>
      <c r="C9" s="165">
        <f>SUM('TRANSFERENCIA CORRIENTE'!F10:H10)</f>
        <v>0</v>
      </c>
      <c r="D9" s="165">
        <f>SUM('TRANSFERENCIA CORRIENTE'!I10:K10)</f>
        <v>0</v>
      </c>
      <c r="E9" s="165">
        <f>SUM('TRANSFERENCIA CORRIENTE'!L10:N10)</f>
        <v>0</v>
      </c>
      <c r="F9" s="500"/>
      <c r="G9" s="165">
        <f>SUM(VS!C10:E10)</f>
        <v>0</v>
      </c>
      <c r="H9" s="165">
        <f>SUM(VS!F10:H10)</f>
        <v>0</v>
      </c>
      <c r="I9" s="165">
        <f>SUM(VS!I10:K10)</f>
        <v>0</v>
      </c>
      <c r="J9" s="166">
        <f>SUM(VS!L10:N10)</f>
        <v>0</v>
      </c>
      <c r="K9" s="500"/>
      <c r="L9" s="167">
        <f>SUM(B9+G9)</f>
        <v>163945204.59</v>
      </c>
      <c r="M9" s="167">
        <f>SUM(C9+H9)</f>
        <v>0</v>
      </c>
      <c r="N9" s="167">
        <f>SUM(D9+I9)</f>
        <v>0</v>
      </c>
      <c r="O9" s="167">
        <f>SUM(E9+J9)</f>
        <v>0</v>
      </c>
    </row>
    <row r="10" spans="1:15" x14ac:dyDescent="0.25">
      <c r="A10" s="148" t="s">
        <v>535</v>
      </c>
      <c r="B10" s="165">
        <f>SUM('TRANSFERENCIA CORRIENTE'!C11:E11)</f>
        <v>9594398.8000000007</v>
      </c>
      <c r="C10" s="165">
        <f>SUM('TRANSFERENCIA CORRIENTE'!F11:H11)</f>
        <v>0</v>
      </c>
      <c r="D10" s="165">
        <f>SUM('TRANSFERENCIA CORRIENTE'!I11:K11)</f>
        <v>0</v>
      </c>
      <c r="E10" s="165">
        <f>SUM('TRANSFERENCIA CORRIENTE'!L11:N11)</f>
        <v>0</v>
      </c>
      <c r="F10" s="500"/>
      <c r="G10" s="165">
        <f>SUM(VS!C11:E11)</f>
        <v>5231553.59</v>
      </c>
      <c r="H10" s="165">
        <f>SUM(VS!F11:H11)</f>
        <v>0</v>
      </c>
      <c r="I10" s="165">
        <f>SUM(VS!I11:K11)</f>
        <v>0</v>
      </c>
      <c r="J10" s="166">
        <f>SUM(VS!L11:N11)</f>
        <v>0</v>
      </c>
      <c r="K10" s="500"/>
      <c r="L10" s="167">
        <f t="shared" ref="L10:L13" si="3">SUM(B10+G10)</f>
        <v>14825952.390000001</v>
      </c>
      <c r="M10" s="167">
        <f>SUM(C10+H10)</f>
        <v>0</v>
      </c>
      <c r="N10" s="167">
        <f t="shared" ref="N10:O13" si="4">SUM(D10+I10)</f>
        <v>0</v>
      </c>
      <c r="O10" s="167">
        <f t="shared" si="4"/>
        <v>0</v>
      </c>
    </row>
    <row r="11" spans="1:15" x14ac:dyDescent="0.25">
      <c r="A11" s="148" t="s">
        <v>534</v>
      </c>
      <c r="B11" s="165">
        <f>SUM('TRANSFERENCIA CORRIENTE'!C12:E12)</f>
        <v>0</v>
      </c>
      <c r="C11" s="165">
        <f>SUM('TRANSFERENCIA CORRIENTE'!F12:H12)</f>
        <v>0</v>
      </c>
      <c r="D11" s="165">
        <f>SUM('TRANSFERENCIA CORRIENTE'!I12:K12)</f>
        <v>0</v>
      </c>
      <c r="E11" s="165">
        <f>SUM('TRANSFERENCIA CORRIENTE'!L12:N12)</f>
        <v>0</v>
      </c>
      <c r="F11" s="500"/>
      <c r="G11" s="165">
        <f>SUM(VS!C12:E12)</f>
        <v>0</v>
      </c>
      <c r="H11" s="165">
        <f>SUM(VS!F12:H12)</f>
        <v>0</v>
      </c>
      <c r="I11" s="165">
        <f>SUM(VS!I12:K12)</f>
        <v>0</v>
      </c>
      <c r="J11" s="166">
        <f>SUM(VS!L12:N12)</f>
        <v>0</v>
      </c>
      <c r="K11" s="500"/>
      <c r="L11" s="167">
        <f t="shared" si="3"/>
        <v>0</v>
      </c>
      <c r="M11" s="167">
        <f>SUM(C11+H11)</f>
        <v>0</v>
      </c>
      <c r="N11" s="167">
        <f t="shared" si="4"/>
        <v>0</v>
      </c>
      <c r="O11" s="167">
        <f t="shared" si="4"/>
        <v>0</v>
      </c>
    </row>
    <row r="12" spans="1:15" x14ac:dyDescent="0.25">
      <c r="A12" s="148" t="s">
        <v>533</v>
      </c>
      <c r="B12" s="165">
        <f>SUM('TRANSFERENCIA CORRIENTE'!C13:E13)</f>
        <v>0</v>
      </c>
      <c r="C12" s="165">
        <f>SUM('TRANSFERENCIA CORRIENTE'!F13:H13)</f>
        <v>0</v>
      </c>
      <c r="D12" s="165">
        <f>SUM('TRANSFERENCIA CORRIENTE'!I13:K13)</f>
        <v>0</v>
      </c>
      <c r="E12" s="165">
        <f>SUM('TRANSFERENCIA CORRIENTE'!L13:N13)</f>
        <v>0</v>
      </c>
      <c r="F12" s="500"/>
      <c r="G12" s="165">
        <f>SUM(VS!C13:E13)</f>
        <v>0</v>
      </c>
      <c r="H12" s="165">
        <f>SUM(VS!F13:H13)</f>
        <v>0</v>
      </c>
      <c r="I12" s="165">
        <f>SUM(VS!I13:K13)</f>
        <v>0</v>
      </c>
      <c r="J12" s="166">
        <f>SUM(VS!L13:N13)</f>
        <v>0</v>
      </c>
      <c r="K12" s="500"/>
      <c r="L12" s="167">
        <f t="shared" si="3"/>
        <v>0</v>
      </c>
      <c r="M12" s="167">
        <f>SUM(C12+H12)</f>
        <v>0</v>
      </c>
      <c r="N12" s="167">
        <f t="shared" si="4"/>
        <v>0</v>
      </c>
      <c r="O12" s="167">
        <f t="shared" si="4"/>
        <v>0</v>
      </c>
    </row>
    <row r="13" spans="1:15" x14ac:dyDescent="0.25">
      <c r="A13" s="148" t="s">
        <v>532</v>
      </c>
      <c r="B13" s="165">
        <f>SUM('TRANSFERENCIA CORRIENTE'!C14:E14)</f>
        <v>25021132.289999999</v>
      </c>
      <c r="C13" s="165">
        <f>SUM('TRANSFERENCIA CORRIENTE'!F14:H14)</f>
        <v>0</v>
      </c>
      <c r="D13" s="165">
        <f>SUM('TRANSFERENCIA CORRIENTE'!I14:K14)</f>
        <v>0</v>
      </c>
      <c r="E13" s="165">
        <f>SUM('TRANSFERENCIA CORRIENTE'!L14:N14)</f>
        <v>0</v>
      </c>
      <c r="F13" s="500"/>
      <c r="G13" s="165">
        <f>SUM(VS!C14:E14)</f>
        <v>0</v>
      </c>
      <c r="H13" s="165">
        <f>SUM(VS!F14:H14)</f>
        <v>0</v>
      </c>
      <c r="I13" s="165">
        <f>SUM(VS!I14:K14)</f>
        <v>0</v>
      </c>
      <c r="J13" s="166">
        <f>SUM(VS!L14:N14)</f>
        <v>0</v>
      </c>
      <c r="K13" s="500"/>
      <c r="L13" s="167">
        <f t="shared" si="3"/>
        <v>25021132.289999999</v>
      </c>
      <c r="M13" s="167">
        <f>SUM(C13+H13)</f>
        <v>0</v>
      </c>
      <c r="N13" s="167">
        <f t="shared" si="4"/>
        <v>0</v>
      </c>
      <c r="O13" s="167">
        <f t="shared" si="4"/>
        <v>0</v>
      </c>
    </row>
    <row r="14" spans="1:15" s="168" customFormat="1" x14ac:dyDescent="0.25">
      <c r="A14" s="154" t="s">
        <v>531</v>
      </c>
      <c r="B14" s="163">
        <f>SUM(B15:B23)</f>
        <v>9308364.879999999</v>
      </c>
      <c r="C14" s="163">
        <f t="shared" ref="C14:E14" si="5">SUM(C15:C23)</f>
        <v>0</v>
      </c>
      <c r="D14" s="163">
        <f t="shared" si="5"/>
        <v>0</v>
      </c>
      <c r="E14" s="163">
        <f t="shared" si="5"/>
        <v>0</v>
      </c>
      <c r="F14" s="500"/>
      <c r="G14" s="163">
        <f>SUM(G15:G23)</f>
        <v>8306683.8499999996</v>
      </c>
      <c r="H14" s="163">
        <f t="shared" ref="H14:J14" si="6">SUM(H15:H23)</f>
        <v>0</v>
      </c>
      <c r="I14" s="163">
        <f t="shared" si="6"/>
        <v>0</v>
      </c>
      <c r="J14" s="163">
        <f t="shared" si="6"/>
        <v>0</v>
      </c>
      <c r="K14" s="500"/>
      <c r="L14" s="164">
        <f>SUM(B14+G14)</f>
        <v>17615048.729999997</v>
      </c>
      <c r="M14" s="164">
        <f t="shared" ref="M14:O29" si="7">SUM(C14+H14)</f>
        <v>0</v>
      </c>
      <c r="N14" s="164">
        <f t="shared" si="7"/>
        <v>0</v>
      </c>
      <c r="O14" s="164">
        <f t="shared" si="7"/>
        <v>0</v>
      </c>
    </row>
    <row r="15" spans="1:15" x14ac:dyDescent="0.25">
      <c r="A15" s="148" t="s">
        <v>530</v>
      </c>
      <c r="B15" s="165">
        <f>SUM('TRANSFERENCIA CORRIENTE'!C16:E16)</f>
        <v>2020024.3</v>
      </c>
      <c r="C15" s="165">
        <f>SUM('TRANSFERENCIA CORRIENTE'!F16:H16)</f>
        <v>0</v>
      </c>
      <c r="D15" s="165">
        <f>SUM('TRANSFERENCIA CORRIENTE'!J16:L16)</f>
        <v>0</v>
      </c>
      <c r="E15" s="165">
        <f>SUM('TRANSFERENCIA CORRIENTE'!L16:N16)</f>
        <v>0</v>
      </c>
      <c r="F15" s="500"/>
      <c r="G15" s="165">
        <f>SUM(VS!C16:E16)</f>
        <v>2341561.92</v>
      </c>
      <c r="H15" s="165">
        <f>SUM(VS!F16:H16)</f>
        <v>0</v>
      </c>
      <c r="I15" s="165">
        <f>SUM(VS!I16:K16)</f>
        <v>0</v>
      </c>
      <c r="J15" s="166">
        <f>SUM(VS!L16:N16)</f>
        <v>0</v>
      </c>
      <c r="K15" s="500"/>
      <c r="L15" s="167">
        <f t="shared" ref="L15:L23" si="8">SUM(B15+G15)</f>
        <v>4361586.22</v>
      </c>
      <c r="M15" s="167">
        <f t="shared" si="7"/>
        <v>0</v>
      </c>
      <c r="N15" s="167">
        <f t="shared" si="7"/>
        <v>0</v>
      </c>
      <c r="O15" s="167">
        <f t="shared" si="7"/>
        <v>0</v>
      </c>
    </row>
    <row r="16" spans="1:15" x14ac:dyDescent="0.25">
      <c r="A16" s="148" t="s">
        <v>529</v>
      </c>
      <c r="B16" s="165">
        <f>SUM('TRANSFERENCIA CORRIENTE'!C17:E17)</f>
        <v>324206.83</v>
      </c>
      <c r="C16" s="165">
        <f>SUM('TRANSFERENCIA CORRIENTE'!F17:H17)</f>
        <v>0</v>
      </c>
      <c r="D16" s="165">
        <f>SUM('TRANSFERENCIA CORRIENTE'!J17:L17)</f>
        <v>0</v>
      </c>
      <c r="E16" s="165">
        <f>SUM('TRANSFERENCIA CORRIENTE'!L17:N17)</f>
        <v>0</v>
      </c>
      <c r="F16" s="500"/>
      <c r="G16" s="165">
        <f>SUM(VS!C17:E17)</f>
        <v>0</v>
      </c>
      <c r="H16" s="165">
        <f>SUM(VS!F17:H17)</f>
        <v>0</v>
      </c>
      <c r="I16" s="165">
        <f>SUM(VS!I17:K17)</f>
        <v>0</v>
      </c>
      <c r="J16" s="166">
        <f>SUM(VS!L17:N17)</f>
        <v>0</v>
      </c>
      <c r="K16" s="500"/>
      <c r="L16" s="167">
        <f t="shared" si="8"/>
        <v>324206.83</v>
      </c>
      <c r="M16" s="167">
        <f t="shared" si="7"/>
        <v>0</v>
      </c>
      <c r="N16" s="167">
        <f t="shared" si="7"/>
        <v>0</v>
      </c>
      <c r="O16" s="167">
        <f t="shared" si="7"/>
        <v>0</v>
      </c>
    </row>
    <row r="17" spans="1:15" x14ac:dyDescent="0.25">
      <c r="A17" s="148" t="s">
        <v>528</v>
      </c>
      <c r="B17" s="165">
        <f>SUM('TRANSFERENCIA CORRIENTE'!C18:E18)</f>
        <v>0</v>
      </c>
      <c r="C17" s="165">
        <f>SUM('TRANSFERENCIA CORRIENTE'!F18:H18)</f>
        <v>0</v>
      </c>
      <c r="D17" s="165">
        <f>SUM('TRANSFERENCIA CORRIENTE'!J18:L18)</f>
        <v>0</v>
      </c>
      <c r="E17" s="165">
        <f>SUM('TRANSFERENCIA CORRIENTE'!L18:N18)</f>
        <v>0</v>
      </c>
      <c r="F17" s="500"/>
      <c r="G17" s="165">
        <f>SUM(VS!C18:E18)</f>
        <v>0</v>
      </c>
      <c r="H17" s="165">
        <f>SUM(VS!F18:H18)</f>
        <v>0</v>
      </c>
      <c r="I17" s="165">
        <f>SUM(VS!I18:K18)</f>
        <v>0</v>
      </c>
      <c r="J17" s="166">
        <f>SUM(VS!L18:N18)</f>
        <v>0</v>
      </c>
      <c r="K17" s="500"/>
      <c r="L17" s="167">
        <f t="shared" si="8"/>
        <v>0</v>
      </c>
      <c r="M17" s="167">
        <f t="shared" si="7"/>
        <v>0</v>
      </c>
      <c r="N17" s="167">
        <f t="shared" si="7"/>
        <v>0</v>
      </c>
      <c r="O17" s="167">
        <f t="shared" si="7"/>
        <v>0</v>
      </c>
    </row>
    <row r="18" spans="1:15" x14ac:dyDescent="0.25">
      <c r="A18" s="148" t="s">
        <v>527</v>
      </c>
      <c r="B18" s="165">
        <f>SUM('TRANSFERENCIA CORRIENTE'!C19:E19)</f>
        <v>0</v>
      </c>
      <c r="C18" s="165">
        <f>SUM('TRANSFERENCIA CORRIENTE'!F19:H19)</f>
        <v>0</v>
      </c>
      <c r="D18" s="165">
        <f>SUM('TRANSFERENCIA CORRIENTE'!J19:L19)</f>
        <v>0</v>
      </c>
      <c r="E18" s="165">
        <f>SUM('TRANSFERENCIA CORRIENTE'!L19:N19)</f>
        <v>0</v>
      </c>
      <c r="F18" s="500"/>
      <c r="G18" s="165">
        <f>SUM(VS!C19:E19)</f>
        <v>56000</v>
      </c>
      <c r="H18" s="165">
        <f>SUM(VS!F19:H19)</f>
        <v>0</v>
      </c>
      <c r="I18" s="165">
        <f>SUM(VS!I19:K19)</f>
        <v>0</v>
      </c>
      <c r="J18" s="166">
        <f>SUM(VS!L19:N19)</f>
        <v>0</v>
      </c>
      <c r="K18" s="500"/>
      <c r="L18" s="167">
        <f t="shared" si="8"/>
        <v>56000</v>
      </c>
      <c r="M18" s="167">
        <f t="shared" si="7"/>
        <v>0</v>
      </c>
      <c r="N18" s="167">
        <f t="shared" si="7"/>
        <v>0</v>
      </c>
      <c r="O18" s="167">
        <f t="shared" si="7"/>
        <v>0</v>
      </c>
    </row>
    <row r="19" spans="1:15" x14ac:dyDescent="0.25">
      <c r="A19" s="148" t="s">
        <v>526</v>
      </c>
      <c r="B19" s="165">
        <f>SUM('TRANSFERENCIA CORRIENTE'!C20:E20)</f>
        <v>0</v>
      </c>
      <c r="C19" s="165">
        <f>SUM('TRANSFERENCIA CORRIENTE'!F20:H20)</f>
        <v>0</v>
      </c>
      <c r="D19" s="165">
        <f>SUM('TRANSFERENCIA CORRIENTE'!J20:L20)</f>
        <v>0</v>
      </c>
      <c r="E19" s="165">
        <f>SUM('TRANSFERENCIA CORRIENTE'!L20:N20)</f>
        <v>0</v>
      </c>
      <c r="F19" s="500"/>
      <c r="G19" s="165">
        <f>SUM(VS!C20:E20)</f>
        <v>519625.15</v>
      </c>
      <c r="H19" s="165">
        <f>SUM(VS!F20:H20)</f>
        <v>0</v>
      </c>
      <c r="I19" s="165">
        <f>SUM(VS!I20:K20)</f>
        <v>0</v>
      </c>
      <c r="J19" s="166">
        <f>SUM(VS!L20:N20)</f>
        <v>0</v>
      </c>
      <c r="K19" s="500"/>
      <c r="L19" s="167">
        <f t="shared" si="8"/>
        <v>519625.15</v>
      </c>
      <c r="M19" s="167">
        <f t="shared" si="7"/>
        <v>0</v>
      </c>
      <c r="N19" s="167">
        <f t="shared" si="7"/>
        <v>0</v>
      </c>
      <c r="O19" s="167">
        <f t="shared" si="7"/>
        <v>0</v>
      </c>
    </row>
    <row r="20" spans="1:15" x14ac:dyDescent="0.25">
      <c r="A20" s="148" t="s">
        <v>525</v>
      </c>
      <c r="B20" s="165">
        <f>SUM('TRANSFERENCIA CORRIENTE'!C21:E21)</f>
        <v>0</v>
      </c>
      <c r="C20" s="165">
        <f>SUM('TRANSFERENCIA CORRIENTE'!F21:H21)</f>
        <v>0</v>
      </c>
      <c r="D20" s="165">
        <f>SUM('TRANSFERENCIA CORRIENTE'!J21:L21)</f>
        <v>0</v>
      </c>
      <c r="E20" s="165">
        <f>SUM('TRANSFERENCIA CORRIENTE'!L21:N21)</f>
        <v>0</v>
      </c>
      <c r="F20" s="500"/>
      <c r="G20" s="165">
        <f>SUM(VS!C21:E21)</f>
        <v>0</v>
      </c>
      <c r="H20" s="165">
        <f>SUM(VS!F21:H21)</f>
        <v>0</v>
      </c>
      <c r="I20" s="165">
        <f>SUM(VS!I21:K21)</f>
        <v>0</v>
      </c>
      <c r="J20" s="166">
        <f>SUM(VS!L21:N21)</f>
        <v>0</v>
      </c>
      <c r="K20" s="500"/>
      <c r="L20" s="167">
        <f t="shared" si="8"/>
        <v>0</v>
      </c>
      <c r="M20" s="167">
        <f t="shared" si="7"/>
        <v>0</v>
      </c>
      <c r="N20" s="167">
        <f t="shared" si="7"/>
        <v>0</v>
      </c>
      <c r="O20" s="167">
        <f t="shared" si="7"/>
        <v>0</v>
      </c>
    </row>
    <row r="21" spans="1:15" ht="30" x14ac:dyDescent="0.25">
      <c r="A21" s="148" t="s">
        <v>524</v>
      </c>
      <c r="B21" s="165">
        <f>SUM('TRANSFERENCIA CORRIENTE'!C22:E22)</f>
        <v>6474433.75</v>
      </c>
      <c r="C21" s="165">
        <f>SUM('TRANSFERENCIA CORRIENTE'!F22:H22)</f>
        <v>0</v>
      </c>
      <c r="D21" s="165">
        <f>SUM('TRANSFERENCIA CORRIENTE'!J22:L22)</f>
        <v>0</v>
      </c>
      <c r="E21" s="165">
        <f>SUM('TRANSFERENCIA CORRIENTE'!L22:N22)</f>
        <v>0</v>
      </c>
      <c r="F21" s="500"/>
      <c r="G21" s="165">
        <f>SUM(VS!C22:E22)</f>
        <v>4556850.12</v>
      </c>
      <c r="H21" s="165">
        <f>SUM(VS!F22:H22)</f>
        <v>0</v>
      </c>
      <c r="I21" s="165">
        <f>SUM(VS!I22:K22)</f>
        <v>0</v>
      </c>
      <c r="J21" s="166">
        <f>SUM(VS!L22:N22)</f>
        <v>0</v>
      </c>
      <c r="K21" s="500"/>
      <c r="L21" s="167">
        <f t="shared" si="8"/>
        <v>11031283.870000001</v>
      </c>
      <c r="M21" s="167">
        <f t="shared" si="7"/>
        <v>0</v>
      </c>
      <c r="N21" s="167">
        <f t="shared" si="7"/>
        <v>0</v>
      </c>
      <c r="O21" s="167">
        <f>SUM(E21+J21)</f>
        <v>0</v>
      </c>
    </row>
    <row r="22" spans="1:15" x14ac:dyDescent="0.25">
      <c r="A22" s="148" t="s">
        <v>523</v>
      </c>
      <c r="B22" s="165">
        <f>SUM('TRANSFERENCIA CORRIENTE'!C23:E23)</f>
        <v>489700</v>
      </c>
      <c r="C22" s="165">
        <f>SUM('TRANSFERENCIA CORRIENTE'!F23:H23)</f>
        <v>0</v>
      </c>
      <c r="D22" s="165">
        <f>SUM('TRANSFERENCIA CORRIENTE'!J23:L23)</f>
        <v>0</v>
      </c>
      <c r="E22" s="165">
        <f>SUM('TRANSFERENCIA CORRIENTE'!L23:N23)</f>
        <v>0</v>
      </c>
      <c r="F22" s="500"/>
      <c r="G22" s="165">
        <f>SUM(VS!C23:E23)</f>
        <v>832646.66</v>
      </c>
      <c r="H22" s="165">
        <f>SUM(VS!F23:H23)</f>
        <v>0</v>
      </c>
      <c r="I22" s="165">
        <f>SUM(VS!I23:K23)</f>
        <v>0</v>
      </c>
      <c r="J22" s="166">
        <f>SUM(VS!L23:N23)</f>
        <v>0</v>
      </c>
      <c r="K22" s="500"/>
      <c r="L22" s="167">
        <f t="shared" si="8"/>
        <v>1322346.6600000001</v>
      </c>
      <c r="M22" s="167">
        <f t="shared" si="7"/>
        <v>0</v>
      </c>
      <c r="N22" s="167">
        <f t="shared" si="7"/>
        <v>0</v>
      </c>
      <c r="O22" s="167">
        <f t="shared" si="7"/>
        <v>0</v>
      </c>
    </row>
    <row r="23" spans="1:15" x14ac:dyDescent="0.25">
      <c r="A23" s="148" t="s">
        <v>522</v>
      </c>
      <c r="B23" s="165">
        <f>SUM('TRANSFERENCIA CORRIENTE'!C24:E24)</f>
        <v>0</v>
      </c>
      <c r="C23" s="165">
        <f>SUM('TRANSFERENCIA CORRIENTE'!F24:H24)</f>
        <v>0</v>
      </c>
      <c r="D23" s="165">
        <f>SUM('TRANSFERENCIA CORRIENTE'!J24:L24)</f>
        <v>0</v>
      </c>
      <c r="E23" s="165">
        <f>SUM('TRANSFERENCIA CORRIENTE'!L24:N24)</f>
        <v>0</v>
      </c>
      <c r="F23" s="500"/>
      <c r="G23" s="165">
        <f>SUM(VS!C24:E24)</f>
        <v>0</v>
      </c>
      <c r="H23" s="165">
        <f>SUM(VS!F24:H24)</f>
        <v>0</v>
      </c>
      <c r="I23" s="165">
        <f>SUM(VS!I24:K24)</f>
        <v>0</v>
      </c>
      <c r="J23" s="166">
        <f>SUM(VS!L24:N24)</f>
        <v>0</v>
      </c>
      <c r="K23" s="500"/>
      <c r="L23" s="167">
        <f t="shared" si="8"/>
        <v>0</v>
      </c>
      <c r="M23" s="167">
        <f t="shared" si="7"/>
        <v>0</v>
      </c>
      <c r="N23" s="167">
        <f t="shared" si="7"/>
        <v>0</v>
      </c>
      <c r="O23" s="167">
        <f t="shared" si="7"/>
        <v>0</v>
      </c>
    </row>
    <row r="24" spans="1:15" s="168" customFormat="1" x14ac:dyDescent="0.25">
      <c r="A24" s="154" t="s">
        <v>521</v>
      </c>
      <c r="B24" s="163">
        <f>SUM(B25:B33)</f>
        <v>46153283.390000001</v>
      </c>
      <c r="C24" s="163">
        <f t="shared" ref="C24:E24" si="9">SUM(C25:C33)</f>
        <v>0</v>
      </c>
      <c r="D24" s="163">
        <f t="shared" si="9"/>
        <v>0</v>
      </c>
      <c r="E24" s="163">
        <f t="shared" si="9"/>
        <v>0</v>
      </c>
      <c r="F24" s="500"/>
      <c r="G24" s="163">
        <f t="shared" ref="G24:J24" si="10">SUM(G25:G33)</f>
        <v>7292547.2799999993</v>
      </c>
      <c r="H24" s="163">
        <f t="shared" si="10"/>
        <v>0</v>
      </c>
      <c r="I24" s="163">
        <f t="shared" si="10"/>
        <v>0</v>
      </c>
      <c r="J24" s="163">
        <f t="shared" si="10"/>
        <v>0</v>
      </c>
      <c r="K24" s="500"/>
      <c r="L24" s="164">
        <f>SUM(B24+G24)</f>
        <v>53445830.670000002</v>
      </c>
      <c r="M24" s="164">
        <f t="shared" si="7"/>
        <v>0</v>
      </c>
      <c r="N24" s="164">
        <f t="shared" si="7"/>
        <v>0</v>
      </c>
      <c r="O24" s="164">
        <f t="shared" si="7"/>
        <v>0</v>
      </c>
    </row>
    <row r="25" spans="1:15" x14ac:dyDescent="0.25">
      <c r="A25" s="148" t="s">
        <v>520</v>
      </c>
      <c r="B25" s="165">
        <f>SUM('TRANSFERENCIA CORRIENTE'!C26:E26)</f>
        <v>3713897.2399999998</v>
      </c>
      <c r="C25" s="165">
        <f>SUM('TRANSFERENCIA CORRIENTE'!F26:H26)</f>
        <v>0</v>
      </c>
      <c r="D25" s="165">
        <f>SUM('TRANSFERENCIA CORRIENTE'!I23:K23)</f>
        <v>0</v>
      </c>
      <c r="E25" s="165">
        <f>SUM('TRANSFERENCIA CORRIENTE'!L26:N26)</f>
        <v>0</v>
      </c>
      <c r="F25" s="500"/>
      <c r="G25" s="165">
        <f>SUM(VS!C26:E26)</f>
        <v>1500755.8</v>
      </c>
      <c r="H25" s="165">
        <f>SUM(VS!F26:H26)</f>
        <v>0</v>
      </c>
      <c r="I25" s="165">
        <f>SUM(VS!I26:K26)</f>
        <v>0</v>
      </c>
      <c r="J25" s="166">
        <f>SUM(VS!L26:N26)</f>
        <v>0</v>
      </c>
      <c r="K25" s="500"/>
      <c r="L25" s="167">
        <f t="shared" ref="L25:O40" si="11">SUM(B25+G25)</f>
        <v>5214653.04</v>
      </c>
      <c r="M25" s="167">
        <f t="shared" si="7"/>
        <v>0</v>
      </c>
      <c r="N25" s="167">
        <f t="shared" si="7"/>
        <v>0</v>
      </c>
      <c r="O25" s="167">
        <f t="shared" si="7"/>
        <v>0</v>
      </c>
    </row>
    <row r="26" spans="1:15" x14ac:dyDescent="0.25">
      <c r="A26" s="148" t="s">
        <v>519</v>
      </c>
      <c r="B26" s="165">
        <f>SUM('TRANSFERENCIA CORRIENTE'!C27:E27)</f>
        <v>61630.73</v>
      </c>
      <c r="C26" s="165">
        <f>SUM('TRANSFERENCIA CORRIENTE'!F27:H27)</f>
        <v>0</v>
      </c>
      <c r="D26" s="165">
        <f>SUM('TRANSFERENCIA CORRIENTE'!I24:K24)</f>
        <v>0</v>
      </c>
      <c r="E26" s="165">
        <f>SUM('TRANSFERENCIA CORRIENTE'!L27:N27)</f>
        <v>0</v>
      </c>
      <c r="F26" s="500"/>
      <c r="G26" s="165">
        <f>SUM(VS!C27:E27)</f>
        <v>0</v>
      </c>
      <c r="H26" s="165">
        <f>SUM(VS!F27:H27)</f>
        <v>0</v>
      </c>
      <c r="I26" s="165">
        <f>SUM(VS!I27:K27)</f>
        <v>0</v>
      </c>
      <c r="J26" s="166">
        <f>SUM(VS!L27:N27)</f>
        <v>0</v>
      </c>
      <c r="K26" s="500"/>
      <c r="L26" s="167">
        <f t="shared" si="11"/>
        <v>61630.73</v>
      </c>
      <c r="M26" s="167">
        <f t="shared" si="7"/>
        <v>0</v>
      </c>
      <c r="N26" s="167">
        <f t="shared" si="7"/>
        <v>0</v>
      </c>
      <c r="O26" s="167">
        <f t="shared" si="7"/>
        <v>0</v>
      </c>
    </row>
    <row r="27" spans="1:15" x14ac:dyDescent="0.25">
      <c r="A27" s="148" t="s">
        <v>518</v>
      </c>
      <c r="B27" s="165">
        <f>SUM('TRANSFERENCIA CORRIENTE'!C28:E28)</f>
        <v>1826911.8399999999</v>
      </c>
      <c r="C27" s="165">
        <f>SUM('TRANSFERENCIA CORRIENTE'!F28:H28)</f>
        <v>0</v>
      </c>
      <c r="D27" s="165">
        <f>SUM('TRANSFERENCIA CORRIENTE'!I25:K25)</f>
        <v>0</v>
      </c>
      <c r="E27" s="165">
        <f>SUM('TRANSFERENCIA CORRIENTE'!L28:N28)</f>
        <v>0</v>
      </c>
      <c r="F27" s="500"/>
      <c r="G27" s="165">
        <f>SUM(VS!C28:E28)</f>
        <v>251163</v>
      </c>
      <c r="H27" s="165">
        <f>SUM(VS!F28:H28)</f>
        <v>0</v>
      </c>
      <c r="I27" s="165">
        <f>SUM(VS!I28:K28)</f>
        <v>0</v>
      </c>
      <c r="J27" s="166">
        <f>SUM(VS!L28:N28)</f>
        <v>0</v>
      </c>
      <c r="K27" s="500"/>
      <c r="L27" s="167">
        <f t="shared" si="11"/>
        <v>2078074.8399999999</v>
      </c>
      <c r="M27" s="167">
        <f t="shared" si="7"/>
        <v>0</v>
      </c>
      <c r="N27" s="167">
        <f t="shared" si="7"/>
        <v>0</v>
      </c>
      <c r="O27" s="167">
        <f t="shared" si="7"/>
        <v>0</v>
      </c>
    </row>
    <row r="28" spans="1:15" x14ac:dyDescent="0.25">
      <c r="A28" s="148" t="s">
        <v>517</v>
      </c>
      <c r="B28" s="165">
        <f>SUM('TRANSFERENCIA CORRIENTE'!C29:E29)</f>
        <v>10797335.800000001</v>
      </c>
      <c r="C28" s="165">
        <f>SUM('TRANSFERENCIA CORRIENTE'!F29:H29)</f>
        <v>0</v>
      </c>
      <c r="D28" s="165">
        <f>SUM('TRANSFERENCIA CORRIENTE'!I26:K26)</f>
        <v>0</v>
      </c>
      <c r="E28" s="165">
        <f>SUM('TRANSFERENCIA CORRIENTE'!L29:N29)</f>
        <v>0</v>
      </c>
      <c r="F28" s="500"/>
      <c r="G28" s="165">
        <f>SUM(VS!C29:E29)</f>
        <v>558000</v>
      </c>
      <c r="H28" s="165">
        <f>SUM(VS!F29:H29)</f>
        <v>0</v>
      </c>
      <c r="I28" s="165">
        <f>SUM(VS!I29:K29)</f>
        <v>0</v>
      </c>
      <c r="J28" s="166">
        <f>SUM(VS!L29:N29)</f>
        <v>0</v>
      </c>
      <c r="K28" s="500"/>
      <c r="L28" s="167">
        <f t="shared" si="11"/>
        <v>11355335.800000001</v>
      </c>
      <c r="M28" s="167">
        <f t="shared" si="7"/>
        <v>0</v>
      </c>
      <c r="N28" s="167">
        <f t="shared" si="7"/>
        <v>0</v>
      </c>
      <c r="O28" s="167">
        <f t="shared" si="7"/>
        <v>0</v>
      </c>
    </row>
    <row r="29" spans="1:15" x14ac:dyDescent="0.25">
      <c r="A29" s="148" t="s">
        <v>516</v>
      </c>
      <c r="B29" s="165">
        <f>SUM('TRANSFERENCIA CORRIENTE'!C30:E30)</f>
        <v>334708.95</v>
      </c>
      <c r="C29" s="165">
        <f>SUM('TRANSFERENCIA CORRIENTE'!F30:H30)</f>
        <v>0</v>
      </c>
      <c r="D29" s="165">
        <f>SUM('TRANSFERENCIA CORRIENTE'!I27:K27)</f>
        <v>0</v>
      </c>
      <c r="E29" s="165">
        <f>SUM('TRANSFERENCIA CORRIENTE'!L30:N30)</f>
        <v>0</v>
      </c>
      <c r="F29" s="500"/>
      <c r="G29" s="165">
        <f>SUM(VS!C30:E30)</f>
        <v>567494.87</v>
      </c>
      <c r="H29" s="165">
        <f>SUM(VS!F30:H30)</f>
        <v>0</v>
      </c>
      <c r="I29" s="165">
        <f>SUM(VS!I30:K30)</f>
        <v>0</v>
      </c>
      <c r="J29" s="166">
        <f>SUM(VS!L30:N30)</f>
        <v>0</v>
      </c>
      <c r="K29" s="500"/>
      <c r="L29" s="167">
        <f t="shared" si="11"/>
        <v>902203.82000000007</v>
      </c>
      <c r="M29" s="167">
        <f t="shared" si="7"/>
        <v>0</v>
      </c>
      <c r="N29" s="167">
        <f t="shared" si="7"/>
        <v>0</v>
      </c>
      <c r="O29" s="167">
        <f t="shared" si="7"/>
        <v>0</v>
      </c>
    </row>
    <row r="30" spans="1:15" x14ac:dyDescent="0.25">
      <c r="A30" s="148" t="s">
        <v>515</v>
      </c>
      <c r="B30" s="165">
        <f>SUM('TRANSFERENCIA CORRIENTE'!C31:E31)</f>
        <v>11630.98</v>
      </c>
      <c r="C30" s="165">
        <f>SUM('TRANSFERENCIA CORRIENTE'!F31:H31)</f>
        <v>0</v>
      </c>
      <c r="D30" s="165">
        <f>SUM('TRANSFERENCIA CORRIENTE'!I28:K28)</f>
        <v>0</v>
      </c>
      <c r="E30" s="165">
        <f>SUM('TRANSFERENCIA CORRIENTE'!L31:N31)</f>
        <v>0</v>
      </c>
      <c r="F30" s="500"/>
      <c r="G30" s="165">
        <f>SUM(VS!C31:E31)</f>
        <v>293957.3</v>
      </c>
      <c r="H30" s="165">
        <f>SUM(VS!F31:H31)</f>
        <v>0</v>
      </c>
      <c r="I30" s="165">
        <f>SUM(VS!I31:K31)</f>
        <v>0</v>
      </c>
      <c r="J30" s="166">
        <f>SUM(VS!L31:N31)</f>
        <v>0</v>
      </c>
      <c r="K30" s="500"/>
      <c r="L30" s="167">
        <f t="shared" si="11"/>
        <v>305588.27999999997</v>
      </c>
      <c r="M30" s="167">
        <f t="shared" si="11"/>
        <v>0</v>
      </c>
      <c r="N30" s="167">
        <f t="shared" si="11"/>
        <v>0</v>
      </c>
      <c r="O30" s="167">
        <f t="shared" si="11"/>
        <v>0</v>
      </c>
    </row>
    <row r="31" spans="1:15" x14ac:dyDescent="0.25">
      <c r="A31" s="148" t="s">
        <v>514</v>
      </c>
      <c r="B31" s="165">
        <f>SUM('TRANSFERENCIA CORRIENTE'!C32:E32)</f>
        <v>8910101.959999999</v>
      </c>
      <c r="C31" s="165">
        <f>SUM('TRANSFERENCIA CORRIENTE'!F32:H32)</f>
        <v>0</v>
      </c>
      <c r="D31" s="165">
        <f>SUM('TRANSFERENCIA CORRIENTE'!I29:K29)</f>
        <v>0</v>
      </c>
      <c r="E31" s="165">
        <f>SUM('TRANSFERENCIA CORRIENTE'!L32:N32)</f>
        <v>0</v>
      </c>
      <c r="F31" s="500"/>
      <c r="G31" s="165">
        <f>SUM(VS!C32:E32)</f>
        <v>1660334.56</v>
      </c>
      <c r="H31" s="165">
        <f>SUM(VS!F32:H32)</f>
        <v>0</v>
      </c>
      <c r="I31" s="165">
        <f>SUM(VS!I32:K32)</f>
        <v>0</v>
      </c>
      <c r="J31" s="166">
        <f>SUM(VS!L32:N32)</f>
        <v>0</v>
      </c>
      <c r="K31" s="500"/>
      <c r="L31" s="167">
        <f t="shared" si="11"/>
        <v>10570436.52</v>
      </c>
      <c r="M31" s="167">
        <f t="shared" si="11"/>
        <v>0</v>
      </c>
      <c r="N31" s="167">
        <f t="shared" si="11"/>
        <v>0</v>
      </c>
      <c r="O31" s="167">
        <f t="shared" si="11"/>
        <v>0</v>
      </c>
    </row>
    <row r="32" spans="1:15" x14ac:dyDescent="0.25">
      <c r="A32" s="148" t="s">
        <v>513</v>
      </c>
      <c r="B32" s="165">
        <f>SUM('TRANSFERENCIA CORRIENTE'!C33:E33)</f>
        <v>0</v>
      </c>
      <c r="C32" s="165">
        <f>SUM('TRANSFERENCIA CORRIENTE'!F33:H33)</f>
        <v>0</v>
      </c>
      <c r="D32" s="165">
        <f>SUM('TRANSFERENCIA CORRIENTE'!I30:K30)</f>
        <v>0</v>
      </c>
      <c r="E32" s="165">
        <f>SUM('TRANSFERENCIA CORRIENTE'!L33:N33)</f>
        <v>0</v>
      </c>
      <c r="F32" s="500"/>
      <c r="G32" s="165">
        <f>SUM(VS!C33:E33)</f>
        <v>0</v>
      </c>
      <c r="H32" s="165">
        <f>SUM(VS!F33:H33)</f>
        <v>0</v>
      </c>
      <c r="I32" s="165">
        <f>SUM(VS!I33:K33)</f>
        <v>0</v>
      </c>
      <c r="J32" s="166">
        <f>SUM(VS!L33:N33)</f>
        <v>0</v>
      </c>
      <c r="K32" s="500"/>
      <c r="L32" s="167">
        <f t="shared" si="11"/>
        <v>0</v>
      </c>
      <c r="M32" s="167">
        <f t="shared" si="11"/>
        <v>0</v>
      </c>
      <c r="N32" s="167">
        <f t="shared" si="11"/>
        <v>0</v>
      </c>
      <c r="O32" s="167">
        <f t="shared" si="11"/>
        <v>0</v>
      </c>
    </row>
    <row r="33" spans="1:15" x14ac:dyDescent="0.25">
      <c r="A33" s="148" t="s">
        <v>512</v>
      </c>
      <c r="B33" s="165">
        <f>SUM('TRANSFERENCIA CORRIENTE'!C34:E34)</f>
        <v>20497065.890000001</v>
      </c>
      <c r="C33" s="165">
        <f>SUM('TRANSFERENCIA CORRIENTE'!F34:H34)</f>
        <v>0</v>
      </c>
      <c r="D33" s="165">
        <f>SUM('TRANSFERENCIA CORRIENTE'!I31:K31)</f>
        <v>0</v>
      </c>
      <c r="E33" s="165">
        <f>SUM('TRANSFERENCIA CORRIENTE'!L34:N34)</f>
        <v>0</v>
      </c>
      <c r="F33" s="500"/>
      <c r="G33" s="165">
        <f>SUM(VS!C34:E34)</f>
        <v>2460841.75</v>
      </c>
      <c r="H33" s="165">
        <f>SUM(VS!F34:H34)</f>
        <v>0</v>
      </c>
      <c r="I33" s="165">
        <f>SUM(VS!I34:K34)</f>
        <v>0</v>
      </c>
      <c r="J33" s="166">
        <f>SUM(VS!L34:N34)</f>
        <v>0</v>
      </c>
      <c r="K33" s="500"/>
      <c r="L33" s="167">
        <f t="shared" si="11"/>
        <v>22957907.640000001</v>
      </c>
      <c r="M33" s="167">
        <f t="shared" si="11"/>
        <v>0</v>
      </c>
      <c r="N33" s="167">
        <f t="shared" si="11"/>
        <v>0</v>
      </c>
      <c r="O33" s="167">
        <f t="shared" si="11"/>
        <v>0</v>
      </c>
    </row>
    <row r="34" spans="1:15" s="168" customFormat="1" x14ac:dyDescent="0.25">
      <c r="A34" s="154" t="s">
        <v>511</v>
      </c>
      <c r="B34" s="163">
        <f>SUM(B35:B41)</f>
        <v>0</v>
      </c>
      <c r="C34" s="163">
        <f t="shared" ref="C34:E34" si="12">SUM(C35:C41)</f>
        <v>0</v>
      </c>
      <c r="D34" s="163">
        <f t="shared" si="12"/>
        <v>0</v>
      </c>
      <c r="E34" s="163">
        <f t="shared" si="12"/>
        <v>0</v>
      </c>
      <c r="F34" s="500"/>
      <c r="G34" s="163">
        <f>SUM(G35:G41)</f>
        <v>287786.7</v>
      </c>
      <c r="H34" s="163">
        <f t="shared" ref="H34:J34" si="13">SUM(H35:H41)</f>
        <v>0</v>
      </c>
      <c r="I34" s="163">
        <f t="shared" si="13"/>
        <v>0</v>
      </c>
      <c r="J34" s="163">
        <f t="shared" si="13"/>
        <v>0</v>
      </c>
      <c r="K34" s="500"/>
      <c r="L34" s="164">
        <f t="shared" si="11"/>
        <v>287786.7</v>
      </c>
      <c r="M34" s="164">
        <f t="shared" si="11"/>
        <v>0</v>
      </c>
      <c r="N34" s="164">
        <f t="shared" si="11"/>
        <v>0</v>
      </c>
      <c r="O34" s="164">
        <f t="shared" si="11"/>
        <v>0</v>
      </c>
    </row>
    <row r="35" spans="1:15" x14ac:dyDescent="0.25">
      <c r="A35" s="148" t="s">
        <v>510</v>
      </c>
      <c r="B35" s="165">
        <f>SUM('TRANSFERENCIA CORRIENTE'!C36:E36)</f>
        <v>0</v>
      </c>
      <c r="C35" s="165">
        <f>SUM('TRANSFERENCIA CORRIENTE'!F36:H36)</f>
        <v>0</v>
      </c>
      <c r="D35" s="165">
        <f>SUM('TRANSFERENCIA CORRIENTE'!I36:K36)</f>
        <v>0</v>
      </c>
      <c r="E35" s="165">
        <f>SUM('TRANSFERENCIA CORRIENTE'!L36:N36)</f>
        <v>0</v>
      </c>
      <c r="F35" s="500"/>
      <c r="G35" s="165">
        <f>SUM(VS!C36:E36)</f>
        <v>287786.7</v>
      </c>
      <c r="H35" s="165">
        <f>SUM(VS!F36:H36)</f>
        <v>0</v>
      </c>
      <c r="I35" s="165">
        <f>SUM(VS!I36:K36)</f>
        <v>0</v>
      </c>
      <c r="J35" s="166">
        <f>SUM(VS!L36:N36)</f>
        <v>0</v>
      </c>
      <c r="K35" s="500"/>
      <c r="L35" s="167">
        <f t="shared" si="11"/>
        <v>287786.7</v>
      </c>
      <c r="M35" s="167">
        <f t="shared" si="11"/>
        <v>0</v>
      </c>
      <c r="N35" s="167">
        <f t="shared" si="11"/>
        <v>0</v>
      </c>
      <c r="O35" s="167">
        <f t="shared" si="11"/>
        <v>0</v>
      </c>
    </row>
    <row r="36" spans="1:15" x14ac:dyDescent="0.25">
      <c r="A36" s="148" t="s">
        <v>509</v>
      </c>
      <c r="B36" s="165">
        <f>SUM('TRANSFERENCIA CORRIENTE'!C37:E37)</f>
        <v>0</v>
      </c>
      <c r="C36" s="165">
        <f>SUM('TRANSFERENCIA CORRIENTE'!F37:H37)</f>
        <v>0</v>
      </c>
      <c r="D36" s="165">
        <f>SUM('TRANSFERENCIA CORRIENTE'!I37:K37)</f>
        <v>0</v>
      </c>
      <c r="E36" s="165">
        <f>SUM('TRANSFERENCIA CORRIENTE'!L37:N37)</f>
        <v>0</v>
      </c>
      <c r="F36" s="500"/>
      <c r="G36" s="165">
        <f>SUM(VS!C37:E37)</f>
        <v>0</v>
      </c>
      <c r="H36" s="165">
        <f>SUM(VS!F37:H37)</f>
        <v>0</v>
      </c>
      <c r="I36" s="165">
        <f>SUM(VS!I37:K37)</f>
        <v>0</v>
      </c>
      <c r="J36" s="166">
        <f>SUM(VS!L37:N37)</f>
        <v>0</v>
      </c>
      <c r="K36" s="500"/>
      <c r="L36" s="167">
        <f t="shared" si="11"/>
        <v>0</v>
      </c>
      <c r="M36" s="167">
        <f t="shared" si="11"/>
        <v>0</v>
      </c>
      <c r="N36" s="167">
        <f t="shared" si="11"/>
        <v>0</v>
      </c>
      <c r="O36" s="167">
        <f t="shared" si="11"/>
        <v>0</v>
      </c>
    </row>
    <row r="37" spans="1:15" x14ac:dyDescent="0.25">
      <c r="A37" s="148" t="s">
        <v>508</v>
      </c>
      <c r="B37" s="165">
        <f>SUM('TRANSFERENCIA CORRIENTE'!C38:E38)</f>
        <v>0</v>
      </c>
      <c r="C37" s="165">
        <f>SUM('TRANSFERENCIA CORRIENTE'!F38:H38)</f>
        <v>0</v>
      </c>
      <c r="D37" s="165">
        <f>SUM('TRANSFERENCIA CORRIENTE'!I38:K38)</f>
        <v>0</v>
      </c>
      <c r="E37" s="165">
        <f>SUM('TRANSFERENCIA CORRIENTE'!L38:N38)</f>
        <v>0</v>
      </c>
      <c r="F37" s="500"/>
      <c r="G37" s="165">
        <f>SUM(VS!C38:E38)</f>
        <v>0</v>
      </c>
      <c r="H37" s="165">
        <f>SUM(VS!F38:H38)</f>
        <v>0</v>
      </c>
      <c r="I37" s="165">
        <f>SUM(VS!I38:K38)</f>
        <v>0</v>
      </c>
      <c r="J37" s="166">
        <f>SUM(VS!L38:N38)</f>
        <v>0</v>
      </c>
      <c r="K37" s="500"/>
      <c r="L37" s="167">
        <f t="shared" si="11"/>
        <v>0</v>
      </c>
      <c r="M37" s="167">
        <f t="shared" si="11"/>
        <v>0</v>
      </c>
      <c r="N37" s="167">
        <f t="shared" si="11"/>
        <v>0</v>
      </c>
      <c r="O37" s="167">
        <f t="shared" si="11"/>
        <v>0</v>
      </c>
    </row>
    <row r="38" spans="1:15" x14ac:dyDescent="0.25">
      <c r="A38" s="148" t="s">
        <v>507</v>
      </c>
      <c r="B38" s="165">
        <f>SUM('TRANSFERENCIA CORRIENTE'!C39:E39)</f>
        <v>0</v>
      </c>
      <c r="C38" s="165">
        <f>SUM('TRANSFERENCIA CORRIENTE'!F39:H39)</f>
        <v>0</v>
      </c>
      <c r="D38" s="165">
        <f>SUM('TRANSFERENCIA CORRIENTE'!I39:K39)</f>
        <v>0</v>
      </c>
      <c r="E38" s="165">
        <f>SUM('TRANSFERENCIA CORRIENTE'!L39:N39)</f>
        <v>0</v>
      </c>
      <c r="F38" s="500"/>
      <c r="G38" s="165">
        <f>SUM(VS!C39:E39)</f>
        <v>0</v>
      </c>
      <c r="H38" s="165">
        <f>SUM(VS!F39:H39)</f>
        <v>0</v>
      </c>
      <c r="I38" s="165">
        <f>SUM(VS!I39:K39)</f>
        <v>0</v>
      </c>
      <c r="J38" s="166">
        <f>SUM(VS!L39:N39)</f>
        <v>0</v>
      </c>
      <c r="K38" s="500"/>
      <c r="L38" s="167">
        <f t="shared" si="11"/>
        <v>0</v>
      </c>
      <c r="M38" s="167">
        <f t="shared" si="11"/>
        <v>0</v>
      </c>
      <c r="N38" s="167">
        <f t="shared" si="11"/>
        <v>0</v>
      </c>
      <c r="O38" s="167">
        <f t="shared" si="11"/>
        <v>0</v>
      </c>
    </row>
    <row r="39" spans="1:15" x14ac:dyDescent="0.25">
      <c r="A39" s="148" t="s">
        <v>506</v>
      </c>
      <c r="B39" s="165">
        <f>SUM('TRANSFERENCIA CORRIENTE'!C40:E40)</f>
        <v>0</v>
      </c>
      <c r="C39" s="165">
        <f>SUM('TRANSFERENCIA CORRIENTE'!F40:H40)</f>
        <v>0</v>
      </c>
      <c r="D39" s="165">
        <f>SUM('TRANSFERENCIA CORRIENTE'!I40:K40)</f>
        <v>0</v>
      </c>
      <c r="E39" s="165">
        <f>SUM('TRANSFERENCIA CORRIENTE'!L40:N40)</f>
        <v>0</v>
      </c>
      <c r="F39" s="500"/>
      <c r="G39" s="165">
        <f>SUM(VS!C40:E40)</f>
        <v>0</v>
      </c>
      <c r="H39" s="165">
        <f>SUM(VS!F40:H40)</f>
        <v>0</v>
      </c>
      <c r="I39" s="165">
        <f>SUM(VS!I40:K40)</f>
        <v>0</v>
      </c>
      <c r="J39" s="166">
        <f>SUM(VS!L40:N40)</f>
        <v>0</v>
      </c>
      <c r="K39" s="500"/>
      <c r="L39" s="167">
        <f t="shared" si="11"/>
        <v>0</v>
      </c>
      <c r="M39" s="167">
        <f t="shared" si="11"/>
        <v>0</v>
      </c>
      <c r="N39" s="167">
        <f t="shared" si="11"/>
        <v>0</v>
      </c>
      <c r="O39" s="167">
        <f t="shared" si="11"/>
        <v>0</v>
      </c>
    </row>
    <row r="40" spans="1:15" x14ac:dyDescent="0.25">
      <c r="A40" s="148" t="s">
        <v>505</v>
      </c>
      <c r="B40" s="165">
        <f>SUM('TRANSFERENCIA CORRIENTE'!C41:E41)</f>
        <v>0</v>
      </c>
      <c r="C40" s="165">
        <f>SUM('TRANSFERENCIA CORRIENTE'!F41:H41)</f>
        <v>0</v>
      </c>
      <c r="D40" s="165">
        <f>SUM('TRANSFERENCIA CORRIENTE'!I41:K41)</f>
        <v>0</v>
      </c>
      <c r="E40" s="165">
        <f>SUM('TRANSFERENCIA CORRIENTE'!L41:N41)</f>
        <v>0</v>
      </c>
      <c r="F40" s="500"/>
      <c r="G40" s="165">
        <f>SUM(VS!C41:E41)</f>
        <v>0</v>
      </c>
      <c r="H40" s="165">
        <f>SUM(VS!F41:H41)</f>
        <v>0</v>
      </c>
      <c r="I40" s="165">
        <f>SUM(VS!I41:K41)</f>
        <v>0</v>
      </c>
      <c r="J40" s="166">
        <f>SUM(VS!L41:N41)</f>
        <v>0</v>
      </c>
      <c r="K40" s="500"/>
      <c r="L40" s="167">
        <f t="shared" si="11"/>
        <v>0</v>
      </c>
      <c r="M40" s="167">
        <f t="shared" si="11"/>
        <v>0</v>
      </c>
      <c r="N40" s="167">
        <f t="shared" si="11"/>
        <v>0</v>
      </c>
      <c r="O40" s="167">
        <f t="shared" si="11"/>
        <v>0</v>
      </c>
    </row>
    <row r="41" spans="1:15" x14ac:dyDescent="0.25">
      <c r="A41" s="148" t="s">
        <v>504</v>
      </c>
      <c r="B41" s="165">
        <f>SUM('TRANSFERENCIA CORRIENTE'!C42:E42)</f>
        <v>0</v>
      </c>
      <c r="C41" s="165">
        <f>SUM('TRANSFERENCIA CORRIENTE'!F42:H42)</f>
        <v>0</v>
      </c>
      <c r="D41" s="165">
        <f>SUM('TRANSFERENCIA CORRIENTE'!I42:K42)</f>
        <v>0</v>
      </c>
      <c r="E41" s="165">
        <f>SUM('TRANSFERENCIA CORRIENTE'!L42:N42)</f>
        <v>0</v>
      </c>
      <c r="F41" s="500"/>
      <c r="G41" s="165">
        <f>SUM(VS!C42:E42)</f>
        <v>0</v>
      </c>
      <c r="H41" s="165">
        <f>SUM(VS!F42:H42)</f>
        <v>0</v>
      </c>
      <c r="I41" s="165">
        <f>SUM(VS!I42:K42)</f>
        <v>0</v>
      </c>
      <c r="J41" s="166">
        <f>SUM(VS!L42:N42)</f>
        <v>0</v>
      </c>
      <c r="K41" s="500"/>
      <c r="L41" s="167">
        <f t="shared" ref="L41:O56" si="14">SUM(B41+G41)</f>
        <v>0</v>
      </c>
      <c r="M41" s="167">
        <f t="shared" si="14"/>
        <v>0</v>
      </c>
      <c r="N41" s="167">
        <f t="shared" si="14"/>
        <v>0</v>
      </c>
      <c r="O41" s="167">
        <f t="shared" si="14"/>
        <v>0</v>
      </c>
    </row>
    <row r="42" spans="1:15" x14ac:dyDescent="0.25">
      <c r="A42" s="154" t="s">
        <v>503</v>
      </c>
      <c r="B42" s="163">
        <f>SUM(B43:B49)</f>
        <v>0</v>
      </c>
      <c r="C42" s="163">
        <f t="shared" ref="C42:E42" si="15">SUM(C43:C49)</f>
        <v>0</v>
      </c>
      <c r="D42" s="163">
        <f t="shared" si="15"/>
        <v>0</v>
      </c>
      <c r="E42" s="163">
        <f t="shared" si="15"/>
        <v>0</v>
      </c>
      <c r="F42" s="500"/>
      <c r="G42" s="163">
        <f>SUM(G43:G49)</f>
        <v>0</v>
      </c>
      <c r="H42" s="163">
        <f t="shared" ref="H42:J42" si="16">SUM(H43:H49)</f>
        <v>0</v>
      </c>
      <c r="I42" s="163">
        <f t="shared" si="16"/>
        <v>0</v>
      </c>
      <c r="J42" s="163">
        <f t="shared" si="16"/>
        <v>0</v>
      </c>
      <c r="K42" s="500"/>
      <c r="L42" s="164">
        <f>SUM(B42+G42)</f>
        <v>0</v>
      </c>
      <c r="M42" s="164">
        <f t="shared" si="14"/>
        <v>0</v>
      </c>
      <c r="N42" s="164">
        <f>SUM(D42+I42)</f>
        <v>0</v>
      </c>
      <c r="O42" s="164">
        <f>SUM(E42+J42)</f>
        <v>0</v>
      </c>
    </row>
    <row r="43" spans="1:15" x14ac:dyDescent="0.25">
      <c r="A43" s="148" t="s">
        <v>502</v>
      </c>
      <c r="B43" s="165">
        <f>SUM('TRANSFERENCIA CORRIENTE'!C44:E44)</f>
        <v>0</v>
      </c>
      <c r="C43" s="165">
        <f>SUM('TRANSFERENCIA CORRIENTE'!F44:H44)</f>
        <v>0</v>
      </c>
      <c r="D43" s="165">
        <f>SUM('TRANSFERENCIA CORRIENTE'!I44:K44)</f>
        <v>0</v>
      </c>
      <c r="E43" s="165">
        <f>SUM('TRANSFERENCIA CORRIENTE'!L44:N44)</f>
        <v>0</v>
      </c>
      <c r="F43" s="500"/>
      <c r="G43" s="165">
        <f>SUM(VS!C44:E44)</f>
        <v>0</v>
      </c>
      <c r="H43" s="165">
        <f>SUM(VS!F44:H44)</f>
        <v>0</v>
      </c>
      <c r="I43" s="165">
        <f>SUM(VS!I44:K44)</f>
        <v>0</v>
      </c>
      <c r="J43" s="166">
        <f>SUM(VS!L44:N44)</f>
        <v>0</v>
      </c>
      <c r="K43" s="500"/>
      <c r="L43" s="167">
        <f t="shared" ref="L43:L49" si="17">SUM(B43+G43)</f>
        <v>0</v>
      </c>
      <c r="M43" s="167">
        <f t="shared" si="14"/>
        <v>0</v>
      </c>
      <c r="N43" s="167">
        <f t="shared" si="14"/>
        <v>0</v>
      </c>
      <c r="O43" s="167">
        <f t="shared" si="14"/>
        <v>0</v>
      </c>
    </row>
    <row r="44" spans="1:15" x14ac:dyDescent="0.25">
      <c r="A44" s="148" t="s">
        <v>501</v>
      </c>
      <c r="B44" s="165">
        <f>SUM('TRANSFERENCIA CORRIENTE'!C45:E45)</f>
        <v>0</v>
      </c>
      <c r="C44" s="165">
        <f>SUM('TRANSFERENCIA CORRIENTE'!F45:H45)</f>
        <v>0</v>
      </c>
      <c r="D44" s="165">
        <f>SUM('TRANSFERENCIA CORRIENTE'!I45:K45)</f>
        <v>0</v>
      </c>
      <c r="E44" s="165">
        <f>SUM('TRANSFERENCIA CORRIENTE'!L45:N45)</f>
        <v>0</v>
      </c>
      <c r="F44" s="500"/>
      <c r="G44" s="165">
        <f>SUM(VS!C45:E45)</f>
        <v>0</v>
      </c>
      <c r="H44" s="165">
        <f>SUM(VS!F45:H45)</f>
        <v>0</v>
      </c>
      <c r="I44" s="165">
        <f>SUM(VS!I45:K45)</f>
        <v>0</v>
      </c>
      <c r="J44" s="166">
        <f>SUM(VS!L45:N45)</f>
        <v>0</v>
      </c>
      <c r="K44" s="500"/>
      <c r="L44" s="167">
        <f t="shared" si="17"/>
        <v>0</v>
      </c>
      <c r="M44" s="167">
        <f t="shared" si="14"/>
        <v>0</v>
      </c>
      <c r="N44" s="167">
        <f t="shared" si="14"/>
        <v>0</v>
      </c>
      <c r="O44" s="167">
        <f t="shared" si="14"/>
        <v>0</v>
      </c>
    </row>
    <row r="45" spans="1:15" x14ac:dyDescent="0.25">
      <c r="A45" s="148" t="s">
        <v>500</v>
      </c>
      <c r="B45" s="165">
        <f>SUM('TRANSFERENCIA CORRIENTE'!C46:E46)</f>
        <v>0</v>
      </c>
      <c r="C45" s="165">
        <f>SUM('TRANSFERENCIA CORRIENTE'!F46:H46)</f>
        <v>0</v>
      </c>
      <c r="D45" s="165">
        <f>SUM('TRANSFERENCIA CORRIENTE'!I46:K46)</f>
        <v>0</v>
      </c>
      <c r="E45" s="165">
        <f>SUM('TRANSFERENCIA CORRIENTE'!L46:N46)</f>
        <v>0</v>
      </c>
      <c r="F45" s="500"/>
      <c r="G45" s="165">
        <f>SUM(VS!C46:E46)</f>
        <v>0</v>
      </c>
      <c r="H45" s="165">
        <f>SUM(VS!F46:H46)</f>
        <v>0</v>
      </c>
      <c r="I45" s="165">
        <f>SUM(VS!I46:K46)</f>
        <v>0</v>
      </c>
      <c r="J45" s="166">
        <f>SUM(VS!L46:N46)</f>
        <v>0</v>
      </c>
      <c r="K45" s="500"/>
      <c r="L45" s="167">
        <f t="shared" si="17"/>
        <v>0</v>
      </c>
      <c r="M45" s="167">
        <f t="shared" si="14"/>
        <v>0</v>
      </c>
      <c r="N45" s="167">
        <f t="shared" si="14"/>
        <v>0</v>
      </c>
      <c r="O45" s="167">
        <f t="shared" si="14"/>
        <v>0</v>
      </c>
    </row>
    <row r="46" spans="1:15" x14ac:dyDescent="0.25">
      <c r="A46" s="148" t="s">
        <v>499</v>
      </c>
      <c r="B46" s="165">
        <f>SUM('TRANSFERENCIA CORRIENTE'!C47:E47)</f>
        <v>0</v>
      </c>
      <c r="C46" s="165">
        <f>SUM('TRANSFERENCIA CORRIENTE'!F47:H47)</f>
        <v>0</v>
      </c>
      <c r="D46" s="165">
        <f>SUM('TRANSFERENCIA CORRIENTE'!I47:K47)</f>
        <v>0</v>
      </c>
      <c r="E46" s="165">
        <f>SUM('TRANSFERENCIA CORRIENTE'!L47:N47)</f>
        <v>0</v>
      </c>
      <c r="F46" s="500"/>
      <c r="G46" s="165">
        <f>SUM(VS!C47:E47)</f>
        <v>0</v>
      </c>
      <c r="H46" s="165">
        <f>SUM(VS!F47:H47)</f>
        <v>0</v>
      </c>
      <c r="I46" s="165">
        <f>SUM(VS!I47:K47)</f>
        <v>0</v>
      </c>
      <c r="J46" s="166">
        <f>SUM(VS!L47:N47)</f>
        <v>0</v>
      </c>
      <c r="K46" s="500"/>
      <c r="L46" s="167">
        <f t="shared" si="17"/>
        <v>0</v>
      </c>
      <c r="M46" s="167">
        <f t="shared" si="14"/>
        <v>0</v>
      </c>
      <c r="N46" s="167">
        <f t="shared" si="14"/>
        <v>0</v>
      </c>
      <c r="O46" s="167">
        <f t="shared" si="14"/>
        <v>0</v>
      </c>
    </row>
    <row r="47" spans="1:15" x14ac:dyDescent="0.25">
      <c r="A47" s="148" t="s">
        <v>498</v>
      </c>
      <c r="B47" s="165">
        <f>SUM('TRANSFERENCIA CORRIENTE'!C48:E48)</f>
        <v>0</v>
      </c>
      <c r="C47" s="165">
        <f>SUM('TRANSFERENCIA CORRIENTE'!F48:H48)</f>
        <v>0</v>
      </c>
      <c r="D47" s="165">
        <f>SUM('TRANSFERENCIA CORRIENTE'!I48:K48)</f>
        <v>0</v>
      </c>
      <c r="E47" s="165">
        <f>SUM('TRANSFERENCIA CORRIENTE'!L48:N48)</f>
        <v>0</v>
      </c>
      <c r="F47" s="500"/>
      <c r="G47" s="165">
        <f>SUM(VS!C48:E48)</f>
        <v>0</v>
      </c>
      <c r="H47" s="165">
        <f>SUM(VS!F48:H48)</f>
        <v>0</v>
      </c>
      <c r="I47" s="165">
        <f>SUM(VS!I48:K48)</f>
        <v>0</v>
      </c>
      <c r="J47" s="166">
        <f>SUM(VS!L48:N48)</f>
        <v>0</v>
      </c>
      <c r="K47" s="500"/>
      <c r="L47" s="167">
        <f t="shared" si="17"/>
        <v>0</v>
      </c>
      <c r="M47" s="167">
        <f t="shared" si="14"/>
        <v>0</v>
      </c>
      <c r="N47" s="167">
        <f t="shared" si="14"/>
        <v>0</v>
      </c>
      <c r="O47" s="167">
        <f t="shared" si="14"/>
        <v>0</v>
      </c>
    </row>
    <row r="48" spans="1:15" x14ac:dyDescent="0.25">
      <c r="A48" s="148" t="s">
        <v>497</v>
      </c>
      <c r="B48" s="165">
        <f>SUM('TRANSFERENCIA CORRIENTE'!C49:E49)</f>
        <v>0</v>
      </c>
      <c r="C48" s="165">
        <f>SUM('TRANSFERENCIA CORRIENTE'!F49:H49)</f>
        <v>0</v>
      </c>
      <c r="D48" s="165">
        <f>SUM('TRANSFERENCIA CORRIENTE'!I49:K49)</f>
        <v>0</v>
      </c>
      <c r="E48" s="165">
        <f>SUM('TRANSFERENCIA CORRIENTE'!L49:N49)</f>
        <v>0</v>
      </c>
      <c r="F48" s="500"/>
      <c r="G48" s="165">
        <f>SUM(VS!C49:E49)</f>
        <v>0</v>
      </c>
      <c r="H48" s="165">
        <f>SUM(VS!F49:H49)</f>
        <v>0</v>
      </c>
      <c r="I48" s="165">
        <f>SUM(VS!I49:K49)</f>
        <v>0</v>
      </c>
      <c r="J48" s="166">
        <f>SUM(VS!L49:N49)</f>
        <v>0</v>
      </c>
      <c r="K48" s="500"/>
      <c r="L48" s="167">
        <f t="shared" si="17"/>
        <v>0</v>
      </c>
      <c r="M48" s="167">
        <f t="shared" si="14"/>
        <v>0</v>
      </c>
      <c r="N48" s="167">
        <f t="shared" si="14"/>
        <v>0</v>
      </c>
      <c r="O48" s="167">
        <f t="shared" si="14"/>
        <v>0</v>
      </c>
    </row>
    <row r="49" spans="1:15" x14ac:dyDescent="0.25">
      <c r="A49" s="148" t="s">
        <v>496</v>
      </c>
      <c r="B49" s="165">
        <f>SUM('TRANSFERENCIA CORRIENTE'!C50:E50)</f>
        <v>0</v>
      </c>
      <c r="C49" s="165">
        <f>SUM('TRANSFERENCIA CORRIENTE'!F50:H50)</f>
        <v>0</v>
      </c>
      <c r="D49" s="165">
        <f>SUM('TRANSFERENCIA CORRIENTE'!I50:K50)</f>
        <v>0</v>
      </c>
      <c r="E49" s="165">
        <f>SUM('TRANSFERENCIA CORRIENTE'!L50:N50)</f>
        <v>0</v>
      </c>
      <c r="F49" s="500"/>
      <c r="G49" s="165">
        <f>SUM(VS!C50:E50)</f>
        <v>0</v>
      </c>
      <c r="H49" s="165">
        <f>SUM(VS!F50:H50)</f>
        <v>0</v>
      </c>
      <c r="I49" s="165">
        <f>SUM(VS!I50:K50)</f>
        <v>0</v>
      </c>
      <c r="J49" s="166">
        <f>SUM(VS!L50:N50)</f>
        <v>0</v>
      </c>
      <c r="K49" s="500"/>
      <c r="L49" s="167">
        <f t="shared" si="17"/>
        <v>0</v>
      </c>
      <c r="M49" s="167">
        <f t="shared" si="14"/>
        <v>0</v>
      </c>
      <c r="N49" s="167">
        <f t="shared" si="14"/>
        <v>0</v>
      </c>
      <c r="O49" s="167">
        <f t="shared" si="14"/>
        <v>0</v>
      </c>
    </row>
    <row r="50" spans="1:15" s="168" customFormat="1" x14ac:dyDescent="0.25">
      <c r="A50" s="154" t="s">
        <v>495</v>
      </c>
      <c r="B50" s="163">
        <f>SUM(B51:B59)</f>
        <v>17857866.620000001</v>
      </c>
      <c r="C50" s="163">
        <f t="shared" ref="C50:E50" si="18">SUM(C51:C59)</f>
        <v>0</v>
      </c>
      <c r="D50" s="163">
        <f t="shared" si="18"/>
        <v>0</v>
      </c>
      <c r="E50" s="163">
        <f t="shared" si="18"/>
        <v>0</v>
      </c>
      <c r="F50" s="500"/>
      <c r="G50" s="163">
        <f t="shared" ref="G50:J50" si="19">SUM(G51:G59)</f>
        <v>5076044.21</v>
      </c>
      <c r="H50" s="163">
        <f t="shared" si="19"/>
        <v>0</v>
      </c>
      <c r="I50" s="163">
        <f t="shared" si="19"/>
        <v>0</v>
      </c>
      <c r="J50" s="163">
        <f t="shared" si="19"/>
        <v>0</v>
      </c>
      <c r="K50" s="500"/>
      <c r="L50" s="164">
        <f>SUM(B50+G50)</f>
        <v>22933910.830000002</v>
      </c>
      <c r="M50" s="164">
        <f t="shared" si="14"/>
        <v>0</v>
      </c>
      <c r="N50" s="164">
        <f t="shared" si="14"/>
        <v>0</v>
      </c>
      <c r="O50" s="164">
        <f t="shared" si="14"/>
        <v>0</v>
      </c>
    </row>
    <row r="51" spans="1:15" x14ac:dyDescent="0.25">
      <c r="A51" s="148" t="s">
        <v>494</v>
      </c>
      <c r="B51" s="165">
        <f>SUM('TRANSFERENCIA CORRIENTE'!C52:E52)</f>
        <v>1110625.8599999999</v>
      </c>
      <c r="C51" s="165">
        <f>SUM('TRANSFERENCIA CORRIENTE'!F52:H52)</f>
        <v>0</v>
      </c>
      <c r="D51" s="165">
        <f>SUM('TRANSFERENCIA CORRIENTE'!I52:K52)</f>
        <v>0</v>
      </c>
      <c r="E51" s="165">
        <f>SUM('TRANSFERENCIA CORRIENTE'!L52:N52)</f>
        <v>0</v>
      </c>
      <c r="F51" s="500"/>
      <c r="G51" s="165">
        <f>SUM(VS!C52:E52)</f>
        <v>0</v>
      </c>
      <c r="H51" s="165">
        <f>SUM(VS!F52:H52)</f>
        <v>0</v>
      </c>
      <c r="I51" s="165">
        <f>SUM(VS!I52:K52)</f>
        <v>0</v>
      </c>
      <c r="J51" s="166">
        <f>SUM(VS!L52:N52)</f>
        <v>0</v>
      </c>
      <c r="K51" s="500"/>
      <c r="L51" s="167">
        <f t="shared" ref="L51:O66" si="20">SUM(B51+G51)</f>
        <v>1110625.8599999999</v>
      </c>
      <c r="M51" s="167">
        <f t="shared" si="14"/>
        <v>0</v>
      </c>
      <c r="N51" s="167">
        <f t="shared" si="14"/>
        <v>0</v>
      </c>
      <c r="O51" s="167">
        <f t="shared" si="14"/>
        <v>0</v>
      </c>
    </row>
    <row r="52" spans="1:15" x14ac:dyDescent="0.25">
      <c r="A52" s="148" t="s">
        <v>493</v>
      </c>
      <c r="B52" s="165">
        <f>SUM('TRANSFERENCIA CORRIENTE'!C53:E53)</f>
        <v>0</v>
      </c>
      <c r="C52" s="165">
        <f>SUM('TRANSFERENCIA CORRIENTE'!F53:H53)</f>
        <v>0</v>
      </c>
      <c r="D52" s="165">
        <f>SUM('TRANSFERENCIA CORRIENTE'!I53:K53)</f>
        <v>0</v>
      </c>
      <c r="E52" s="165">
        <f>SUM('TRANSFERENCIA CORRIENTE'!L53:N53)</f>
        <v>0</v>
      </c>
      <c r="F52" s="500"/>
      <c r="G52" s="165">
        <f>SUM(VS!C53:E53)</f>
        <v>0</v>
      </c>
      <c r="H52" s="165">
        <f>SUM(VS!F53:H53)</f>
        <v>0</v>
      </c>
      <c r="I52" s="165">
        <f>SUM(VS!I53:K53)</f>
        <v>0</v>
      </c>
      <c r="J52" s="166">
        <f>SUM(VS!L53:N53)</f>
        <v>0</v>
      </c>
      <c r="K52" s="500"/>
      <c r="L52" s="167">
        <f t="shared" si="20"/>
        <v>0</v>
      </c>
      <c r="M52" s="167">
        <f t="shared" si="14"/>
        <v>0</v>
      </c>
      <c r="N52" s="167">
        <f t="shared" si="14"/>
        <v>0</v>
      </c>
      <c r="O52" s="167">
        <f t="shared" si="14"/>
        <v>0</v>
      </c>
    </row>
    <row r="53" spans="1:15" x14ac:dyDescent="0.25">
      <c r="A53" s="148" t="s">
        <v>492</v>
      </c>
      <c r="B53" s="165">
        <f>SUM('TRANSFERENCIA CORRIENTE'!C54:E54)</f>
        <v>16744040.790000001</v>
      </c>
      <c r="C53" s="165">
        <f>SUM('TRANSFERENCIA CORRIENTE'!F54:H54)</f>
        <v>0</v>
      </c>
      <c r="D53" s="165">
        <f>SUM('TRANSFERENCIA CORRIENTE'!I54:K54)</f>
        <v>0</v>
      </c>
      <c r="E53" s="165">
        <f>SUM('TRANSFERENCIA CORRIENTE'!L54:N54)</f>
        <v>0</v>
      </c>
      <c r="F53" s="500"/>
      <c r="G53" s="165">
        <f>SUM(VS!C54:E54)</f>
        <v>2963024.84</v>
      </c>
      <c r="H53" s="165">
        <f>SUM(VS!F54:H54)</f>
        <v>0</v>
      </c>
      <c r="I53" s="165">
        <f>SUM(VS!I54:K54)</f>
        <v>0</v>
      </c>
      <c r="J53" s="166">
        <f>SUM(VS!L54:N54)</f>
        <v>0</v>
      </c>
      <c r="K53" s="500"/>
      <c r="L53" s="167">
        <f t="shared" si="20"/>
        <v>19707065.630000003</v>
      </c>
      <c r="M53" s="167">
        <f t="shared" si="14"/>
        <v>0</v>
      </c>
      <c r="N53" s="167">
        <f t="shared" si="14"/>
        <v>0</v>
      </c>
      <c r="O53" s="167">
        <f t="shared" si="14"/>
        <v>0</v>
      </c>
    </row>
    <row r="54" spans="1:15" x14ac:dyDescent="0.25">
      <c r="A54" s="148" t="s">
        <v>491</v>
      </c>
      <c r="B54" s="165">
        <f>SUM('TRANSFERENCIA CORRIENTE'!C55:E55)</f>
        <v>0</v>
      </c>
      <c r="C54" s="165">
        <f>SUM('TRANSFERENCIA CORRIENTE'!F55:H55)</f>
        <v>0</v>
      </c>
      <c r="D54" s="165">
        <f>SUM('TRANSFERENCIA CORRIENTE'!I55:K55)</f>
        <v>0</v>
      </c>
      <c r="E54" s="165">
        <f>SUM('TRANSFERENCIA CORRIENTE'!L55:N55)</f>
        <v>0</v>
      </c>
      <c r="F54" s="500"/>
      <c r="G54" s="165">
        <f>SUM(VS!C55:E55)</f>
        <v>107609.37</v>
      </c>
      <c r="H54" s="165">
        <f>SUM(VS!F55:H55)</f>
        <v>0</v>
      </c>
      <c r="I54" s="165">
        <f>SUM(VS!I55:K55)</f>
        <v>0</v>
      </c>
      <c r="J54" s="166">
        <f>SUM(VS!L55:N55)</f>
        <v>0</v>
      </c>
      <c r="K54" s="500"/>
      <c r="L54" s="167">
        <f t="shared" si="20"/>
        <v>107609.37</v>
      </c>
      <c r="M54" s="167">
        <f t="shared" si="14"/>
        <v>0</v>
      </c>
      <c r="N54" s="167">
        <f t="shared" si="14"/>
        <v>0</v>
      </c>
      <c r="O54" s="167">
        <f t="shared" si="14"/>
        <v>0</v>
      </c>
    </row>
    <row r="55" spans="1:15" x14ac:dyDescent="0.25">
      <c r="A55" s="148" t="s">
        <v>490</v>
      </c>
      <c r="B55" s="165">
        <f>SUM('TRANSFERENCIA CORRIENTE'!C56:E56)</f>
        <v>3199.97</v>
      </c>
      <c r="C55" s="165">
        <f>SUM('TRANSFERENCIA CORRIENTE'!F56:H56)</f>
        <v>0</v>
      </c>
      <c r="D55" s="165">
        <f>SUM('TRANSFERENCIA CORRIENTE'!I56:K56)</f>
        <v>0</v>
      </c>
      <c r="E55" s="165">
        <f>SUM('TRANSFERENCIA CORRIENTE'!L56:N56)</f>
        <v>0</v>
      </c>
      <c r="F55" s="500"/>
      <c r="G55" s="165">
        <f>SUM(VS!C56:E56)</f>
        <v>2005410</v>
      </c>
      <c r="H55" s="165">
        <f>SUM(VS!F56:H56)</f>
        <v>0</v>
      </c>
      <c r="I55" s="165">
        <f>SUM(VS!I56:K56)</f>
        <v>0</v>
      </c>
      <c r="J55" s="166">
        <f>SUM(VS!L56:N56)</f>
        <v>0</v>
      </c>
      <c r="K55" s="500"/>
      <c r="L55" s="167">
        <f t="shared" si="20"/>
        <v>2008609.97</v>
      </c>
      <c r="M55" s="167">
        <f t="shared" si="14"/>
        <v>0</v>
      </c>
      <c r="N55" s="167">
        <f t="shared" si="14"/>
        <v>0</v>
      </c>
      <c r="O55" s="167">
        <f t="shared" si="14"/>
        <v>0</v>
      </c>
    </row>
    <row r="56" spans="1:15" x14ac:dyDescent="0.25">
      <c r="A56" s="148" t="s">
        <v>489</v>
      </c>
      <c r="B56" s="165">
        <f>SUM('TRANSFERENCIA CORRIENTE'!C57:E57)</f>
        <v>0</v>
      </c>
      <c r="C56" s="165">
        <f>SUM('TRANSFERENCIA CORRIENTE'!F57:H57)</f>
        <v>0</v>
      </c>
      <c r="D56" s="165">
        <f>SUM('TRANSFERENCIA CORRIENTE'!I57:K57)</f>
        <v>0</v>
      </c>
      <c r="E56" s="165">
        <f>SUM('TRANSFERENCIA CORRIENTE'!L57:N57)</f>
        <v>0</v>
      </c>
      <c r="F56" s="500"/>
      <c r="G56" s="165">
        <f>SUM(VS!C57:E57)</f>
        <v>0</v>
      </c>
      <c r="H56" s="165">
        <f>SUM(VS!F57:H57)</f>
        <v>0</v>
      </c>
      <c r="I56" s="165">
        <f>SUM(VS!I57:K57)</f>
        <v>0</v>
      </c>
      <c r="J56" s="166">
        <f>SUM(VS!L57:N57)</f>
        <v>0</v>
      </c>
      <c r="K56" s="500"/>
      <c r="L56" s="167">
        <f t="shared" si="20"/>
        <v>0</v>
      </c>
      <c r="M56" s="167">
        <f t="shared" si="14"/>
        <v>0</v>
      </c>
      <c r="N56" s="167">
        <f t="shared" si="14"/>
        <v>0</v>
      </c>
      <c r="O56" s="167">
        <f t="shared" si="14"/>
        <v>0</v>
      </c>
    </row>
    <row r="57" spans="1:15" x14ac:dyDescent="0.25">
      <c r="A57" s="148" t="s">
        <v>488</v>
      </c>
      <c r="B57" s="165">
        <f>SUM('TRANSFERENCIA CORRIENTE'!C58:E58)</f>
        <v>0</v>
      </c>
      <c r="C57" s="165">
        <f>SUM('TRANSFERENCIA CORRIENTE'!F58:H58)</f>
        <v>0</v>
      </c>
      <c r="D57" s="165">
        <f>SUM('TRANSFERENCIA CORRIENTE'!I58:K58)</f>
        <v>0</v>
      </c>
      <c r="E57" s="165">
        <f>SUM('TRANSFERENCIA CORRIENTE'!L58:N58)</f>
        <v>0</v>
      </c>
      <c r="F57" s="500"/>
      <c r="G57" s="165">
        <f>SUM(VS!C58:E58)</f>
        <v>0</v>
      </c>
      <c r="H57" s="165">
        <f>SUM(VS!F58:H58)</f>
        <v>0</v>
      </c>
      <c r="I57" s="165">
        <f>SUM(VS!I58:K58)</f>
        <v>0</v>
      </c>
      <c r="J57" s="166">
        <f>SUM(VS!L58:N58)</f>
        <v>0</v>
      </c>
      <c r="K57" s="500"/>
      <c r="L57" s="167">
        <f t="shared" si="20"/>
        <v>0</v>
      </c>
      <c r="M57" s="167">
        <f t="shared" si="20"/>
        <v>0</v>
      </c>
      <c r="N57" s="167">
        <f t="shared" si="20"/>
        <v>0</v>
      </c>
      <c r="O57" s="167">
        <f t="shared" si="20"/>
        <v>0</v>
      </c>
    </row>
    <row r="58" spans="1:15" x14ac:dyDescent="0.25">
      <c r="A58" s="148" t="s">
        <v>487</v>
      </c>
      <c r="B58" s="165">
        <f>SUM('TRANSFERENCIA CORRIENTE'!C59:E59)</f>
        <v>0</v>
      </c>
      <c r="C58" s="165">
        <f>SUM('TRANSFERENCIA CORRIENTE'!F59:H59)</f>
        <v>0</v>
      </c>
      <c r="D58" s="165">
        <f>SUM('TRANSFERENCIA CORRIENTE'!I59:K59)</f>
        <v>0</v>
      </c>
      <c r="E58" s="165">
        <f>SUM('TRANSFERENCIA CORRIENTE'!L59:N59)</f>
        <v>0</v>
      </c>
      <c r="F58" s="500"/>
      <c r="G58" s="165">
        <f>SUM(VS!C59:E59)</f>
        <v>0</v>
      </c>
      <c r="H58" s="165">
        <f>SUM(VS!F59:H59)</f>
        <v>0</v>
      </c>
      <c r="I58" s="165">
        <f>SUM(VS!I59:K59)</f>
        <v>0</v>
      </c>
      <c r="J58" s="166">
        <f>SUM(VS!L59:N59)</f>
        <v>0</v>
      </c>
      <c r="K58" s="500"/>
      <c r="L58" s="167">
        <f t="shared" si="20"/>
        <v>0</v>
      </c>
      <c r="M58" s="167">
        <f t="shared" si="20"/>
        <v>0</v>
      </c>
      <c r="N58" s="167">
        <f t="shared" si="20"/>
        <v>0</v>
      </c>
      <c r="O58" s="167">
        <f t="shared" si="20"/>
        <v>0</v>
      </c>
    </row>
    <row r="59" spans="1:15" x14ac:dyDescent="0.25">
      <c r="A59" s="148" t="s">
        <v>486</v>
      </c>
      <c r="B59" s="165">
        <f>SUM('TRANSFERENCIA CORRIENTE'!C60:E60)</f>
        <v>0</v>
      </c>
      <c r="C59" s="165">
        <f>SUM('TRANSFERENCIA CORRIENTE'!F60:H60)</f>
        <v>0</v>
      </c>
      <c r="D59" s="165">
        <f>SUM('TRANSFERENCIA CORRIENTE'!I60:K60)</f>
        <v>0</v>
      </c>
      <c r="E59" s="165">
        <f>SUM('TRANSFERENCIA CORRIENTE'!L60:N60)</f>
        <v>0</v>
      </c>
      <c r="F59" s="500"/>
      <c r="G59" s="165">
        <f>SUM(VS!C60:E60)</f>
        <v>0</v>
      </c>
      <c r="H59" s="165">
        <f>SUM(VS!F60:H60)</f>
        <v>0</v>
      </c>
      <c r="I59" s="165">
        <f>SUM(VS!I60:K60)</f>
        <v>0</v>
      </c>
      <c r="J59" s="166">
        <f>SUM(VS!L60:N60)</f>
        <v>0</v>
      </c>
      <c r="K59" s="500"/>
      <c r="L59" s="167">
        <f t="shared" si="20"/>
        <v>0</v>
      </c>
      <c r="M59" s="167">
        <f t="shared" si="20"/>
        <v>0</v>
      </c>
      <c r="N59" s="167">
        <f t="shared" si="20"/>
        <v>0</v>
      </c>
      <c r="O59" s="167">
        <f t="shared" si="20"/>
        <v>0</v>
      </c>
    </row>
    <row r="60" spans="1:15" s="168" customFormat="1" x14ac:dyDescent="0.25">
      <c r="A60" s="154" t="s">
        <v>485</v>
      </c>
      <c r="B60" s="163">
        <f>SUM(B61:B64)</f>
        <v>0</v>
      </c>
      <c r="C60" s="163">
        <f t="shared" ref="C60:E60" si="21">SUM(C61:C64)</f>
        <v>0</v>
      </c>
      <c r="D60" s="163">
        <f t="shared" si="21"/>
        <v>0</v>
      </c>
      <c r="E60" s="163">
        <f t="shared" si="21"/>
        <v>0</v>
      </c>
      <c r="F60" s="500"/>
      <c r="G60" s="163">
        <f t="shared" ref="G60:J60" si="22">SUM(G61:G64)</f>
        <v>0</v>
      </c>
      <c r="H60" s="163">
        <f t="shared" si="22"/>
        <v>0</v>
      </c>
      <c r="I60" s="163">
        <f t="shared" si="22"/>
        <v>0</v>
      </c>
      <c r="J60" s="163">
        <f t="shared" si="22"/>
        <v>0</v>
      </c>
      <c r="K60" s="500"/>
      <c r="L60" s="169">
        <f>SUM(B60+G60)</f>
        <v>0</v>
      </c>
      <c r="M60" s="169">
        <f t="shared" si="20"/>
        <v>0</v>
      </c>
      <c r="N60" s="169">
        <f t="shared" si="20"/>
        <v>0</v>
      </c>
      <c r="O60" s="169">
        <f t="shared" si="20"/>
        <v>0</v>
      </c>
    </row>
    <row r="61" spans="1:15" x14ac:dyDescent="0.25">
      <c r="A61" s="148" t="s">
        <v>484</v>
      </c>
      <c r="B61" s="165">
        <f>SUM('TRANSFERENCIA CORRIENTE'!C62:E62)</f>
        <v>0</v>
      </c>
      <c r="C61" s="165">
        <f>SUM('TRANSFERENCIA CORRIENTE'!F62:H62)</f>
        <v>0</v>
      </c>
      <c r="D61" s="165">
        <f>SUM('TRANSFERENCIA CORRIENTE'!I62:K62)</f>
        <v>0</v>
      </c>
      <c r="E61" s="165">
        <f>SUM('TRANSFERENCIA CORRIENTE'!L62:N62)</f>
        <v>0</v>
      </c>
      <c r="F61" s="500"/>
      <c r="G61" s="165">
        <f>SUM(VS!C62:E62)</f>
        <v>0</v>
      </c>
      <c r="H61" s="165">
        <f>SUM(VS!F62:H62)</f>
        <v>0</v>
      </c>
      <c r="I61" s="165">
        <f>SUM(VS!I62:K62)</f>
        <v>0</v>
      </c>
      <c r="J61" s="166">
        <f>SUM(VS!L62:N62)</f>
        <v>0</v>
      </c>
      <c r="K61" s="500"/>
      <c r="L61" s="167">
        <f t="shared" ref="L61:L64" si="23">SUM(B61+G61)</f>
        <v>0</v>
      </c>
      <c r="M61" s="167">
        <f t="shared" si="20"/>
        <v>0</v>
      </c>
      <c r="N61" s="167">
        <f t="shared" si="20"/>
        <v>0</v>
      </c>
      <c r="O61" s="167">
        <f t="shared" si="20"/>
        <v>0</v>
      </c>
    </row>
    <row r="62" spans="1:15" x14ac:dyDescent="0.25">
      <c r="A62" s="148" t="s">
        <v>483</v>
      </c>
      <c r="B62" s="165">
        <f>SUM('TRANSFERENCIA CORRIENTE'!C63:E63)</f>
        <v>0</v>
      </c>
      <c r="C62" s="165">
        <f>SUM('TRANSFERENCIA CORRIENTE'!F63:H63)</f>
        <v>0</v>
      </c>
      <c r="D62" s="165">
        <f>SUM('TRANSFERENCIA CORRIENTE'!I63:K63)</f>
        <v>0</v>
      </c>
      <c r="E62" s="165">
        <f>SUM('TRANSFERENCIA CORRIENTE'!L63:N63)</f>
        <v>0</v>
      </c>
      <c r="F62" s="500"/>
      <c r="G62" s="165">
        <f>SUM(VS!C63:E63)</f>
        <v>0</v>
      </c>
      <c r="H62" s="165">
        <f>SUM(VS!F63:H63)</f>
        <v>0</v>
      </c>
      <c r="I62" s="165">
        <f>SUM(VS!I63:K63)</f>
        <v>0</v>
      </c>
      <c r="J62" s="166">
        <f>SUM(VS!L63:N63)</f>
        <v>0</v>
      </c>
      <c r="K62" s="500"/>
      <c r="L62" s="167">
        <f t="shared" si="23"/>
        <v>0</v>
      </c>
      <c r="M62" s="167">
        <f t="shared" si="20"/>
        <v>0</v>
      </c>
      <c r="N62" s="167">
        <f t="shared" si="20"/>
        <v>0</v>
      </c>
      <c r="O62" s="167">
        <f t="shared" si="20"/>
        <v>0</v>
      </c>
    </row>
    <row r="63" spans="1:15" x14ac:dyDescent="0.25">
      <c r="A63" s="148" t="s">
        <v>482</v>
      </c>
      <c r="B63" s="165">
        <f>SUM('TRANSFERENCIA CORRIENTE'!C64:E64)</f>
        <v>0</v>
      </c>
      <c r="C63" s="165">
        <f>SUM('TRANSFERENCIA CORRIENTE'!F64:H64)</f>
        <v>0</v>
      </c>
      <c r="D63" s="165">
        <f>SUM('TRANSFERENCIA CORRIENTE'!I64:K64)</f>
        <v>0</v>
      </c>
      <c r="E63" s="165">
        <f>SUM('TRANSFERENCIA CORRIENTE'!L64:N64)</f>
        <v>0</v>
      </c>
      <c r="F63" s="500"/>
      <c r="G63" s="165">
        <f>SUM(VS!C64:E64)</f>
        <v>0</v>
      </c>
      <c r="H63" s="165">
        <f>SUM(VS!F64:H64)</f>
        <v>0</v>
      </c>
      <c r="I63" s="165">
        <f>SUM(VS!I64:K64)</f>
        <v>0</v>
      </c>
      <c r="J63" s="166">
        <f>SUM(VS!L64:N64)</f>
        <v>0</v>
      </c>
      <c r="K63" s="500"/>
      <c r="L63" s="167">
        <f t="shared" si="23"/>
        <v>0</v>
      </c>
      <c r="M63" s="167">
        <f t="shared" si="20"/>
        <v>0</v>
      </c>
      <c r="N63" s="167">
        <f t="shared" si="20"/>
        <v>0</v>
      </c>
      <c r="O63" s="167">
        <f t="shared" si="20"/>
        <v>0</v>
      </c>
    </row>
    <row r="64" spans="1:15" ht="30" x14ac:dyDescent="0.25">
      <c r="A64" s="148" t="s">
        <v>481</v>
      </c>
      <c r="B64" s="165">
        <f>SUM('TRANSFERENCIA CORRIENTE'!C65:E65)</f>
        <v>0</v>
      </c>
      <c r="C64" s="165">
        <f>SUM('TRANSFERENCIA CORRIENTE'!F65:H65)</f>
        <v>0</v>
      </c>
      <c r="D64" s="165">
        <f>SUM('TRANSFERENCIA CORRIENTE'!I65:K65)</f>
        <v>0</v>
      </c>
      <c r="E64" s="165">
        <f>SUM('TRANSFERENCIA CORRIENTE'!L65:N65)</f>
        <v>0</v>
      </c>
      <c r="F64" s="500"/>
      <c r="G64" s="165">
        <f>SUM(VS!C65:E65)</f>
        <v>0</v>
      </c>
      <c r="H64" s="165">
        <f>SUM(VS!F65:H65)</f>
        <v>0</v>
      </c>
      <c r="I64" s="165">
        <f>SUM(VS!I65:K65)</f>
        <v>0</v>
      </c>
      <c r="J64" s="166">
        <f>SUM(VS!L65:N65)</f>
        <v>0</v>
      </c>
      <c r="K64" s="500"/>
      <c r="L64" s="167">
        <f t="shared" si="23"/>
        <v>0</v>
      </c>
      <c r="M64" s="167">
        <f t="shared" si="20"/>
        <v>0</v>
      </c>
      <c r="N64" s="167">
        <f t="shared" si="20"/>
        <v>0</v>
      </c>
      <c r="O64" s="167">
        <f t="shared" si="20"/>
        <v>0</v>
      </c>
    </row>
    <row r="65" spans="1:15" s="168" customFormat="1" x14ac:dyDescent="0.25">
      <c r="A65" s="154" t="s">
        <v>480</v>
      </c>
      <c r="B65" s="163">
        <f>SUM(B66:B67)</f>
        <v>0</v>
      </c>
      <c r="C65" s="163">
        <f t="shared" ref="C65:E65" si="24">SUM(C66:C67)</f>
        <v>0</v>
      </c>
      <c r="D65" s="163">
        <f t="shared" si="24"/>
        <v>0</v>
      </c>
      <c r="E65" s="163">
        <f t="shared" si="24"/>
        <v>0</v>
      </c>
      <c r="F65" s="500"/>
      <c r="G65" s="163">
        <f t="shared" ref="G65:J65" si="25">SUM(G66:G67)</f>
        <v>0</v>
      </c>
      <c r="H65" s="163">
        <f t="shared" si="25"/>
        <v>0</v>
      </c>
      <c r="I65" s="163">
        <f t="shared" si="25"/>
        <v>0</v>
      </c>
      <c r="J65" s="163">
        <f t="shared" si="25"/>
        <v>0</v>
      </c>
      <c r="K65" s="500"/>
      <c r="L65" s="169">
        <f>SUM(B65+G65)</f>
        <v>0</v>
      </c>
      <c r="M65" s="169">
        <f t="shared" si="20"/>
        <v>0</v>
      </c>
      <c r="N65" s="169">
        <f t="shared" si="20"/>
        <v>0</v>
      </c>
      <c r="O65" s="169">
        <f t="shared" si="20"/>
        <v>0</v>
      </c>
    </row>
    <row r="66" spans="1:15" x14ac:dyDescent="0.25">
      <c r="A66" s="148" t="s">
        <v>479</v>
      </c>
      <c r="B66" s="165">
        <f>SUM('TRANSFERENCIA CORRIENTE'!C67:E67)</f>
        <v>0</v>
      </c>
      <c r="C66" s="165">
        <f>SUM('TRANSFERENCIA CORRIENTE'!F67:H67)</f>
        <v>0</v>
      </c>
      <c r="D66" s="165">
        <f>SUM('TRANSFERENCIA CORRIENTE'!I67:K67)</f>
        <v>0</v>
      </c>
      <c r="E66" s="165">
        <f>SUM('TRANSFERENCIA CORRIENTE'!L67:N67)</f>
        <v>0</v>
      </c>
      <c r="F66" s="500"/>
      <c r="G66" s="165">
        <f>SUM(VS!C67:E67)</f>
        <v>0</v>
      </c>
      <c r="H66" s="165">
        <f>SUM(VS!F67:H67)</f>
        <v>0</v>
      </c>
      <c r="I66" s="165">
        <f>SUM(VS!I67:K67)</f>
        <v>0</v>
      </c>
      <c r="J66" s="166">
        <f>SUM(VS!L67:N67)</f>
        <v>0</v>
      </c>
      <c r="K66" s="500"/>
      <c r="L66" s="167">
        <f t="shared" ref="L66:L67" si="26">SUM(B66+G66)</f>
        <v>0</v>
      </c>
      <c r="M66" s="167">
        <f>SUM(C66+H66)</f>
        <v>0</v>
      </c>
      <c r="N66" s="167">
        <f t="shared" si="20"/>
        <v>0</v>
      </c>
      <c r="O66" s="167">
        <f t="shared" si="20"/>
        <v>0</v>
      </c>
    </row>
    <row r="67" spans="1:15" x14ac:dyDescent="0.25">
      <c r="A67" s="148" t="s">
        <v>478</v>
      </c>
      <c r="B67" s="165">
        <f>SUM('TRANSFERENCIA CORRIENTE'!C68:E68)</f>
        <v>0</v>
      </c>
      <c r="C67" s="165">
        <f>SUM('TRANSFERENCIA CORRIENTE'!F68:H68)</f>
        <v>0</v>
      </c>
      <c r="D67" s="165">
        <f>SUM('TRANSFERENCIA CORRIENTE'!I68:K68)</f>
        <v>0</v>
      </c>
      <c r="E67" s="165">
        <f>SUM('TRANSFERENCIA CORRIENTE'!L68:N68)</f>
        <v>0</v>
      </c>
      <c r="F67" s="500"/>
      <c r="G67" s="165">
        <f>SUM(VS!C68:E68)</f>
        <v>0</v>
      </c>
      <c r="H67" s="165">
        <f>SUM(VS!F68:H68)</f>
        <v>0</v>
      </c>
      <c r="I67" s="165">
        <f>SUM(VS!I68:K68)</f>
        <v>0</v>
      </c>
      <c r="J67" s="166">
        <f>SUM(VS!L68:N68)</f>
        <v>0</v>
      </c>
      <c r="K67" s="500"/>
      <c r="L67" s="167">
        <f t="shared" si="26"/>
        <v>0</v>
      </c>
      <c r="M67" s="167">
        <f>SUM(C67+H67)</f>
        <v>0</v>
      </c>
      <c r="N67" s="167">
        <f t="shared" ref="N67:O67" si="27">SUM(D67+I67)</f>
        <v>0</v>
      </c>
      <c r="O67" s="167">
        <f t="shared" si="27"/>
        <v>0</v>
      </c>
    </row>
    <row r="68" spans="1:15" s="168" customFormat="1" x14ac:dyDescent="0.25">
      <c r="A68" s="154" t="s">
        <v>477</v>
      </c>
      <c r="B68" s="163">
        <f>SUM(B69:B71)</f>
        <v>0</v>
      </c>
      <c r="C68" s="163">
        <f t="shared" ref="C68:E68" si="28">SUM(C69:C71)</f>
        <v>0</v>
      </c>
      <c r="D68" s="163">
        <f t="shared" si="28"/>
        <v>0</v>
      </c>
      <c r="E68" s="163">
        <f t="shared" si="28"/>
        <v>0</v>
      </c>
      <c r="F68" s="500"/>
      <c r="G68" s="163">
        <f t="shared" ref="G68:J68" si="29">SUM(G69:G71)</f>
        <v>0</v>
      </c>
      <c r="H68" s="163">
        <f t="shared" si="29"/>
        <v>0</v>
      </c>
      <c r="I68" s="163">
        <f t="shared" si="29"/>
        <v>0</v>
      </c>
      <c r="J68" s="163">
        <f t="shared" si="29"/>
        <v>0</v>
      </c>
      <c r="K68" s="500"/>
      <c r="L68" s="169">
        <f>SUM(B68+G68)</f>
        <v>0</v>
      </c>
      <c r="M68" s="169">
        <f t="shared" ref="M68:O82" si="30">SUM(C68+H68)</f>
        <v>0</v>
      </c>
      <c r="N68" s="169">
        <f t="shared" si="30"/>
        <v>0</v>
      </c>
      <c r="O68" s="169">
        <f t="shared" si="30"/>
        <v>0</v>
      </c>
    </row>
    <row r="69" spans="1:15" x14ac:dyDescent="0.25">
      <c r="A69" s="148" t="s">
        <v>476</v>
      </c>
      <c r="B69" s="165">
        <f>SUM('TRANSFERENCIA CORRIENTE'!C70:E70)</f>
        <v>0</v>
      </c>
      <c r="C69" s="165">
        <f>SUM('TRANSFERENCIA CORRIENTE'!F70:H70)</f>
        <v>0</v>
      </c>
      <c r="D69" s="165">
        <f>SUM('TRANSFERENCIA CORRIENTE'!I70:K70)</f>
        <v>0</v>
      </c>
      <c r="E69" s="165">
        <f>SUM('TRANSFERENCIA CORRIENTE'!L70:N70)</f>
        <v>0</v>
      </c>
      <c r="F69" s="500"/>
      <c r="G69" s="165">
        <f>SUM(VS!C70:E70)</f>
        <v>0</v>
      </c>
      <c r="H69" s="165">
        <f>SUM(VS!F70:H70)</f>
        <v>0</v>
      </c>
      <c r="I69" s="165">
        <f>SUM(VS!I70:K70)</f>
        <v>0</v>
      </c>
      <c r="J69" s="166">
        <f>SUM(VS!L70:N70)</f>
        <v>0</v>
      </c>
      <c r="K69" s="500"/>
      <c r="L69" s="167">
        <f t="shared" ref="L69:L71" si="31">SUM(B69+G69)</f>
        <v>0</v>
      </c>
      <c r="M69" s="167">
        <f t="shared" si="30"/>
        <v>0</v>
      </c>
      <c r="N69" s="167">
        <f t="shared" si="30"/>
        <v>0</v>
      </c>
      <c r="O69" s="167">
        <f t="shared" si="30"/>
        <v>0</v>
      </c>
    </row>
    <row r="70" spans="1:15" x14ac:dyDescent="0.25">
      <c r="A70" s="148" t="s">
        <v>475</v>
      </c>
      <c r="B70" s="165">
        <f>SUM('TRANSFERENCIA CORRIENTE'!C71:E71)</f>
        <v>0</v>
      </c>
      <c r="C70" s="165">
        <f>SUM('TRANSFERENCIA CORRIENTE'!F71:H71)</f>
        <v>0</v>
      </c>
      <c r="D70" s="165">
        <f>SUM('TRANSFERENCIA CORRIENTE'!I71:K71)</f>
        <v>0</v>
      </c>
      <c r="E70" s="165">
        <f>SUM('TRANSFERENCIA CORRIENTE'!L71:N71)</f>
        <v>0</v>
      </c>
      <c r="F70" s="500"/>
      <c r="G70" s="165">
        <f>SUM(VS!C71:E71)</f>
        <v>0</v>
      </c>
      <c r="H70" s="165">
        <f>SUM(VS!F71:H71)</f>
        <v>0</v>
      </c>
      <c r="I70" s="165">
        <f>SUM(VS!I71:K71)</f>
        <v>0</v>
      </c>
      <c r="J70" s="166">
        <f>SUM(VS!L71:N71)</f>
        <v>0</v>
      </c>
      <c r="K70" s="500"/>
      <c r="L70" s="167">
        <f t="shared" si="31"/>
        <v>0</v>
      </c>
      <c r="M70" s="167">
        <f t="shared" si="30"/>
        <v>0</v>
      </c>
      <c r="N70" s="167">
        <f t="shared" si="30"/>
        <v>0</v>
      </c>
      <c r="O70" s="167">
        <f t="shared" si="30"/>
        <v>0</v>
      </c>
    </row>
    <row r="71" spans="1:15" x14ac:dyDescent="0.25">
      <c r="A71" s="148" t="s">
        <v>474</v>
      </c>
      <c r="B71" s="165">
        <f>SUM('TRANSFERENCIA CORRIENTE'!C72:E72)</f>
        <v>0</v>
      </c>
      <c r="C71" s="165">
        <f>SUM('TRANSFERENCIA CORRIENTE'!F72:H72)</f>
        <v>0</v>
      </c>
      <c r="D71" s="165">
        <f>SUM('TRANSFERENCIA CORRIENTE'!I72:K72)</f>
        <v>0</v>
      </c>
      <c r="E71" s="165">
        <f>SUM('TRANSFERENCIA CORRIENTE'!L72:N72)</f>
        <v>0</v>
      </c>
      <c r="F71" s="500"/>
      <c r="G71" s="165"/>
      <c r="H71" s="165">
        <f>SUM(VS!F72:H72)</f>
        <v>0</v>
      </c>
      <c r="I71" s="165">
        <f>SUM(VS!I72:K72)</f>
        <v>0</v>
      </c>
      <c r="J71" s="166">
        <f>SUM(VS!L72:N72)</f>
        <v>0</v>
      </c>
      <c r="K71" s="500"/>
      <c r="L71" s="167">
        <f t="shared" si="31"/>
        <v>0</v>
      </c>
      <c r="M71" s="167">
        <f t="shared" si="30"/>
        <v>0</v>
      </c>
      <c r="N71" s="167">
        <f t="shared" si="30"/>
        <v>0</v>
      </c>
      <c r="O71" s="167">
        <f t="shared" si="30"/>
        <v>0</v>
      </c>
    </row>
    <row r="72" spans="1:15" s="168" customFormat="1" x14ac:dyDescent="0.25">
      <c r="A72" s="154" t="s">
        <v>473</v>
      </c>
      <c r="B72" s="163">
        <f>+B8+B14+B24+B34+B42+B50+B60+B65+B68</f>
        <v>271880250.56999999</v>
      </c>
      <c r="C72" s="163">
        <f t="shared" ref="C72:E72" si="32">+C8+C14+C24+C34+C42+C50+C60+C65+C68</f>
        <v>0</v>
      </c>
      <c r="D72" s="163">
        <f t="shared" si="32"/>
        <v>0</v>
      </c>
      <c r="E72" s="163">
        <f t="shared" si="32"/>
        <v>0</v>
      </c>
      <c r="F72" s="500"/>
      <c r="G72" s="163">
        <f>+G8+G14+G24+G34+G42+G50+G60+G65+G68</f>
        <v>26194615.629999999</v>
      </c>
      <c r="H72" s="163">
        <f t="shared" ref="H72:J72" si="33">+H8+H14+H24+H34+H42+H50+H60+H65+H68</f>
        <v>0</v>
      </c>
      <c r="I72" s="163">
        <f t="shared" si="33"/>
        <v>0</v>
      </c>
      <c r="J72" s="163">
        <f t="shared" si="33"/>
        <v>0</v>
      </c>
      <c r="K72" s="500"/>
      <c r="L72" s="169">
        <f>SUM(B72+G72)</f>
        <v>298074866.19999999</v>
      </c>
      <c r="M72" s="169">
        <f t="shared" si="30"/>
        <v>0</v>
      </c>
      <c r="N72" s="169">
        <f t="shared" si="30"/>
        <v>0</v>
      </c>
      <c r="O72" s="169">
        <f t="shared" si="30"/>
        <v>0</v>
      </c>
    </row>
    <row r="73" spans="1:15" x14ac:dyDescent="0.25">
      <c r="A73" s="150" t="s">
        <v>472</v>
      </c>
      <c r="B73" s="165">
        <f>SUM('TRANSFERENCIA CORRIENTE'!C74:E74)</f>
        <v>0</v>
      </c>
      <c r="C73" s="165">
        <f>SUM('TRANSFERENCIA CORRIENTE'!F74:H74)</f>
        <v>0</v>
      </c>
      <c r="D73" s="165">
        <f>SUM('TRANSFERENCIA CORRIENTE'!I74:K74)</f>
        <v>0</v>
      </c>
      <c r="E73" s="165">
        <f>SUM('TRANSFERENCIA CORRIENTE'!L74:N74)</f>
        <v>0</v>
      </c>
      <c r="F73" s="500"/>
      <c r="G73" s="165">
        <f>SUM(VS!C74:E74)</f>
        <v>0</v>
      </c>
      <c r="H73" s="165">
        <f>SUM(VS!F74:H74)</f>
        <v>0</v>
      </c>
      <c r="I73" s="165">
        <f>SUM(VS!I74:K74)</f>
        <v>0</v>
      </c>
      <c r="J73" s="166">
        <f>SUM(VS!L74:N74)</f>
        <v>0</v>
      </c>
      <c r="K73" s="500"/>
      <c r="L73" s="167">
        <f t="shared" ref="L73:L81" si="34">SUM(B73+G73)</f>
        <v>0</v>
      </c>
      <c r="M73" s="167">
        <f t="shared" si="30"/>
        <v>0</v>
      </c>
      <c r="N73" s="167">
        <f t="shared" si="30"/>
        <v>0</v>
      </c>
      <c r="O73" s="167">
        <f t="shared" si="30"/>
        <v>0</v>
      </c>
    </row>
    <row r="74" spans="1:15" x14ac:dyDescent="0.25">
      <c r="A74" s="150" t="s">
        <v>471</v>
      </c>
      <c r="B74" s="165">
        <f>SUM('TRANSFERENCIA CORRIENTE'!C75:E75)</f>
        <v>0</v>
      </c>
      <c r="C74" s="165">
        <f>SUM('TRANSFERENCIA CORRIENTE'!F75:H75)</f>
        <v>0</v>
      </c>
      <c r="D74" s="165">
        <f>SUM('TRANSFERENCIA CORRIENTE'!I75:K75)</f>
        <v>0</v>
      </c>
      <c r="E74" s="165">
        <f>SUM('TRANSFERENCIA CORRIENTE'!L75:N75)</f>
        <v>0</v>
      </c>
      <c r="F74" s="500"/>
      <c r="G74" s="165">
        <f>SUM(VS!C75:E75)</f>
        <v>0</v>
      </c>
      <c r="H74" s="165">
        <f>SUM(VS!F75:H75)</f>
        <v>0</v>
      </c>
      <c r="I74" s="165">
        <f>SUM(VS!I75:K75)</f>
        <v>0</v>
      </c>
      <c r="J74" s="166">
        <f>SUM(VS!L75:N75)</f>
        <v>0</v>
      </c>
      <c r="K74" s="500"/>
      <c r="L74" s="167">
        <f t="shared" si="34"/>
        <v>0</v>
      </c>
      <c r="M74" s="167">
        <f t="shared" si="30"/>
        <v>0</v>
      </c>
      <c r="N74" s="167">
        <f t="shared" si="30"/>
        <v>0</v>
      </c>
      <c r="O74" s="167">
        <f t="shared" si="30"/>
        <v>0</v>
      </c>
    </row>
    <row r="75" spans="1:15" x14ac:dyDescent="0.25">
      <c r="A75" s="148" t="s">
        <v>470</v>
      </c>
      <c r="B75" s="165">
        <f>SUM('TRANSFERENCIA CORRIENTE'!C76:E76)</f>
        <v>0</v>
      </c>
      <c r="C75" s="165">
        <f>SUM('TRANSFERENCIA CORRIENTE'!F76:H76)</f>
        <v>0</v>
      </c>
      <c r="D75" s="165">
        <f>SUM('TRANSFERENCIA CORRIENTE'!I76:K76)</f>
        <v>0</v>
      </c>
      <c r="E75" s="165">
        <f>SUM('TRANSFERENCIA CORRIENTE'!L76:N76)</f>
        <v>0</v>
      </c>
      <c r="F75" s="500"/>
      <c r="G75" s="165">
        <f>SUM(VS!C76:E76)</f>
        <v>0</v>
      </c>
      <c r="H75" s="165">
        <f>SUM(VS!F76:H76)</f>
        <v>0</v>
      </c>
      <c r="I75" s="165">
        <f>SUM(VS!I76:K76)</f>
        <v>0</v>
      </c>
      <c r="J75" s="166">
        <f>SUM(VS!L76:N76)</f>
        <v>0</v>
      </c>
      <c r="K75" s="500"/>
      <c r="L75" s="167">
        <f t="shared" si="34"/>
        <v>0</v>
      </c>
      <c r="M75" s="167">
        <f t="shared" si="30"/>
        <v>0</v>
      </c>
      <c r="N75" s="167">
        <f t="shared" si="30"/>
        <v>0</v>
      </c>
      <c r="O75" s="167">
        <f t="shared" si="30"/>
        <v>0</v>
      </c>
    </row>
    <row r="76" spans="1:15" x14ac:dyDescent="0.25">
      <c r="A76" s="148" t="s">
        <v>469</v>
      </c>
      <c r="B76" s="165">
        <f>SUM('TRANSFERENCIA CORRIENTE'!C77:E77)</f>
        <v>0</v>
      </c>
      <c r="C76" s="165">
        <f>SUM('TRANSFERENCIA CORRIENTE'!F77:H77)</f>
        <v>0</v>
      </c>
      <c r="D76" s="165">
        <f>SUM('TRANSFERENCIA CORRIENTE'!I77:K77)</f>
        <v>0</v>
      </c>
      <c r="E76" s="165">
        <f>SUM('TRANSFERENCIA CORRIENTE'!L77:N77)</f>
        <v>0</v>
      </c>
      <c r="F76" s="500"/>
      <c r="G76" s="165">
        <f>SUM(VS!C77:E77)</f>
        <v>0</v>
      </c>
      <c r="H76" s="165">
        <f>SUM(VS!F77:H77)</f>
        <v>0</v>
      </c>
      <c r="I76" s="165">
        <f>SUM(VS!I77:K77)</f>
        <v>0</v>
      </c>
      <c r="J76" s="166">
        <f>SUM(VS!L77:N77)</f>
        <v>0</v>
      </c>
      <c r="K76" s="500"/>
      <c r="L76" s="167">
        <f t="shared" si="34"/>
        <v>0</v>
      </c>
      <c r="M76" s="167">
        <f t="shared" si="30"/>
        <v>0</v>
      </c>
      <c r="N76" s="167">
        <f t="shared" si="30"/>
        <v>0</v>
      </c>
      <c r="O76" s="167">
        <f t="shared" si="30"/>
        <v>0</v>
      </c>
    </row>
    <row r="77" spans="1:15" x14ac:dyDescent="0.25">
      <c r="A77" s="150" t="s">
        <v>468</v>
      </c>
      <c r="B77" s="165">
        <f>SUM('TRANSFERENCIA CORRIENTE'!C78:E78)</f>
        <v>0</v>
      </c>
      <c r="C77" s="165">
        <f>SUM('TRANSFERENCIA CORRIENTE'!F78:H78)</f>
        <v>0</v>
      </c>
      <c r="D77" s="165">
        <f>SUM('TRANSFERENCIA CORRIENTE'!I78:K78)</f>
        <v>0</v>
      </c>
      <c r="E77" s="165">
        <f>SUM('TRANSFERENCIA CORRIENTE'!L78:N78)</f>
        <v>0</v>
      </c>
      <c r="F77" s="500"/>
      <c r="G77" s="165">
        <f>SUM(VS!C78:E78)</f>
        <v>0</v>
      </c>
      <c r="H77" s="165">
        <f>SUM(VS!F78:H78)</f>
        <v>0</v>
      </c>
      <c r="I77" s="165">
        <f>SUM(VS!I78:K78)</f>
        <v>0</v>
      </c>
      <c r="J77" s="166">
        <f>SUM(VS!L78:N78)</f>
        <v>0</v>
      </c>
      <c r="K77" s="500"/>
      <c r="L77" s="167">
        <f t="shared" si="34"/>
        <v>0</v>
      </c>
      <c r="M77" s="167">
        <f t="shared" si="30"/>
        <v>0</v>
      </c>
      <c r="N77" s="167">
        <f t="shared" si="30"/>
        <v>0</v>
      </c>
      <c r="O77" s="167">
        <f t="shared" si="30"/>
        <v>0</v>
      </c>
    </row>
    <row r="78" spans="1:15" x14ac:dyDescent="0.25">
      <c r="A78" s="148" t="s">
        <v>467</v>
      </c>
      <c r="B78" s="165">
        <f>SUM('TRANSFERENCIA CORRIENTE'!C79:E79)</f>
        <v>0</v>
      </c>
      <c r="C78" s="165">
        <f>SUM('TRANSFERENCIA CORRIENTE'!F79:H79)</f>
        <v>0</v>
      </c>
      <c r="D78" s="165">
        <f>SUM('TRANSFERENCIA CORRIENTE'!I79:K79)</f>
        <v>0</v>
      </c>
      <c r="E78" s="165">
        <f>SUM('TRANSFERENCIA CORRIENTE'!L79:N79)</f>
        <v>0</v>
      </c>
      <c r="F78" s="500"/>
      <c r="G78" s="165">
        <f>SUM(VS!C79:E79)</f>
        <v>0</v>
      </c>
      <c r="H78" s="165">
        <f>SUM(VS!F79:H79)</f>
        <v>0</v>
      </c>
      <c r="I78" s="165">
        <f>SUM(VS!I79:K79)</f>
        <v>0</v>
      </c>
      <c r="J78" s="166">
        <f>SUM(VS!L79:N79)</f>
        <v>0</v>
      </c>
      <c r="K78" s="500"/>
      <c r="L78" s="167">
        <f t="shared" si="34"/>
        <v>0</v>
      </c>
      <c r="M78" s="167">
        <f t="shared" si="30"/>
        <v>0</v>
      </c>
      <c r="N78" s="167">
        <f t="shared" si="30"/>
        <v>0</v>
      </c>
      <c r="O78" s="167">
        <f t="shared" si="30"/>
        <v>0</v>
      </c>
    </row>
    <row r="79" spans="1:15" x14ac:dyDescent="0.25">
      <c r="A79" s="148" t="s">
        <v>466</v>
      </c>
      <c r="B79" s="165">
        <f>SUM('TRANSFERENCIA CORRIENTE'!C80:E80)</f>
        <v>0</v>
      </c>
      <c r="C79" s="165">
        <f>SUM('TRANSFERENCIA CORRIENTE'!F80:H80)</f>
        <v>0</v>
      </c>
      <c r="D79" s="165">
        <f>SUM('TRANSFERENCIA CORRIENTE'!I80:K80)</f>
        <v>0</v>
      </c>
      <c r="E79" s="165">
        <f>SUM('TRANSFERENCIA CORRIENTE'!L80:N80)</f>
        <v>0</v>
      </c>
      <c r="F79" s="500"/>
      <c r="G79" s="165">
        <f>SUM(VS!C80:E80)</f>
        <v>0</v>
      </c>
      <c r="H79" s="165">
        <f>SUM(VS!F80:H80)</f>
        <v>0</v>
      </c>
      <c r="I79" s="165">
        <f>SUM(VS!I80:K80)</f>
        <v>0</v>
      </c>
      <c r="J79" s="166">
        <f>SUM(VS!L80:N80)</f>
        <v>0</v>
      </c>
      <c r="K79" s="500"/>
      <c r="L79" s="167">
        <f t="shared" si="34"/>
        <v>0</v>
      </c>
      <c r="M79" s="167">
        <f t="shared" si="30"/>
        <v>0</v>
      </c>
      <c r="N79" s="167">
        <f t="shared" si="30"/>
        <v>0</v>
      </c>
      <c r="O79" s="167">
        <f t="shared" si="30"/>
        <v>0</v>
      </c>
    </row>
    <row r="80" spans="1:15" x14ac:dyDescent="0.25">
      <c r="A80" s="150" t="s">
        <v>465</v>
      </c>
      <c r="B80" s="165">
        <f>SUM('TRANSFERENCIA CORRIENTE'!C81:E81)</f>
        <v>0</v>
      </c>
      <c r="C80" s="165">
        <f>SUM('TRANSFERENCIA CORRIENTE'!F81:H81)</f>
        <v>0</v>
      </c>
      <c r="D80" s="165">
        <f>SUM('TRANSFERENCIA CORRIENTE'!I81:K81)</f>
        <v>0</v>
      </c>
      <c r="E80" s="165">
        <f>SUM('TRANSFERENCIA CORRIENTE'!L81:N81)</f>
        <v>0</v>
      </c>
      <c r="F80" s="500"/>
      <c r="G80" s="165">
        <f>SUM(VS!C81:E81)</f>
        <v>0</v>
      </c>
      <c r="H80" s="165">
        <f>SUM(VS!F81:H81)</f>
        <v>0</v>
      </c>
      <c r="I80" s="165">
        <f>SUM(VS!I81:K81)</f>
        <v>0</v>
      </c>
      <c r="J80" s="166">
        <f>SUM(VS!L81:N81)</f>
        <v>0</v>
      </c>
      <c r="K80" s="500"/>
      <c r="L80" s="167">
        <f t="shared" si="34"/>
        <v>0</v>
      </c>
      <c r="M80" s="167">
        <f t="shared" si="30"/>
        <v>0</v>
      </c>
      <c r="N80" s="167">
        <f t="shared" si="30"/>
        <v>0</v>
      </c>
      <c r="O80" s="167">
        <f t="shared" si="30"/>
        <v>0</v>
      </c>
    </row>
    <row r="81" spans="1:15" x14ac:dyDescent="0.25">
      <c r="A81" s="148" t="s">
        <v>464</v>
      </c>
      <c r="B81" s="165">
        <f>SUM('TRANSFERENCIA CORRIENTE'!C82:E82)</f>
        <v>0</v>
      </c>
      <c r="C81" s="165">
        <f>SUM('TRANSFERENCIA CORRIENTE'!F82:H82)</f>
        <v>0</v>
      </c>
      <c r="D81" s="165">
        <f>SUM('TRANSFERENCIA CORRIENTE'!I82:K82)</f>
        <v>0</v>
      </c>
      <c r="E81" s="165">
        <f>SUM('TRANSFERENCIA CORRIENTE'!L82:N82)</f>
        <v>0</v>
      </c>
      <c r="F81" s="500"/>
      <c r="G81" s="165">
        <f>SUM(VS!C82:E82)</f>
        <v>0</v>
      </c>
      <c r="H81" s="165">
        <f>SUM(VS!F82:H82)</f>
        <v>0</v>
      </c>
      <c r="I81" s="165">
        <f>SUM(VS!I82:K82)</f>
        <v>0</v>
      </c>
      <c r="J81" s="166">
        <f>SUM(VS!L82:N82)</f>
        <v>0</v>
      </c>
      <c r="K81" s="500"/>
      <c r="L81" s="167">
        <f t="shared" si="34"/>
        <v>0</v>
      </c>
      <c r="M81" s="167">
        <f t="shared" si="30"/>
        <v>0</v>
      </c>
      <c r="N81" s="167">
        <f t="shared" si="30"/>
        <v>0</v>
      </c>
      <c r="O81" s="167">
        <f t="shared" si="30"/>
        <v>0</v>
      </c>
    </row>
    <row r="82" spans="1:15" s="168" customFormat="1" x14ac:dyDescent="0.25">
      <c r="A82" s="154" t="s">
        <v>463</v>
      </c>
      <c r="B82" s="163">
        <f>SUM(B83)</f>
        <v>271880250.56999999</v>
      </c>
      <c r="C82" s="163">
        <f t="shared" ref="C82:E82" si="35">SUM(C83)</f>
        <v>0</v>
      </c>
      <c r="D82" s="163">
        <f t="shared" si="35"/>
        <v>0</v>
      </c>
      <c r="E82" s="163">
        <f t="shared" si="35"/>
        <v>0</v>
      </c>
      <c r="F82" s="500"/>
      <c r="G82" s="163">
        <f>SUM(G83)</f>
        <v>26194615.629999999</v>
      </c>
      <c r="H82" s="163">
        <f t="shared" ref="H82:J82" si="36">SUM(H83)</f>
        <v>0</v>
      </c>
      <c r="I82" s="163">
        <f t="shared" si="36"/>
        <v>0</v>
      </c>
      <c r="J82" s="163">
        <f t="shared" si="36"/>
        <v>0</v>
      </c>
      <c r="K82" s="500"/>
      <c r="L82" s="169">
        <f>SUM(B82+G82)</f>
        <v>298074866.19999999</v>
      </c>
      <c r="M82" s="169">
        <f t="shared" si="30"/>
        <v>0</v>
      </c>
      <c r="N82" s="169">
        <f t="shared" si="30"/>
        <v>0</v>
      </c>
      <c r="O82" s="169">
        <f t="shared" si="30"/>
        <v>0</v>
      </c>
    </row>
    <row r="83" spans="1:15" ht="15.75" x14ac:dyDescent="0.25">
      <c r="A83" s="170" t="s">
        <v>462</v>
      </c>
      <c r="B83" s="165">
        <f>SUM('TRANSFERENCIA CORRIENTE'!C85:E85)</f>
        <v>271880250.56999999</v>
      </c>
      <c r="C83" s="165">
        <f>SUM('TRANSFERENCIA CORRIENTE'!F85:H85)</f>
        <v>0</v>
      </c>
      <c r="D83" s="165">
        <f>SUM('TRANSFERENCIA CORRIENTE'!I85:K85)</f>
        <v>0</v>
      </c>
      <c r="E83" s="165">
        <f>SUM('TRANSFERENCIA CORRIENTE'!L85:N85)</f>
        <v>0</v>
      </c>
      <c r="F83" s="501"/>
      <c r="G83" s="165">
        <f>SUM(VS!C85:E85)</f>
        <v>26194615.629999999</v>
      </c>
      <c r="H83" s="165">
        <f>SUM(VS!F85:H85)</f>
        <v>0</v>
      </c>
      <c r="I83" s="165">
        <f>SUM(VS!I85:K85)</f>
        <v>0</v>
      </c>
      <c r="J83" s="165">
        <f>SUM(VS!L85:N85)</f>
        <v>0</v>
      </c>
      <c r="K83" s="501"/>
      <c r="L83" s="167">
        <f>SUM(B83+G83)</f>
        <v>298074866.19999999</v>
      </c>
      <c r="M83" s="167">
        <f>SUM(C83+H83)</f>
        <v>0</v>
      </c>
      <c r="N83" s="167">
        <f>SUM(D83+I83)</f>
        <v>0</v>
      </c>
      <c r="O83" s="167">
        <f>SUM(E83+J83)</f>
        <v>0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7" right="0.7" top="0.75" bottom="0.75" header="0.3" footer="0.3"/>
  <pageSetup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view="pageBreakPreview" topLeftCell="A52" zoomScale="96" zoomScaleNormal="90" zoomScaleSheetLayoutView="96" workbookViewId="0">
      <selection activeCell="B97" sqref="B97"/>
    </sheetView>
  </sheetViews>
  <sheetFormatPr baseColWidth="10" defaultColWidth="9.140625" defaultRowHeight="15" x14ac:dyDescent="0.25"/>
  <cols>
    <col min="1" max="1" width="40" customWidth="1"/>
    <col min="2" max="2" width="21.5703125" bestFit="1" customWidth="1"/>
    <col min="3" max="3" width="19" bestFit="1" customWidth="1"/>
    <col min="4" max="4" width="20.140625" bestFit="1" customWidth="1"/>
    <col min="5" max="5" width="15.140625" bestFit="1" customWidth="1"/>
    <col min="6" max="10" width="11.5703125" bestFit="1" customWidth="1"/>
    <col min="11" max="11" width="12.42578125" bestFit="1" customWidth="1"/>
    <col min="12" max="12" width="11.5703125" bestFit="1" customWidth="1"/>
    <col min="13" max="13" width="11.85546875" customWidth="1"/>
    <col min="14" max="14" width="12.7109375" bestFit="1" customWidth="1"/>
  </cols>
  <sheetData>
    <row r="1" spans="1:14" ht="18.75" x14ac:dyDescent="0.25">
      <c r="A1" s="495" t="s">
        <v>77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18.75" x14ac:dyDescent="0.25">
      <c r="A2" s="495" t="s">
        <v>706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</row>
    <row r="3" spans="1:14" ht="18.75" x14ac:dyDescent="0.25">
      <c r="A3" s="495" t="s">
        <v>554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</row>
    <row r="4" spans="1:14" ht="15.75" x14ac:dyDescent="0.25">
      <c r="A4" s="496" t="s">
        <v>672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</row>
    <row r="5" spans="1:14" x14ac:dyDescent="0.25">
      <c r="A5" s="439" t="s">
        <v>553</v>
      </c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</row>
    <row r="7" spans="1:14" ht="15.75" x14ac:dyDescent="0.25">
      <c r="A7" s="157" t="s">
        <v>552</v>
      </c>
      <c r="B7" s="156" t="s">
        <v>551</v>
      </c>
      <c r="C7" s="156" t="s">
        <v>550</v>
      </c>
      <c r="D7" s="156" t="s">
        <v>549</v>
      </c>
      <c r="E7" s="156" t="s">
        <v>548</v>
      </c>
      <c r="F7" s="156" t="s">
        <v>547</v>
      </c>
      <c r="G7" s="156" t="s">
        <v>546</v>
      </c>
      <c r="H7" s="156" t="s">
        <v>545</v>
      </c>
      <c r="I7" s="156" t="s">
        <v>544</v>
      </c>
      <c r="J7" s="156" t="s">
        <v>543</v>
      </c>
      <c r="K7" s="156" t="s">
        <v>542</v>
      </c>
      <c r="L7" s="156" t="s">
        <v>541</v>
      </c>
      <c r="M7" s="156" t="s">
        <v>540</v>
      </c>
      <c r="N7" s="156" t="s">
        <v>539</v>
      </c>
    </row>
    <row r="8" spans="1:14" x14ac:dyDescent="0.25">
      <c r="A8" s="150" t="s">
        <v>538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</row>
    <row r="9" spans="1:14" ht="30" x14ac:dyDescent="0.25">
      <c r="A9" s="154" t="s">
        <v>537</v>
      </c>
      <c r="B9" s="323">
        <f t="shared" ref="B9:B40" si="0">SUM(C9:N9)</f>
        <v>198560735.68000001</v>
      </c>
      <c r="C9" s="152">
        <f t="shared" ref="C9:N9" si="1">SUM(C10:C14)</f>
        <v>65091179.920000002</v>
      </c>
      <c r="D9" s="152">
        <f t="shared" si="1"/>
        <v>67131935.939999998</v>
      </c>
      <c r="E9" s="152">
        <f t="shared" si="1"/>
        <v>66337619.82</v>
      </c>
      <c r="F9" s="152">
        <f t="shared" si="1"/>
        <v>0</v>
      </c>
      <c r="G9" s="152">
        <f t="shared" si="1"/>
        <v>0</v>
      </c>
      <c r="H9" s="152">
        <f t="shared" si="1"/>
        <v>0</v>
      </c>
      <c r="I9" s="152">
        <f t="shared" si="1"/>
        <v>0</v>
      </c>
      <c r="J9" s="152">
        <f t="shared" si="1"/>
        <v>0</v>
      </c>
      <c r="K9" s="152">
        <f t="shared" si="1"/>
        <v>0</v>
      </c>
      <c r="L9" s="152">
        <f t="shared" si="1"/>
        <v>0</v>
      </c>
      <c r="M9" s="152">
        <f t="shared" si="1"/>
        <v>0</v>
      </c>
      <c r="N9" s="152">
        <f t="shared" si="1"/>
        <v>0</v>
      </c>
    </row>
    <row r="10" spans="1:14" x14ac:dyDescent="0.25">
      <c r="A10" s="148" t="s">
        <v>536</v>
      </c>
      <c r="B10" s="151">
        <f t="shared" si="0"/>
        <v>163945204.59</v>
      </c>
      <c r="C10" s="147">
        <v>53640338.710000001</v>
      </c>
      <c r="D10" s="147">
        <v>55586128.810000002</v>
      </c>
      <c r="E10" s="147">
        <v>54718737.07</v>
      </c>
      <c r="F10" s="147"/>
      <c r="G10" s="147"/>
      <c r="H10" s="147"/>
      <c r="I10" s="147"/>
      <c r="J10" s="147"/>
      <c r="K10" s="147"/>
      <c r="L10" s="147"/>
      <c r="M10" s="147"/>
      <c r="N10" s="147"/>
    </row>
    <row r="11" spans="1:14" x14ac:dyDescent="0.25">
      <c r="A11" s="148" t="s">
        <v>535</v>
      </c>
      <c r="B11" s="151">
        <f t="shared" si="0"/>
        <v>9594398.8000000007</v>
      </c>
      <c r="C11" s="147">
        <v>3196999.6</v>
      </c>
      <c r="D11" s="147">
        <v>3197999.6</v>
      </c>
      <c r="E11" s="147">
        <v>3199399.6</v>
      </c>
      <c r="F11" s="147"/>
      <c r="G11" s="147"/>
      <c r="H11" s="147"/>
      <c r="I11" s="147"/>
      <c r="J11" s="147"/>
      <c r="K11" s="147"/>
      <c r="L11" s="147"/>
      <c r="M11" s="147"/>
      <c r="N11" s="147"/>
    </row>
    <row r="12" spans="1:14" ht="30" x14ac:dyDescent="0.25">
      <c r="A12" s="148" t="s">
        <v>534</v>
      </c>
      <c r="B12" s="151">
        <f t="shared" si="0"/>
        <v>0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</row>
    <row r="13" spans="1:14" ht="30" x14ac:dyDescent="0.25">
      <c r="A13" s="148" t="s">
        <v>533</v>
      </c>
      <c r="B13" s="151">
        <f t="shared" si="0"/>
        <v>0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</row>
    <row r="14" spans="1:14" ht="30" x14ac:dyDescent="0.25">
      <c r="A14" s="148" t="s">
        <v>532</v>
      </c>
      <c r="B14" s="151">
        <f t="shared" si="0"/>
        <v>25021132.289999999</v>
      </c>
      <c r="C14" s="147">
        <v>8253841.6100000003</v>
      </c>
      <c r="D14" s="147">
        <v>8347807.5300000003</v>
      </c>
      <c r="E14" s="147">
        <v>8419483.1500000004</v>
      </c>
      <c r="F14" s="147"/>
      <c r="G14" s="147"/>
      <c r="H14" s="147"/>
      <c r="I14" s="147"/>
      <c r="J14" s="147"/>
      <c r="K14" s="147"/>
      <c r="L14" s="147"/>
      <c r="M14" s="147"/>
      <c r="N14" s="147"/>
    </row>
    <row r="15" spans="1:14" x14ac:dyDescent="0.25">
      <c r="A15" s="154" t="s">
        <v>531</v>
      </c>
      <c r="B15" s="153">
        <f t="shared" si="0"/>
        <v>9308364.8800000008</v>
      </c>
      <c r="C15" s="152">
        <f t="shared" ref="C15:N15" si="2">SUM(C16:C24)</f>
        <v>0</v>
      </c>
      <c r="D15" s="152">
        <f t="shared" si="2"/>
        <v>1336968.6400000001</v>
      </c>
      <c r="E15" s="152">
        <f t="shared" si="2"/>
        <v>7971396.2400000002</v>
      </c>
      <c r="F15" s="152">
        <f t="shared" si="2"/>
        <v>0</v>
      </c>
      <c r="G15" s="152">
        <f t="shared" si="2"/>
        <v>0</v>
      </c>
      <c r="H15" s="152">
        <f t="shared" si="2"/>
        <v>0</v>
      </c>
      <c r="I15" s="152">
        <f t="shared" si="2"/>
        <v>0</v>
      </c>
      <c r="J15" s="152">
        <f t="shared" si="2"/>
        <v>0</v>
      </c>
      <c r="K15" s="152">
        <f t="shared" si="2"/>
        <v>0</v>
      </c>
      <c r="L15" s="152">
        <f t="shared" si="2"/>
        <v>0</v>
      </c>
      <c r="M15" s="152">
        <f t="shared" si="2"/>
        <v>0</v>
      </c>
      <c r="N15" s="152">
        <f t="shared" si="2"/>
        <v>0</v>
      </c>
    </row>
    <row r="16" spans="1:14" x14ac:dyDescent="0.25">
      <c r="A16" s="148" t="s">
        <v>530</v>
      </c>
      <c r="B16" s="151">
        <f t="shared" si="0"/>
        <v>2020024.3</v>
      </c>
      <c r="C16" s="147"/>
      <c r="D16" s="147"/>
      <c r="E16" s="147">
        <v>2020024.3</v>
      </c>
      <c r="F16" s="147"/>
      <c r="G16" s="147"/>
      <c r="H16" s="147"/>
      <c r="I16" s="147"/>
      <c r="J16" s="147"/>
      <c r="K16" s="147"/>
      <c r="L16" s="147"/>
      <c r="M16" s="147"/>
      <c r="N16" s="147"/>
    </row>
    <row r="17" spans="1:14" ht="30" x14ac:dyDescent="0.25">
      <c r="A17" s="148" t="s">
        <v>529</v>
      </c>
      <c r="B17" s="151">
        <f t="shared" si="0"/>
        <v>324206.83</v>
      </c>
      <c r="C17" s="147"/>
      <c r="D17" s="147">
        <v>324206.83</v>
      </c>
      <c r="E17" s="147"/>
      <c r="F17" s="147"/>
      <c r="G17" s="147"/>
      <c r="H17" s="147"/>
      <c r="I17" s="147"/>
      <c r="J17" s="147"/>
      <c r="K17" s="147"/>
      <c r="L17" s="147"/>
      <c r="M17" s="147"/>
      <c r="N17" s="147"/>
    </row>
    <row r="18" spans="1:14" x14ac:dyDescent="0.25">
      <c r="A18" s="148" t="s">
        <v>528</v>
      </c>
      <c r="B18" s="151">
        <f t="shared" si="0"/>
        <v>0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</row>
    <row r="19" spans="1:14" x14ac:dyDescent="0.25">
      <c r="A19" s="148" t="s">
        <v>527</v>
      </c>
      <c r="B19" s="151">
        <f t="shared" si="0"/>
        <v>0</v>
      </c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</row>
    <row r="20" spans="1:14" x14ac:dyDescent="0.25">
      <c r="A20" s="148" t="s">
        <v>526</v>
      </c>
      <c r="B20" s="151">
        <f t="shared" si="0"/>
        <v>0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</row>
    <row r="21" spans="1:14" x14ac:dyDescent="0.25">
      <c r="A21" s="148" t="s">
        <v>525</v>
      </c>
      <c r="B21" s="151">
        <f t="shared" si="0"/>
        <v>0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</row>
    <row r="22" spans="1:14" ht="45" x14ac:dyDescent="0.25">
      <c r="A22" s="148" t="s">
        <v>524</v>
      </c>
      <c r="B22" s="151">
        <f t="shared" si="0"/>
        <v>6474433.75</v>
      </c>
      <c r="C22" s="147"/>
      <c r="D22" s="147">
        <v>523061.81</v>
      </c>
      <c r="E22" s="147">
        <v>5951371.9400000004</v>
      </c>
      <c r="F22" s="147"/>
      <c r="G22" s="147"/>
      <c r="H22" s="147"/>
      <c r="I22" s="147"/>
      <c r="J22" s="147"/>
      <c r="K22" s="147"/>
      <c r="L22" s="147"/>
      <c r="M22" s="147"/>
      <c r="N22" s="147"/>
    </row>
    <row r="23" spans="1:14" ht="30" x14ac:dyDescent="0.25">
      <c r="A23" s="148" t="s">
        <v>523</v>
      </c>
      <c r="B23" s="151">
        <f t="shared" si="0"/>
        <v>489700</v>
      </c>
      <c r="C23" s="147"/>
      <c r="D23" s="147">
        <v>489700</v>
      </c>
      <c r="E23" s="147"/>
      <c r="F23" s="147"/>
      <c r="G23" s="147"/>
      <c r="H23" s="147"/>
      <c r="I23" s="147"/>
      <c r="J23" s="147"/>
      <c r="K23" s="147"/>
      <c r="L23" s="147"/>
      <c r="M23" s="147"/>
      <c r="N23" s="147"/>
    </row>
    <row r="24" spans="1:14" ht="30" x14ac:dyDescent="0.25">
      <c r="A24" s="148" t="s">
        <v>522</v>
      </c>
      <c r="B24" s="151">
        <f t="shared" si="0"/>
        <v>0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</row>
    <row r="25" spans="1:14" x14ac:dyDescent="0.25">
      <c r="A25" s="154" t="s">
        <v>521</v>
      </c>
      <c r="B25" s="153">
        <f t="shared" si="0"/>
        <v>46153283.390000001</v>
      </c>
      <c r="C25" s="152">
        <f t="shared" ref="C25:N25" si="3">SUM(C26:C34)</f>
        <v>4970600.3900000006</v>
      </c>
      <c r="D25" s="152">
        <f t="shared" si="3"/>
        <v>14433131.48</v>
      </c>
      <c r="E25" s="152">
        <f t="shared" si="3"/>
        <v>26749551.519999996</v>
      </c>
      <c r="F25" s="152">
        <f t="shared" si="3"/>
        <v>0</v>
      </c>
      <c r="G25" s="152">
        <f t="shared" si="3"/>
        <v>0</v>
      </c>
      <c r="H25" s="152">
        <f t="shared" si="3"/>
        <v>0</v>
      </c>
      <c r="I25" s="152">
        <f t="shared" si="3"/>
        <v>0</v>
      </c>
      <c r="J25" s="152">
        <f t="shared" si="3"/>
        <v>0</v>
      </c>
      <c r="K25" s="152">
        <f t="shared" si="3"/>
        <v>0</v>
      </c>
      <c r="L25" s="152">
        <f t="shared" si="3"/>
        <v>0</v>
      </c>
      <c r="M25" s="152">
        <f t="shared" si="3"/>
        <v>0</v>
      </c>
      <c r="N25" s="152">
        <f t="shared" si="3"/>
        <v>0</v>
      </c>
    </row>
    <row r="26" spans="1:14" ht="30" x14ac:dyDescent="0.25">
      <c r="A26" s="148" t="s">
        <v>520</v>
      </c>
      <c r="B26" s="151"/>
      <c r="C26" s="147"/>
      <c r="D26" s="147">
        <v>591460.4</v>
      </c>
      <c r="E26" s="147">
        <v>3122436.84</v>
      </c>
      <c r="F26" s="147"/>
      <c r="G26" s="147"/>
      <c r="H26" s="147"/>
      <c r="I26" s="147"/>
      <c r="J26" s="147"/>
      <c r="K26" s="147"/>
      <c r="L26" s="147"/>
      <c r="M26" s="147"/>
      <c r="N26" s="147"/>
    </row>
    <row r="27" spans="1:14" x14ac:dyDescent="0.25">
      <c r="A27" s="148" t="s">
        <v>519</v>
      </c>
      <c r="B27" s="151"/>
      <c r="C27" s="147"/>
      <c r="D27" s="147">
        <v>61630.73</v>
      </c>
      <c r="E27" s="147"/>
      <c r="F27" s="147"/>
      <c r="G27" s="147"/>
      <c r="H27" s="147"/>
      <c r="I27" s="147"/>
      <c r="J27" s="147"/>
      <c r="K27" s="147"/>
      <c r="L27" s="147"/>
      <c r="M27" s="147"/>
      <c r="N27" s="147"/>
    </row>
    <row r="28" spans="1:14" ht="30" x14ac:dyDescent="0.25">
      <c r="A28" s="148" t="s">
        <v>518</v>
      </c>
      <c r="B28" s="151"/>
      <c r="C28" s="147"/>
      <c r="D28" s="147">
        <v>352366.67</v>
      </c>
      <c r="E28" s="147">
        <v>1474545.17</v>
      </c>
      <c r="F28" s="147"/>
      <c r="G28" s="147"/>
      <c r="H28" s="147"/>
      <c r="I28" s="147"/>
      <c r="J28" s="147"/>
      <c r="K28" s="147"/>
      <c r="L28" s="147"/>
      <c r="M28" s="147"/>
      <c r="N28" s="147"/>
    </row>
    <row r="29" spans="1:14" x14ac:dyDescent="0.25">
      <c r="A29" s="148" t="s">
        <v>517</v>
      </c>
      <c r="B29" s="151"/>
      <c r="C29" s="147">
        <v>1862880</v>
      </c>
      <c r="D29" s="147">
        <v>2014526.8</v>
      </c>
      <c r="E29" s="147">
        <v>6919929</v>
      </c>
      <c r="F29" s="147"/>
      <c r="G29" s="147"/>
      <c r="H29" s="147"/>
      <c r="I29" s="147"/>
      <c r="J29" s="147"/>
      <c r="K29" s="147"/>
      <c r="L29" s="147"/>
      <c r="M29" s="147"/>
      <c r="N29" s="147"/>
    </row>
    <row r="30" spans="1:14" ht="30" x14ac:dyDescent="0.25">
      <c r="A30" s="148" t="s">
        <v>516</v>
      </c>
      <c r="B30" s="151"/>
      <c r="C30" s="147"/>
      <c r="D30" s="147"/>
      <c r="E30" s="147">
        <v>334708.95</v>
      </c>
      <c r="F30" s="147"/>
      <c r="G30" s="147"/>
      <c r="H30" s="147"/>
      <c r="I30" s="147"/>
      <c r="J30" s="147"/>
      <c r="K30" s="147"/>
      <c r="L30" s="147"/>
      <c r="M30" s="147"/>
      <c r="N30" s="147"/>
    </row>
    <row r="31" spans="1:14" ht="30" x14ac:dyDescent="0.25">
      <c r="A31" s="148" t="s">
        <v>515</v>
      </c>
      <c r="B31" s="151"/>
      <c r="C31" s="147"/>
      <c r="D31" s="147">
        <v>11630.98</v>
      </c>
      <c r="E31" s="147"/>
      <c r="F31" s="147"/>
      <c r="G31" s="147"/>
      <c r="H31" s="147"/>
      <c r="I31" s="147"/>
      <c r="J31" s="147"/>
      <c r="K31" s="147"/>
      <c r="L31" s="147"/>
      <c r="M31" s="147"/>
      <c r="N31" s="147"/>
    </row>
    <row r="32" spans="1:14" ht="30" x14ac:dyDescent="0.25">
      <c r="A32" s="148" t="s">
        <v>514</v>
      </c>
      <c r="B32" s="151"/>
      <c r="C32" s="147">
        <v>1844663.41</v>
      </c>
      <c r="D32" s="147">
        <v>3902915.53</v>
      </c>
      <c r="E32" s="147">
        <v>3162523.02</v>
      </c>
      <c r="F32" s="147"/>
      <c r="G32" s="147"/>
      <c r="H32" s="147"/>
      <c r="I32" s="147"/>
      <c r="J32" s="147"/>
      <c r="K32" s="147"/>
      <c r="L32" s="147"/>
      <c r="M32" s="147"/>
      <c r="N32" s="147"/>
    </row>
    <row r="33" spans="1:14" ht="45" x14ac:dyDescent="0.25">
      <c r="A33" s="148" t="s">
        <v>513</v>
      </c>
      <c r="B33" s="151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</row>
    <row r="34" spans="1:14" x14ac:dyDescent="0.25">
      <c r="A34" s="148" t="s">
        <v>512</v>
      </c>
      <c r="B34" s="151"/>
      <c r="C34" s="147">
        <v>1263056.98</v>
      </c>
      <c r="D34" s="147">
        <v>7498600.3700000001</v>
      </c>
      <c r="E34" s="147">
        <v>11735408.539999999</v>
      </c>
      <c r="F34" s="147"/>
      <c r="G34" s="147"/>
      <c r="H34" s="147"/>
      <c r="I34" s="147"/>
      <c r="J34" s="147"/>
      <c r="K34" s="147"/>
      <c r="L34" s="147"/>
      <c r="M34" s="147"/>
      <c r="N34" s="147"/>
    </row>
    <row r="35" spans="1:14" x14ac:dyDescent="0.25">
      <c r="A35" s="154" t="s">
        <v>511</v>
      </c>
      <c r="B35" s="153">
        <f t="shared" si="0"/>
        <v>0</v>
      </c>
      <c r="C35" s="152">
        <f t="shared" ref="C35:N35" si="4">SUM(C36:C42)</f>
        <v>0</v>
      </c>
      <c r="D35" s="152">
        <f t="shared" si="4"/>
        <v>0</v>
      </c>
      <c r="E35" s="152">
        <f t="shared" si="4"/>
        <v>0</v>
      </c>
      <c r="F35" s="152">
        <f t="shared" si="4"/>
        <v>0</v>
      </c>
      <c r="G35" s="152">
        <f t="shared" si="4"/>
        <v>0</v>
      </c>
      <c r="H35" s="152">
        <f t="shared" si="4"/>
        <v>0</v>
      </c>
      <c r="I35" s="152">
        <f t="shared" si="4"/>
        <v>0</v>
      </c>
      <c r="J35" s="152">
        <f t="shared" si="4"/>
        <v>0</v>
      </c>
      <c r="K35" s="152">
        <f t="shared" si="4"/>
        <v>0</v>
      </c>
      <c r="L35" s="152">
        <f t="shared" si="4"/>
        <v>0</v>
      </c>
      <c r="M35" s="152">
        <f t="shared" si="4"/>
        <v>0</v>
      </c>
      <c r="N35" s="152">
        <f t="shared" si="4"/>
        <v>0</v>
      </c>
    </row>
    <row r="36" spans="1:14" ht="30" x14ac:dyDescent="0.25">
      <c r="A36" s="148" t="s">
        <v>510</v>
      </c>
      <c r="B36" s="151">
        <f t="shared" si="0"/>
        <v>0</v>
      </c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</row>
    <row r="37" spans="1:14" ht="30" x14ac:dyDescent="0.25">
      <c r="A37" s="148" t="s">
        <v>509</v>
      </c>
      <c r="B37" s="151">
        <f t="shared" si="0"/>
        <v>0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</row>
    <row r="38" spans="1:14" ht="30" x14ac:dyDescent="0.25">
      <c r="A38" s="148" t="s">
        <v>508</v>
      </c>
      <c r="B38" s="151">
        <f t="shared" si="0"/>
        <v>0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</row>
    <row r="39" spans="1:14" ht="30" x14ac:dyDescent="0.25">
      <c r="A39" s="148" t="s">
        <v>507</v>
      </c>
      <c r="B39" s="151">
        <f t="shared" si="0"/>
        <v>0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</row>
    <row r="40" spans="1:14" ht="30" x14ac:dyDescent="0.25">
      <c r="A40" s="148" t="s">
        <v>506</v>
      </c>
      <c r="B40" s="151">
        <f t="shared" si="0"/>
        <v>0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</row>
    <row r="41" spans="1:14" ht="30" x14ac:dyDescent="0.25">
      <c r="A41" s="148" t="s">
        <v>505</v>
      </c>
      <c r="B41" s="151">
        <f t="shared" ref="B41:B72" si="5">SUM(C41:N41)</f>
        <v>0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</row>
    <row r="42" spans="1:14" ht="30" x14ac:dyDescent="0.25">
      <c r="A42" s="148" t="s">
        <v>504</v>
      </c>
      <c r="B42" s="151">
        <f t="shared" si="5"/>
        <v>0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</row>
    <row r="43" spans="1:14" x14ac:dyDescent="0.25">
      <c r="A43" s="154" t="s">
        <v>503</v>
      </c>
      <c r="B43" s="153">
        <f t="shared" si="5"/>
        <v>0</v>
      </c>
      <c r="C43" s="152">
        <f t="shared" ref="C43:N43" si="6">SUM(C44:C50)</f>
        <v>0</v>
      </c>
      <c r="D43" s="152">
        <f t="shared" si="6"/>
        <v>0</v>
      </c>
      <c r="E43" s="152">
        <f t="shared" si="6"/>
        <v>0</v>
      </c>
      <c r="F43" s="152">
        <f t="shared" si="6"/>
        <v>0</v>
      </c>
      <c r="G43" s="152">
        <f t="shared" si="6"/>
        <v>0</v>
      </c>
      <c r="H43" s="152">
        <f t="shared" si="6"/>
        <v>0</v>
      </c>
      <c r="I43" s="152">
        <f t="shared" si="6"/>
        <v>0</v>
      </c>
      <c r="J43" s="152">
        <f t="shared" si="6"/>
        <v>0</v>
      </c>
      <c r="K43" s="152">
        <f t="shared" si="6"/>
        <v>0</v>
      </c>
      <c r="L43" s="152">
        <f t="shared" si="6"/>
        <v>0</v>
      </c>
      <c r="M43" s="152">
        <f t="shared" si="6"/>
        <v>0</v>
      </c>
      <c r="N43" s="152">
        <f t="shared" si="6"/>
        <v>0</v>
      </c>
    </row>
    <row r="44" spans="1:14" ht="30" x14ac:dyDescent="0.25">
      <c r="A44" s="148" t="s">
        <v>502</v>
      </c>
      <c r="B44" s="151">
        <f t="shared" si="5"/>
        <v>0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</row>
    <row r="45" spans="1:14" ht="30" x14ac:dyDescent="0.25">
      <c r="A45" s="148" t="s">
        <v>501</v>
      </c>
      <c r="B45" s="151">
        <f t="shared" si="5"/>
        <v>0</v>
      </c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</row>
    <row r="46" spans="1:14" ht="30" x14ac:dyDescent="0.25">
      <c r="A46" s="148" t="s">
        <v>500</v>
      </c>
      <c r="B46" s="151">
        <f t="shared" si="5"/>
        <v>0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</row>
    <row r="47" spans="1:14" ht="30" x14ac:dyDescent="0.25">
      <c r="A47" s="148" t="s">
        <v>499</v>
      </c>
      <c r="B47" s="151">
        <f t="shared" si="5"/>
        <v>0</v>
      </c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</row>
    <row r="48" spans="1:14" ht="30" x14ac:dyDescent="0.25">
      <c r="A48" s="148" t="s">
        <v>498</v>
      </c>
      <c r="B48" s="151">
        <f t="shared" si="5"/>
        <v>0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</row>
    <row r="49" spans="1:14" ht="30" x14ac:dyDescent="0.25">
      <c r="A49" s="148" t="s">
        <v>497</v>
      </c>
      <c r="B49" s="151">
        <f t="shared" si="5"/>
        <v>0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</row>
    <row r="50" spans="1:14" ht="30" x14ac:dyDescent="0.25">
      <c r="A50" s="148" t="s">
        <v>496</v>
      </c>
      <c r="B50" s="151">
        <f t="shared" si="5"/>
        <v>0</v>
      </c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</row>
    <row r="51" spans="1:14" ht="30" x14ac:dyDescent="0.25">
      <c r="A51" s="154" t="s">
        <v>495</v>
      </c>
      <c r="B51" s="153">
        <f t="shared" si="5"/>
        <v>17857866.620000001</v>
      </c>
      <c r="C51" s="152">
        <f t="shared" ref="C51:N51" si="7">SUM(C52:C60)</f>
        <v>0</v>
      </c>
      <c r="D51" s="152">
        <f t="shared" si="7"/>
        <v>6461017.2600000007</v>
      </c>
      <c r="E51" s="152">
        <f t="shared" si="7"/>
        <v>11396849.360000001</v>
      </c>
      <c r="F51" s="152">
        <f t="shared" si="7"/>
        <v>0</v>
      </c>
      <c r="G51" s="152">
        <f t="shared" si="7"/>
        <v>0</v>
      </c>
      <c r="H51" s="152">
        <f t="shared" si="7"/>
        <v>0</v>
      </c>
      <c r="I51" s="152">
        <f t="shared" si="7"/>
        <v>0</v>
      </c>
      <c r="J51" s="152">
        <f t="shared" si="7"/>
        <v>0</v>
      </c>
      <c r="K51" s="152">
        <f t="shared" si="7"/>
        <v>0</v>
      </c>
      <c r="L51" s="152">
        <f t="shared" si="7"/>
        <v>0</v>
      </c>
      <c r="M51" s="152">
        <f t="shared" si="7"/>
        <v>0</v>
      </c>
      <c r="N51" s="152">
        <f t="shared" si="7"/>
        <v>0</v>
      </c>
    </row>
    <row r="52" spans="1:14" x14ac:dyDescent="0.25">
      <c r="A52" s="148" t="s">
        <v>494</v>
      </c>
      <c r="B52" s="151">
        <f t="shared" si="5"/>
        <v>1110625.8599999999</v>
      </c>
      <c r="C52" s="147"/>
      <c r="D52" s="147">
        <v>432420.86</v>
      </c>
      <c r="E52" s="147">
        <v>678205</v>
      </c>
      <c r="F52" s="147"/>
      <c r="G52" s="147"/>
      <c r="H52" s="147"/>
      <c r="I52" s="147"/>
      <c r="J52" s="147"/>
      <c r="K52" s="147"/>
      <c r="L52" s="147"/>
      <c r="M52" s="147"/>
      <c r="N52" s="147"/>
    </row>
    <row r="53" spans="1:14" ht="30" x14ac:dyDescent="0.25">
      <c r="A53" s="148" t="s">
        <v>493</v>
      </c>
      <c r="B53" s="151">
        <f t="shared" si="5"/>
        <v>0</v>
      </c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</row>
    <row r="54" spans="1:14" ht="30" x14ac:dyDescent="0.25">
      <c r="A54" s="148" t="s">
        <v>492</v>
      </c>
      <c r="B54" s="151">
        <f t="shared" si="5"/>
        <v>16744040.790000001</v>
      </c>
      <c r="C54" s="147"/>
      <c r="D54" s="147">
        <v>6028596.4000000004</v>
      </c>
      <c r="E54" s="147">
        <v>10715444.390000001</v>
      </c>
      <c r="F54" s="147"/>
      <c r="G54" s="147"/>
      <c r="H54" s="147"/>
      <c r="I54" s="147"/>
      <c r="J54" s="147"/>
      <c r="K54" s="147"/>
      <c r="L54" s="147"/>
      <c r="M54" s="147"/>
      <c r="N54" s="147"/>
    </row>
    <row r="55" spans="1:14" ht="30" x14ac:dyDescent="0.25">
      <c r="A55" s="148" t="s">
        <v>491</v>
      </c>
      <c r="B55" s="151">
        <f t="shared" si="5"/>
        <v>0</v>
      </c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</row>
    <row r="56" spans="1:14" ht="30" x14ac:dyDescent="0.25">
      <c r="A56" s="148" t="s">
        <v>490</v>
      </c>
      <c r="B56" s="151">
        <f t="shared" si="5"/>
        <v>3199.97</v>
      </c>
      <c r="C56" s="147"/>
      <c r="D56" s="147"/>
      <c r="E56" s="147">
        <v>3199.97</v>
      </c>
      <c r="F56" s="147"/>
      <c r="G56" s="147"/>
      <c r="H56" s="147"/>
      <c r="I56" s="147"/>
      <c r="J56" s="147"/>
      <c r="K56" s="147"/>
      <c r="L56" s="147"/>
      <c r="M56" s="147"/>
      <c r="N56" s="147"/>
    </row>
    <row r="57" spans="1:14" ht="30" x14ac:dyDescent="0.25">
      <c r="A57" s="148" t="s">
        <v>489</v>
      </c>
      <c r="B57" s="151">
        <f t="shared" si="5"/>
        <v>0</v>
      </c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</row>
    <row r="58" spans="1:14" ht="30" x14ac:dyDescent="0.25">
      <c r="A58" s="148" t="s">
        <v>488</v>
      </c>
      <c r="B58" s="151">
        <f t="shared" si="5"/>
        <v>0</v>
      </c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</row>
    <row r="59" spans="1:14" x14ac:dyDescent="0.25">
      <c r="A59" s="148" t="s">
        <v>487</v>
      </c>
      <c r="B59" s="151">
        <f t="shared" si="5"/>
        <v>0</v>
      </c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</row>
    <row r="60" spans="1:14" ht="45" x14ac:dyDescent="0.25">
      <c r="A60" s="148" t="s">
        <v>486</v>
      </c>
      <c r="B60" s="151">
        <f t="shared" si="5"/>
        <v>0</v>
      </c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</row>
    <row r="61" spans="1:14" x14ac:dyDescent="0.25">
      <c r="A61" s="154" t="s">
        <v>485</v>
      </c>
      <c r="B61" s="153">
        <f t="shared" si="5"/>
        <v>0</v>
      </c>
      <c r="C61" s="152">
        <f t="shared" ref="C61:N61" si="8">SUM(C62:C65)</f>
        <v>0</v>
      </c>
      <c r="D61" s="152">
        <f t="shared" si="8"/>
        <v>0</v>
      </c>
      <c r="E61" s="152">
        <f t="shared" si="8"/>
        <v>0</v>
      </c>
      <c r="F61" s="152">
        <f t="shared" si="8"/>
        <v>0</v>
      </c>
      <c r="G61" s="152">
        <f t="shared" si="8"/>
        <v>0</v>
      </c>
      <c r="H61" s="152">
        <f t="shared" si="8"/>
        <v>0</v>
      </c>
      <c r="I61" s="152">
        <f t="shared" si="8"/>
        <v>0</v>
      </c>
      <c r="J61" s="152">
        <f t="shared" si="8"/>
        <v>0</v>
      </c>
      <c r="K61" s="152">
        <f t="shared" si="8"/>
        <v>0</v>
      </c>
      <c r="L61" s="152">
        <f t="shared" si="8"/>
        <v>0</v>
      </c>
      <c r="M61" s="152">
        <f t="shared" si="8"/>
        <v>0</v>
      </c>
      <c r="N61" s="152">
        <f t="shared" si="8"/>
        <v>0</v>
      </c>
    </row>
    <row r="62" spans="1:14" x14ac:dyDescent="0.25">
      <c r="A62" s="148" t="s">
        <v>484</v>
      </c>
      <c r="B62" s="151">
        <f t="shared" si="5"/>
        <v>0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</row>
    <row r="63" spans="1:14" x14ac:dyDescent="0.25">
      <c r="A63" s="148" t="s">
        <v>483</v>
      </c>
      <c r="B63" s="151">
        <f t="shared" si="5"/>
        <v>0</v>
      </c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</row>
    <row r="64" spans="1:14" ht="30" x14ac:dyDescent="0.25">
      <c r="A64" s="148" t="s">
        <v>482</v>
      </c>
      <c r="B64" s="151">
        <f t="shared" si="5"/>
        <v>0</v>
      </c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</row>
    <row r="65" spans="1:14" ht="45" x14ac:dyDescent="0.25">
      <c r="A65" s="148" t="s">
        <v>481</v>
      </c>
      <c r="B65" s="151">
        <f t="shared" si="5"/>
        <v>0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</row>
    <row r="66" spans="1:14" ht="30" x14ac:dyDescent="0.25">
      <c r="A66" s="154" t="s">
        <v>480</v>
      </c>
      <c r="B66" s="153">
        <f t="shared" si="5"/>
        <v>0</v>
      </c>
      <c r="C66" s="152">
        <f t="shared" ref="C66:N66" si="9">SUM(C67:C68)</f>
        <v>0</v>
      </c>
      <c r="D66" s="152">
        <f t="shared" si="9"/>
        <v>0</v>
      </c>
      <c r="E66" s="152">
        <f t="shared" si="9"/>
        <v>0</v>
      </c>
      <c r="F66" s="152">
        <f t="shared" si="9"/>
        <v>0</v>
      </c>
      <c r="G66" s="152">
        <f t="shared" si="9"/>
        <v>0</v>
      </c>
      <c r="H66" s="152">
        <f t="shared" si="9"/>
        <v>0</v>
      </c>
      <c r="I66" s="152">
        <f t="shared" si="9"/>
        <v>0</v>
      </c>
      <c r="J66" s="152">
        <f t="shared" si="9"/>
        <v>0</v>
      </c>
      <c r="K66" s="152">
        <f t="shared" si="9"/>
        <v>0</v>
      </c>
      <c r="L66" s="152">
        <f t="shared" si="9"/>
        <v>0</v>
      </c>
      <c r="M66" s="152">
        <f t="shared" si="9"/>
        <v>0</v>
      </c>
      <c r="N66" s="152">
        <f t="shared" si="9"/>
        <v>0</v>
      </c>
    </row>
    <row r="67" spans="1:14" x14ac:dyDescent="0.25">
      <c r="A67" s="148" t="s">
        <v>479</v>
      </c>
      <c r="B67" s="151">
        <f t="shared" si="5"/>
        <v>0</v>
      </c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</row>
    <row r="68" spans="1:14" ht="30" x14ac:dyDescent="0.25">
      <c r="A68" s="148" t="s">
        <v>478</v>
      </c>
      <c r="B68" s="151">
        <f t="shared" si="5"/>
        <v>0</v>
      </c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</row>
    <row r="69" spans="1:14" x14ac:dyDescent="0.25">
      <c r="A69" s="154" t="s">
        <v>477</v>
      </c>
      <c r="B69" s="153">
        <f t="shared" si="5"/>
        <v>0</v>
      </c>
      <c r="C69" s="152">
        <f t="shared" ref="C69:N69" si="10">SUM(C70:C72)</f>
        <v>0</v>
      </c>
      <c r="D69" s="152">
        <f t="shared" si="10"/>
        <v>0</v>
      </c>
      <c r="E69" s="152">
        <f t="shared" si="10"/>
        <v>0</v>
      </c>
      <c r="F69" s="152">
        <f t="shared" si="10"/>
        <v>0</v>
      </c>
      <c r="G69" s="152">
        <f t="shared" si="10"/>
        <v>0</v>
      </c>
      <c r="H69" s="152">
        <f t="shared" si="10"/>
        <v>0</v>
      </c>
      <c r="I69" s="152">
        <f t="shared" si="10"/>
        <v>0</v>
      </c>
      <c r="J69" s="152">
        <f t="shared" si="10"/>
        <v>0</v>
      </c>
      <c r="K69" s="152">
        <f t="shared" si="10"/>
        <v>0</v>
      </c>
      <c r="L69" s="152">
        <f t="shared" si="10"/>
        <v>0</v>
      </c>
      <c r="M69" s="152">
        <f t="shared" si="10"/>
        <v>0</v>
      </c>
      <c r="N69" s="152">
        <f t="shared" si="10"/>
        <v>0</v>
      </c>
    </row>
    <row r="70" spans="1:14" ht="30" x14ac:dyDescent="0.25">
      <c r="A70" s="148" t="s">
        <v>476</v>
      </c>
      <c r="B70" s="151">
        <f t="shared" si="5"/>
        <v>0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</row>
    <row r="71" spans="1:14" ht="30" x14ac:dyDescent="0.25">
      <c r="A71" s="148" t="s">
        <v>475</v>
      </c>
      <c r="B71" s="151">
        <f t="shared" si="5"/>
        <v>0</v>
      </c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</row>
    <row r="72" spans="1:14" ht="30" x14ac:dyDescent="0.25">
      <c r="A72" s="148" t="s">
        <v>474</v>
      </c>
      <c r="B72" s="151">
        <f t="shared" si="5"/>
        <v>0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</row>
    <row r="73" spans="1:14" x14ac:dyDescent="0.25">
      <c r="A73" s="146" t="s">
        <v>473</v>
      </c>
      <c r="B73" s="145">
        <f t="shared" ref="B73:N73" si="11">B9+B15+B25+B35+B43+B51+B61+B66+B69</f>
        <v>271880250.56999999</v>
      </c>
      <c r="C73" s="145">
        <f t="shared" si="11"/>
        <v>70061780.310000002</v>
      </c>
      <c r="D73" s="145">
        <f t="shared" si="11"/>
        <v>89363053.320000008</v>
      </c>
      <c r="E73" s="145">
        <f t="shared" si="11"/>
        <v>112455416.94</v>
      </c>
      <c r="F73" s="145">
        <f t="shared" si="11"/>
        <v>0</v>
      </c>
      <c r="G73" s="145">
        <f t="shared" si="11"/>
        <v>0</v>
      </c>
      <c r="H73" s="145">
        <f t="shared" si="11"/>
        <v>0</v>
      </c>
      <c r="I73" s="145">
        <f t="shared" si="11"/>
        <v>0</v>
      </c>
      <c r="J73" s="145">
        <f t="shared" si="11"/>
        <v>0</v>
      </c>
      <c r="K73" s="145">
        <f t="shared" si="11"/>
        <v>0</v>
      </c>
      <c r="L73" s="145">
        <f t="shared" si="11"/>
        <v>0</v>
      </c>
      <c r="M73" s="145">
        <f t="shared" si="11"/>
        <v>0</v>
      </c>
      <c r="N73" s="145">
        <f t="shared" si="11"/>
        <v>0</v>
      </c>
    </row>
    <row r="74" spans="1:14" x14ac:dyDescent="0.25">
      <c r="A74" s="150" t="s">
        <v>472</v>
      </c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</row>
    <row r="75" spans="1:14" ht="30" x14ac:dyDescent="0.25">
      <c r="A75" s="150" t="s">
        <v>471</v>
      </c>
      <c r="B75" s="125"/>
      <c r="C75" s="149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30" x14ac:dyDescent="0.25">
      <c r="A76" s="148" t="s">
        <v>470</v>
      </c>
      <c r="B76" s="125"/>
      <c r="C76" s="147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30" x14ac:dyDescent="0.25">
      <c r="A77" s="148" t="s">
        <v>469</v>
      </c>
      <c r="B77" s="125"/>
      <c r="C77" s="147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 x14ac:dyDescent="0.25">
      <c r="A78" s="150" t="s">
        <v>468</v>
      </c>
      <c r="B78" s="125"/>
      <c r="C78" s="149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 ht="30" x14ac:dyDescent="0.25">
      <c r="A79" s="148" t="s">
        <v>467</v>
      </c>
      <c r="B79" s="125"/>
      <c r="C79" s="147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 ht="30" x14ac:dyDescent="0.25">
      <c r="A80" s="148" t="s">
        <v>466</v>
      </c>
      <c r="B80" s="125"/>
      <c r="C80" s="147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 ht="30" x14ac:dyDescent="0.25">
      <c r="A81" s="150" t="s">
        <v>465</v>
      </c>
      <c r="B81" s="125"/>
      <c r="C81" s="149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30" x14ac:dyDescent="0.25">
      <c r="A82" s="148" t="s">
        <v>464</v>
      </c>
      <c r="B82" s="125"/>
      <c r="C82" s="147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 x14ac:dyDescent="0.25">
      <c r="A83" s="146" t="s">
        <v>463</v>
      </c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</row>
    <row r="84" spans="1:14" x14ac:dyDescent="0.25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31.5" x14ac:dyDescent="0.25">
      <c r="A85" s="144" t="s">
        <v>462</v>
      </c>
      <c r="B85" s="143">
        <f t="shared" ref="B85:C85" si="12">+B83+B73</f>
        <v>271880250.56999999</v>
      </c>
      <c r="C85" s="143">
        <f t="shared" si="12"/>
        <v>70061780.310000002</v>
      </c>
      <c r="D85" s="143">
        <f>+D83+D73</f>
        <v>89363053.320000008</v>
      </c>
      <c r="E85" s="143">
        <f t="shared" ref="E85:N85" si="13">+E83+E73</f>
        <v>112455416.94</v>
      </c>
      <c r="F85" s="143">
        <f t="shared" si="13"/>
        <v>0</v>
      </c>
      <c r="G85" s="143">
        <f t="shared" si="13"/>
        <v>0</v>
      </c>
      <c r="H85" s="143">
        <f t="shared" si="13"/>
        <v>0</v>
      </c>
      <c r="I85" s="143">
        <f t="shared" si="13"/>
        <v>0</v>
      </c>
      <c r="J85" s="143">
        <f t="shared" si="13"/>
        <v>0</v>
      </c>
      <c r="K85" s="143">
        <f t="shared" si="13"/>
        <v>0</v>
      </c>
      <c r="L85" s="143">
        <f t="shared" si="13"/>
        <v>0</v>
      </c>
      <c r="M85" s="143">
        <f t="shared" si="13"/>
        <v>0</v>
      </c>
      <c r="N85" s="143">
        <f t="shared" si="13"/>
        <v>0</v>
      </c>
    </row>
    <row r="86" spans="1:14" x14ac:dyDescent="0.25">
      <c r="A86" t="s">
        <v>461</v>
      </c>
    </row>
    <row r="87" spans="1:14" x14ac:dyDescent="0.25">
      <c r="A87" t="s">
        <v>460</v>
      </c>
    </row>
    <row r="88" spans="1:14" x14ac:dyDescent="0.25">
      <c r="A88" t="s">
        <v>459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35433070866141736" bottom="0.35433070866141736" header="0.31496062992125984" footer="0.31496062992125984"/>
  <pageSetup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view="pageBreakPreview" zoomScale="82" zoomScaleNormal="90" zoomScaleSheetLayoutView="82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93" sqref="E93"/>
    </sheetView>
  </sheetViews>
  <sheetFormatPr baseColWidth="10" defaultColWidth="9.140625" defaultRowHeight="15" x14ac:dyDescent="0.25"/>
  <cols>
    <col min="1" max="1" width="45.42578125" customWidth="1"/>
    <col min="2" max="2" width="19" style="190" bestFit="1" customWidth="1"/>
    <col min="3" max="4" width="18.42578125" style="190" bestFit="1" customWidth="1"/>
    <col min="5" max="5" width="14.28515625" bestFit="1" customWidth="1"/>
    <col min="6" max="10" width="11.5703125" bestFit="1" customWidth="1"/>
    <col min="11" max="11" width="12.42578125" bestFit="1" customWidth="1"/>
    <col min="12" max="12" width="11.5703125" bestFit="1" customWidth="1"/>
    <col min="13" max="13" width="11.85546875" customWidth="1"/>
    <col min="14" max="14" width="12.7109375" bestFit="1" customWidth="1"/>
  </cols>
  <sheetData>
    <row r="1" spans="1:14" ht="18.75" x14ac:dyDescent="0.25">
      <c r="A1" s="495" t="s">
        <v>77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18.75" x14ac:dyDescent="0.25">
      <c r="A2" s="495" t="s">
        <v>706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</row>
    <row r="3" spans="1:14" ht="18.75" x14ac:dyDescent="0.25">
      <c r="A3" s="495" t="s">
        <v>554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</row>
    <row r="4" spans="1:14" ht="15.75" x14ac:dyDescent="0.25">
      <c r="A4" s="496" t="s">
        <v>563</v>
      </c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</row>
    <row r="5" spans="1:14" x14ac:dyDescent="0.25">
      <c r="A5" s="439" t="s">
        <v>553</v>
      </c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</row>
    <row r="7" spans="1:14" ht="15.75" x14ac:dyDescent="0.25">
      <c r="A7" s="157" t="s">
        <v>552</v>
      </c>
      <c r="B7" s="324" t="s">
        <v>551</v>
      </c>
      <c r="C7" s="324" t="s">
        <v>550</v>
      </c>
      <c r="D7" s="324" t="s">
        <v>549</v>
      </c>
      <c r="E7" s="156" t="s">
        <v>548</v>
      </c>
      <c r="F7" s="156" t="s">
        <v>547</v>
      </c>
      <c r="G7" s="156" t="s">
        <v>546</v>
      </c>
      <c r="H7" s="156" t="s">
        <v>545</v>
      </c>
      <c r="I7" s="156" t="s">
        <v>544</v>
      </c>
      <c r="J7" s="156" t="s">
        <v>543</v>
      </c>
      <c r="K7" s="156" t="s">
        <v>542</v>
      </c>
      <c r="L7" s="156" t="s">
        <v>541</v>
      </c>
      <c r="M7" s="156" t="s">
        <v>540</v>
      </c>
      <c r="N7" s="156" t="s">
        <v>539</v>
      </c>
    </row>
    <row r="8" spans="1:14" x14ac:dyDescent="0.25">
      <c r="A8" s="150" t="s">
        <v>538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</row>
    <row r="9" spans="1:14" x14ac:dyDescent="0.25">
      <c r="A9" s="154" t="s">
        <v>537</v>
      </c>
      <c r="B9" s="153">
        <f>SUM(C9:N9)</f>
        <v>5231553.59</v>
      </c>
      <c r="C9" s="152">
        <f>SUM(C10:C14)</f>
        <v>0</v>
      </c>
      <c r="D9" s="152">
        <f t="shared" ref="D9:N9" si="0">SUM(D10:D14)</f>
        <v>0</v>
      </c>
      <c r="E9" s="152">
        <f t="shared" si="0"/>
        <v>5231553.59</v>
      </c>
      <c r="F9" s="152">
        <f t="shared" si="0"/>
        <v>0</v>
      </c>
      <c r="G9" s="152">
        <f t="shared" si="0"/>
        <v>0</v>
      </c>
      <c r="H9" s="152">
        <f t="shared" si="0"/>
        <v>0</v>
      </c>
      <c r="I9" s="152">
        <f t="shared" si="0"/>
        <v>0</v>
      </c>
      <c r="J9" s="152">
        <f t="shared" si="0"/>
        <v>0</v>
      </c>
      <c r="K9" s="152">
        <f t="shared" si="0"/>
        <v>0</v>
      </c>
      <c r="L9" s="152">
        <f t="shared" si="0"/>
        <v>0</v>
      </c>
      <c r="M9" s="152">
        <f t="shared" si="0"/>
        <v>0</v>
      </c>
      <c r="N9" s="152">
        <f t="shared" si="0"/>
        <v>0</v>
      </c>
    </row>
    <row r="10" spans="1:14" x14ac:dyDescent="0.25">
      <c r="A10" s="148" t="s">
        <v>536</v>
      </c>
      <c r="B10" s="151">
        <f>SUM(C10:N10)</f>
        <v>0</v>
      </c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</row>
    <row r="11" spans="1:14" x14ac:dyDescent="0.25">
      <c r="A11" s="148" t="s">
        <v>535</v>
      </c>
      <c r="B11" s="151">
        <f t="shared" ref="B11:B14" si="1">SUM(C11:N11)</f>
        <v>5231553.59</v>
      </c>
      <c r="C11" s="147"/>
      <c r="D11" s="147"/>
      <c r="E11" s="147">
        <v>5231553.59</v>
      </c>
      <c r="F11" s="147"/>
      <c r="G11" s="147"/>
      <c r="H11" s="147"/>
      <c r="I11" s="147"/>
      <c r="J11" s="147"/>
      <c r="K11" s="147"/>
      <c r="L11" s="147"/>
      <c r="M11" s="147"/>
      <c r="N11" s="147"/>
    </row>
    <row r="12" spans="1:14" x14ac:dyDescent="0.25">
      <c r="A12" s="148" t="s">
        <v>534</v>
      </c>
      <c r="B12" s="151">
        <f t="shared" si="1"/>
        <v>0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</row>
    <row r="13" spans="1:14" x14ac:dyDescent="0.25">
      <c r="A13" s="148" t="s">
        <v>533</v>
      </c>
      <c r="B13" s="151">
        <f t="shared" si="1"/>
        <v>0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</row>
    <row r="14" spans="1:14" ht="30" x14ac:dyDescent="0.25">
      <c r="A14" s="148" t="s">
        <v>532</v>
      </c>
      <c r="B14" s="151">
        <f t="shared" si="1"/>
        <v>0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</row>
    <row r="15" spans="1:14" x14ac:dyDescent="0.25">
      <c r="A15" s="154" t="s">
        <v>531</v>
      </c>
      <c r="B15" s="153">
        <f>SUM(C15:N15)</f>
        <v>8306683.8499999996</v>
      </c>
      <c r="C15" s="152">
        <f>SUM(C16:C24)</f>
        <v>2733844.2800000003</v>
      </c>
      <c r="D15" s="152">
        <f t="shared" ref="D15:N15" si="2">SUM(D16:D24)</f>
        <v>1213383.3500000001</v>
      </c>
      <c r="E15" s="152">
        <f t="shared" si="2"/>
        <v>4359456.22</v>
      </c>
      <c r="F15" s="152">
        <f t="shared" si="2"/>
        <v>0</v>
      </c>
      <c r="G15" s="152">
        <f t="shared" si="2"/>
        <v>0</v>
      </c>
      <c r="H15" s="152">
        <f t="shared" si="2"/>
        <v>0</v>
      </c>
      <c r="I15" s="152">
        <f t="shared" si="2"/>
        <v>0</v>
      </c>
      <c r="J15" s="152">
        <f t="shared" si="2"/>
        <v>0</v>
      </c>
      <c r="K15" s="152">
        <f t="shared" si="2"/>
        <v>0</v>
      </c>
      <c r="L15" s="152">
        <f t="shared" si="2"/>
        <v>0</v>
      </c>
      <c r="M15" s="152">
        <f t="shared" si="2"/>
        <v>0</v>
      </c>
      <c r="N15" s="152">
        <f t="shared" si="2"/>
        <v>0</v>
      </c>
    </row>
    <row r="16" spans="1:14" x14ac:dyDescent="0.25">
      <c r="A16" s="148" t="s">
        <v>530</v>
      </c>
      <c r="B16" s="151">
        <f t="shared" ref="B16:B24" si="3">SUM(C16:N16)</f>
        <v>2341561.92</v>
      </c>
      <c r="C16" s="147">
        <v>351316.33</v>
      </c>
      <c r="D16" s="147">
        <v>259054.4</v>
      </c>
      <c r="E16" s="147">
        <v>1731191.19</v>
      </c>
      <c r="F16" s="147"/>
      <c r="G16" s="147"/>
      <c r="H16" s="147"/>
      <c r="I16" s="147"/>
      <c r="J16" s="147"/>
      <c r="K16" s="147"/>
      <c r="L16" s="147"/>
      <c r="M16" s="147"/>
      <c r="N16" s="147"/>
    </row>
    <row r="17" spans="1:14" ht="30" x14ac:dyDescent="0.25">
      <c r="A17" s="148" t="s">
        <v>529</v>
      </c>
      <c r="B17" s="151">
        <f>SUM(C17:N17)</f>
        <v>0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</row>
    <row r="18" spans="1:14" x14ac:dyDescent="0.25">
      <c r="A18" s="148" t="s">
        <v>528</v>
      </c>
      <c r="B18" s="151">
        <f t="shared" si="3"/>
        <v>0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</row>
    <row r="19" spans="1:14" ht="18" customHeight="1" x14ac:dyDescent="0.25">
      <c r="A19" s="148" t="s">
        <v>527</v>
      </c>
      <c r="B19" s="151">
        <f t="shared" si="3"/>
        <v>56000</v>
      </c>
      <c r="C19" s="147"/>
      <c r="D19" s="147">
        <v>24000</v>
      </c>
      <c r="E19" s="147">
        <v>32000</v>
      </c>
      <c r="F19" s="147"/>
      <c r="G19" s="147"/>
      <c r="H19" s="147"/>
      <c r="I19" s="147"/>
      <c r="J19" s="147"/>
      <c r="K19" s="147"/>
      <c r="L19" s="147"/>
      <c r="M19" s="147"/>
      <c r="N19" s="147"/>
    </row>
    <row r="20" spans="1:14" x14ac:dyDescent="0.25">
      <c r="A20" s="148" t="s">
        <v>526</v>
      </c>
      <c r="B20" s="151">
        <f t="shared" si="3"/>
        <v>519625.15</v>
      </c>
      <c r="C20" s="147">
        <v>266664.25</v>
      </c>
      <c r="D20" s="147">
        <v>252960.9</v>
      </c>
      <c r="E20" s="147"/>
      <c r="F20" s="147"/>
      <c r="G20" s="147"/>
      <c r="H20" s="147"/>
      <c r="I20" s="147"/>
      <c r="J20" s="147"/>
      <c r="K20" s="147"/>
      <c r="L20" s="147"/>
      <c r="M20" s="147"/>
      <c r="N20" s="147"/>
    </row>
    <row r="21" spans="1:14" x14ac:dyDescent="0.25">
      <c r="A21" s="148" t="s">
        <v>525</v>
      </c>
      <c r="B21" s="151">
        <f t="shared" si="3"/>
        <v>0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</row>
    <row r="22" spans="1:14" ht="45" x14ac:dyDescent="0.25">
      <c r="A22" s="148" t="s">
        <v>524</v>
      </c>
      <c r="B22" s="151">
        <f t="shared" si="3"/>
        <v>4556850.12</v>
      </c>
      <c r="C22" s="147">
        <v>2064518.35</v>
      </c>
      <c r="D22" s="147">
        <f>215685.19+42142.86+18061.22+33714.29+21673.47+18061.22+115591.83+7826.53</f>
        <v>472756.61000000004</v>
      </c>
      <c r="E22" s="147">
        <v>2019575.16</v>
      </c>
      <c r="F22" s="147"/>
      <c r="G22" s="147"/>
      <c r="H22" s="147"/>
      <c r="I22" s="147"/>
      <c r="J22" s="147"/>
      <c r="K22" s="147"/>
      <c r="L22" s="147"/>
      <c r="M22" s="147"/>
      <c r="N22" s="147"/>
    </row>
    <row r="23" spans="1:14" ht="30" x14ac:dyDescent="0.25">
      <c r="A23" s="148" t="s">
        <v>523</v>
      </c>
      <c r="B23" s="151">
        <f t="shared" si="3"/>
        <v>832646.66</v>
      </c>
      <c r="C23" s="147">
        <v>51345.35</v>
      </c>
      <c r="D23" s="147">
        <f>193432+11179.44</f>
        <v>204611.44</v>
      </c>
      <c r="E23" s="147">
        <v>576689.87</v>
      </c>
      <c r="F23" s="147"/>
      <c r="G23" s="147"/>
      <c r="H23" s="147"/>
      <c r="I23" s="147"/>
      <c r="J23" s="147"/>
      <c r="K23" s="147"/>
      <c r="L23" s="147"/>
      <c r="M23" s="147"/>
      <c r="N23" s="147"/>
    </row>
    <row r="24" spans="1:14" x14ac:dyDescent="0.25">
      <c r="A24" s="148" t="s">
        <v>522</v>
      </c>
      <c r="B24" s="151">
        <f t="shared" si="3"/>
        <v>0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</row>
    <row r="25" spans="1:14" x14ac:dyDescent="0.25">
      <c r="A25" s="154" t="s">
        <v>521</v>
      </c>
      <c r="B25" s="153">
        <f>SUM(C25:N25)</f>
        <v>7292547.2799999993</v>
      </c>
      <c r="C25" s="152">
        <f>SUM(C26:C34)</f>
        <v>3062630.67</v>
      </c>
      <c r="D25" s="152">
        <f t="shared" ref="D25:M25" si="4">SUM(D26:D34)</f>
        <v>2432378.29</v>
      </c>
      <c r="E25" s="152">
        <f t="shared" si="4"/>
        <v>1797538.3199999998</v>
      </c>
      <c r="F25" s="152">
        <f t="shared" si="4"/>
        <v>0</v>
      </c>
      <c r="G25" s="152">
        <f t="shared" si="4"/>
        <v>0</v>
      </c>
      <c r="H25" s="152">
        <f t="shared" si="4"/>
        <v>0</v>
      </c>
      <c r="I25" s="152">
        <f t="shared" si="4"/>
        <v>0</v>
      </c>
      <c r="J25" s="152">
        <f t="shared" si="4"/>
        <v>0</v>
      </c>
      <c r="K25" s="152">
        <f t="shared" si="4"/>
        <v>0</v>
      </c>
      <c r="L25" s="152">
        <f t="shared" si="4"/>
        <v>0</v>
      </c>
      <c r="M25" s="152">
        <f t="shared" si="4"/>
        <v>0</v>
      </c>
      <c r="N25" s="152">
        <f>SUM(N26:N34)</f>
        <v>0</v>
      </c>
    </row>
    <row r="26" spans="1:14" ht="30" x14ac:dyDescent="0.25">
      <c r="A26" s="148" t="s">
        <v>520</v>
      </c>
      <c r="B26" s="151">
        <f t="shared" ref="B26:B34" si="5">SUM(C26:N26)</f>
        <v>1500755.8</v>
      </c>
      <c r="C26" s="147">
        <v>541265</v>
      </c>
      <c r="D26" s="147">
        <v>300691.8</v>
      </c>
      <c r="E26" s="147">
        <v>658799</v>
      </c>
      <c r="F26" s="147"/>
      <c r="G26" s="147"/>
      <c r="H26" s="147"/>
      <c r="I26" s="147"/>
      <c r="J26" s="147"/>
      <c r="K26" s="147"/>
      <c r="L26" s="147"/>
      <c r="M26" s="147"/>
      <c r="N26" s="147"/>
    </row>
    <row r="27" spans="1:14" x14ac:dyDescent="0.25">
      <c r="A27" s="148" t="s">
        <v>519</v>
      </c>
      <c r="B27" s="151">
        <f t="shared" si="5"/>
        <v>0</v>
      </c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</row>
    <row r="28" spans="1:14" ht="30" x14ac:dyDescent="0.25">
      <c r="A28" s="148" t="s">
        <v>518</v>
      </c>
      <c r="B28" s="151">
        <f t="shared" si="5"/>
        <v>251163</v>
      </c>
      <c r="C28" s="147">
        <v>85550</v>
      </c>
      <c r="D28" s="147">
        <v>107616</v>
      </c>
      <c r="E28" s="147">
        <v>57997</v>
      </c>
      <c r="F28" s="147"/>
      <c r="G28" s="147"/>
      <c r="H28" s="147"/>
      <c r="I28" s="147"/>
      <c r="J28" s="147"/>
      <c r="K28" s="147"/>
      <c r="L28" s="147"/>
      <c r="M28" s="147"/>
      <c r="N28" s="147"/>
    </row>
    <row r="29" spans="1:14" x14ac:dyDescent="0.25">
      <c r="A29" s="148" t="s">
        <v>517</v>
      </c>
      <c r="B29" s="151">
        <f t="shared" si="5"/>
        <v>558000</v>
      </c>
      <c r="C29" s="147">
        <v>308000</v>
      </c>
      <c r="D29" s="147"/>
      <c r="E29" s="147">
        <v>250000</v>
      </c>
      <c r="F29" s="147"/>
      <c r="G29" s="147"/>
      <c r="H29" s="147"/>
      <c r="I29" s="147"/>
      <c r="J29" s="147"/>
      <c r="K29" s="147"/>
      <c r="L29" s="147"/>
      <c r="M29" s="147"/>
      <c r="N29" s="147"/>
    </row>
    <row r="30" spans="1:14" ht="30" x14ac:dyDescent="0.25">
      <c r="A30" s="148" t="s">
        <v>516</v>
      </c>
      <c r="B30" s="151">
        <f t="shared" si="5"/>
        <v>567494.87</v>
      </c>
      <c r="C30" s="147"/>
      <c r="D30" s="147">
        <v>249831.2</v>
      </c>
      <c r="E30" s="147">
        <v>317663.67</v>
      </c>
      <c r="F30" s="147"/>
      <c r="G30" s="147"/>
      <c r="H30" s="147"/>
      <c r="I30" s="147"/>
      <c r="J30" s="147"/>
      <c r="K30" s="147"/>
      <c r="L30" s="147"/>
      <c r="M30" s="147"/>
      <c r="N30" s="147"/>
    </row>
    <row r="31" spans="1:14" ht="30" x14ac:dyDescent="0.25">
      <c r="A31" s="148" t="s">
        <v>515</v>
      </c>
      <c r="B31" s="151">
        <f t="shared" si="5"/>
        <v>293957.3</v>
      </c>
      <c r="C31" s="147"/>
      <c r="D31" s="147">
        <v>183732.33</v>
      </c>
      <c r="E31" s="147">
        <v>110224.97</v>
      </c>
      <c r="F31" s="147"/>
      <c r="G31" s="147"/>
      <c r="H31" s="147"/>
      <c r="I31" s="147"/>
      <c r="J31" s="147"/>
      <c r="K31" s="147"/>
      <c r="L31" s="147"/>
      <c r="M31" s="147"/>
      <c r="N31" s="147"/>
    </row>
    <row r="32" spans="1:14" ht="30" x14ac:dyDescent="0.25">
      <c r="A32" s="148" t="s">
        <v>514</v>
      </c>
      <c r="B32" s="151">
        <f t="shared" si="5"/>
        <v>1660334.56</v>
      </c>
      <c r="C32" s="147">
        <v>228412.84</v>
      </c>
      <c r="D32" s="147">
        <v>1114592.73</v>
      </c>
      <c r="E32" s="147">
        <v>317328.99</v>
      </c>
      <c r="F32" s="147"/>
      <c r="G32" s="147"/>
      <c r="H32" s="147"/>
      <c r="I32" s="147"/>
      <c r="J32" s="147"/>
      <c r="K32" s="147"/>
      <c r="L32" s="147"/>
      <c r="M32" s="147"/>
      <c r="N32" s="147"/>
    </row>
    <row r="33" spans="1:14" ht="30" x14ac:dyDescent="0.25">
      <c r="A33" s="148" t="s">
        <v>513</v>
      </c>
      <c r="B33" s="151">
        <f t="shared" si="5"/>
        <v>0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</row>
    <row r="34" spans="1:14" x14ac:dyDescent="0.25">
      <c r="A34" s="148" t="s">
        <v>512</v>
      </c>
      <c r="B34" s="151">
        <f t="shared" si="5"/>
        <v>2460841.75</v>
      </c>
      <c r="C34" s="147">
        <v>1899402.83</v>
      </c>
      <c r="D34" s="147">
        <f>423850.01+52064.22</f>
        <v>475914.23</v>
      </c>
      <c r="E34" s="147">
        <v>85524.69</v>
      </c>
      <c r="F34" s="147"/>
      <c r="G34" s="147"/>
      <c r="H34" s="147"/>
      <c r="I34" s="147"/>
      <c r="J34" s="147"/>
      <c r="K34" s="147"/>
      <c r="L34" s="147"/>
      <c r="M34" s="147"/>
      <c r="N34" s="147"/>
    </row>
    <row r="35" spans="1:14" x14ac:dyDescent="0.25">
      <c r="A35" s="154" t="s">
        <v>511</v>
      </c>
      <c r="B35" s="153">
        <f>SUM(C35:N35)</f>
        <v>287786.7</v>
      </c>
      <c r="C35" s="152">
        <f>SUM(C36:C42)</f>
        <v>136966.70000000001</v>
      </c>
      <c r="D35" s="152">
        <f t="shared" ref="D35:N35" si="6">SUM(D36:D42)</f>
        <v>23400</v>
      </c>
      <c r="E35" s="152">
        <f t="shared" si="6"/>
        <v>127420</v>
      </c>
      <c r="F35" s="152">
        <f t="shared" si="6"/>
        <v>0</v>
      </c>
      <c r="G35" s="152">
        <f t="shared" si="6"/>
        <v>0</v>
      </c>
      <c r="H35" s="152">
        <f t="shared" si="6"/>
        <v>0</v>
      </c>
      <c r="I35" s="152">
        <f t="shared" si="6"/>
        <v>0</v>
      </c>
      <c r="J35" s="152">
        <f t="shared" si="6"/>
        <v>0</v>
      </c>
      <c r="K35" s="152">
        <f t="shared" si="6"/>
        <v>0</v>
      </c>
      <c r="L35" s="152">
        <f t="shared" si="6"/>
        <v>0</v>
      </c>
      <c r="M35" s="152">
        <f t="shared" si="6"/>
        <v>0</v>
      </c>
      <c r="N35" s="152">
        <f t="shared" si="6"/>
        <v>0</v>
      </c>
    </row>
    <row r="36" spans="1:14" ht="30" x14ac:dyDescent="0.25">
      <c r="A36" s="148" t="s">
        <v>510</v>
      </c>
      <c r="B36" s="151">
        <f>SUM(C36:N36)</f>
        <v>287786.7</v>
      </c>
      <c r="C36" s="147">
        <v>136966.70000000001</v>
      </c>
      <c r="D36" s="147">
        <v>23400</v>
      </c>
      <c r="E36" s="147">
        <v>127420</v>
      </c>
      <c r="F36" s="147"/>
      <c r="G36" s="147"/>
      <c r="H36" s="147"/>
      <c r="I36" s="147"/>
      <c r="J36" s="147"/>
      <c r="K36" s="147"/>
      <c r="L36" s="147"/>
      <c r="M36" s="147"/>
      <c r="N36" s="147"/>
    </row>
    <row r="37" spans="1:14" ht="30" x14ac:dyDescent="0.25">
      <c r="A37" s="148" t="s">
        <v>509</v>
      </c>
      <c r="B37" s="151">
        <f t="shared" ref="B37:B42" si="7">SUM(C37:N37)</f>
        <v>0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</row>
    <row r="38" spans="1:14" ht="30" x14ac:dyDescent="0.25">
      <c r="A38" s="148" t="s">
        <v>508</v>
      </c>
      <c r="B38" s="151">
        <f t="shared" si="7"/>
        <v>0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</row>
    <row r="39" spans="1:14" ht="30" x14ac:dyDescent="0.25">
      <c r="A39" s="148" t="s">
        <v>507</v>
      </c>
      <c r="B39" s="151">
        <f t="shared" si="7"/>
        <v>0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</row>
    <row r="40" spans="1:14" ht="30" x14ac:dyDescent="0.25">
      <c r="A40" s="148" t="s">
        <v>506</v>
      </c>
      <c r="B40" s="151">
        <f t="shared" si="7"/>
        <v>0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</row>
    <row r="41" spans="1:14" ht="30" x14ac:dyDescent="0.25">
      <c r="A41" s="148" t="s">
        <v>505</v>
      </c>
      <c r="B41" s="151">
        <f t="shared" si="7"/>
        <v>0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</row>
    <row r="42" spans="1:14" ht="30" x14ac:dyDescent="0.25">
      <c r="A42" s="148" t="s">
        <v>504</v>
      </c>
      <c r="B42" s="151">
        <f t="shared" si="7"/>
        <v>0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</row>
    <row r="43" spans="1:14" x14ac:dyDescent="0.25">
      <c r="A43" s="154" t="s">
        <v>503</v>
      </c>
      <c r="B43" s="153">
        <f>SUM(C43:N43)</f>
        <v>0</v>
      </c>
      <c r="C43" s="152">
        <f>SUM(C44:C50)</f>
        <v>0</v>
      </c>
      <c r="D43" s="152">
        <f t="shared" ref="D43:N43" si="8">SUM(D44:D50)</f>
        <v>0</v>
      </c>
      <c r="E43" s="152">
        <f t="shared" si="8"/>
        <v>0</v>
      </c>
      <c r="F43" s="152">
        <f t="shared" si="8"/>
        <v>0</v>
      </c>
      <c r="G43" s="152">
        <f t="shared" si="8"/>
        <v>0</v>
      </c>
      <c r="H43" s="152">
        <f t="shared" si="8"/>
        <v>0</v>
      </c>
      <c r="I43" s="152">
        <f t="shared" si="8"/>
        <v>0</v>
      </c>
      <c r="J43" s="152">
        <f t="shared" si="8"/>
        <v>0</v>
      </c>
      <c r="K43" s="152">
        <f t="shared" si="8"/>
        <v>0</v>
      </c>
      <c r="L43" s="152">
        <f t="shared" si="8"/>
        <v>0</v>
      </c>
      <c r="M43" s="152">
        <f t="shared" si="8"/>
        <v>0</v>
      </c>
      <c r="N43" s="152">
        <f t="shared" si="8"/>
        <v>0</v>
      </c>
    </row>
    <row r="44" spans="1:14" ht="30" x14ac:dyDescent="0.25">
      <c r="A44" s="148" t="s">
        <v>502</v>
      </c>
      <c r="B44" s="151">
        <f t="shared" ref="B44:B49" si="9">SUM(C44:N44)</f>
        <v>0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</row>
    <row r="45" spans="1:14" ht="30" x14ac:dyDescent="0.25">
      <c r="A45" s="148" t="s">
        <v>501</v>
      </c>
      <c r="B45" s="151">
        <f t="shared" si="9"/>
        <v>0</v>
      </c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</row>
    <row r="46" spans="1:14" ht="30" x14ac:dyDescent="0.25">
      <c r="A46" s="148" t="s">
        <v>500</v>
      </c>
      <c r="B46" s="151">
        <f t="shared" si="9"/>
        <v>0</v>
      </c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</row>
    <row r="47" spans="1:14" ht="30" x14ac:dyDescent="0.25">
      <c r="A47" s="148" t="s">
        <v>499</v>
      </c>
      <c r="B47" s="151">
        <f t="shared" si="9"/>
        <v>0</v>
      </c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</row>
    <row r="48" spans="1:14" ht="30" x14ac:dyDescent="0.25">
      <c r="A48" s="148" t="s">
        <v>498</v>
      </c>
      <c r="B48" s="151">
        <f t="shared" si="9"/>
        <v>0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</row>
    <row r="49" spans="1:14" ht="30" x14ac:dyDescent="0.25">
      <c r="A49" s="148" t="s">
        <v>497</v>
      </c>
      <c r="B49" s="151">
        <f t="shared" si="9"/>
        <v>0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</row>
    <row r="50" spans="1:14" ht="30" x14ac:dyDescent="0.25">
      <c r="A50" s="148" t="s">
        <v>496</v>
      </c>
      <c r="B50" s="151">
        <f>SUM(C50:N50)</f>
        <v>0</v>
      </c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</row>
    <row r="51" spans="1:14" ht="30" x14ac:dyDescent="0.25">
      <c r="A51" s="154" t="s">
        <v>495</v>
      </c>
      <c r="B51" s="153">
        <f>SUM(C51:N51)</f>
        <v>5076044.21</v>
      </c>
      <c r="C51" s="152">
        <f>SUM(C52:C60)</f>
        <v>887994.84</v>
      </c>
      <c r="D51" s="152">
        <f t="shared" ref="D51:N51" si="10">SUM(D52:D60)</f>
        <v>3887510</v>
      </c>
      <c r="E51" s="152">
        <f t="shared" si="10"/>
        <v>300539.37</v>
      </c>
      <c r="F51" s="152">
        <f t="shared" si="10"/>
        <v>0</v>
      </c>
      <c r="G51" s="152">
        <f t="shared" si="10"/>
        <v>0</v>
      </c>
      <c r="H51" s="152">
        <f t="shared" si="10"/>
        <v>0</v>
      </c>
      <c r="I51" s="152">
        <f t="shared" si="10"/>
        <v>0</v>
      </c>
      <c r="J51" s="152">
        <f t="shared" si="10"/>
        <v>0</v>
      </c>
      <c r="K51" s="152">
        <f t="shared" si="10"/>
        <v>0</v>
      </c>
      <c r="L51" s="152">
        <f t="shared" si="10"/>
        <v>0</v>
      </c>
      <c r="M51" s="152">
        <f t="shared" si="10"/>
        <v>0</v>
      </c>
      <c r="N51" s="152">
        <f t="shared" si="10"/>
        <v>0</v>
      </c>
    </row>
    <row r="52" spans="1:14" x14ac:dyDescent="0.25">
      <c r="A52" s="148" t="s">
        <v>494</v>
      </c>
      <c r="B52" s="151">
        <f t="shared" ref="B52:B60" si="11">SUM(C52:N52)</f>
        <v>0</v>
      </c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</row>
    <row r="53" spans="1:14" ht="30" x14ac:dyDescent="0.25">
      <c r="A53" s="148" t="s">
        <v>493</v>
      </c>
      <c r="B53" s="151">
        <f t="shared" si="11"/>
        <v>0</v>
      </c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</row>
    <row r="54" spans="1:14" ht="30" x14ac:dyDescent="0.25">
      <c r="A54" s="148" t="s">
        <v>492</v>
      </c>
      <c r="B54" s="151">
        <f t="shared" si="11"/>
        <v>2963024.84</v>
      </c>
      <c r="C54" s="147">
        <v>887994.84</v>
      </c>
      <c r="D54" s="147">
        <v>2075030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</row>
    <row r="55" spans="1:14" ht="30" x14ac:dyDescent="0.25">
      <c r="A55" s="148" t="s">
        <v>491</v>
      </c>
      <c r="B55" s="151">
        <f t="shared" si="11"/>
        <v>107609.37</v>
      </c>
      <c r="C55" s="147"/>
      <c r="D55" s="147"/>
      <c r="E55" s="147">
        <v>107609.37</v>
      </c>
      <c r="F55" s="147"/>
      <c r="G55" s="147"/>
      <c r="H55" s="147"/>
      <c r="I55" s="147"/>
      <c r="J55" s="147"/>
      <c r="K55" s="147"/>
      <c r="L55" s="147"/>
      <c r="M55" s="147"/>
      <c r="N55" s="147"/>
    </row>
    <row r="56" spans="1:14" ht="30" x14ac:dyDescent="0.25">
      <c r="A56" s="148" t="s">
        <v>490</v>
      </c>
      <c r="B56" s="151">
        <f t="shared" si="11"/>
        <v>2005410</v>
      </c>
      <c r="C56" s="147"/>
      <c r="D56" s="147">
        <v>1812480</v>
      </c>
      <c r="E56" s="147">
        <v>192930</v>
      </c>
      <c r="F56" s="147"/>
      <c r="G56" s="147"/>
      <c r="H56" s="147"/>
      <c r="I56" s="147"/>
      <c r="J56" s="147"/>
      <c r="K56" s="147"/>
      <c r="L56" s="147"/>
      <c r="M56" s="147"/>
      <c r="N56" s="147"/>
    </row>
    <row r="57" spans="1:14" x14ac:dyDescent="0.25">
      <c r="A57" s="148" t="s">
        <v>489</v>
      </c>
      <c r="B57" s="151">
        <f>SUM(C57:N57)</f>
        <v>0</v>
      </c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</row>
    <row r="58" spans="1:14" x14ac:dyDescent="0.25">
      <c r="A58" s="148" t="s">
        <v>488</v>
      </c>
      <c r="B58" s="151">
        <f t="shared" si="11"/>
        <v>0</v>
      </c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</row>
    <row r="59" spans="1:14" x14ac:dyDescent="0.25">
      <c r="A59" s="148" t="s">
        <v>487</v>
      </c>
      <c r="B59" s="151">
        <f t="shared" si="11"/>
        <v>0</v>
      </c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</row>
    <row r="60" spans="1:14" ht="30" x14ac:dyDescent="0.25">
      <c r="A60" s="148" t="s">
        <v>486</v>
      </c>
      <c r="B60" s="151">
        <f t="shared" si="11"/>
        <v>0</v>
      </c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</row>
    <row r="61" spans="1:14" x14ac:dyDescent="0.25">
      <c r="A61" s="154" t="s">
        <v>485</v>
      </c>
      <c r="B61" s="153">
        <f>SUM(C61:N61)</f>
        <v>0</v>
      </c>
      <c r="C61" s="152">
        <f>SUM(C62:C65)</f>
        <v>0</v>
      </c>
      <c r="D61" s="152">
        <f t="shared" ref="D61:N61" si="12">SUM(D62:D65)</f>
        <v>0</v>
      </c>
      <c r="E61" s="152">
        <f t="shared" si="12"/>
        <v>0</v>
      </c>
      <c r="F61" s="152">
        <f t="shared" si="12"/>
        <v>0</v>
      </c>
      <c r="G61" s="152">
        <f t="shared" si="12"/>
        <v>0</v>
      </c>
      <c r="H61" s="152">
        <f t="shared" si="12"/>
        <v>0</v>
      </c>
      <c r="I61" s="152">
        <f t="shared" si="12"/>
        <v>0</v>
      </c>
      <c r="J61" s="152">
        <f t="shared" si="12"/>
        <v>0</v>
      </c>
      <c r="K61" s="152">
        <f t="shared" si="12"/>
        <v>0</v>
      </c>
      <c r="L61" s="152">
        <f t="shared" si="12"/>
        <v>0</v>
      </c>
      <c r="M61" s="152">
        <f t="shared" si="12"/>
        <v>0</v>
      </c>
      <c r="N61" s="152">
        <f t="shared" si="12"/>
        <v>0</v>
      </c>
    </row>
    <row r="62" spans="1:14" x14ac:dyDescent="0.25">
      <c r="A62" s="148" t="s">
        <v>484</v>
      </c>
      <c r="B62" s="151">
        <f t="shared" ref="B62:B65" si="13">SUM(C62:N62)</f>
        <v>0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</row>
    <row r="63" spans="1:14" x14ac:dyDescent="0.25">
      <c r="A63" s="148" t="s">
        <v>483</v>
      </c>
      <c r="B63" s="151">
        <f t="shared" si="13"/>
        <v>0</v>
      </c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</row>
    <row r="64" spans="1:14" ht="30" x14ac:dyDescent="0.25">
      <c r="A64" s="148" t="s">
        <v>482</v>
      </c>
      <c r="B64" s="151">
        <f t="shared" si="13"/>
        <v>0</v>
      </c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</row>
    <row r="65" spans="1:14" ht="45" x14ac:dyDescent="0.25">
      <c r="A65" s="148" t="s">
        <v>481</v>
      </c>
      <c r="B65" s="151">
        <f t="shared" si="13"/>
        <v>0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</row>
    <row r="66" spans="1:14" ht="30" x14ac:dyDescent="0.25">
      <c r="A66" s="154" t="s">
        <v>480</v>
      </c>
      <c r="B66" s="153">
        <f>SUM(C66:N66)</f>
        <v>0</v>
      </c>
      <c r="C66" s="152">
        <f>SUM(C67:C68)</f>
        <v>0</v>
      </c>
      <c r="D66" s="152">
        <f t="shared" ref="D66:N66" si="14">SUM(D67:D68)</f>
        <v>0</v>
      </c>
      <c r="E66" s="152">
        <f t="shared" si="14"/>
        <v>0</v>
      </c>
      <c r="F66" s="152">
        <f t="shared" si="14"/>
        <v>0</v>
      </c>
      <c r="G66" s="152">
        <f t="shared" si="14"/>
        <v>0</v>
      </c>
      <c r="H66" s="152">
        <f t="shared" si="14"/>
        <v>0</v>
      </c>
      <c r="I66" s="152">
        <f t="shared" si="14"/>
        <v>0</v>
      </c>
      <c r="J66" s="152">
        <f t="shared" si="14"/>
        <v>0</v>
      </c>
      <c r="K66" s="152">
        <f t="shared" si="14"/>
        <v>0</v>
      </c>
      <c r="L66" s="152">
        <f t="shared" si="14"/>
        <v>0</v>
      </c>
      <c r="M66" s="152">
        <f t="shared" si="14"/>
        <v>0</v>
      </c>
      <c r="N66" s="152">
        <f t="shared" si="14"/>
        <v>0</v>
      </c>
    </row>
    <row r="67" spans="1:14" x14ac:dyDescent="0.25">
      <c r="A67" s="148" t="s">
        <v>479</v>
      </c>
      <c r="B67" s="151">
        <f t="shared" ref="B67:B68" si="15">SUM(C67:N67)</f>
        <v>0</v>
      </c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</row>
    <row r="68" spans="1:14" ht="30" x14ac:dyDescent="0.25">
      <c r="A68" s="148" t="s">
        <v>478</v>
      </c>
      <c r="B68" s="151">
        <f t="shared" si="15"/>
        <v>0</v>
      </c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</row>
    <row r="69" spans="1:14" x14ac:dyDescent="0.25">
      <c r="A69" s="154" t="s">
        <v>477</v>
      </c>
      <c r="B69" s="153">
        <f>SUM(C69:N69)</f>
        <v>0</v>
      </c>
      <c r="C69" s="152">
        <f>SUM(C70:C72)</f>
        <v>0</v>
      </c>
      <c r="D69" s="152">
        <f t="shared" ref="D69:N69" si="16">SUM(D70:D72)</f>
        <v>0</v>
      </c>
      <c r="E69" s="152">
        <f t="shared" si="16"/>
        <v>0</v>
      </c>
      <c r="F69" s="152">
        <f t="shared" si="16"/>
        <v>0</v>
      </c>
      <c r="G69" s="152">
        <f t="shared" si="16"/>
        <v>0</v>
      </c>
      <c r="H69" s="152">
        <f t="shared" si="16"/>
        <v>0</v>
      </c>
      <c r="I69" s="152">
        <f t="shared" si="16"/>
        <v>0</v>
      </c>
      <c r="J69" s="152">
        <f t="shared" si="16"/>
        <v>0</v>
      </c>
      <c r="K69" s="152">
        <f t="shared" si="16"/>
        <v>0</v>
      </c>
      <c r="L69" s="152">
        <f t="shared" si="16"/>
        <v>0</v>
      </c>
      <c r="M69" s="152">
        <f t="shared" si="16"/>
        <v>0</v>
      </c>
      <c r="N69" s="152">
        <f t="shared" si="16"/>
        <v>0</v>
      </c>
    </row>
    <row r="70" spans="1:14" ht="30" x14ac:dyDescent="0.25">
      <c r="A70" s="148" t="s">
        <v>476</v>
      </c>
      <c r="B70" s="151">
        <f t="shared" ref="B70:B72" si="17">SUM(C70:N70)</f>
        <v>0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</row>
    <row r="71" spans="1:14" ht="30" x14ac:dyDescent="0.25">
      <c r="A71" s="148" t="s">
        <v>475</v>
      </c>
      <c r="B71" s="151">
        <f t="shared" si="17"/>
        <v>0</v>
      </c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</row>
    <row r="72" spans="1:14" ht="30" x14ac:dyDescent="0.25">
      <c r="A72" s="148" t="s">
        <v>474</v>
      </c>
      <c r="B72" s="151">
        <f t="shared" si="17"/>
        <v>0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</row>
    <row r="73" spans="1:14" x14ac:dyDescent="0.25">
      <c r="A73" s="146" t="s">
        <v>473</v>
      </c>
      <c r="B73" s="145">
        <f>B9+B15+B25+B35+B43+B51+B61+B66+B69</f>
        <v>26194615.629999999</v>
      </c>
      <c r="C73" s="145">
        <f t="shared" ref="C73:N73" si="18">C9+C15+C25+C35+C43+C51+C61+C66+C69</f>
        <v>6821436.4900000002</v>
      </c>
      <c r="D73" s="145">
        <f t="shared" si="18"/>
        <v>7556671.6400000006</v>
      </c>
      <c r="E73" s="145">
        <f t="shared" si="18"/>
        <v>11816507.499999998</v>
      </c>
      <c r="F73" s="145">
        <f t="shared" si="18"/>
        <v>0</v>
      </c>
      <c r="G73" s="145">
        <f t="shared" si="18"/>
        <v>0</v>
      </c>
      <c r="H73" s="145">
        <f t="shared" si="18"/>
        <v>0</v>
      </c>
      <c r="I73" s="145">
        <f t="shared" si="18"/>
        <v>0</v>
      </c>
      <c r="J73" s="145">
        <f t="shared" si="18"/>
        <v>0</v>
      </c>
      <c r="K73" s="145">
        <f t="shared" si="18"/>
        <v>0</v>
      </c>
      <c r="L73" s="145">
        <f t="shared" si="18"/>
        <v>0</v>
      </c>
      <c r="M73" s="145">
        <f t="shared" si="18"/>
        <v>0</v>
      </c>
      <c r="N73" s="145">
        <f t="shared" si="18"/>
        <v>0</v>
      </c>
    </row>
    <row r="74" spans="1:14" x14ac:dyDescent="0.25">
      <c r="A74" s="150" t="s">
        <v>472</v>
      </c>
      <c r="B74" s="149"/>
      <c r="C74" s="149"/>
      <c r="D74" s="149"/>
      <c r="E74" s="158"/>
      <c r="F74" s="158"/>
      <c r="G74" s="158"/>
      <c r="H74" s="158"/>
      <c r="I74" s="158"/>
      <c r="J74" s="158"/>
      <c r="K74" s="158"/>
      <c r="L74" s="158"/>
      <c r="M74" s="158"/>
      <c r="N74" s="158"/>
    </row>
    <row r="75" spans="1:14" x14ac:dyDescent="0.25">
      <c r="A75" s="150" t="s">
        <v>471</v>
      </c>
      <c r="B75" s="125"/>
      <c r="C75" s="149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30" x14ac:dyDescent="0.25">
      <c r="A76" s="148" t="s">
        <v>470</v>
      </c>
      <c r="B76" s="125"/>
      <c r="C76" s="147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30" x14ac:dyDescent="0.25">
      <c r="A77" s="148" t="s">
        <v>469</v>
      </c>
      <c r="B77" s="125"/>
      <c r="C77" s="147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50" t="s">
        <v>468</v>
      </c>
      <c r="B78" s="125"/>
      <c r="C78" s="149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48" t="s">
        <v>467</v>
      </c>
      <c r="B79" s="125"/>
      <c r="C79" s="147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30" x14ac:dyDescent="0.25">
      <c r="A80" s="148" t="s">
        <v>466</v>
      </c>
      <c r="B80" s="125"/>
      <c r="C80" s="147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50" t="s">
        <v>465</v>
      </c>
      <c r="B81" s="125"/>
      <c r="C81" s="149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30" x14ac:dyDescent="0.25">
      <c r="A82" s="148" t="s">
        <v>464</v>
      </c>
      <c r="B82" s="125"/>
      <c r="C82" s="147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46" t="s">
        <v>463</v>
      </c>
      <c r="B83" s="145"/>
      <c r="C83" s="145"/>
      <c r="D83" s="145"/>
      <c r="E83" s="159"/>
      <c r="F83" s="159"/>
      <c r="G83" s="159"/>
      <c r="H83" s="159"/>
      <c r="I83" s="159"/>
      <c r="J83" s="159"/>
      <c r="K83" s="159"/>
      <c r="L83" s="159"/>
      <c r="M83" s="159"/>
      <c r="N83" s="159"/>
    </row>
    <row r="84" spans="1:14" x14ac:dyDescent="0.25">
      <c r="A84" s="1"/>
      <c r="B84" s="125"/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31.5" x14ac:dyDescent="0.25">
      <c r="A85" s="144" t="s">
        <v>462</v>
      </c>
      <c r="B85" s="143">
        <f t="shared" ref="B85:C85" si="19">+B83+B73</f>
        <v>26194615.629999999</v>
      </c>
      <c r="C85" s="143">
        <f t="shared" si="19"/>
        <v>6821436.4900000002</v>
      </c>
      <c r="D85" s="143">
        <f>+D83+D73</f>
        <v>7556671.6400000006</v>
      </c>
      <c r="E85" s="143">
        <f>+E83+E73</f>
        <v>11816507.499999998</v>
      </c>
      <c r="F85" s="160"/>
      <c r="G85" s="160"/>
      <c r="H85" s="160"/>
      <c r="I85" s="160"/>
      <c r="J85" s="160"/>
      <c r="K85" s="160"/>
      <c r="L85" s="160"/>
      <c r="M85" s="160"/>
      <c r="N85" s="160"/>
    </row>
    <row r="86" spans="1:14" x14ac:dyDescent="0.25">
      <c r="A86" t="s">
        <v>461</v>
      </c>
    </row>
    <row r="87" spans="1:14" x14ac:dyDescent="0.25">
      <c r="A87" t="s">
        <v>460</v>
      </c>
      <c r="E87" s="230"/>
    </row>
    <row r="88" spans="1:14" x14ac:dyDescent="0.25">
      <c r="A88" t="s">
        <v>459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9"/>
  <sheetViews>
    <sheetView topLeftCell="A2" zoomScale="90" zoomScaleNormal="90" workbookViewId="0">
      <selection activeCell="A2" sqref="A1:XFD1048576"/>
    </sheetView>
  </sheetViews>
  <sheetFormatPr baseColWidth="10" defaultRowHeight="15" x14ac:dyDescent="0.25"/>
  <cols>
    <col min="1" max="1" width="5.42578125" customWidth="1"/>
    <col min="2" max="2" width="61.5703125" customWidth="1"/>
    <col min="3" max="3" width="30.85546875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4.85546875" bestFit="1" customWidth="1"/>
  </cols>
  <sheetData>
    <row r="4" spans="2:9" ht="18.75" x14ac:dyDescent="0.3">
      <c r="B4" s="444" t="s">
        <v>564</v>
      </c>
      <c r="C4" s="444"/>
      <c r="D4" s="444"/>
      <c r="E4" s="444"/>
      <c r="F4" s="444"/>
      <c r="G4" s="444"/>
      <c r="H4" s="444"/>
    </row>
    <row r="5" spans="2:9" ht="18.75" x14ac:dyDescent="0.3">
      <c r="B5" s="444" t="s">
        <v>707</v>
      </c>
      <c r="C5" s="444"/>
      <c r="D5" s="444"/>
      <c r="E5" s="444"/>
      <c r="F5" s="444"/>
      <c r="G5" s="444"/>
      <c r="H5" s="444"/>
    </row>
    <row r="6" spans="2:9" ht="18.75" x14ac:dyDescent="0.3">
      <c r="B6" s="444" t="s">
        <v>1219</v>
      </c>
      <c r="C6" s="444"/>
      <c r="D6" s="444"/>
      <c r="E6" s="444"/>
      <c r="F6" s="444"/>
      <c r="G6" s="444"/>
      <c r="H6" s="444"/>
    </row>
    <row r="7" spans="2:9" ht="19.5" thickBot="1" x14ac:dyDescent="0.35">
      <c r="B7" s="513" t="s">
        <v>706</v>
      </c>
      <c r="C7" s="513"/>
      <c r="D7" s="513"/>
      <c r="E7" s="513"/>
      <c r="F7" s="513"/>
      <c r="G7" s="513"/>
      <c r="H7" s="513"/>
    </row>
    <row r="8" spans="2:9" ht="15.75" x14ac:dyDescent="0.25">
      <c r="B8" s="171" t="s">
        <v>565</v>
      </c>
      <c r="C8" s="514" t="s">
        <v>566</v>
      </c>
      <c r="D8" s="515"/>
      <c r="E8" s="308" t="s">
        <v>567</v>
      </c>
      <c r="F8" s="309" t="s">
        <v>568</v>
      </c>
      <c r="G8" s="310" t="s">
        <v>569</v>
      </c>
      <c r="H8" s="311" t="s">
        <v>570</v>
      </c>
    </row>
    <row r="9" spans="2:9" ht="15.75" x14ac:dyDescent="0.25">
      <c r="B9" s="506" t="s">
        <v>447</v>
      </c>
      <c r="C9" s="508" t="s">
        <v>571</v>
      </c>
      <c r="D9" s="509"/>
      <c r="E9" s="312"/>
      <c r="F9" s="510" t="s">
        <v>572</v>
      </c>
      <c r="G9" s="511"/>
      <c r="H9" s="512"/>
    </row>
    <row r="10" spans="2:9" ht="31.5" x14ac:dyDescent="0.25">
      <c r="B10" s="507"/>
      <c r="C10" s="312" t="s">
        <v>573</v>
      </c>
      <c r="D10" s="312" t="s">
        <v>574</v>
      </c>
      <c r="E10" s="312" t="s">
        <v>445</v>
      </c>
      <c r="F10" s="313" t="s">
        <v>575</v>
      </c>
      <c r="G10" s="172" t="s">
        <v>576</v>
      </c>
      <c r="H10" s="173" t="s">
        <v>577</v>
      </c>
    </row>
    <row r="11" spans="2:9" x14ac:dyDescent="0.25">
      <c r="B11" s="175" t="s">
        <v>708</v>
      </c>
      <c r="C11" s="314"/>
      <c r="D11" s="181"/>
      <c r="E11" s="125"/>
      <c r="F11" s="2"/>
      <c r="G11" s="2"/>
      <c r="H11" s="174"/>
    </row>
    <row r="12" spans="2:9" x14ac:dyDescent="0.25">
      <c r="B12" s="175" t="s">
        <v>578</v>
      </c>
      <c r="C12" s="302">
        <v>44470</v>
      </c>
      <c r="D12" s="302">
        <v>45747</v>
      </c>
      <c r="E12" s="125">
        <f>6455721.37+191917.63+545919.42+146780.59+231604.06+289366.65+335354.64+387110.47+660164.03+254405.37+295100.71+268154.84+476725.77+301006.83+418780.67+471731.75+276884.63</f>
        <v>12006729.43</v>
      </c>
      <c r="F12" s="2"/>
      <c r="G12" s="2"/>
      <c r="H12" s="174"/>
      <c r="I12" s="190"/>
    </row>
    <row r="13" spans="2:9" x14ac:dyDescent="0.25">
      <c r="B13" s="175" t="s">
        <v>579</v>
      </c>
      <c r="C13" s="302">
        <v>45505</v>
      </c>
      <c r="D13" s="302">
        <v>45747</v>
      </c>
      <c r="E13" s="315">
        <f>4432093.625+933892.46+332731.24+782528.07</f>
        <v>6481245.3950000005</v>
      </c>
      <c r="F13" s="316"/>
      <c r="G13" s="2"/>
      <c r="H13" s="174"/>
      <c r="I13" s="190"/>
    </row>
    <row r="14" spans="2:9" x14ac:dyDescent="0.25">
      <c r="B14" s="175" t="s">
        <v>580</v>
      </c>
      <c r="C14" s="181"/>
      <c r="D14" s="181"/>
      <c r="E14" s="315"/>
      <c r="F14" s="2"/>
      <c r="G14" s="2"/>
      <c r="H14" s="174"/>
      <c r="I14" s="190"/>
    </row>
    <row r="15" spans="2:9" x14ac:dyDescent="0.25">
      <c r="B15" s="175" t="s">
        <v>581</v>
      </c>
      <c r="C15" s="181"/>
      <c r="D15" s="181"/>
      <c r="E15" s="315"/>
      <c r="F15" s="317"/>
      <c r="G15" s="2"/>
      <c r="H15" s="174"/>
    </row>
    <row r="16" spans="2:9" x14ac:dyDescent="0.25">
      <c r="B16" s="175" t="s">
        <v>582</v>
      </c>
      <c r="C16" s="181">
        <v>45689</v>
      </c>
      <c r="D16" s="302">
        <v>45747</v>
      </c>
      <c r="E16" s="315">
        <v>181111.08</v>
      </c>
      <c r="F16" s="2"/>
      <c r="G16" s="2"/>
      <c r="H16" s="174"/>
    </row>
    <row r="17" spans="2:8" x14ac:dyDescent="0.25">
      <c r="B17" s="175" t="s">
        <v>583</v>
      </c>
      <c r="C17" s="181"/>
      <c r="D17" s="181"/>
      <c r="E17" s="315"/>
      <c r="F17" s="2"/>
      <c r="G17" s="2"/>
      <c r="H17" s="174"/>
    </row>
    <row r="18" spans="2:8" x14ac:dyDescent="0.25">
      <c r="B18" s="175" t="s">
        <v>584</v>
      </c>
      <c r="C18" s="1"/>
      <c r="D18" s="1"/>
      <c r="E18" s="1"/>
      <c r="F18" s="1"/>
      <c r="G18" s="1"/>
      <c r="H18" s="176"/>
    </row>
    <row r="19" spans="2:8" ht="15.75" thickBot="1" x14ac:dyDescent="0.3">
      <c r="B19" s="318" t="s">
        <v>328</v>
      </c>
      <c r="C19" s="319"/>
      <c r="D19" s="319"/>
      <c r="E19" s="320">
        <f>SUM(E12:E18)+E11</f>
        <v>18669085.904999997</v>
      </c>
      <c r="F19" s="320"/>
      <c r="G19" s="320"/>
      <c r="H19" s="321"/>
    </row>
    <row r="20" spans="2:8" ht="18" customHeight="1" x14ac:dyDescent="0.25"/>
    <row r="21" spans="2:8" ht="15.75" x14ac:dyDescent="0.25">
      <c r="B21" s="177" t="s">
        <v>585</v>
      </c>
    </row>
    <row r="23" spans="2:8" x14ac:dyDescent="0.25">
      <c r="F23" s="190"/>
    </row>
    <row r="25" spans="2:8" x14ac:dyDescent="0.25">
      <c r="B25" s="437" t="s">
        <v>586</v>
      </c>
      <c r="C25" s="437"/>
      <c r="E25" s="437" t="s">
        <v>587</v>
      </c>
      <c r="F25" s="437"/>
      <c r="G25" s="437"/>
      <c r="H25" s="437"/>
    </row>
    <row r="28" spans="2:8" x14ac:dyDescent="0.25">
      <c r="B28" s="516"/>
      <c r="C28" s="516"/>
      <c r="E28" s="516"/>
      <c r="F28" s="516"/>
      <c r="G28" s="516"/>
      <c r="H28" s="516"/>
    </row>
    <row r="29" spans="2:8" x14ac:dyDescent="0.25">
      <c r="B29" s="517"/>
      <c r="C29" s="517"/>
      <c r="E29" s="517"/>
      <c r="F29" s="517"/>
    </row>
  </sheetData>
  <mergeCells count="14">
    <mergeCell ref="B25:C25"/>
    <mergeCell ref="E25:H25"/>
    <mergeCell ref="B28:C28"/>
    <mergeCell ref="E28:H28"/>
    <mergeCell ref="B29:C29"/>
    <mergeCell ref="E29:F29"/>
    <mergeCell ref="B9:B10"/>
    <mergeCell ref="C9:D9"/>
    <mergeCell ref="F9:H9"/>
    <mergeCell ref="B4:H4"/>
    <mergeCell ref="B5:H5"/>
    <mergeCell ref="B6:H6"/>
    <mergeCell ref="B7:H7"/>
    <mergeCell ref="C8:D8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3"/>
  <sheetViews>
    <sheetView view="pageBreakPreview" topLeftCell="A54" zoomScale="178" zoomScaleNormal="100" zoomScaleSheetLayoutView="178" workbookViewId="0">
      <selection activeCell="C33" sqref="A1:XFD1048576"/>
    </sheetView>
  </sheetViews>
  <sheetFormatPr baseColWidth="10" defaultRowHeight="15" x14ac:dyDescent="0.25"/>
  <cols>
    <col min="1" max="1" width="19.85546875" customWidth="1"/>
    <col min="2" max="2" width="43" customWidth="1"/>
    <col min="3" max="3" width="25.42578125" customWidth="1"/>
    <col min="4" max="4" width="20.85546875" customWidth="1"/>
    <col min="5" max="5" width="31" style="190" customWidth="1"/>
    <col min="6" max="6" width="13.140625" bestFit="1" customWidth="1"/>
  </cols>
  <sheetData>
    <row r="3" spans="1:7" ht="23.25" x14ac:dyDescent="0.35">
      <c r="A3" s="531" t="s">
        <v>588</v>
      </c>
      <c r="B3" s="531"/>
      <c r="C3" s="531"/>
      <c r="D3" s="531"/>
      <c r="E3" s="531"/>
    </row>
    <row r="4" spans="1:7" ht="18.75" x14ac:dyDescent="0.3">
      <c r="A4" s="444" t="s">
        <v>589</v>
      </c>
      <c r="B4" s="444"/>
      <c r="C4" s="444"/>
      <c r="D4" s="444"/>
      <c r="E4" s="444"/>
    </row>
    <row r="5" spans="1:7" ht="18.75" x14ac:dyDescent="0.3">
      <c r="A5" s="342"/>
      <c r="B5" s="342"/>
      <c r="C5" s="342"/>
      <c r="D5" s="342"/>
      <c r="E5" s="295"/>
    </row>
    <row r="6" spans="1:7" x14ac:dyDescent="0.25">
      <c r="A6" s="532" t="s">
        <v>590</v>
      </c>
      <c r="B6" s="532"/>
      <c r="C6" s="532"/>
      <c r="D6" s="532"/>
      <c r="E6" s="532"/>
    </row>
    <row r="7" spans="1:7" ht="15.75" thickBot="1" x14ac:dyDescent="0.3">
      <c r="A7" s="533" t="s">
        <v>1201</v>
      </c>
      <c r="B7" s="533"/>
      <c r="C7" s="533"/>
      <c r="D7" s="533"/>
      <c r="E7" s="533"/>
    </row>
    <row r="8" spans="1:7" ht="30" x14ac:dyDescent="0.25">
      <c r="A8" s="178" t="s">
        <v>1202</v>
      </c>
      <c r="B8" s="179" t="s">
        <v>591</v>
      </c>
      <c r="C8" s="179" t="s">
        <v>592</v>
      </c>
      <c r="D8" s="180" t="s">
        <v>593</v>
      </c>
      <c r="E8" s="296" t="s">
        <v>1191</v>
      </c>
    </row>
    <row r="9" spans="1:7" s="132" customFormat="1" x14ac:dyDescent="0.25">
      <c r="A9" s="534" t="s">
        <v>594</v>
      </c>
      <c r="B9" s="293" t="s">
        <v>673</v>
      </c>
      <c r="C9" s="271"/>
      <c r="D9" s="272"/>
      <c r="E9" s="297">
        <f>79621891.83+4931430</f>
        <v>84553321.829999998</v>
      </c>
    </row>
    <row r="10" spans="1:7" x14ac:dyDescent="0.25">
      <c r="A10" s="535"/>
      <c r="B10" s="371" t="s">
        <v>1203</v>
      </c>
      <c r="C10" s="372"/>
      <c r="D10" s="373"/>
      <c r="E10" s="381">
        <v>12593841.17</v>
      </c>
    </row>
    <row r="11" spans="1:7" x14ac:dyDescent="0.25">
      <c r="A11" s="536"/>
      <c r="B11" s="371" t="s">
        <v>1204</v>
      </c>
      <c r="C11" s="372"/>
      <c r="D11" s="373"/>
      <c r="E11" s="381">
        <f>1000000+800000+800000+569632.08</f>
        <v>3169632.08</v>
      </c>
    </row>
    <row r="12" spans="1:7" x14ac:dyDescent="0.25">
      <c r="A12" s="522" t="s">
        <v>595</v>
      </c>
      <c r="B12" s="522"/>
      <c r="C12" s="183"/>
      <c r="D12" s="183"/>
      <c r="E12" s="298">
        <f>SUM(E9:E11)</f>
        <v>100316795.08</v>
      </c>
    </row>
    <row r="13" spans="1:7" ht="15" customHeight="1" x14ac:dyDescent="0.25">
      <c r="A13" s="518" t="s">
        <v>596</v>
      </c>
      <c r="B13" s="1" t="s">
        <v>597</v>
      </c>
      <c r="C13" s="181">
        <v>45719</v>
      </c>
      <c r="D13" s="184"/>
      <c r="E13" s="125">
        <v>4595181.3899999997</v>
      </c>
      <c r="G13" s="185"/>
    </row>
    <row r="14" spans="1:7" x14ac:dyDescent="0.25">
      <c r="A14" s="519"/>
      <c r="B14" s="1" t="s">
        <v>1240</v>
      </c>
      <c r="C14" s="181">
        <v>45744</v>
      </c>
      <c r="D14" s="184"/>
      <c r="E14" s="125">
        <v>50000</v>
      </c>
      <c r="G14" s="185"/>
    </row>
    <row r="15" spans="1:7" x14ac:dyDescent="0.25">
      <c r="A15" s="519"/>
      <c r="B15" s="1" t="s">
        <v>598</v>
      </c>
      <c r="C15" s="181">
        <v>45730</v>
      </c>
      <c r="D15" s="182"/>
      <c r="E15" s="125">
        <v>1041144.31</v>
      </c>
      <c r="G15" s="185"/>
    </row>
    <row r="16" spans="1:7" s="132" customFormat="1" x14ac:dyDescent="0.25">
      <c r="A16" s="519"/>
      <c r="B16" s="270" t="s">
        <v>1209</v>
      </c>
      <c r="C16" s="271">
        <v>45744</v>
      </c>
      <c r="D16" s="272"/>
      <c r="E16" s="297">
        <v>14338.35</v>
      </c>
      <c r="G16" s="273"/>
    </row>
    <row r="17" spans="1:5" x14ac:dyDescent="0.25">
      <c r="A17" s="519"/>
      <c r="B17" s="186" t="s">
        <v>1207</v>
      </c>
      <c r="C17" s="181">
        <v>45741</v>
      </c>
      <c r="D17" s="1"/>
      <c r="E17" s="125">
        <v>356314.76</v>
      </c>
    </row>
    <row r="18" spans="1:5" x14ac:dyDescent="0.25">
      <c r="A18" s="519"/>
      <c r="B18" s="186" t="s">
        <v>1208</v>
      </c>
      <c r="C18" s="181">
        <v>45740</v>
      </c>
      <c r="D18" s="1"/>
      <c r="E18" s="125">
        <v>102672.34</v>
      </c>
    </row>
    <row r="19" spans="1:5" x14ac:dyDescent="0.25">
      <c r="A19" s="519"/>
      <c r="B19" s="186" t="s">
        <v>1211</v>
      </c>
      <c r="C19" s="181">
        <v>45737</v>
      </c>
      <c r="D19" s="1"/>
      <c r="E19" s="125">
        <v>262926.38</v>
      </c>
    </row>
    <row r="20" spans="1:5" x14ac:dyDescent="0.25">
      <c r="A20" s="519"/>
      <c r="B20" s="186" t="s">
        <v>639</v>
      </c>
      <c r="C20" s="181">
        <v>45737</v>
      </c>
      <c r="D20" s="1"/>
      <c r="E20" s="125">
        <v>34117.68</v>
      </c>
    </row>
    <row r="21" spans="1:5" x14ac:dyDescent="0.25">
      <c r="A21" s="519"/>
      <c r="B21" s="186" t="s">
        <v>1212</v>
      </c>
      <c r="C21" s="181">
        <v>45719</v>
      </c>
      <c r="D21" s="1"/>
      <c r="E21" s="125">
        <v>237322.18</v>
      </c>
    </row>
    <row r="22" spans="1:5" x14ac:dyDescent="0.25">
      <c r="A22" s="519"/>
      <c r="B22" s="186"/>
      <c r="C22" s="181">
        <v>45730</v>
      </c>
      <c r="D22" s="1"/>
      <c r="E22" s="125">
        <v>11220.43</v>
      </c>
    </row>
    <row r="23" spans="1:5" x14ac:dyDescent="0.25">
      <c r="A23" s="519"/>
      <c r="B23" s="186" t="s">
        <v>1206</v>
      </c>
      <c r="C23" s="181">
        <v>45733</v>
      </c>
      <c r="D23" s="1"/>
      <c r="E23" s="385">
        <v>222620.34</v>
      </c>
    </row>
    <row r="24" spans="1:5" x14ac:dyDescent="0.25">
      <c r="A24" s="519"/>
      <c r="B24" s="186" t="s">
        <v>1205</v>
      </c>
      <c r="C24" s="181">
        <v>45736</v>
      </c>
      <c r="D24" s="1"/>
      <c r="E24" s="385">
        <v>16298.76</v>
      </c>
    </row>
    <row r="25" spans="1:5" x14ac:dyDescent="0.25">
      <c r="A25" s="519"/>
      <c r="B25" s="186" t="s">
        <v>1205</v>
      </c>
      <c r="C25" s="181">
        <v>45736</v>
      </c>
      <c r="D25" s="1"/>
      <c r="E25" s="385">
        <v>15397.47</v>
      </c>
    </row>
    <row r="26" spans="1:5" x14ac:dyDescent="0.25">
      <c r="A26" s="519"/>
      <c r="B26" s="186" t="s">
        <v>1205</v>
      </c>
      <c r="C26" s="181">
        <v>45736</v>
      </c>
      <c r="D26" s="1"/>
      <c r="E26" s="385">
        <v>30434.400000000001</v>
      </c>
    </row>
    <row r="27" spans="1:5" x14ac:dyDescent="0.25">
      <c r="A27" s="519"/>
      <c r="B27" s="186" t="s">
        <v>1205</v>
      </c>
      <c r="C27" s="181">
        <v>45736</v>
      </c>
      <c r="D27" s="1"/>
      <c r="E27" s="385">
        <v>65463.45</v>
      </c>
    </row>
    <row r="28" spans="1:5" x14ac:dyDescent="0.25">
      <c r="A28" s="519"/>
      <c r="B28" s="186" t="s">
        <v>1205</v>
      </c>
      <c r="C28" s="181">
        <v>45736</v>
      </c>
      <c r="D28" s="1"/>
      <c r="E28" s="385">
        <v>12863.4</v>
      </c>
    </row>
    <row r="29" spans="1:5" x14ac:dyDescent="0.25">
      <c r="A29" s="519"/>
      <c r="B29" s="186" t="s">
        <v>1205</v>
      </c>
      <c r="C29" s="181">
        <v>45736</v>
      </c>
      <c r="D29" s="1"/>
      <c r="E29" s="385">
        <v>155572.92000000001</v>
      </c>
    </row>
    <row r="30" spans="1:5" x14ac:dyDescent="0.25">
      <c r="A30" s="519"/>
      <c r="B30" s="186" t="s">
        <v>1205</v>
      </c>
      <c r="C30" s="181">
        <v>45736</v>
      </c>
      <c r="D30" s="1"/>
      <c r="E30" s="385">
        <v>309977.48</v>
      </c>
    </row>
    <row r="31" spans="1:5" x14ac:dyDescent="0.25">
      <c r="A31" s="519"/>
      <c r="B31" s="186" t="s">
        <v>1205</v>
      </c>
      <c r="C31" s="181">
        <v>45736</v>
      </c>
      <c r="D31" s="1"/>
      <c r="E31" s="385">
        <v>504</v>
      </c>
    </row>
    <row r="32" spans="1:5" x14ac:dyDescent="0.25">
      <c r="A32" s="519"/>
      <c r="B32" s="186" t="s">
        <v>1210</v>
      </c>
      <c r="C32" s="181">
        <v>45736</v>
      </c>
      <c r="D32" s="1"/>
      <c r="E32" s="385">
        <v>1396</v>
      </c>
    </row>
    <row r="33" spans="1:6" x14ac:dyDescent="0.25">
      <c r="A33" s="519"/>
      <c r="B33" s="186" t="s">
        <v>1214</v>
      </c>
      <c r="C33" s="181">
        <v>45737</v>
      </c>
      <c r="D33" s="1"/>
      <c r="E33" s="125">
        <v>77169.399999999994</v>
      </c>
    </row>
    <row r="34" spans="1:6" x14ac:dyDescent="0.25">
      <c r="A34" s="519"/>
      <c r="B34" s="186" t="s">
        <v>1213</v>
      </c>
      <c r="C34" s="181">
        <v>45737</v>
      </c>
      <c r="D34" s="1"/>
      <c r="E34" s="125">
        <v>212345.21</v>
      </c>
    </row>
    <row r="35" spans="1:6" x14ac:dyDescent="0.25">
      <c r="A35" s="520"/>
      <c r="B35" s="186"/>
      <c r="C35" s="1"/>
      <c r="D35" s="1"/>
      <c r="E35" s="125"/>
    </row>
    <row r="36" spans="1:6" x14ac:dyDescent="0.25">
      <c r="A36" s="343"/>
      <c r="B36" s="388" t="s">
        <v>667</v>
      </c>
      <c r="C36" s="374"/>
      <c r="D36" s="374"/>
      <c r="E36" s="389"/>
      <c r="F36" s="190"/>
    </row>
    <row r="37" spans="1:6" x14ac:dyDescent="0.25">
      <c r="A37" s="522" t="s">
        <v>595</v>
      </c>
      <c r="B37" s="522"/>
      <c r="C37" s="183"/>
      <c r="D37" s="183"/>
      <c r="E37" s="298">
        <f>SUM(E13:E36)</f>
        <v>7825280.6499999976</v>
      </c>
    </row>
    <row r="38" spans="1:6" ht="29.25" customHeight="1" x14ac:dyDescent="0.25">
      <c r="A38" s="518" t="s">
        <v>1215</v>
      </c>
      <c r="B38" s="1" t="s">
        <v>607</v>
      </c>
      <c r="C38" s="528" t="s">
        <v>1241</v>
      </c>
      <c r="D38" s="529"/>
      <c r="E38" s="530"/>
    </row>
    <row r="39" spans="1:6" ht="30" x14ac:dyDescent="0.25">
      <c r="A39" s="519"/>
      <c r="B39" s="376" t="s">
        <v>1192</v>
      </c>
      <c r="C39" s="375"/>
      <c r="D39" s="377"/>
      <c r="E39" s="382">
        <v>223625</v>
      </c>
      <c r="F39" s="140"/>
    </row>
    <row r="40" spans="1:6" x14ac:dyDescent="0.25">
      <c r="A40" s="519"/>
      <c r="B40" s="378" t="s">
        <v>608</v>
      </c>
      <c r="C40" s="378"/>
      <c r="D40" s="377"/>
      <c r="E40" s="381"/>
    </row>
    <row r="41" spans="1:6" ht="18.75" customHeight="1" x14ac:dyDescent="0.25">
      <c r="A41" s="519"/>
      <c r="B41" s="379" t="s">
        <v>1193</v>
      </c>
      <c r="C41" s="378"/>
      <c r="D41" s="377"/>
      <c r="E41" s="381"/>
    </row>
    <row r="42" spans="1:6" ht="45" x14ac:dyDescent="0.25">
      <c r="A42" s="519"/>
      <c r="B42" s="379" t="s">
        <v>609</v>
      </c>
      <c r="C42" s="375"/>
      <c r="D42" s="377"/>
      <c r="E42" s="383"/>
    </row>
    <row r="43" spans="1:6" ht="15" customHeight="1" x14ac:dyDescent="0.25">
      <c r="A43" s="520"/>
      <c r="B43" s="380" t="s">
        <v>610</v>
      </c>
      <c r="C43" s="375"/>
      <c r="D43" s="377"/>
      <c r="E43" s="383"/>
    </row>
    <row r="44" spans="1:6" x14ac:dyDescent="0.25">
      <c r="A44" s="523" t="s">
        <v>595</v>
      </c>
      <c r="B44" s="524"/>
      <c r="C44" s="183"/>
      <c r="D44" s="183"/>
      <c r="E44" s="298">
        <f>SUM(E38:E41)</f>
        <v>223625</v>
      </c>
    </row>
    <row r="45" spans="1:6" x14ac:dyDescent="0.25">
      <c r="A45" s="525" t="s">
        <v>611</v>
      </c>
      <c r="B45" s="526"/>
      <c r="C45" s="187"/>
      <c r="D45" s="187"/>
      <c r="E45" s="299">
        <f>E37+E44+E12</f>
        <v>108365700.72999999</v>
      </c>
    </row>
    <row r="46" spans="1:6" x14ac:dyDescent="0.25">
      <c r="A46" s="188"/>
      <c r="B46" s="188"/>
      <c r="C46" s="189"/>
      <c r="D46" s="189"/>
      <c r="E46" s="300"/>
    </row>
    <row r="47" spans="1:6" x14ac:dyDescent="0.25">
      <c r="A47" s="188"/>
      <c r="B47" s="188"/>
      <c r="C47" s="189"/>
      <c r="D47" s="189"/>
      <c r="E47" s="300"/>
    </row>
    <row r="48" spans="1:6" ht="15" customHeight="1" x14ac:dyDescent="0.25">
      <c r="A48" s="521" t="s">
        <v>1216</v>
      </c>
      <c r="B48" s="521"/>
      <c r="C48" s="521"/>
      <c r="D48" s="521"/>
      <c r="E48" s="521"/>
    </row>
    <row r="49" spans="1:5" x14ac:dyDescent="0.25">
      <c r="A49" s="521"/>
      <c r="B49" s="521"/>
      <c r="C49" s="521"/>
      <c r="D49" s="521"/>
      <c r="E49" s="521"/>
    </row>
    <row r="51" spans="1:5" x14ac:dyDescent="0.25">
      <c r="A51" s="527" t="s">
        <v>1217</v>
      </c>
      <c r="B51" s="527"/>
      <c r="C51" s="527"/>
      <c r="D51" s="527"/>
      <c r="E51" s="527"/>
    </row>
    <row r="53" spans="1:5" x14ac:dyDescent="0.25">
      <c r="A53" s="369" t="s">
        <v>1194</v>
      </c>
      <c r="B53" s="369" t="s">
        <v>1195</v>
      </c>
      <c r="C53" s="369" t="s">
        <v>1196</v>
      </c>
      <c r="D53" s="370" t="s">
        <v>1197</v>
      </c>
      <c r="E53" s="384"/>
    </row>
    <row r="54" spans="1:5" x14ac:dyDescent="0.25">
      <c r="A54" s="124" t="s">
        <v>1218</v>
      </c>
      <c r="B54" s="385">
        <v>4614.79</v>
      </c>
      <c r="C54" s="386">
        <v>7332169.6600000001</v>
      </c>
      <c r="D54" s="151">
        <v>4614.79</v>
      </c>
      <c r="E54" s="294"/>
    </row>
    <row r="55" spans="1:5" x14ac:dyDescent="0.25">
      <c r="A55" s="124"/>
      <c r="B55" s="124"/>
      <c r="C55" s="124"/>
      <c r="D55" s="124"/>
      <c r="E55" s="301"/>
    </row>
    <row r="56" spans="1:5" x14ac:dyDescent="0.25">
      <c r="A56" s="124"/>
      <c r="B56" s="124"/>
      <c r="C56" s="124"/>
      <c r="D56" s="124"/>
      <c r="E56" s="301"/>
    </row>
    <row r="57" spans="1:5" x14ac:dyDescent="0.25">
      <c r="A57" s="387"/>
      <c r="B57" s="387"/>
      <c r="C57" s="387"/>
      <c r="D57" s="387"/>
      <c r="E57" s="301"/>
    </row>
    <row r="58" spans="1:5" x14ac:dyDescent="0.25">
      <c r="A58" s="387"/>
      <c r="B58" s="387"/>
      <c r="C58" s="387"/>
      <c r="D58" s="387"/>
      <c r="E58" s="301"/>
    </row>
    <row r="59" spans="1:5" x14ac:dyDescent="0.25">
      <c r="A59" s="387"/>
      <c r="B59" s="387"/>
      <c r="C59" s="387"/>
      <c r="D59" s="387"/>
      <c r="E59" s="301"/>
    </row>
    <row r="60" spans="1:5" x14ac:dyDescent="0.25">
      <c r="A60" s="437" t="s">
        <v>586</v>
      </c>
      <c r="B60" s="437"/>
      <c r="D60" s="437" t="s">
        <v>587</v>
      </c>
      <c r="E60" s="437"/>
    </row>
    <row r="61" spans="1:5" x14ac:dyDescent="0.25">
      <c r="A61" s="142"/>
      <c r="B61" s="142" t="s">
        <v>1198</v>
      </c>
      <c r="D61" t="s">
        <v>1199</v>
      </c>
    </row>
    <row r="62" spans="1:5" x14ac:dyDescent="0.25">
      <c r="A62" s="437" t="s">
        <v>612</v>
      </c>
      <c r="B62" s="437"/>
      <c r="C62" s="437"/>
      <c r="D62" s="437"/>
      <c r="E62" s="437"/>
    </row>
    <row r="63" spans="1:5" x14ac:dyDescent="0.25">
      <c r="A63" s="341"/>
      <c r="B63" s="437" t="s">
        <v>1200</v>
      </c>
      <c r="C63" s="437"/>
      <c r="D63" s="437"/>
      <c r="E63" s="437"/>
    </row>
  </sheetData>
  <mergeCells count="18">
    <mergeCell ref="A3:E3"/>
    <mergeCell ref="A4:E4"/>
    <mergeCell ref="A6:E6"/>
    <mergeCell ref="A7:E7"/>
    <mergeCell ref="A12:B12"/>
    <mergeCell ref="A9:A11"/>
    <mergeCell ref="A62:E62"/>
    <mergeCell ref="B63:E63"/>
    <mergeCell ref="A13:A35"/>
    <mergeCell ref="A60:B60"/>
    <mergeCell ref="D60:E60"/>
    <mergeCell ref="A48:E49"/>
    <mergeCell ref="A37:B37"/>
    <mergeCell ref="A44:B44"/>
    <mergeCell ref="A38:A43"/>
    <mergeCell ref="A45:B45"/>
    <mergeCell ref="A51:E51"/>
    <mergeCell ref="C38:E38"/>
  </mergeCells>
  <pageMargins left="0.7" right="0.7" top="0.75" bottom="0.75" header="0.3" footer="0.3"/>
  <pageSetup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8"/>
  <sheetViews>
    <sheetView view="pageBreakPreview" zoomScaleNormal="90" zoomScaleSheetLayoutView="100" workbookViewId="0">
      <selection sqref="A1:XFD1048576"/>
    </sheetView>
  </sheetViews>
  <sheetFormatPr baseColWidth="10" defaultColWidth="23.5703125" defaultRowHeight="15" x14ac:dyDescent="0.25"/>
  <cols>
    <col min="1" max="1" width="18" bestFit="1" customWidth="1"/>
    <col min="2" max="2" width="53.7109375" bestFit="1" customWidth="1"/>
    <col min="3" max="3" width="22.140625" bestFit="1" customWidth="1"/>
    <col min="4" max="4" width="24.5703125" style="190" bestFit="1" customWidth="1"/>
    <col min="5" max="5" width="19.5703125" hidden="1" customWidth="1"/>
    <col min="6" max="6" width="20.28515625" hidden="1" customWidth="1"/>
    <col min="7" max="8" width="20.28515625" bestFit="1" customWidth="1"/>
    <col min="9" max="9" width="20" bestFit="1" customWidth="1"/>
    <col min="10" max="10" width="19.28515625" bestFit="1" customWidth="1"/>
    <col min="11" max="11" width="21.28515625" bestFit="1" customWidth="1"/>
    <col min="12" max="12" width="17.42578125" bestFit="1" customWidth="1"/>
  </cols>
  <sheetData>
    <row r="1" spans="1:13" ht="22.5" x14ac:dyDescent="0.3">
      <c r="A1" s="537" t="s">
        <v>658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</row>
    <row r="2" spans="1:13" ht="15.75" x14ac:dyDescent="0.25">
      <c r="A2" s="538" t="s">
        <v>666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</row>
    <row r="3" spans="1:13" ht="15.75" x14ac:dyDescent="0.25">
      <c r="A3" s="538" t="s">
        <v>659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3" x14ac:dyDescent="0.25">
      <c r="A4" s="130" t="s">
        <v>427</v>
      </c>
      <c r="B4" s="330" t="s">
        <v>706</v>
      </c>
      <c r="D4" s="294" t="s">
        <v>798</v>
      </c>
      <c r="E4" s="329">
        <v>45717</v>
      </c>
    </row>
    <row r="6" spans="1:13" s="258" customFormat="1" x14ac:dyDescent="0.25">
      <c r="A6" s="256" t="s">
        <v>660</v>
      </c>
      <c r="B6" s="257" t="s">
        <v>661</v>
      </c>
      <c r="C6" s="257" t="s">
        <v>1239</v>
      </c>
      <c r="D6" s="399" t="s">
        <v>1237</v>
      </c>
      <c r="E6" s="256" t="s">
        <v>674</v>
      </c>
      <c r="F6" s="256" t="s">
        <v>662</v>
      </c>
      <c r="G6" s="256" t="s">
        <v>663</v>
      </c>
      <c r="H6" s="256" t="s">
        <v>675</v>
      </c>
      <c r="I6" s="256" t="s">
        <v>676</v>
      </c>
      <c r="J6" s="256" t="s">
        <v>709</v>
      </c>
      <c r="K6" s="256" t="s">
        <v>710</v>
      </c>
      <c r="L6" s="256" t="s">
        <v>1236</v>
      </c>
      <c r="M6" s="256" t="s">
        <v>664</v>
      </c>
    </row>
    <row r="7" spans="1:13" x14ac:dyDescent="0.25">
      <c r="A7" s="2">
        <v>1</v>
      </c>
      <c r="B7" s="259" t="s">
        <v>691</v>
      </c>
      <c r="C7" s="397"/>
      <c r="D7" s="396" t="s">
        <v>1238</v>
      </c>
      <c r="E7" s="260"/>
      <c r="F7" s="260"/>
      <c r="G7" s="260">
        <v>14300</v>
      </c>
      <c r="H7" s="260"/>
      <c r="I7" s="260"/>
      <c r="J7" s="260"/>
      <c r="K7" s="260"/>
      <c r="L7" s="260"/>
      <c r="M7" s="260">
        <f>SUM(E7:L7)</f>
        <v>14300</v>
      </c>
    </row>
    <row r="8" spans="1:13" x14ac:dyDescent="0.25">
      <c r="A8" s="2">
        <v>2</v>
      </c>
      <c r="B8" s="261" t="s">
        <v>760</v>
      </c>
      <c r="C8" s="397"/>
      <c r="D8" s="396" t="s">
        <v>1238</v>
      </c>
      <c r="E8" s="260"/>
      <c r="F8" s="260"/>
      <c r="G8" s="260"/>
      <c r="H8" s="260">
        <v>11375</v>
      </c>
      <c r="I8" s="260"/>
      <c r="J8" s="260"/>
      <c r="K8" s="260"/>
      <c r="L8" s="260"/>
      <c r="M8" s="260">
        <f t="shared" ref="M8:M71" si="0">SUM(E8:L8)</f>
        <v>11375</v>
      </c>
    </row>
    <row r="9" spans="1:13" x14ac:dyDescent="0.25">
      <c r="A9" s="2">
        <v>3</v>
      </c>
      <c r="B9" s="261" t="s">
        <v>760</v>
      </c>
      <c r="C9" s="397"/>
      <c r="D9" s="396" t="s">
        <v>1238</v>
      </c>
      <c r="E9" s="260"/>
      <c r="F9" s="260"/>
      <c r="G9" s="260"/>
      <c r="H9" s="260">
        <v>94965</v>
      </c>
      <c r="I9" s="260"/>
      <c r="J9" s="260"/>
      <c r="K9" s="260"/>
      <c r="L9" s="260"/>
      <c r="M9" s="260">
        <f t="shared" si="0"/>
        <v>94965</v>
      </c>
    </row>
    <row r="10" spans="1:13" x14ac:dyDescent="0.25">
      <c r="A10" s="2">
        <v>4</v>
      </c>
      <c r="B10" s="261" t="s">
        <v>762</v>
      </c>
      <c r="C10" s="397"/>
      <c r="D10" s="396" t="s">
        <v>1238</v>
      </c>
      <c r="E10" s="260"/>
      <c r="F10" s="260"/>
      <c r="G10" s="260"/>
      <c r="H10" s="260">
        <v>88116</v>
      </c>
      <c r="I10" s="260"/>
      <c r="J10" s="260"/>
      <c r="K10" s="260"/>
      <c r="L10" s="260"/>
      <c r="M10" s="260">
        <f t="shared" si="0"/>
        <v>88116</v>
      </c>
    </row>
    <row r="11" spans="1:13" x14ac:dyDescent="0.25">
      <c r="A11" s="2">
        <v>5</v>
      </c>
      <c r="B11" s="261" t="s">
        <v>763</v>
      </c>
      <c r="C11" s="397"/>
      <c r="D11" s="396" t="s">
        <v>1238</v>
      </c>
      <c r="E11" s="260"/>
      <c r="F11" s="260"/>
      <c r="G11" s="260"/>
      <c r="H11" s="260">
        <v>224775</v>
      </c>
      <c r="I11" s="260"/>
      <c r="J11" s="260"/>
      <c r="K11" s="260"/>
      <c r="L11" s="260"/>
      <c r="M11" s="260">
        <f t="shared" si="0"/>
        <v>224775</v>
      </c>
    </row>
    <row r="12" spans="1:13" x14ac:dyDescent="0.25">
      <c r="A12" s="2">
        <v>6</v>
      </c>
      <c r="B12" s="262" t="s">
        <v>764</v>
      </c>
      <c r="C12" s="397"/>
      <c r="D12" s="396" t="s">
        <v>1238</v>
      </c>
      <c r="E12" s="260"/>
      <c r="F12" s="260"/>
      <c r="G12" s="260"/>
      <c r="H12" s="260">
        <v>287920</v>
      </c>
      <c r="I12" s="260"/>
      <c r="J12" s="260"/>
      <c r="K12" s="260"/>
      <c r="L12" s="260"/>
      <c r="M12" s="260">
        <f t="shared" si="0"/>
        <v>287920</v>
      </c>
    </row>
    <row r="13" spans="1:13" x14ac:dyDescent="0.25">
      <c r="A13" s="2">
        <v>7</v>
      </c>
      <c r="B13" s="261" t="s">
        <v>765</v>
      </c>
      <c r="C13" s="397"/>
      <c r="D13" s="396" t="s">
        <v>1238</v>
      </c>
      <c r="E13" s="260"/>
      <c r="F13" s="260"/>
      <c r="G13" s="260"/>
      <c r="H13" s="260">
        <v>220483.05</v>
      </c>
      <c r="I13" s="260"/>
      <c r="J13" s="260"/>
      <c r="K13" s="260"/>
      <c r="L13" s="260"/>
      <c r="M13" s="260">
        <f t="shared" si="0"/>
        <v>220483.05</v>
      </c>
    </row>
    <row r="14" spans="1:13" x14ac:dyDescent="0.25">
      <c r="A14" s="2">
        <v>8</v>
      </c>
      <c r="B14" s="261" t="s">
        <v>766</v>
      </c>
      <c r="C14" s="397"/>
      <c r="D14" s="396" t="s">
        <v>1238</v>
      </c>
      <c r="E14" s="260"/>
      <c r="F14" s="260"/>
      <c r="G14" s="260"/>
      <c r="H14" s="260">
        <v>58382.86</v>
      </c>
      <c r="I14" s="260"/>
      <c r="J14" s="260"/>
      <c r="K14" s="260"/>
      <c r="L14" s="260"/>
      <c r="M14" s="260">
        <f t="shared" si="0"/>
        <v>58382.86</v>
      </c>
    </row>
    <row r="15" spans="1:13" x14ac:dyDescent="0.25">
      <c r="A15" s="2">
        <v>9</v>
      </c>
      <c r="B15" s="261" t="s">
        <v>763</v>
      </c>
      <c r="C15" s="397"/>
      <c r="D15" s="396" t="s">
        <v>1238</v>
      </c>
      <c r="E15" s="260"/>
      <c r="F15" s="260"/>
      <c r="G15" s="260"/>
      <c r="H15" s="260">
        <v>171690</v>
      </c>
      <c r="I15" s="260"/>
      <c r="J15" s="260"/>
      <c r="K15" s="260"/>
      <c r="L15" s="260"/>
      <c r="M15" s="260">
        <f t="shared" si="0"/>
        <v>171690</v>
      </c>
    </row>
    <row r="16" spans="1:13" x14ac:dyDescent="0.25">
      <c r="A16" s="2">
        <v>10</v>
      </c>
      <c r="B16" s="263" t="s">
        <v>767</v>
      </c>
      <c r="C16" s="397"/>
      <c r="D16" s="396" t="s">
        <v>1238</v>
      </c>
      <c r="E16" s="260"/>
      <c r="F16" s="260"/>
      <c r="G16" s="260"/>
      <c r="H16" s="260">
        <v>200600</v>
      </c>
      <c r="I16" s="260"/>
      <c r="J16" s="260"/>
      <c r="K16" s="260"/>
      <c r="L16" s="260"/>
      <c r="M16" s="260">
        <f t="shared" si="0"/>
        <v>200600</v>
      </c>
    </row>
    <row r="17" spans="1:13" x14ac:dyDescent="0.25">
      <c r="A17" s="2">
        <v>11</v>
      </c>
      <c r="B17" s="264" t="s">
        <v>768</v>
      </c>
      <c r="C17" s="398"/>
      <c r="D17" s="396" t="s">
        <v>1238</v>
      </c>
      <c r="E17" s="260"/>
      <c r="F17" s="260"/>
      <c r="G17" s="260"/>
      <c r="H17" s="260">
        <v>213260</v>
      </c>
      <c r="I17" s="260"/>
      <c r="J17" s="260"/>
      <c r="K17" s="260"/>
      <c r="L17" s="260"/>
      <c r="M17" s="260">
        <f t="shared" si="0"/>
        <v>213260</v>
      </c>
    </row>
    <row r="18" spans="1:13" x14ac:dyDescent="0.25">
      <c r="A18" s="2">
        <v>12</v>
      </c>
      <c r="B18" s="261" t="s">
        <v>725</v>
      </c>
      <c r="C18" s="397"/>
      <c r="D18" s="396" t="s">
        <v>1238</v>
      </c>
      <c r="E18" s="260"/>
      <c r="F18" s="260"/>
      <c r="G18" s="260"/>
      <c r="H18" s="260">
        <v>167208</v>
      </c>
      <c r="I18" s="260"/>
      <c r="J18" s="260"/>
      <c r="K18" s="260"/>
      <c r="L18" s="260"/>
      <c r="M18" s="260">
        <f t="shared" si="0"/>
        <v>167208</v>
      </c>
    </row>
    <row r="19" spans="1:13" x14ac:dyDescent="0.25">
      <c r="A19" s="2">
        <v>13</v>
      </c>
      <c r="B19" s="261" t="s">
        <v>769</v>
      </c>
      <c r="C19" s="397"/>
      <c r="D19" s="396" t="s">
        <v>1238</v>
      </c>
      <c r="E19" s="260"/>
      <c r="F19" s="260"/>
      <c r="G19" s="260"/>
      <c r="H19" s="260">
        <v>400</v>
      </c>
      <c r="I19" s="260"/>
      <c r="J19" s="260"/>
      <c r="K19" s="260"/>
      <c r="L19" s="260"/>
      <c r="M19" s="260">
        <f t="shared" si="0"/>
        <v>400</v>
      </c>
    </row>
    <row r="20" spans="1:13" x14ac:dyDescent="0.25">
      <c r="A20" s="2">
        <v>14</v>
      </c>
      <c r="B20" s="261" t="s">
        <v>727</v>
      </c>
      <c r="C20" s="397"/>
      <c r="D20" s="396" t="s">
        <v>1238</v>
      </c>
      <c r="E20" s="260"/>
      <c r="F20" s="260"/>
      <c r="G20" s="260"/>
      <c r="H20" s="260">
        <v>150096</v>
      </c>
      <c r="I20" s="260"/>
      <c r="J20" s="260"/>
      <c r="K20" s="260"/>
      <c r="L20" s="260"/>
      <c r="M20" s="260">
        <f t="shared" si="0"/>
        <v>150096</v>
      </c>
    </row>
    <row r="21" spans="1:13" x14ac:dyDescent="0.25">
      <c r="A21" s="2">
        <v>15</v>
      </c>
      <c r="B21" s="261" t="s">
        <v>770</v>
      </c>
      <c r="C21" s="397"/>
      <c r="D21" s="396" t="s">
        <v>1238</v>
      </c>
      <c r="E21" s="260"/>
      <c r="F21" s="260"/>
      <c r="G21" s="260"/>
      <c r="H21" s="260"/>
      <c r="I21" s="260">
        <v>39361.26</v>
      </c>
      <c r="J21" s="260"/>
      <c r="K21" s="260"/>
      <c r="L21" s="260"/>
      <c r="M21" s="260">
        <f t="shared" si="0"/>
        <v>39361.26</v>
      </c>
    </row>
    <row r="22" spans="1:13" x14ac:dyDescent="0.25">
      <c r="A22" s="2">
        <v>16</v>
      </c>
      <c r="B22" s="261" t="s">
        <v>771</v>
      </c>
      <c r="C22" s="397"/>
      <c r="D22" s="396" t="s">
        <v>1238</v>
      </c>
      <c r="E22" s="260"/>
      <c r="F22" s="260"/>
      <c r="G22" s="260"/>
      <c r="H22" s="260"/>
      <c r="I22" s="260">
        <v>88100</v>
      </c>
      <c r="J22" s="260"/>
      <c r="K22" s="260"/>
      <c r="L22" s="260"/>
      <c r="M22" s="260">
        <f t="shared" si="0"/>
        <v>88100</v>
      </c>
    </row>
    <row r="23" spans="1:13" x14ac:dyDescent="0.25">
      <c r="A23" s="2">
        <v>17</v>
      </c>
      <c r="B23" s="261" t="s">
        <v>688</v>
      </c>
      <c r="C23" s="397"/>
      <c r="D23" s="396" t="s">
        <v>1238</v>
      </c>
      <c r="E23" s="260"/>
      <c r="F23" s="260"/>
      <c r="G23" s="260"/>
      <c r="H23" s="260"/>
      <c r="I23" s="260">
        <v>215000</v>
      </c>
      <c r="J23" s="260"/>
      <c r="K23" s="260"/>
      <c r="L23" s="260"/>
      <c r="M23" s="260">
        <f t="shared" si="0"/>
        <v>215000</v>
      </c>
    </row>
    <row r="24" spans="1:13" x14ac:dyDescent="0.25">
      <c r="A24" s="2">
        <v>18</v>
      </c>
      <c r="B24" s="261" t="s">
        <v>772</v>
      </c>
      <c r="C24" s="397"/>
      <c r="D24" s="396" t="s">
        <v>1238</v>
      </c>
      <c r="E24" s="260"/>
      <c r="F24" s="260"/>
      <c r="G24" s="260"/>
      <c r="H24" s="260"/>
      <c r="I24" s="260">
        <v>6369.3686000000007</v>
      </c>
      <c r="J24" s="260"/>
      <c r="K24" s="260"/>
      <c r="L24" s="260"/>
      <c r="M24" s="260">
        <f t="shared" si="0"/>
        <v>6369.3686000000007</v>
      </c>
    </row>
    <row r="25" spans="1:13" x14ac:dyDescent="0.25">
      <c r="A25" s="2">
        <v>19</v>
      </c>
      <c r="B25" s="261" t="s">
        <v>773</v>
      </c>
      <c r="C25" s="397"/>
      <c r="D25" s="396" t="s">
        <v>1238</v>
      </c>
      <c r="E25" s="260"/>
      <c r="F25" s="260"/>
      <c r="G25" s="260"/>
      <c r="H25" s="260"/>
      <c r="I25" s="260">
        <v>48852</v>
      </c>
      <c r="J25" s="260"/>
      <c r="K25" s="260"/>
      <c r="L25" s="260"/>
      <c r="M25" s="260">
        <f t="shared" si="0"/>
        <v>48852</v>
      </c>
    </row>
    <row r="26" spans="1:13" x14ac:dyDescent="0.25">
      <c r="A26" s="2">
        <v>20</v>
      </c>
      <c r="B26" s="261" t="s">
        <v>773</v>
      </c>
      <c r="C26" s="397"/>
      <c r="D26" s="396" t="s">
        <v>1238</v>
      </c>
      <c r="E26" s="260"/>
      <c r="F26" s="260"/>
      <c r="G26" s="260"/>
      <c r="H26" s="260"/>
      <c r="I26" s="260">
        <v>48852</v>
      </c>
      <c r="J26" s="260"/>
      <c r="K26" s="260"/>
      <c r="L26" s="260"/>
      <c r="M26" s="260">
        <f t="shared" si="0"/>
        <v>48852</v>
      </c>
    </row>
    <row r="27" spans="1:13" x14ac:dyDescent="0.25">
      <c r="A27" s="2">
        <v>21</v>
      </c>
      <c r="B27" s="265" t="s">
        <v>684</v>
      </c>
      <c r="C27" s="397"/>
      <c r="D27" s="396" t="s">
        <v>1238</v>
      </c>
      <c r="E27" s="260"/>
      <c r="F27" s="260"/>
      <c r="G27" s="260"/>
      <c r="H27" s="260"/>
      <c r="I27" s="260">
        <v>254862</v>
      </c>
      <c r="J27" s="260"/>
      <c r="K27" s="260"/>
      <c r="L27" s="260"/>
      <c r="M27" s="260">
        <f t="shared" si="0"/>
        <v>254862</v>
      </c>
    </row>
    <row r="28" spans="1:13" x14ac:dyDescent="0.25">
      <c r="A28" s="2">
        <v>22</v>
      </c>
      <c r="B28" s="261" t="s">
        <v>717</v>
      </c>
      <c r="C28" s="397"/>
      <c r="D28" s="396" t="s">
        <v>1238</v>
      </c>
      <c r="E28" s="260"/>
      <c r="F28" s="260"/>
      <c r="G28" s="260"/>
      <c r="H28" s="260"/>
      <c r="I28" s="260">
        <v>14391</v>
      </c>
      <c r="J28" s="260"/>
      <c r="K28" s="260"/>
      <c r="L28" s="260"/>
      <c r="M28" s="260">
        <f t="shared" si="0"/>
        <v>14391</v>
      </c>
    </row>
    <row r="29" spans="1:13" x14ac:dyDescent="0.25">
      <c r="A29" s="2">
        <v>23</v>
      </c>
      <c r="B29" s="261" t="s">
        <v>772</v>
      </c>
      <c r="C29" s="397"/>
      <c r="D29" s="396" t="s">
        <v>1238</v>
      </c>
      <c r="E29" s="260"/>
      <c r="F29" s="260"/>
      <c r="G29" s="260"/>
      <c r="H29" s="260"/>
      <c r="I29" s="260">
        <v>12832.5</v>
      </c>
      <c r="J29" s="260"/>
      <c r="K29" s="260"/>
      <c r="L29" s="260"/>
      <c r="M29" s="260">
        <f t="shared" si="0"/>
        <v>12832.5</v>
      </c>
    </row>
    <row r="30" spans="1:13" x14ac:dyDescent="0.25">
      <c r="A30" s="2">
        <v>24</v>
      </c>
      <c r="B30" s="261" t="s">
        <v>771</v>
      </c>
      <c r="C30" s="397"/>
      <c r="D30" s="396" t="s">
        <v>1238</v>
      </c>
      <c r="E30" s="260"/>
      <c r="F30" s="260"/>
      <c r="G30" s="260"/>
      <c r="H30" s="260"/>
      <c r="I30" s="260">
        <v>3450</v>
      </c>
      <c r="J30" s="260"/>
      <c r="K30" s="260"/>
      <c r="L30" s="260"/>
      <c r="M30" s="260">
        <f t="shared" si="0"/>
        <v>3450</v>
      </c>
    </row>
    <row r="31" spans="1:13" x14ac:dyDescent="0.25">
      <c r="A31" s="2">
        <v>25</v>
      </c>
      <c r="B31" s="261" t="s">
        <v>772</v>
      </c>
      <c r="C31" s="397"/>
      <c r="D31" s="396" t="s">
        <v>1238</v>
      </c>
      <c r="E31" s="260"/>
      <c r="F31" s="260"/>
      <c r="G31" s="260"/>
      <c r="H31" s="260"/>
      <c r="I31" s="260">
        <v>5459.4587999999994</v>
      </c>
      <c r="J31" s="260"/>
      <c r="K31" s="260"/>
      <c r="L31" s="260"/>
      <c r="M31" s="260">
        <f t="shared" si="0"/>
        <v>5459.4587999999994</v>
      </c>
    </row>
    <row r="32" spans="1:13" x14ac:dyDescent="0.25">
      <c r="A32" s="2">
        <v>26</v>
      </c>
      <c r="B32" s="261" t="s">
        <v>771</v>
      </c>
      <c r="C32" s="397"/>
      <c r="D32" s="396" t="s">
        <v>1238</v>
      </c>
      <c r="E32" s="260"/>
      <c r="F32" s="260"/>
      <c r="G32" s="260"/>
      <c r="H32" s="260"/>
      <c r="I32" s="260">
        <v>77150</v>
      </c>
      <c r="J32" s="260"/>
      <c r="K32" s="260"/>
      <c r="L32" s="260"/>
      <c r="M32" s="260">
        <f t="shared" si="0"/>
        <v>77150</v>
      </c>
    </row>
    <row r="33" spans="1:13" x14ac:dyDescent="0.25">
      <c r="A33" s="2">
        <v>27</v>
      </c>
      <c r="B33" s="261" t="s">
        <v>727</v>
      </c>
      <c r="C33" s="397"/>
      <c r="D33" s="396" t="s">
        <v>1238</v>
      </c>
      <c r="E33" s="260"/>
      <c r="F33" s="260"/>
      <c r="G33" s="260"/>
      <c r="H33" s="260"/>
      <c r="I33" s="260">
        <v>162462.39999999999</v>
      </c>
      <c r="J33" s="260"/>
      <c r="K33" s="260"/>
      <c r="L33" s="260"/>
      <c r="M33" s="260">
        <f t="shared" si="0"/>
        <v>162462.39999999999</v>
      </c>
    </row>
    <row r="34" spans="1:13" x14ac:dyDescent="0.25">
      <c r="A34" s="2">
        <v>28</v>
      </c>
      <c r="B34" s="262" t="s">
        <v>772</v>
      </c>
      <c r="C34" s="397"/>
      <c r="D34" s="396" t="s">
        <v>1238</v>
      </c>
      <c r="E34" s="260"/>
      <c r="F34" s="260"/>
      <c r="G34" s="260"/>
      <c r="H34" s="260"/>
      <c r="I34" s="260">
        <v>853.73</v>
      </c>
      <c r="J34" s="260"/>
      <c r="K34" s="260"/>
      <c r="L34" s="260"/>
      <c r="M34" s="260">
        <f t="shared" si="0"/>
        <v>853.73</v>
      </c>
    </row>
    <row r="35" spans="1:13" x14ac:dyDescent="0.25">
      <c r="A35" s="2">
        <v>29</v>
      </c>
      <c r="B35" s="261" t="s">
        <v>772</v>
      </c>
      <c r="C35" s="397"/>
      <c r="D35" s="396" t="s">
        <v>1238</v>
      </c>
      <c r="E35" s="260"/>
      <c r="F35" s="260"/>
      <c r="G35" s="260"/>
      <c r="H35" s="260"/>
      <c r="I35" s="260">
        <v>12738.737200000001</v>
      </c>
      <c r="J35" s="260"/>
      <c r="K35" s="260"/>
      <c r="L35" s="260"/>
      <c r="M35" s="260">
        <f t="shared" si="0"/>
        <v>12738.737200000001</v>
      </c>
    </row>
    <row r="36" spans="1:13" x14ac:dyDescent="0.25">
      <c r="A36" s="2">
        <v>30</v>
      </c>
      <c r="B36" s="261" t="s">
        <v>693</v>
      </c>
      <c r="C36" s="397"/>
      <c r="D36" s="396" t="s">
        <v>1238</v>
      </c>
      <c r="E36" s="260"/>
      <c r="F36" s="260"/>
      <c r="G36" s="260"/>
      <c r="H36" s="260"/>
      <c r="I36" s="260">
        <v>80363.899999999994</v>
      </c>
      <c r="J36" s="260"/>
      <c r="K36" s="260"/>
      <c r="L36" s="260"/>
      <c r="M36" s="260">
        <f t="shared" si="0"/>
        <v>80363.899999999994</v>
      </c>
    </row>
    <row r="37" spans="1:13" x14ac:dyDescent="0.25">
      <c r="A37" s="2">
        <v>31</v>
      </c>
      <c r="B37" s="261" t="s">
        <v>770</v>
      </c>
      <c r="C37" s="397"/>
      <c r="D37" s="396" t="s">
        <v>1238</v>
      </c>
      <c r="E37" s="260"/>
      <c r="F37" s="260"/>
      <c r="G37" s="260"/>
      <c r="H37" s="260"/>
      <c r="I37" s="260">
        <v>240720</v>
      </c>
      <c r="J37" s="260"/>
      <c r="K37" s="260"/>
      <c r="L37" s="260"/>
      <c r="M37" s="260">
        <f t="shared" si="0"/>
        <v>240720</v>
      </c>
    </row>
    <row r="38" spans="1:13" x14ac:dyDescent="0.25">
      <c r="A38" s="2">
        <v>32</v>
      </c>
      <c r="B38" s="261" t="s">
        <v>772</v>
      </c>
      <c r="C38" s="397"/>
      <c r="D38" s="396" t="s">
        <v>1238</v>
      </c>
      <c r="E38" s="260"/>
      <c r="F38" s="260"/>
      <c r="G38" s="260"/>
      <c r="H38" s="260"/>
      <c r="I38" s="260">
        <v>10918.917599999999</v>
      </c>
      <c r="J38" s="260"/>
      <c r="K38" s="260"/>
      <c r="L38" s="260"/>
      <c r="M38" s="260">
        <f t="shared" si="0"/>
        <v>10918.917599999999</v>
      </c>
    </row>
    <row r="39" spans="1:13" x14ac:dyDescent="0.25">
      <c r="A39" s="2">
        <v>33</v>
      </c>
      <c r="B39" s="261" t="s">
        <v>763</v>
      </c>
      <c r="C39" s="397"/>
      <c r="D39" s="396" t="s">
        <v>1238</v>
      </c>
      <c r="E39" s="260"/>
      <c r="F39" s="260"/>
      <c r="G39" s="260"/>
      <c r="H39" s="260"/>
      <c r="I39" s="260">
        <v>190410</v>
      </c>
      <c r="J39" s="260"/>
      <c r="K39" s="260"/>
      <c r="L39" s="260"/>
      <c r="M39" s="260">
        <f t="shared" si="0"/>
        <v>190410</v>
      </c>
    </row>
    <row r="40" spans="1:13" x14ac:dyDescent="0.25">
      <c r="A40" s="2">
        <v>34</v>
      </c>
      <c r="B40" s="261" t="s">
        <v>775</v>
      </c>
      <c r="C40" s="397"/>
      <c r="D40" s="396" t="s">
        <v>1238</v>
      </c>
      <c r="E40" s="260"/>
      <c r="F40" s="260"/>
      <c r="G40" s="260"/>
      <c r="H40" s="260"/>
      <c r="I40" s="260">
        <v>145848</v>
      </c>
      <c r="J40" s="260"/>
      <c r="K40" s="260"/>
      <c r="L40" s="260"/>
      <c r="M40" s="260">
        <f t="shared" si="0"/>
        <v>145848</v>
      </c>
    </row>
    <row r="41" spans="1:13" x14ac:dyDescent="0.25">
      <c r="A41" s="2">
        <v>35</v>
      </c>
      <c r="B41" s="261" t="s">
        <v>773</v>
      </c>
      <c r="C41" s="397"/>
      <c r="D41" s="396" t="s">
        <v>1238</v>
      </c>
      <c r="E41" s="260"/>
      <c r="F41" s="260"/>
      <c r="G41" s="260"/>
      <c r="H41" s="260"/>
      <c r="I41" s="260">
        <v>48852</v>
      </c>
      <c r="J41" s="260"/>
      <c r="K41" s="260"/>
      <c r="L41" s="260"/>
      <c r="M41" s="260">
        <f t="shared" si="0"/>
        <v>48852</v>
      </c>
    </row>
    <row r="42" spans="1:13" x14ac:dyDescent="0.25">
      <c r="A42" s="2">
        <v>36</v>
      </c>
      <c r="B42" s="261" t="s">
        <v>773</v>
      </c>
      <c r="C42" s="397"/>
      <c r="D42" s="396" t="s">
        <v>1238</v>
      </c>
      <c r="E42" s="260"/>
      <c r="F42" s="260"/>
      <c r="G42" s="260"/>
      <c r="H42" s="260"/>
      <c r="I42" s="260">
        <v>48852</v>
      </c>
      <c r="J42" s="260"/>
      <c r="K42" s="260"/>
      <c r="L42" s="260"/>
      <c r="M42" s="260">
        <f t="shared" si="0"/>
        <v>48852</v>
      </c>
    </row>
    <row r="43" spans="1:13" x14ac:dyDescent="0.25">
      <c r="A43" s="2">
        <v>37</v>
      </c>
      <c r="B43" s="261" t="s">
        <v>712</v>
      </c>
      <c r="C43" s="397"/>
      <c r="D43" s="396" t="s">
        <v>1238</v>
      </c>
      <c r="E43" s="260"/>
      <c r="F43" s="260"/>
      <c r="G43" s="260"/>
      <c r="H43" s="260"/>
      <c r="I43" s="260">
        <v>82269.600000000006</v>
      </c>
      <c r="J43" s="260"/>
      <c r="K43" s="260"/>
      <c r="L43" s="260"/>
      <c r="M43" s="260">
        <f t="shared" si="0"/>
        <v>82269.600000000006</v>
      </c>
    </row>
    <row r="44" spans="1:13" x14ac:dyDescent="0.25">
      <c r="A44" s="2">
        <v>38</v>
      </c>
      <c r="B44" s="261" t="s">
        <v>774</v>
      </c>
      <c r="C44" s="397"/>
      <c r="D44" s="396" t="s">
        <v>1238</v>
      </c>
      <c r="E44" s="260"/>
      <c r="F44" s="260"/>
      <c r="G44" s="260"/>
      <c r="H44" s="260"/>
      <c r="I44" s="260">
        <v>150000</v>
      </c>
      <c r="J44" s="260"/>
      <c r="K44" s="260"/>
      <c r="L44" s="260"/>
      <c r="M44" s="260">
        <f t="shared" si="0"/>
        <v>150000</v>
      </c>
    </row>
    <row r="45" spans="1:13" x14ac:dyDescent="0.25">
      <c r="A45" s="2">
        <v>39</v>
      </c>
      <c r="B45" s="261" t="s">
        <v>776</v>
      </c>
      <c r="C45" s="397"/>
      <c r="D45" s="396" t="s">
        <v>1238</v>
      </c>
      <c r="E45" s="260"/>
      <c r="F45" s="260"/>
      <c r="G45" s="260"/>
      <c r="H45" s="260"/>
      <c r="I45" s="260">
        <v>112271.1</v>
      </c>
      <c r="J45" s="260"/>
      <c r="K45" s="260"/>
      <c r="L45" s="260"/>
      <c r="M45" s="260">
        <f t="shared" si="0"/>
        <v>112271.1</v>
      </c>
    </row>
    <row r="46" spans="1:13" x14ac:dyDescent="0.25">
      <c r="A46" s="2">
        <v>40</v>
      </c>
      <c r="B46" s="261" t="s">
        <v>726</v>
      </c>
      <c r="C46" s="397"/>
      <c r="D46" s="396" t="s">
        <v>1238</v>
      </c>
      <c r="E46" s="260"/>
      <c r="F46" s="260"/>
      <c r="G46" s="260"/>
      <c r="H46" s="260"/>
      <c r="I46" s="260">
        <v>105000</v>
      </c>
      <c r="J46" s="260"/>
      <c r="K46" s="260"/>
      <c r="L46" s="260"/>
      <c r="M46" s="260">
        <f t="shared" si="0"/>
        <v>105000</v>
      </c>
    </row>
    <row r="47" spans="1:13" x14ac:dyDescent="0.25">
      <c r="A47" s="2">
        <v>41</v>
      </c>
      <c r="B47" s="261" t="s">
        <v>777</v>
      </c>
      <c r="C47" s="397"/>
      <c r="D47" s="396" t="s">
        <v>1238</v>
      </c>
      <c r="E47" s="260"/>
      <c r="F47" s="260"/>
      <c r="G47" s="260"/>
      <c r="H47" s="260"/>
      <c r="I47" s="260">
        <v>53100</v>
      </c>
      <c r="J47" s="260"/>
      <c r="K47" s="260"/>
      <c r="L47" s="260"/>
      <c r="M47" s="260">
        <f t="shared" si="0"/>
        <v>53100</v>
      </c>
    </row>
    <row r="48" spans="1:13" x14ac:dyDescent="0.25">
      <c r="A48" s="2">
        <v>42</v>
      </c>
      <c r="B48" s="261" t="s">
        <v>772</v>
      </c>
      <c r="C48" s="397"/>
      <c r="D48" s="396" t="s">
        <v>1238</v>
      </c>
      <c r="E48" s="260"/>
      <c r="F48" s="260"/>
      <c r="G48" s="260"/>
      <c r="H48" s="260"/>
      <c r="I48" s="260">
        <v>5459.4587999999994</v>
      </c>
      <c r="J48" s="260"/>
      <c r="K48" s="260"/>
      <c r="L48" s="260"/>
      <c r="M48" s="260">
        <f t="shared" si="0"/>
        <v>5459.4587999999994</v>
      </c>
    </row>
    <row r="49" spans="1:13" x14ac:dyDescent="0.25">
      <c r="A49" s="2">
        <v>43</v>
      </c>
      <c r="B49" s="261" t="s">
        <v>772</v>
      </c>
      <c r="C49" s="397"/>
      <c r="D49" s="396" t="s">
        <v>1238</v>
      </c>
      <c r="E49" s="260"/>
      <c r="F49" s="260"/>
      <c r="G49" s="260"/>
      <c r="H49" s="260"/>
      <c r="I49" s="260">
        <v>10009.007799999999</v>
      </c>
      <c r="J49" s="260"/>
      <c r="K49" s="260"/>
      <c r="L49" s="260"/>
      <c r="M49" s="260">
        <f t="shared" si="0"/>
        <v>10009.007799999999</v>
      </c>
    </row>
    <row r="50" spans="1:13" x14ac:dyDescent="0.25">
      <c r="A50" s="2">
        <v>44</v>
      </c>
      <c r="B50" s="261" t="s">
        <v>712</v>
      </c>
      <c r="C50" s="397"/>
      <c r="D50" s="396" t="s">
        <v>1238</v>
      </c>
      <c r="E50" s="260"/>
      <c r="F50" s="260"/>
      <c r="G50" s="260"/>
      <c r="H50" s="260"/>
      <c r="I50" s="260">
        <v>198145.6</v>
      </c>
      <c r="J50" s="260"/>
      <c r="K50" s="260"/>
      <c r="L50" s="260"/>
      <c r="M50" s="260">
        <f t="shared" si="0"/>
        <v>198145.6</v>
      </c>
    </row>
    <row r="51" spans="1:13" x14ac:dyDescent="0.25">
      <c r="A51" s="2">
        <v>45</v>
      </c>
      <c r="B51" s="261" t="s">
        <v>778</v>
      </c>
      <c r="C51" s="397"/>
      <c r="D51" s="396" t="s">
        <v>1238</v>
      </c>
      <c r="E51" s="260"/>
      <c r="F51" s="260"/>
      <c r="G51" s="260"/>
      <c r="H51" s="260"/>
      <c r="I51" s="260">
        <v>100069.88</v>
      </c>
      <c r="J51" s="260"/>
      <c r="K51" s="260"/>
      <c r="L51" s="260"/>
      <c r="M51" s="260">
        <f t="shared" si="0"/>
        <v>100069.88</v>
      </c>
    </row>
    <row r="52" spans="1:13" x14ac:dyDescent="0.25">
      <c r="A52" s="2">
        <v>46</v>
      </c>
      <c r="B52" s="261" t="s">
        <v>772</v>
      </c>
      <c r="C52" s="397"/>
      <c r="D52" s="396" t="s">
        <v>1238</v>
      </c>
      <c r="E52" s="260"/>
      <c r="F52" s="260"/>
      <c r="G52" s="260"/>
      <c r="H52" s="260"/>
      <c r="I52" s="260">
        <v>830700.75419999997</v>
      </c>
      <c r="J52" s="260"/>
      <c r="K52" s="260"/>
      <c r="L52" s="260"/>
      <c r="M52" s="260">
        <f t="shared" si="0"/>
        <v>830700.75419999997</v>
      </c>
    </row>
    <row r="53" spans="1:13" x14ac:dyDescent="0.25">
      <c r="A53" s="2">
        <v>47</v>
      </c>
      <c r="B53" s="261" t="s">
        <v>780</v>
      </c>
      <c r="C53" s="397"/>
      <c r="D53" s="396" t="s">
        <v>1238</v>
      </c>
      <c r="E53" s="260"/>
      <c r="F53" s="260"/>
      <c r="G53" s="260"/>
      <c r="H53" s="260"/>
      <c r="I53" s="260">
        <v>215314.6</v>
      </c>
      <c r="J53" s="260"/>
      <c r="K53" s="260"/>
      <c r="L53" s="260"/>
      <c r="M53" s="260">
        <f t="shared" si="0"/>
        <v>215314.6</v>
      </c>
    </row>
    <row r="54" spans="1:13" x14ac:dyDescent="0.25">
      <c r="A54" s="2">
        <v>48</v>
      </c>
      <c r="B54" s="261" t="s">
        <v>781</v>
      </c>
      <c r="C54" s="397"/>
      <c r="D54" s="396" t="s">
        <v>1238</v>
      </c>
      <c r="E54" s="260"/>
      <c r="F54" s="260"/>
      <c r="G54" s="260"/>
      <c r="H54" s="260"/>
      <c r="I54" s="260">
        <v>198475</v>
      </c>
      <c r="J54" s="260"/>
      <c r="K54" s="260"/>
      <c r="L54" s="260"/>
      <c r="M54" s="260">
        <f t="shared" si="0"/>
        <v>198475</v>
      </c>
    </row>
    <row r="55" spans="1:13" x14ac:dyDescent="0.25">
      <c r="A55" s="2">
        <v>49</v>
      </c>
      <c r="B55" s="261" t="s">
        <v>772</v>
      </c>
      <c r="C55" s="397"/>
      <c r="D55" s="396" t="s">
        <v>1238</v>
      </c>
      <c r="E55" s="260"/>
      <c r="F55" s="260"/>
      <c r="G55" s="260"/>
      <c r="H55" s="260"/>
      <c r="I55" s="260">
        <v>5869.2255999999998</v>
      </c>
      <c r="J55" s="260"/>
      <c r="K55" s="260"/>
      <c r="L55" s="260"/>
      <c r="M55" s="260">
        <f t="shared" si="0"/>
        <v>5869.2255999999998</v>
      </c>
    </row>
    <row r="56" spans="1:13" x14ac:dyDescent="0.25">
      <c r="A56" s="2">
        <v>50</v>
      </c>
      <c r="B56" s="261" t="s">
        <v>782</v>
      </c>
      <c r="C56" s="397"/>
      <c r="D56" s="396" t="s">
        <v>1238</v>
      </c>
      <c r="E56" s="260"/>
      <c r="F56" s="260"/>
      <c r="G56" s="260"/>
      <c r="H56" s="260"/>
      <c r="I56" s="260">
        <v>16520</v>
      </c>
      <c r="J56" s="260"/>
      <c r="K56" s="260"/>
      <c r="L56" s="260"/>
      <c r="M56" s="260">
        <f t="shared" si="0"/>
        <v>16520</v>
      </c>
    </row>
    <row r="57" spans="1:13" x14ac:dyDescent="0.25">
      <c r="A57" s="2">
        <v>51</v>
      </c>
      <c r="B57" s="261" t="s">
        <v>772</v>
      </c>
      <c r="C57" s="397"/>
      <c r="D57" s="396" t="s">
        <v>1238</v>
      </c>
      <c r="E57" s="260"/>
      <c r="F57" s="260"/>
      <c r="G57" s="260"/>
      <c r="H57" s="260"/>
      <c r="I57" s="260">
        <v>13648.646999999999</v>
      </c>
      <c r="J57" s="260"/>
      <c r="K57" s="260"/>
      <c r="L57" s="260"/>
      <c r="M57" s="260">
        <f t="shared" si="0"/>
        <v>13648.646999999999</v>
      </c>
    </row>
    <row r="58" spans="1:13" x14ac:dyDescent="0.25">
      <c r="A58" s="2">
        <v>52</v>
      </c>
      <c r="B58" s="261" t="s">
        <v>783</v>
      </c>
      <c r="C58" s="397"/>
      <c r="D58" s="396" t="s">
        <v>1238</v>
      </c>
      <c r="E58" s="260"/>
      <c r="F58" s="260"/>
      <c r="G58" s="260"/>
      <c r="H58" s="260"/>
      <c r="I58" s="260">
        <v>57151.44</v>
      </c>
      <c r="J58" s="260"/>
      <c r="K58" s="260"/>
      <c r="L58" s="260"/>
      <c r="M58" s="260">
        <f t="shared" si="0"/>
        <v>57151.44</v>
      </c>
    </row>
    <row r="59" spans="1:13" x14ac:dyDescent="0.25">
      <c r="A59" s="2">
        <v>53</v>
      </c>
      <c r="B59" s="261" t="s">
        <v>771</v>
      </c>
      <c r="C59" s="397"/>
      <c r="D59" s="396" t="s">
        <v>1238</v>
      </c>
      <c r="E59" s="260"/>
      <c r="F59" s="260"/>
      <c r="G59" s="260"/>
      <c r="H59" s="260"/>
      <c r="I59" s="260">
        <v>10775</v>
      </c>
      <c r="J59" s="260"/>
      <c r="K59" s="260"/>
      <c r="L59" s="260"/>
      <c r="M59" s="260">
        <f t="shared" si="0"/>
        <v>10775</v>
      </c>
    </row>
    <row r="60" spans="1:13" x14ac:dyDescent="0.25">
      <c r="A60" s="2">
        <v>54</v>
      </c>
      <c r="B60" s="261" t="s">
        <v>772</v>
      </c>
      <c r="C60" s="397"/>
      <c r="D60" s="396" t="s">
        <v>1238</v>
      </c>
      <c r="E60" s="260"/>
      <c r="F60" s="260"/>
      <c r="G60" s="260"/>
      <c r="H60" s="260"/>
      <c r="I60" s="260">
        <v>9099.1</v>
      </c>
      <c r="J60" s="260"/>
      <c r="K60" s="260"/>
      <c r="L60" s="260"/>
      <c r="M60" s="260">
        <f t="shared" si="0"/>
        <v>9099.1</v>
      </c>
    </row>
    <row r="61" spans="1:13" x14ac:dyDescent="0.25">
      <c r="A61" s="2">
        <v>55</v>
      </c>
      <c r="B61" s="261" t="s">
        <v>772</v>
      </c>
      <c r="C61" s="397"/>
      <c r="D61" s="396" t="s">
        <v>1238</v>
      </c>
      <c r="E61" s="260"/>
      <c r="F61" s="260"/>
      <c r="G61" s="260"/>
      <c r="H61" s="260"/>
      <c r="I61" s="260">
        <v>46000.94</v>
      </c>
      <c r="J61" s="260"/>
      <c r="K61" s="260"/>
      <c r="L61" s="260"/>
      <c r="M61" s="260">
        <f t="shared" si="0"/>
        <v>46000.94</v>
      </c>
    </row>
    <row r="62" spans="1:13" x14ac:dyDescent="0.25">
      <c r="A62" s="2">
        <v>56</v>
      </c>
      <c r="B62" s="261" t="s">
        <v>785</v>
      </c>
      <c r="C62" s="397"/>
      <c r="D62" s="396" t="s">
        <v>1238</v>
      </c>
      <c r="E62" s="260"/>
      <c r="F62" s="260"/>
      <c r="G62" s="260"/>
      <c r="H62" s="260"/>
      <c r="I62" s="260">
        <v>53610</v>
      </c>
      <c r="J62" s="260"/>
      <c r="K62" s="260"/>
      <c r="L62" s="260"/>
      <c r="M62" s="260">
        <f t="shared" si="0"/>
        <v>53610</v>
      </c>
    </row>
    <row r="63" spans="1:13" x14ac:dyDescent="0.25">
      <c r="A63" s="2">
        <v>57</v>
      </c>
      <c r="B63" s="261" t="s">
        <v>683</v>
      </c>
      <c r="C63" s="397"/>
      <c r="D63" s="396" t="s">
        <v>1238</v>
      </c>
      <c r="E63" s="260"/>
      <c r="F63" s="260"/>
      <c r="G63" s="260"/>
      <c r="H63" s="260"/>
      <c r="I63" s="260">
        <v>231533.7</v>
      </c>
      <c r="J63" s="260"/>
      <c r="K63" s="260"/>
      <c r="L63" s="260"/>
      <c r="M63" s="260">
        <f t="shared" si="0"/>
        <v>231533.7</v>
      </c>
    </row>
    <row r="64" spans="1:13" x14ac:dyDescent="0.25">
      <c r="A64" s="2">
        <v>58</v>
      </c>
      <c r="B64" s="261" t="s">
        <v>772</v>
      </c>
      <c r="C64" s="397"/>
      <c r="D64" s="396" t="s">
        <v>1238</v>
      </c>
      <c r="E64" s="260"/>
      <c r="F64" s="260"/>
      <c r="G64" s="260"/>
      <c r="H64" s="260"/>
      <c r="I64" s="260">
        <v>9099.098</v>
      </c>
      <c r="J64" s="260"/>
      <c r="K64" s="260"/>
      <c r="L64" s="260"/>
      <c r="M64" s="260">
        <f t="shared" si="0"/>
        <v>9099.098</v>
      </c>
    </row>
    <row r="65" spans="1:13" x14ac:dyDescent="0.25">
      <c r="A65" s="2">
        <v>59</v>
      </c>
      <c r="B65" s="261" t="s">
        <v>786</v>
      </c>
      <c r="C65" s="397"/>
      <c r="D65" s="396" t="s">
        <v>1238</v>
      </c>
      <c r="E65" s="260"/>
      <c r="F65" s="260"/>
      <c r="G65" s="260"/>
      <c r="H65" s="260"/>
      <c r="I65" s="260">
        <v>230599.76</v>
      </c>
      <c r="J65" s="260"/>
      <c r="K65" s="260"/>
      <c r="L65" s="260"/>
      <c r="M65" s="260">
        <f t="shared" si="0"/>
        <v>230599.76</v>
      </c>
    </row>
    <row r="66" spans="1:13" x14ac:dyDescent="0.25">
      <c r="A66" s="2">
        <v>60</v>
      </c>
      <c r="B66" s="261" t="s">
        <v>772</v>
      </c>
      <c r="C66" s="397"/>
      <c r="D66" s="396" t="s">
        <v>1238</v>
      </c>
      <c r="E66" s="260"/>
      <c r="F66" s="260"/>
      <c r="G66" s="260"/>
      <c r="H66" s="260"/>
      <c r="I66" s="260">
        <v>7279.2784000000001</v>
      </c>
      <c r="J66" s="260"/>
      <c r="K66" s="260"/>
      <c r="L66" s="260"/>
      <c r="M66" s="260">
        <f t="shared" si="0"/>
        <v>7279.2784000000001</v>
      </c>
    </row>
    <row r="67" spans="1:13" x14ac:dyDescent="0.25">
      <c r="A67" s="2">
        <v>61</v>
      </c>
      <c r="B67" s="261" t="s">
        <v>772</v>
      </c>
      <c r="C67" s="397"/>
      <c r="D67" s="396" t="s">
        <v>1238</v>
      </c>
      <c r="E67" s="260"/>
      <c r="F67" s="260"/>
      <c r="G67" s="260"/>
      <c r="H67" s="260"/>
      <c r="I67" s="260">
        <v>7278.28</v>
      </c>
      <c r="J67" s="260"/>
      <c r="K67" s="260"/>
      <c r="L67" s="260"/>
      <c r="M67" s="260">
        <f t="shared" si="0"/>
        <v>7278.28</v>
      </c>
    </row>
    <row r="68" spans="1:13" x14ac:dyDescent="0.25">
      <c r="A68" s="2">
        <v>62</v>
      </c>
      <c r="B68" s="261" t="s">
        <v>772</v>
      </c>
      <c r="C68" s="397"/>
      <c r="D68" s="396" t="s">
        <v>1238</v>
      </c>
      <c r="E68" s="260"/>
      <c r="F68" s="260"/>
      <c r="G68" s="260"/>
      <c r="H68" s="260"/>
      <c r="I68" s="260">
        <v>10918.92</v>
      </c>
      <c r="J68" s="260"/>
      <c r="K68" s="260"/>
      <c r="L68" s="260"/>
      <c r="M68" s="260">
        <f t="shared" si="0"/>
        <v>10918.92</v>
      </c>
    </row>
    <row r="69" spans="1:13" x14ac:dyDescent="0.25">
      <c r="A69" s="2">
        <v>63</v>
      </c>
      <c r="B69" s="261" t="s">
        <v>772</v>
      </c>
      <c r="C69" s="397"/>
      <c r="D69" s="396" t="s">
        <v>1238</v>
      </c>
      <c r="E69" s="260"/>
      <c r="F69" s="260"/>
      <c r="G69" s="260"/>
      <c r="H69" s="260"/>
      <c r="I69" s="260">
        <v>10918.917599999999</v>
      </c>
      <c r="J69" s="260"/>
      <c r="K69" s="260"/>
      <c r="L69" s="260"/>
      <c r="M69" s="260">
        <f t="shared" si="0"/>
        <v>10918.917599999999</v>
      </c>
    </row>
    <row r="70" spans="1:13" x14ac:dyDescent="0.25">
      <c r="A70" s="2">
        <v>64</v>
      </c>
      <c r="B70" s="261" t="s">
        <v>772</v>
      </c>
      <c r="C70" s="397"/>
      <c r="D70" s="396" t="s">
        <v>1238</v>
      </c>
      <c r="E70" s="260"/>
      <c r="F70" s="260"/>
      <c r="G70" s="260"/>
      <c r="H70" s="260"/>
      <c r="I70" s="260">
        <v>13648.65</v>
      </c>
      <c r="J70" s="260"/>
      <c r="K70" s="260"/>
      <c r="L70" s="260"/>
      <c r="M70" s="260">
        <f t="shared" si="0"/>
        <v>13648.65</v>
      </c>
    </row>
    <row r="71" spans="1:13" x14ac:dyDescent="0.25">
      <c r="A71" s="2">
        <v>65</v>
      </c>
      <c r="B71" s="261" t="s">
        <v>772</v>
      </c>
      <c r="C71" s="397"/>
      <c r="D71" s="396" t="s">
        <v>1238</v>
      </c>
      <c r="E71" s="260"/>
      <c r="F71" s="260"/>
      <c r="G71" s="260"/>
      <c r="H71" s="260"/>
      <c r="I71" s="260">
        <v>13648.646999999999</v>
      </c>
      <c r="J71" s="260"/>
      <c r="K71" s="260"/>
      <c r="L71" s="260"/>
      <c r="M71" s="260">
        <f t="shared" si="0"/>
        <v>13648.646999999999</v>
      </c>
    </row>
    <row r="72" spans="1:13" x14ac:dyDescent="0.25">
      <c r="A72" s="2">
        <v>66</v>
      </c>
      <c r="B72" s="261" t="s">
        <v>772</v>
      </c>
      <c r="C72" s="397"/>
      <c r="D72" s="396" t="s">
        <v>1238</v>
      </c>
      <c r="E72" s="260"/>
      <c r="F72" s="260"/>
      <c r="G72" s="260"/>
      <c r="H72" s="260"/>
      <c r="I72" s="260">
        <v>11828.8274</v>
      </c>
      <c r="J72" s="260"/>
      <c r="K72" s="260"/>
      <c r="L72" s="260"/>
      <c r="M72" s="260">
        <f t="shared" ref="M72:M135" si="1">SUM(E72:L72)</f>
        <v>11828.8274</v>
      </c>
    </row>
    <row r="73" spans="1:13" x14ac:dyDescent="0.25">
      <c r="A73" s="2">
        <v>67</v>
      </c>
      <c r="B73" s="261" t="s">
        <v>772</v>
      </c>
      <c r="C73" s="397"/>
      <c r="D73" s="396" t="s">
        <v>1238</v>
      </c>
      <c r="E73" s="260"/>
      <c r="F73" s="260"/>
      <c r="G73" s="260"/>
      <c r="H73" s="260"/>
      <c r="I73" s="260">
        <v>852738.19819999998</v>
      </c>
      <c r="J73" s="260"/>
      <c r="K73" s="260"/>
      <c r="L73" s="260"/>
      <c r="M73" s="260">
        <f t="shared" si="1"/>
        <v>852738.19819999998</v>
      </c>
    </row>
    <row r="74" spans="1:13" x14ac:dyDescent="0.25">
      <c r="A74" s="2">
        <v>68</v>
      </c>
      <c r="B74" s="261" t="s">
        <v>787</v>
      </c>
      <c r="C74" s="397"/>
      <c r="D74" s="396" t="s">
        <v>1238</v>
      </c>
      <c r="E74" s="260"/>
      <c r="F74" s="260"/>
      <c r="G74" s="260"/>
      <c r="H74" s="260"/>
      <c r="I74" s="260">
        <v>39530</v>
      </c>
      <c r="J74" s="260"/>
      <c r="K74" s="260"/>
      <c r="L74" s="260"/>
      <c r="M74" s="260">
        <f t="shared" si="1"/>
        <v>39530</v>
      </c>
    </row>
    <row r="75" spans="1:13" x14ac:dyDescent="0.25">
      <c r="A75" s="2">
        <v>69</v>
      </c>
      <c r="B75" s="261" t="s">
        <v>772</v>
      </c>
      <c r="C75" s="397"/>
      <c r="D75" s="396" t="s">
        <v>1238</v>
      </c>
      <c r="E75" s="260"/>
      <c r="F75" s="260"/>
      <c r="G75" s="260"/>
      <c r="H75" s="260"/>
      <c r="I75" s="260">
        <v>12832.5</v>
      </c>
      <c r="J75" s="260"/>
      <c r="K75" s="260"/>
      <c r="L75" s="260"/>
      <c r="M75" s="260">
        <f t="shared" si="1"/>
        <v>12832.5</v>
      </c>
    </row>
    <row r="76" spans="1:13" x14ac:dyDescent="0.25">
      <c r="A76" s="2">
        <v>70</v>
      </c>
      <c r="B76" s="261" t="s">
        <v>772</v>
      </c>
      <c r="C76" s="397"/>
      <c r="D76" s="396" t="s">
        <v>1238</v>
      </c>
      <c r="E76" s="260"/>
      <c r="F76" s="260"/>
      <c r="G76" s="260"/>
      <c r="H76" s="260"/>
      <c r="I76" s="260">
        <v>46000.942999999999</v>
      </c>
      <c r="J76" s="260"/>
      <c r="K76" s="260"/>
      <c r="L76" s="260"/>
      <c r="M76" s="260">
        <f t="shared" si="1"/>
        <v>46000.942999999999</v>
      </c>
    </row>
    <row r="77" spans="1:13" x14ac:dyDescent="0.25">
      <c r="A77" s="2">
        <v>71</v>
      </c>
      <c r="B77" s="261" t="s">
        <v>772</v>
      </c>
      <c r="C77" s="397"/>
      <c r="D77" s="396" t="s">
        <v>1238</v>
      </c>
      <c r="E77" s="260"/>
      <c r="F77" s="260"/>
      <c r="G77" s="260"/>
      <c r="H77" s="260"/>
      <c r="I77" s="260">
        <v>8982.75</v>
      </c>
      <c r="J77" s="260"/>
      <c r="K77" s="260"/>
      <c r="L77" s="260"/>
      <c r="M77" s="260">
        <f t="shared" si="1"/>
        <v>8982.75</v>
      </c>
    </row>
    <row r="78" spans="1:13" x14ac:dyDescent="0.25">
      <c r="A78" s="2">
        <v>72</v>
      </c>
      <c r="B78" s="261" t="s">
        <v>772</v>
      </c>
      <c r="C78" s="397"/>
      <c r="D78" s="396" t="s">
        <v>1238</v>
      </c>
      <c r="E78" s="260"/>
      <c r="F78" s="260"/>
      <c r="G78" s="260"/>
      <c r="H78" s="260"/>
      <c r="I78" s="260">
        <v>5396.3052000000007</v>
      </c>
      <c r="J78" s="260"/>
      <c r="K78" s="260"/>
      <c r="L78" s="260"/>
      <c r="M78" s="260">
        <f t="shared" si="1"/>
        <v>5396.3052000000007</v>
      </c>
    </row>
    <row r="79" spans="1:13" x14ac:dyDescent="0.25">
      <c r="A79" s="2">
        <v>73</v>
      </c>
      <c r="B79" s="261" t="s">
        <v>772</v>
      </c>
      <c r="C79" s="397"/>
      <c r="D79" s="396" t="s">
        <v>1238</v>
      </c>
      <c r="E79" s="260"/>
      <c r="F79" s="260"/>
      <c r="G79" s="260"/>
      <c r="H79" s="260"/>
      <c r="I79" s="260">
        <v>4549.55</v>
      </c>
      <c r="J79" s="260"/>
      <c r="K79" s="260"/>
      <c r="L79" s="260"/>
      <c r="M79" s="260">
        <f t="shared" si="1"/>
        <v>4549.55</v>
      </c>
    </row>
    <row r="80" spans="1:13" x14ac:dyDescent="0.25">
      <c r="A80" s="2">
        <v>74</v>
      </c>
      <c r="B80" s="261" t="s">
        <v>772</v>
      </c>
      <c r="C80" s="397"/>
      <c r="D80" s="396" t="s">
        <v>1238</v>
      </c>
      <c r="E80" s="260"/>
      <c r="F80" s="260"/>
      <c r="G80" s="260"/>
      <c r="H80" s="260"/>
      <c r="I80" s="260">
        <v>9099.1</v>
      </c>
      <c r="J80" s="260"/>
      <c r="K80" s="260"/>
      <c r="L80" s="260"/>
      <c r="M80" s="260">
        <f t="shared" si="1"/>
        <v>9099.1</v>
      </c>
    </row>
    <row r="81" spans="1:13" x14ac:dyDescent="0.25">
      <c r="A81" s="2">
        <v>75</v>
      </c>
      <c r="B81" s="261" t="s">
        <v>772</v>
      </c>
      <c r="C81" s="397"/>
      <c r="D81" s="396" t="s">
        <v>1238</v>
      </c>
      <c r="E81" s="260"/>
      <c r="F81" s="260"/>
      <c r="G81" s="260"/>
      <c r="H81" s="260"/>
      <c r="I81" s="260">
        <v>12738.74</v>
      </c>
      <c r="J81" s="260"/>
      <c r="K81" s="260"/>
      <c r="L81" s="260"/>
      <c r="M81" s="260">
        <f t="shared" si="1"/>
        <v>12738.74</v>
      </c>
    </row>
    <row r="82" spans="1:13" x14ac:dyDescent="0.25">
      <c r="A82" s="2">
        <v>76</v>
      </c>
      <c r="B82" s="261" t="s">
        <v>787</v>
      </c>
      <c r="C82" s="397"/>
      <c r="D82" s="396" t="s">
        <v>1238</v>
      </c>
      <c r="E82" s="260"/>
      <c r="F82" s="260"/>
      <c r="G82" s="260"/>
      <c r="H82" s="260"/>
      <c r="I82" s="260">
        <v>136762</v>
      </c>
      <c r="J82" s="260"/>
      <c r="K82" s="260"/>
      <c r="L82" s="260"/>
      <c r="M82" s="260">
        <f t="shared" si="1"/>
        <v>136762</v>
      </c>
    </row>
    <row r="83" spans="1:13" x14ac:dyDescent="0.25">
      <c r="A83" s="2">
        <v>77</v>
      </c>
      <c r="B83" s="261" t="s">
        <v>786</v>
      </c>
      <c r="C83" s="397"/>
      <c r="D83" s="396" t="s">
        <v>1238</v>
      </c>
      <c r="E83" s="260"/>
      <c r="F83" s="260"/>
      <c r="G83" s="260"/>
      <c r="H83" s="260"/>
      <c r="I83" s="260">
        <v>239349.12</v>
      </c>
      <c r="J83" s="260"/>
      <c r="K83" s="260"/>
      <c r="L83" s="260"/>
      <c r="M83" s="260">
        <f t="shared" si="1"/>
        <v>239349.12</v>
      </c>
    </row>
    <row r="84" spans="1:13" x14ac:dyDescent="0.25">
      <c r="A84" s="2">
        <v>78</v>
      </c>
      <c r="B84" s="261" t="s">
        <v>772</v>
      </c>
      <c r="C84" s="397"/>
      <c r="D84" s="396" t="s">
        <v>1238</v>
      </c>
      <c r="E84" s="260"/>
      <c r="F84" s="260"/>
      <c r="G84" s="260"/>
      <c r="H84" s="260"/>
      <c r="I84" s="260">
        <v>7689.05</v>
      </c>
      <c r="J84" s="260"/>
      <c r="K84" s="260"/>
      <c r="L84" s="260"/>
      <c r="M84" s="260">
        <f t="shared" si="1"/>
        <v>7689.05</v>
      </c>
    </row>
    <row r="85" spans="1:13" x14ac:dyDescent="0.25">
      <c r="A85" s="2">
        <v>79</v>
      </c>
      <c r="B85" s="261" t="s">
        <v>772</v>
      </c>
      <c r="C85" s="397"/>
      <c r="D85" s="396" t="s">
        <v>1238</v>
      </c>
      <c r="E85" s="260"/>
      <c r="F85" s="260"/>
      <c r="G85" s="260"/>
      <c r="H85" s="260"/>
      <c r="I85" s="260">
        <v>5459.46</v>
      </c>
      <c r="J85" s="260"/>
      <c r="K85" s="260"/>
      <c r="L85" s="260"/>
      <c r="M85" s="260">
        <f t="shared" si="1"/>
        <v>5459.46</v>
      </c>
    </row>
    <row r="86" spans="1:13" x14ac:dyDescent="0.25">
      <c r="A86" s="2">
        <v>80</v>
      </c>
      <c r="B86" s="261" t="s">
        <v>772</v>
      </c>
      <c r="C86" s="397"/>
      <c r="D86" s="396" t="s">
        <v>1238</v>
      </c>
      <c r="E86" s="260"/>
      <c r="F86" s="260"/>
      <c r="G86" s="260"/>
      <c r="H86" s="260"/>
      <c r="I86" s="260">
        <v>428016.55</v>
      </c>
      <c r="J86" s="260"/>
      <c r="K86" s="260"/>
      <c r="L86" s="260"/>
      <c r="M86" s="260">
        <f t="shared" si="1"/>
        <v>428016.55</v>
      </c>
    </row>
    <row r="87" spans="1:13" x14ac:dyDescent="0.25">
      <c r="A87" s="2">
        <v>81</v>
      </c>
      <c r="B87" s="261" t="s">
        <v>772</v>
      </c>
      <c r="C87" s="397"/>
      <c r="D87" s="396" t="s">
        <v>1238</v>
      </c>
      <c r="E87" s="260"/>
      <c r="F87" s="260"/>
      <c r="G87" s="260"/>
      <c r="H87" s="260"/>
      <c r="I87" s="260">
        <v>5133</v>
      </c>
      <c r="J87" s="260"/>
      <c r="K87" s="260"/>
      <c r="L87" s="260"/>
      <c r="M87" s="260">
        <f t="shared" si="1"/>
        <v>5133</v>
      </c>
    </row>
    <row r="88" spans="1:13" x14ac:dyDescent="0.25">
      <c r="A88" s="2">
        <v>82</v>
      </c>
      <c r="B88" s="261" t="s">
        <v>772</v>
      </c>
      <c r="C88" s="397"/>
      <c r="D88" s="396" t="s">
        <v>1238</v>
      </c>
      <c r="E88" s="260"/>
      <c r="F88" s="260"/>
      <c r="G88" s="260"/>
      <c r="H88" s="260"/>
      <c r="I88" s="260">
        <v>6369.37</v>
      </c>
      <c r="J88" s="260"/>
      <c r="K88" s="260"/>
      <c r="L88" s="260"/>
      <c r="M88" s="260">
        <f t="shared" si="1"/>
        <v>6369.37</v>
      </c>
    </row>
    <row r="89" spans="1:13" x14ac:dyDescent="0.25">
      <c r="A89" s="2">
        <v>83</v>
      </c>
      <c r="B89" s="261" t="s">
        <v>772</v>
      </c>
      <c r="C89" s="397"/>
      <c r="D89" s="396" t="s">
        <v>1238</v>
      </c>
      <c r="E89" s="260"/>
      <c r="F89" s="260"/>
      <c r="G89" s="260"/>
      <c r="H89" s="260"/>
      <c r="I89" s="260">
        <v>4549.55</v>
      </c>
      <c r="J89" s="260"/>
      <c r="K89" s="260"/>
      <c r="L89" s="260"/>
      <c r="M89" s="260">
        <f t="shared" si="1"/>
        <v>4549.55</v>
      </c>
    </row>
    <row r="90" spans="1:13" x14ac:dyDescent="0.25">
      <c r="A90" s="2">
        <v>84</v>
      </c>
      <c r="B90" s="261" t="s">
        <v>772</v>
      </c>
      <c r="C90" s="397"/>
      <c r="D90" s="396" t="s">
        <v>1238</v>
      </c>
      <c r="E90" s="260"/>
      <c r="F90" s="260"/>
      <c r="G90" s="260"/>
      <c r="H90" s="260"/>
      <c r="I90" s="260">
        <v>673433.54</v>
      </c>
      <c r="J90" s="260"/>
      <c r="K90" s="260"/>
      <c r="L90" s="260"/>
      <c r="M90" s="260">
        <f t="shared" si="1"/>
        <v>673433.54</v>
      </c>
    </row>
    <row r="91" spans="1:13" x14ac:dyDescent="0.25">
      <c r="A91" s="2">
        <v>85</v>
      </c>
      <c r="B91" s="261" t="s">
        <v>788</v>
      </c>
      <c r="C91" s="397"/>
      <c r="D91" s="396" t="s">
        <v>1238</v>
      </c>
      <c r="E91" s="260"/>
      <c r="F91" s="260"/>
      <c r="G91" s="260"/>
      <c r="H91" s="260"/>
      <c r="I91" s="260">
        <v>244288.8</v>
      </c>
      <c r="J91" s="260"/>
      <c r="K91" s="260"/>
      <c r="L91" s="260"/>
      <c r="M91" s="260">
        <f t="shared" si="1"/>
        <v>244288.8</v>
      </c>
    </row>
    <row r="92" spans="1:13" x14ac:dyDescent="0.25">
      <c r="A92" s="2">
        <v>86</v>
      </c>
      <c r="B92" s="261" t="s">
        <v>1229</v>
      </c>
      <c r="C92" s="397"/>
      <c r="D92" s="396" t="s">
        <v>1238</v>
      </c>
      <c r="E92" s="260"/>
      <c r="F92" s="260"/>
      <c r="G92" s="260"/>
      <c r="H92" s="260"/>
      <c r="I92" s="260"/>
      <c r="J92" s="396">
        <v>25000</v>
      </c>
      <c r="K92" s="260"/>
      <c r="L92" s="260"/>
      <c r="M92" s="260">
        <f t="shared" si="1"/>
        <v>25000</v>
      </c>
    </row>
    <row r="93" spans="1:13" x14ac:dyDescent="0.25">
      <c r="A93" s="2">
        <v>87</v>
      </c>
      <c r="B93" s="261" t="s">
        <v>772</v>
      </c>
      <c r="C93" s="397"/>
      <c r="D93" s="396" t="s">
        <v>1238</v>
      </c>
      <c r="E93" s="260"/>
      <c r="F93" s="260"/>
      <c r="G93" s="260"/>
      <c r="H93" s="260"/>
      <c r="I93" s="260"/>
      <c r="J93" s="396">
        <v>5459.46</v>
      </c>
      <c r="K93" s="260"/>
      <c r="L93" s="260"/>
      <c r="M93" s="260">
        <f t="shared" si="1"/>
        <v>5459.46</v>
      </c>
    </row>
    <row r="94" spans="1:13" x14ac:dyDescent="0.25">
      <c r="A94" s="2">
        <v>88</v>
      </c>
      <c r="B94" s="261" t="s">
        <v>720</v>
      </c>
      <c r="C94" s="397"/>
      <c r="D94" s="396" t="s">
        <v>1238</v>
      </c>
      <c r="E94" s="260"/>
      <c r="F94" s="260"/>
      <c r="G94" s="260"/>
      <c r="H94" s="260"/>
      <c r="I94" s="260"/>
      <c r="J94" s="396">
        <v>226357.04</v>
      </c>
      <c r="K94" s="260"/>
      <c r="L94" s="260"/>
      <c r="M94" s="260">
        <f t="shared" si="1"/>
        <v>226357.04</v>
      </c>
    </row>
    <row r="95" spans="1:13" x14ac:dyDescent="0.25">
      <c r="A95" s="2">
        <v>89</v>
      </c>
      <c r="B95" s="261" t="s">
        <v>772</v>
      </c>
      <c r="C95" s="397"/>
      <c r="D95" s="396" t="s">
        <v>1238</v>
      </c>
      <c r="E95" s="260"/>
      <c r="F95" s="260"/>
      <c r="G95" s="260"/>
      <c r="H95" s="260"/>
      <c r="I95" s="260"/>
      <c r="J95" s="396">
        <v>8982.75</v>
      </c>
      <c r="K95" s="260"/>
      <c r="L95" s="260"/>
      <c r="M95" s="260">
        <f t="shared" si="1"/>
        <v>8982.75</v>
      </c>
    </row>
    <row r="96" spans="1:13" x14ac:dyDescent="0.25">
      <c r="A96" s="2">
        <v>90</v>
      </c>
      <c r="B96" s="261" t="s">
        <v>772</v>
      </c>
      <c r="C96" s="397"/>
      <c r="D96" s="396" t="s">
        <v>1238</v>
      </c>
      <c r="E96" s="260"/>
      <c r="F96" s="260"/>
      <c r="G96" s="260"/>
      <c r="H96" s="260"/>
      <c r="I96" s="260"/>
      <c r="J96" s="396">
        <v>5459.46</v>
      </c>
      <c r="K96" s="260"/>
      <c r="L96" s="260"/>
      <c r="M96" s="260">
        <f t="shared" si="1"/>
        <v>5459.46</v>
      </c>
    </row>
    <row r="97" spans="1:13" x14ac:dyDescent="0.25">
      <c r="A97" s="2">
        <v>91</v>
      </c>
      <c r="B97" s="261" t="s">
        <v>727</v>
      </c>
      <c r="C97" s="397"/>
      <c r="D97" s="396" t="s">
        <v>1238</v>
      </c>
      <c r="E97" s="260"/>
      <c r="F97" s="260"/>
      <c r="G97" s="260"/>
      <c r="H97" s="260"/>
      <c r="I97" s="260"/>
      <c r="J97" s="396">
        <v>20060</v>
      </c>
      <c r="K97" s="260"/>
      <c r="L97" s="260"/>
      <c r="M97" s="260">
        <f t="shared" si="1"/>
        <v>20060</v>
      </c>
    </row>
    <row r="98" spans="1:13" x14ac:dyDescent="0.25">
      <c r="A98" s="2">
        <v>92</v>
      </c>
      <c r="B98" s="261" t="s">
        <v>772</v>
      </c>
      <c r="C98" s="397"/>
      <c r="D98" s="396" t="s">
        <v>1238</v>
      </c>
      <c r="E98" s="260"/>
      <c r="F98" s="260"/>
      <c r="G98" s="260"/>
      <c r="H98" s="260"/>
      <c r="I98" s="260"/>
      <c r="J98" s="396">
        <v>5459.46</v>
      </c>
      <c r="K98" s="260"/>
      <c r="L98" s="260"/>
      <c r="M98" s="260">
        <f t="shared" si="1"/>
        <v>5459.46</v>
      </c>
    </row>
    <row r="99" spans="1:13" x14ac:dyDescent="0.25">
      <c r="A99" s="2">
        <v>93</v>
      </c>
      <c r="B99" s="261" t="s">
        <v>772</v>
      </c>
      <c r="C99" s="397"/>
      <c r="D99" s="396" t="s">
        <v>1238</v>
      </c>
      <c r="E99" s="260"/>
      <c r="F99" s="260"/>
      <c r="G99" s="260"/>
      <c r="H99" s="260"/>
      <c r="I99" s="260"/>
      <c r="J99" s="396">
        <v>386946.77</v>
      </c>
      <c r="K99" s="260"/>
      <c r="L99" s="260"/>
      <c r="M99" s="260">
        <f t="shared" si="1"/>
        <v>386946.77</v>
      </c>
    </row>
    <row r="100" spans="1:13" x14ac:dyDescent="0.25">
      <c r="A100" s="2">
        <v>94</v>
      </c>
      <c r="B100" s="261" t="s">
        <v>772</v>
      </c>
      <c r="C100" s="397"/>
      <c r="D100" s="396" t="s">
        <v>1238</v>
      </c>
      <c r="E100" s="260"/>
      <c r="F100" s="260"/>
      <c r="G100" s="260"/>
      <c r="H100" s="260"/>
      <c r="I100" s="260"/>
      <c r="J100" s="396">
        <v>13698.11</v>
      </c>
      <c r="K100" s="260"/>
      <c r="L100" s="260"/>
      <c r="M100" s="260">
        <f t="shared" si="1"/>
        <v>13698.11</v>
      </c>
    </row>
    <row r="101" spans="1:13" x14ac:dyDescent="0.25">
      <c r="A101" s="2">
        <v>95</v>
      </c>
      <c r="B101" s="261" t="s">
        <v>772</v>
      </c>
      <c r="C101" s="397"/>
      <c r="D101" s="396" t="s">
        <v>1238</v>
      </c>
      <c r="E101" s="260"/>
      <c r="F101" s="260"/>
      <c r="G101" s="260"/>
      <c r="H101" s="260"/>
      <c r="I101" s="260"/>
      <c r="J101" s="396">
        <v>4549.55</v>
      </c>
      <c r="K101" s="260"/>
      <c r="L101" s="260"/>
      <c r="M101" s="260">
        <f t="shared" si="1"/>
        <v>4549.55</v>
      </c>
    </row>
    <row r="102" spans="1:13" x14ac:dyDescent="0.25">
      <c r="A102" s="2">
        <v>96</v>
      </c>
      <c r="B102" s="261" t="s">
        <v>772</v>
      </c>
      <c r="C102" s="397"/>
      <c r="D102" s="396" t="s">
        <v>1238</v>
      </c>
      <c r="E102" s="260"/>
      <c r="F102" s="260"/>
      <c r="G102" s="260"/>
      <c r="H102" s="260"/>
      <c r="I102" s="260"/>
      <c r="J102" s="396">
        <v>889801.17</v>
      </c>
      <c r="K102" s="260"/>
      <c r="L102" s="260"/>
      <c r="M102" s="260">
        <f t="shared" si="1"/>
        <v>889801.17</v>
      </c>
    </row>
    <row r="103" spans="1:13" x14ac:dyDescent="0.25">
      <c r="A103" s="2">
        <v>97</v>
      </c>
      <c r="B103" s="261" t="s">
        <v>693</v>
      </c>
      <c r="C103" s="397"/>
      <c r="D103" s="396" t="s">
        <v>1238</v>
      </c>
      <c r="E103" s="260"/>
      <c r="F103" s="260"/>
      <c r="G103" s="260"/>
      <c r="H103" s="260"/>
      <c r="I103" s="260"/>
      <c r="J103" s="396">
        <v>69561</v>
      </c>
      <c r="K103" s="260"/>
      <c r="L103" s="260"/>
      <c r="M103" s="260">
        <f t="shared" si="1"/>
        <v>69561</v>
      </c>
    </row>
    <row r="104" spans="1:13" x14ac:dyDescent="0.25">
      <c r="A104" s="2">
        <v>98</v>
      </c>
      <c r="B104" s="261" t="s">
        <v>772</v>
      </c>
      <c r="C104" s="397"/>
      <c r="D104" s="396" t="s">
        <v>1238</v>
      </c>
      <c r="E104" s="260"/>
      <c r="F104" s="260"/>
      <c r="G104" s="260"/>
      <c r="H104" s="260"/>
      <c r="I104" s="260"/>
      <c r="J104" s="396">
        <v>6369.37</v>
      </c>
      <c r="K104" s="260"/>
      <c r="L104" s="260"/>
      <c r="M104" s="260">
        <f t="shared" si="1"/>
        <v>6369.37</v>
      </c>
    </row>
    <row r="105" spans="1:13" x14ac:dyDescent="0.25">
      <c r="A105" s="2">
        <v>99</v>
      </c>
      <c r="B105" s="261" t="s">
        <v>772</v>
      </c>
      <c r="C105" s="397"/>
      <c r="D105" s="396" t="s">
        <v>1238</v>
      </c>
      <c r="E105" s="260"/>
      <c r="F105" s="260"/>
      <c r="G105" s="260"/>
      <c r="H105" s="260"/>
      <c r="I105" s="260"/>
      <c r="J105" s="396">
        <v>6688.76</v>
      </c>
      <c r="K105" s="260"/>
      <c r="L105" s="260"/>
      <c r="M105" s="260">
        <f t="shared" si="1"/>
        <v>6688.76</v>
      </c>
    </row>
    <row r="106" spans="1:13" x14ac:dyDescent="0.25">
      <c r="A106" s="2">
        <v>100</v>
      </c>
      <c r="B106" s="261" t="s">
        <v>772</v>
      </c>
      <c r="C106" s="397"/>
      <c r="D106" s="396" t="s">
        <v>1238</v>
      </c>
      <c r="E106" s="260"/>
      <c r="F106" s="260"/>
      <c r="G106" s="260"/>
      <c r="H106" s="260"/>
      <c r="I106" s="260"/>
      <c r="J106" s="396">
        <v>11549.25</v>
      </c>
      <c r="K106" s="260"/>
      <c r="L106" s="260"/>
      <c r="M106" s="260">
        <f t="shared" si="1"/>
        <v>11549.25</v>
      </c>
    </row>
    <row r="107" spans="1:13" x14ac:dyDescent="0.25">
      <c r="A107" s="2">
        <v>101</v>
      </c>
      <c r="B107" s="261" t="s">
        <v>772</v>
      </c>
      <c r="C107" s="397"/>
      <c r="D107" s="396" t="s">
        <v>1238</v>
      </c>
      <c r="E107" s="260"/>
      <c r="F107" s="260"/>
      <c r="G107" s="260"/>
      <c r="H107" s="260"/>
      <c r="I107" s="260"/>
      <c r="J107" s="396">
        <v>9099.1</v>
      </c>
      <c r="K107" s="260"/>
      <c r="L107" s="260"/>
      <c r="M107" s="260">
        <f t="shared" si="1"/>
        <v>9099.1</v>
      </c>
    </row>
    <row r="108" spans="1:13" x14ac:dyDescent="0.25">
      <c r="A108" s="2">
        <v>102</v>
      </c>
      <c r="B108" s="261" t="s">
        <v>772</v>
      </c>
      <c r="C108" s="397"/>
      <c r="D108" s="396" t="s">
        <v>1238</v>
      </c>
      <c r="E108" s="260"/>
      <c r="F108" s="260"/>
      <c r="G108" s="260"/>
      <c r="H108" s="260"/>
      <c r="I108" s="260"/>
      <c r="J108" s="396">
        <v>7279.28</v>
      </c>
      <c r="K108" s="260"/>
      <c r="L108" s="260"/>
      <c r="M108" s="260">
        <f t="shared" si="1"/>
        <v>7279.28</v>
      </c>
    </row>
    <row r="109" spans="1:13" x14ac:dyDescent="0.25">
      <c r="A109" s="2">
        <v>103</v>
      </c>
      <c r="B109" s="261" t="s">
        <v>680</v>
      </c>
      <c r="C109" s="397"/>
      <c r="D109" s="396" t="s">
        <v>1238</v>
      </c>
      <c r="E109" s="260"/>
      <c r="F109" s="260"/>
      <c r="G109" s="260"/>
      <c r="H109" s="260"/>
      <c r="I109" s="260"/>
      <c r="J109" s="396">
        <v>150000</v>
      </c>
      <c r="K109" s="260"/>
      <c r="L109" s="260"/>
      <c r="M109" s="260">
        <f t="shared" si="1"/>
        <v>150000</v>
      </c>
    </row>
    <row r="110" spans="1:13" x14ac:dyDescent="0.25">
      <c r="A110" s="2">
        <v>104</v>
      </c>
      <c r="B110" s="261" t="s">
        <v>772</v>
      </c>
      <c r="C110" s="397"/>
      <c r="D110" s="396" t="s">
        <v>1238</v>
      </c>
      <c r="E110" s="260"/>
      <c r="F110" s="260"/>
      <c r="G110" s="260"/>
      <c r="H110" s="260"/>
      <c r="I110" s="260"/>
      <c r="J110" s="396">
        <v>4549.55</v>
      </c>
      <c r="K110" s="260"/>
      <c r="L110" s="260"/>
      <c r="M110" s="260">
        <f t="shared" si="1"/>
        <v>4549.55</v>
      </c>
    </row>
    <row r="111" spans="1:13" x14ac:dyDescent="0.25">
      <c r="A111" s="2">
        <v>105</v>
      </c>
      <c r="B111" s="261" t="s">
        <v>691</v>
      </c>
      <c r="C111" s="397"/>
      <c r="D111" s="396" t="s">
        <v>1238</v>
      </c>
      <c r="E111" s="260"/>
      <c r="F111" s="260"/>
      <c r="G111" s="260"/>
      <c r="H111" s="260"/>
      <c r="I111" s="260"/>
      <c r="J111" s="396">
        <v>249251.4</v>
      </c>
      <c r="K111" s="260"/>
      <c r="L111" s="260"/>
      <c r="M111" s="260">
        <f t="shared" si="1"/>
        <v>249251.4</v>
      </c>
    </row>
    <row r="112" spans="1:13" x14ac:dyDescent="0.25">
      <c r="A112" s="2">
        <v>106</v>
      </c>
      <c r="B112" s="261" t="s">
        <v>772</v>
      </c>
      <c r="C112" s="397"/>
      <c r="D112" s="396" t="s">
        <v>1238</v>
      </c>
      <c r="E112" s="260"/>
      <c r="F112" s="260"/>
      <c r="G112" s="260"/>
      <c r="H112" s="260"/>
      <c r="I112" s="260"/>
      <c r="J112" s="396">
        <v>7689.05</v>
      </c>
      <c r="K112" s="260"/>
      <c r="L112" s="260"/>
      <c r="M112" s="260">
        <f t="shared" si="1"/>
        <v>7689.05</v>
      </c>
    </row>
    <row r="113" spans="1:13" x14ac:dyDescent="0.25">
      <c r="A113" s="2">
        <v>107</v>
      </c>
      <c r="B113" s="261" t="s">
        <v>791</v>
      </c>
      <c r="C113" s="397"/>
      <c r="D113" s="396" t="s">
        <v>1238</v>
      </c>
      <c r="E113" s="260"/>
      <c r="F113" s="260"/>
      <c r="G113" s="260"/>
      <c r="H113" s="260"/>
      <c r="I113" s="260"/>
      <c r="J113" s="396">
        <v>158120</v>
      </c>
      <c r="K113" s="260"/>
      <c r="L113" s="260"/>
      <c r="M113" s="260">
        <f t="shared" si="1"/>
        <v>158120</v>
      </c>
    </row>
    <row r="114" spans="1:13" x14ac:dyDescent="0.25">
      <c r="A114" s="2">
        <v>108</v>
      </c>
      <c r="B114" s="261" t="s">
        <v>1229</v>
      </c>
      <c r="C114" s="397"/>
      <c r="D114" s="396" t="s">
        <v>1238</v>
      </c>
      <c r="E114" s="260"/>
      <c r="F114" s="260"/>
      <c r="G114" s="260"/>
      <c r="H114" s="260"/>
      <c r="I114" s="260"/>
      <c r="J114" s="260"/>
      <c r="K114" s="260">
        <v>25000</v>
      </c>
      <c r="L114" s="260"/>
      <c r="M114" s="260">
        <f t="shared" si="1"/>
        <v>25000</v>
      </c>
    </row>
    <row r="115" spans="1:13" x14ac:dyDescent="0.25">
      <c r="A115" s="2">
        <v>109</v>
      </c>
      <c r="B115" s="261" t="s">
        <v>772</v>
      </c>
      <c r="C115" s="397"/>
      <c r="D115" s="396" t="s">
        <v>1238</v>
      </c>
      <c r="E115" s="260"/>
      <c r="F115" s="260"/>
      <c r="G115" s="260"/>
      <c r="H115" s="260"/>
      <c r="I115" s="260"/>
      <c r="J115" s="260"/>
      <c r="K115" s="260">
        <v>5508.92</v>
      </c>
      <c r="L115" s="260"/>
      <c r="M115" s="260">
        <f t="shared" si="1"/>
        <v>5508.92</v>
      </c>
    </row>
    <row r="116" spans="1:13" x14ac:dyDescent="0.25">
      <c r="A116" s="2">
        <v>110</v>
      </c>
      <c r="B116" s="261" t="s">
        <v>727</v>
      </c>
      <c r="C116" s="397"/>
      <c r="D116" s="396" t="s">
        <v>1238</v>
      </c>
      <c r="E116" s="260"/>
      <c r="F116" s="260"/>
      <c r="G116" s="260"/>
      <c r="H116" s="260"/>
      <c r="I116" s="260"/>
      <c r="J116" s="260"/>
      <c r="K116" s="260">
        <v>454300</v>
      </c>
      <c r="L116" s="260"/>
      <c r="M116" s="260">
        <f t="shared" si="1"/>
        <v>454300</v>
      </c>
    </row>
    <row r="117" spans="1:13" x14ac:dyDescent="0.25">
      <c r="A117" s="2">
        <v>111</v>
      </c>
      <c r="B117" s="261" t="s">
        <v>727</v>
      </c>
      <c r="C117" s="397"/>
      <c r="D117" s="396" t="s">
        <v>1238</v>
      </c>
      <c r="E117" s="260"/>
      <c r="F117" s="260"/>
      <c r="G117" s="260"/>
      <c r="H117" s="260"/>
      <c r="I117" s="260"/>
      <c r="J117" s="260"/>
      <c r="K117" s="260">
        <v>66080</v>
      </c>
      <c r="L117" s="260"/>
      <c r="M117" s="260">
        <f t="shared" si="1"/>
        <v>66080</v>
      </c>
    </row>
    <row r="118" spans="1:13" x14ac:dyDescent="0.25">
      <c r="A118" s="2">
        <v>112</v>
      </c>
      <c r="B118" s="261" t="s">
        <v>767</v>
      </c>
      <c r="C118" s="397"/>
      <c r="D118" s="396" t="s">
        <v>1238</v>
      </c>
      <c r="E118" s="260"/>
      <c r="F118" s="260"/>
      <c r="G118" s="260"/>
      <c r="H118" s="260"/>
      <c r="I118" s="260"/>
      <c r="J118" s="260"/>
      <c r="K118" s="260">
        <v>109657.60000000001</v>
      </c>
      <c r="L118" s="260"/>
      <c r="M118" s="260">
        <f t="shared" si="1"/>
        <v>109657.60000000001</v>
      </c>
    </row>
    <row r="119" spans="1:13" x14ac:dyDescent="0.25">
      <c r="A119" s="2">
        <v>113</v>
      </c>
      <c r="B119" s="261" t="s">
        <v>792</v>
      </c>
      <c r="C119" s="397"/>
      <c r="D119" s="396" t="s">
        <v>1238</v>
      </c>
      <c r="E119" s="260"/>
      <c r="F119" s="260"/>
      <c r="G119" s="260"/>
      <c r="H119" s="260"/>
      <c r="I119" s="260"/>
      <c r="J119" s="260"/>
      <c r="K119" s="260">
        <v>212400</v>
      </c>
      <c r="L119" s="260"/>
      <c r="M119" s="260">
        <f t="shared" si="1"/>
        <v>212400</v>
      </c>
    </row>
    <row r="120" spans="1:13" x14ac:dyDescent="0.25">
      <c r="A120" s="2">
        <v>114</v>
      </c>
      <c r="B120" s="261" t="s">
        <v>792</v>
      </c>
      <c r="C120" s="397"/>
      <c r="D120" s="396" t="s">
        <v>1238</v>
      </c>
      <c r="E120" s="260"/>
      <c r="F120" s="260"/>
      <c r="G120" s="260"/>
      <c r="H120" s="260"/>
      <c r="I120" s="260"/>
      <c r="J120" s="260"/>
      <c r="K120" s="260">
        <v>123900</v>
      </c>
      <c r="L120" s="260"/>
      <c r="M120" s="260">
        <f t="shared" si="1"/>
        <v>123900</v>
      </c>
    </row>
    <row r="121" spans="1:13" x14ac:dyDescent="0.25">
      <c r="A121" s="2">
        <v>115</v>
      </c>
      <c r="B121" s="261" t="s">
        <v>761</v>
      </c>
      <c r="C121" s="397"/>
      <c r="D121" s="396" t="s">
        <v>1238</v>
      </c>
      <c r="E121" s="260"/>
      <c r="F121" s="260"/>
      <c r="G121" s="260"/>
      <c r="H121" s="260"/>
      <c r="I121" s="260"/>
      <c r="J121" s="260"/>
      <c r="K121" s="260">
        <v>2300</v>
      </c>
      <c r="L121" s="260"/>
      <c r="M121" s="260">
        <f t="shared" si="1"/>
        <v>2300</v>
      </c>
    </row>
    <row r="122" spans="1:13" x14ac:dyDescent="0.25">
      <c r="A122" s="2">
        <v>116</v>
      </c>
      <c r="B122" s="261" t="s">
        <v>792</v>
      </c>
      <c r="C122" s="397"/>
      <c r="D122" s="396" t="s">
        <v>1238</v>
      </c>
      <c r="E122" s="260"/>
      <c r="F122" s="260"/>
      <c r="G122" s="260"/>
      <c r="H122" s="260"/>
      <c r="I122" s="260"/>
      <c r="J122" s="260"/>
      <c r="K122" s="260">
        <v>135700</v>
      </c>
      <c r="L122" s="260"/>
      <c r="M122" s="260">
        <f t="shared" si="1"/>
        <v>135700</v>
      </c>
    </row>
    <row r="123" spans="1:13" x14ac:dyDescent="0.25">
      <c r="A123" s="2">
        <v>117</v>
      </c>
      <c r="B123" s="261" t="s">
        <v>772</v>
      </c>
      <c r="C123" s="397"/>
      <c r="D123" s="396" t="s">
        <v>1238</v>
      </c>
      <c r="E123" s="260"/>
      <c r="F123" s="260"/>
      <c r="G123" s="260"/>
      <c r="H123" s="260"/>
      <c r="I123" s="260"/>
      <c r="J123" s="260"/>
      <c r="K123" s="260">
        <v>8189.19</v>
      </c>
      <c r="L123" s="260"/>
      <c r="M123" s="260">
        <f t="shared" si="1"/>
        <v>8189.19</v>
      </c>
    </row>
    <row r="124" spans="1:13" x14ac:dyDescent="0.25">
      <c r="A124" s="2">
        <v>118</v>
      </c>
      <c r="B124" s="261" t="s">
        <v>772</v>
      </c>
      <c r="C124" s="397"/>
      <c r="D124" s="396" t="s">
        <v>1238</v>
      </c>
      <c r="E124" s="260"/>
      <c r="F124" s="260"/>
      <c r="G124" s="260"/>
      <c r="H124" s="260"/>
      <c r="I124" s="260"/>
      <c r="J124" s="260"/>
      <c r="K124" s="260">
        <v>687457.37</v>
      </c>
      <c r="L124" s="260"/>
      <c r="M124" s="260">
        <f t="shared" si="1"/>
        <v>687457.37</v>
      </c>
    </row>
    <row r="125" spans="1:13" x14ac:dyDescent="0.25">
      <c r="A125" s="2">
        <v>119</v>
      </c>
      <c r="B125" s="261" t="s">
        <v>1230</v>
      </c>
      <c r="C125" s="397"/>
      <c r="D125" s="396" t="s">
        <v>1238</v>
      </c>
      <c r="E125" s="260"/>
      <c r="F125" s="260"/>
      <c r="G125" s="260"/>
      <c r="H125" s="260"/>
      <c r="I125" s="260"/>
      <c r="J125" s="260"/>
      <c r="K125" s="260">
        <v>90000</v>
      </c>
      <c r="L125" s="260"/>
      <c r="M125" s="260">
        <f t="shared" si="1"/>
        <v>90000</v>
      </c>
    </row>
    <row r="126" spans="1:13" x14ac:dyDescent="0.25">
      <c r="A126" s="2">
        <v>120</v>
      </c>
      <c r="B126" s="261" t="s">
        <v>794</v>
      </c>
      <c r="C126" s="397"/>
      <c r="D126" s="396" t="s">
        <v>1238</v>
      </c>
      <c r="E126" s="260"/>
      <c r="F126" s="260"/>
      <c r="G126" s="260"/>
      <c r="H126" s="260"/>
      <c r="I126" s="260"/>
      <c r="J126" s="260"/>
      <c r="K126" s="260">
        <v>54008.6</v>
      </c>
      <c r="L126" s="260"/>
      <c r="M126" s="260">
        <f t="shared" si="1"/>
        <v>54008.6</v>
      </c>
    </row>
    <row r="127" spans="1:13" x14ac:dyDescent="0.25">
      <c r="A127" s="2">
        <v>121</v>
      </c>
      <c r="B127" s="261" t="s">
        <v>772</v>
      </c>
      <c r="C127" s="397"/>
      <c r="D127" s="396" t="s">
        <v>1238</v>
      </c>
      <c r="E127" s="260"/>
      <c r="F127" s="260"/>
      <c r="G127" s="260"/>
      <c r="H127" s="260"/>
      <c r="I127" s="260"/>
      <c r="J127" s="260"/>
      <c r="K127" s="260">
        <v>8189.19</v>
      </c>
      <c r="L127" s="260"/>
      <c r="M127" s="260">
        <f t="shared" si="1"/>
        <v>8189.19</v>
      </c>
    </row>
    <row r="128" spans="1:13" x14ac:dyDescent="0.25">
      <c r="A128" s="2">
        <v>122</v>
      </c>
      <c r="B128" s="261" t="s">
        <v>785</v>
      </c>
      <c r="C128" s="397"/>
      <c r="D128" s="396" t="s">
        <v>1238</v>
      </c>
      <c r="E128" s="260"/>
      <c r="F128" s="260"/>
      <c r="G128" s="260"/>
      <c r="H128" s="260"/>
      <c r="I128" s="260"/>
      <c r="J128" s="260"/>
      <c r="K128" s="260">
        <v>33177</v>
      </c>
      <c r="L128" s="260"/>
      <c r="M128" s="260">
        <f t="shared" si="1"/>
        <v>33177</v>
      </c>
    </row>
    <row r="129" spans="1:13" x14ac:dyDescent="0.25">
      <c r="A129" s="2">
        <v>123</v>
      </c>
      <c r="B129" s="261" t="s">
        <v>711</v>
      </c>
      <c r="C129" s="397"/>
      <c r="D129" s="396" t="s">
        <v>1238</v>
      </c>
      <c r="E129" s="260"/>
      <c r="F129" s="260"/>
      <c r="G129" s="260"/>
      <c r="H129" s="260"/>
      <c r="I129" s="260"/>
      <c r="J129" s="260"/>
      <c r="K129" s="260">
        <v>262100</v>
      </c>
      <c r="L129" s="260"/>
      <c r="M129" s="260">
        <f t="shared" si="1"/>
        <v>262100</v>
      </c>
    </row>
    <row r="130" spans="1:13" x14ac:dyDescent="0.25">
      <c r="A130" s="2">
        <v>124</v>
      </c>
      <c r="B130" s="261" t="s">
        <v>761</v>
      </c>
      <c r="C130" s="397"/>
      <c r="D130" s="396" t="s">
        <v>1238</v>
      </c>
      <c r="E130" s="260"/>
      <c r="F130" s="260"/>
      <c r="G130" s="260"/>
      <c r="H130" s="260"/>
      <c r="I130" s="260"/>
      <c r="J130" s="260"/>
      <c r="K130" s="260">
        <v>2875</v>
      </c>
      <c r="L130" s="260"/>
      <c r="M130" s="260">
        <f t="shared" si="1"/>
        <v>2875</v>
      </c>
    </row>
    <row r="131" spans="1:13" x14ac:dyDescent="0.25">
      <c r="A131" s="2">
        <v>125</v>
      </c>
      <c r="B131" s="261" t="s">
        <v>772</v>
      </c>
      <c r="C131" s="397"/>
      <c r="D131" s="396" t="s">
        <v>1238</v>
      </c>
      <c r="E131" s="260"/>
      <c r="F131" s="260"/>
      <c r="G131" s="260"/>
      <c r="H131" s="260"/>
      <c r="I131" s="260"/>
      <c r="J131" s="260"/>
      <c r="K131" s="260">
        <v>8189.19</v>
      </c>
      <c r="L131" s="260"/>
      <c r="M131" s="260">
        <f t="shared" si="1"/>
        <v>8189.19</v>
      </c>
    </row>
    <row r="132" spans="1:13" x14ac:dyDescent="0.25">
      <c r="A132" s="2">
        <v>126</v>
      </c>
      <c r="B132" s="261" t="s">
        <v>727</v>
      </c>
      <c r="C132" s="397"/>
      <c r="D132" s="396" t="s">
        <v>1238</v>
      </c>
      <c r="E132" s="260"/>
      <c r="F132" s="260"/>
      <c r="G132" s="260"/>
      <c r="H132" s="260"/>
      <c r="I132" s="260"/>
      <c r="J132" s="260"/>
      <c r="K132" s="260">
        <v>636020</v>
      </c>
      <c r="L132" s="260"/>
      <c r="M132" s="260">
        <f t="shared" si="1"/>
        <v>636020</v>
      </c>
    </row>
    <row r="133" spans="1:13" x14ac:dyDescent="0.25">
      <c r="A133" s="2">
        <v>127</v>
      </c>
      <c r="B133" s="261" t="s">
        <v>727</v>
      </c>
      <c r="C133" s="397"/>
      <c r="D133" s="396" t="s">
        <v>1238</v>
      </c>
      <c r="E133" s="260"/>
      <c r="F133" s="260"/>
      <c r="G133" s="260"/>
      <c r="H133" s="260"/>
      <c r="I133" s="260"/>
      <c r="J133" s="260"/>
      <c r="K133" s="260">
        <v>137691.84</v>
      </c>
      <c r="L133" s="260"/>
      <c r="M133" s="260">
        <f t="shared" si="1"/>
        <v>137691.84</v>
      </c>
    </row>
    <row r="134" spans="1:13" x14ac:dyDescent="0.25">
      <c r="A134" s="2">
        <v>128</v>
      </c>
      <c r="B134" s="261" t="s">
        <v>1231</v>
      </c>
      <c r="C134" s="397"/>
      <c r="D134" s="396" t="s">
        <v>1238</v>
      </c>
      <c r="E134" s="260"/>
      <c r="F134" s="260"/>
      <c r="G134" s="260"/>
      <c r="H134" s="260"/>
      <c r="I134" s="260"/>
      <c r="J134" s="260"/>
      <c r="K134" s="260">
        <v>943434.36</v>
      </c>
      <c r="L134" s="260"/>
      <c r="M134" s="260">
        <f t="shared" si="1"/>
        <v>943434.36</v>
      </c>
    </row>
    <row r="135" spans="1:13" x14ac:dyDescent="0.25">
      <c r="A135" s="2">
        <v>129</v>
      </c>
      <c r="B135" s="261" t="s">
        <v>711</v>
      </c>
      <c r="C135" s="397"/>
      <c r="D135" s="396" t="s">
        <v>1238</v>
      </c>
      <c r="E135" s="260"/>
      <c r="F135" s="260"/>
      <c r="G135" s="260"/>
      <c r="H135" s="260"/>
      <c r="I135" s="260"/>
      <c r="J135" s="260"/>
      <c r="K135" s="260">
        <v>149354.84</v>
      </c>
      <c r="L135" s="260"/>
      <c r="M135" s="260">
        <f t="shared" si="1"/>
        <v>149354.84</v>
      </c>
    </row>
    <row r="136" spans="1:13" x14ac:dyDescent="0.25">
      <c r="A136" s="2">
        <v>130</v>
      </c>
      <c r="B136" s="261" t="s">
        <v>724</v>
      </c>
      <c r="C136" s="397"/>
      <c r="D136" s="396" t="s">
        <v>1238</v>
      </c>
      <c r="E136" s="260"/>
      <c r="F136" s="260"/>
      <c r="G136" s="260"/>
      <c r="H136" s="260"/>
      <c r="I136" s="260"/>
      <c r="J136" s="260"/>
      <c r="K136" s="260">
        <v>44078.9</v>
      </c>
      <c r="L136" s="260"/>
      <c r="M136" s="260">
        <f t="shared" ref="M136:M193" si="2">SUM(E136:L136)</f>
        <v>44078.9</v>
      </c>
    </row>
    <row r="137" spans="1:13" x14ac:dyDescent="0.25">
      <c r="A137" s="2">
        <v>131</v>
      </c>
      <c r="B137" s="261" t="s">
        <v>772</v>
      </c>
      <c r="C137" s="397"/>
      <c r="D137" s="396" t="s">
        <v>1238</v>
      </c>
      <c r="E137" s="260"/>
      <c r="F137" s="260"/>
      <c r="G137" s="260"/>
      <c r="H137" s="260"/>
      <c r="I137" s="260"/>
      <c r="J137" s="260"/>
      <c r="K137" s="260">
        <v>6369.37</v>
      </c>
      <c r="L137" s="260"/>
      <c r="M137" s="260">
        <f t="shared" si="2"/>
        <v>6369.37</v>
      </c>
    </row>
    <row r="138" spans="1:13" x14ac:dyDescent="0.25">
      <c r="A138" s="2">
        <v>132</v>
      </c>
      <c r="B138" s="261" t="s">
        <v>1232</v>
      </c>
      <c r="C138" s="397"/>
      <c r="D138" s="396" t="s">
        <v>1238</v>
      </c>
      <c r="E138" s="260"/>
      <c r="F138" s="260"/>
      <c r="G138" s="260"/>
      <c r="H138" s="260"/>
      <c r="I138" s="260"/>
      <c r="J138" s="260"/>
      <c r="K138" s="260">
        <v>301767.42</v>
      </c>
      <c r="L138" s="260"/>
      <c r="M138" s="260">
        <f t="shared" si="2"/>
        <v>301767.42</v>
      </c>
    </row>
    <row r="139" spans="1:13" x14ac:dyDescent="0.25">
      <c r="A139" s="2">
        <v>133</v>
      </c>
      <c r="B139" s="261" t="s">
        <v>724</v>
      </c>
      <c r="C139" s="397"/>
      <c r="D139" s="396" t="s">
        <v>1238</v>
      </c>
      <c r="E139" s="260"/>
      <c r="F139" s="260"/>
      <c r="G139" s="260"/>
      <c r="H139" s="260"/>
      <c r="I139" s="260"/>
      <c r="J139" s="260"/>
      <c r="K139" s="260">
        <v>269700.8</v>
      </c>
      <c r="L139" s="260"/>
      <c r="M139" s="260">
        <f t="shared" si="2"/>
        <v>269700.8</v>
      </c>
    </row>
    <row r="140" spans="1:13" x14ac:dyDescent="0.25">
      <c r="A140" s="2">
        <v>134</v>
      </c>
      <c r="B140" s="261" t="s">
        <v>1233</v>
      </c>
      <c r="C140" s="397"/>
      <c r="D140" s="396" t="s">
        <v>1238</v>
      </c>
      <c r="E140" s="260"/>
      <c r="F140" s="260"/>
      <c r="G140" s="260"/>
      <c r="H140" s="260"/>
      <c r="I140" s="260"/>
      <c r="J140" s="260"/>
      <c r="K140" s="260">
        <v>483497.21</v>
      </c>
      <c r="L140" s="260"/>
      <c r="M140" s="260">
        <f t="shared" si="2"/>
        <v>483497.21</v>
      </c>
    </row>
    <row r="141" spans="1:13" x14ac:dyDescent="0.25">
      <c r="A141" s="2">
        <v>135</v>
      </c>
      <c r="B141" s="261" t="s">
        <v>720</v>
      </c>
      <c r="C141" s="397"/>
      <c r="D141" s="396" t="s">
        <v>1238</v>
      </c>
      <c r="E141" s="260"/>
      <c r="F141" s="260"/>
      <c r="G141" s="260"/>
      <c r="H141" s="260"/>
      <c r="I141" s="260"/>
      <c r="J141" s="260"/>
      <c r="K141" s="260">
        <v>269925</v>
      </c>
      <c r="L141" s="260"/>
      <c r="M141" s="260">
        <f t="shared" si="2"/>
        <v>269925</v>
      </c>
    </row>
    <row r="142" spans="1:13" x14ac:dyDescent="0.25">
      <c r="A142" s="2">
        <v>136</v>
      </c>
      <c r="B142" s="261" t="s">
        <v>684</v>
      </c>
      <c r="C142" s="397"/>
      <c r="D142" s="396" t="s">
        <v>1238</v>
      </c>
      <c r="E142" s="260"/>
      <c r="F142" s="260"/>
      <c r="G142" s="260"/>
      <c r="H142" s="260"/>
      <c r="I142" s="260"/>
      <c r="J142" s="260"/>
      <c r="K142" s="260">
        <v>51330</v>
      </c>
      <c r="L142" s="260"/>
      <c r="M142" s="260">
        <f t="shared" si="2"/>
        <v>51330</v>
      </c>
    </row>
    <row r="143" spans="1:13" x14ac:dyDescent="0.25">
      <c r="A143" s="2">
        <v>137</v>
      </c>
      <c r="B143" s="261" t="s">
        <v>714</v>
      </c>
      <c r="C143" s="397"/>
      <c r="D143" s="396" t="s">
        <v>1238</v>
      </c>
      <c r="E143" s="260"/>
      <c r="F143" s="260"/>
      <c r="G143" s="260"/>
      <c r="H143" s="260"/>
      <c r="I143" s="260"/>
      <c r="J143" s="260"/>
      <c r="K143" s="260">
        <v>12331</v>
      </c>
      <c r="L143" s="260"/>
      <c r="M143" s="260">
        <f t="shared" si="2"/>
        <v>12331</v>
      </c>
    </row>
    <row r="144" spans="1:13" x14ac:dyDescent="0.25">
      <c r="A144" s="2">
        <v>138</v>
      </c>
      <c r="B144" s="261" t="s">
        <v>714</v>
      </c>
      <c r="C144" s="397"/>
      <c r="D144" s="396" t="s">
        <v>1238</v>
      </c>
      <c r="E144" s="260"/>
      <c r="F144" s="260"/>
      <c r="G144" s="260"/>
      <c r="H144" s="260"/>
      <c r="I144" s="260"/>
      <c r="J144" s="260"/>
      <c r="K144" s="260">
        <v>195880</v>
      </c>
      <c r="L144" s="260"/>
      <c r="M144" s="260">
        <f t="shared" si="2"/>
        <v>195880</v>
      </c>
    </row>
    <row r="145" spans="1:13" x14ac:dyDescent="0.25">
      <c r="A145" s="2">
        <v>139</v>
      </c>
      <c r="B145" s="261" t="s">
        <v>796</v>
      </c>
      <c r="C145" s="397"/>
      <c r="D145" s="396" t="s">
        <v>1238</v>
      </c>
      <c r="E145" s="260"/>
      <c r="F145" s="260"/>
      <c r="G145" s="260"/>
      <c r="H145" s="260"/>
      <c r="I145" s="260"/>
      <c r="J145" s="260"/>
      <c r="K145" s="260">
        <v>153400</v>
      </c>
      <c r="L145" s="260"/>
      <c r="M145" s="260">
        <f t="shared" si="2"/>
        <v>153400</v>
      </c>
    </row>
    <row r="146" spans="1:13" x14ac:dyDescent="0.25">
      <c r="A146" s="2">
        <v>140</v>
      </c>
      <c r="B146" s="261" t="s">
        <v>797</v>
      </c>
      <c r="C146" s="397"/>
      <c r="D146" s="396" t="s">
        <v>1238</v>
      </c>
      <c r="E146" s="260"/>
      <c r="F146" s="260"/>
      <c r="G146" s="260"/>
      <c r="H146" s="260"/>
      <c r="I146" s="260"/>
      <c r="J146" s="260"/>
      <c r="K146" s="260">
        <v>119557.6</v>
      </c>
      <c r="L146" s="260"/>
      <c r="M146" s="260">
        <f t="shared" si="2"/>
        <v>119557.6</v>
      </c>
    </row>
    <row r="147" spans="1:13" x14ac:dyDescent="0.25">
      <c r="A147" s="2">
        <v>141</v>
      </c>
      <c r="B147" s="261" t="s">
        <v>772</v>
      </c>
      <c r="C147" s="397"/>
      <c r="D147" s="396" t="s">
        <v>1238</v>
      </c>
      <c r="E147" s="260"/>
      <c r="F147" s="260"/>
      <c r="G147" s="260"/>
      <c r="H147" s="260"/>
      <c r="I147" s="260"/>
      <c r="J147" s="260"/>
      <c r="K147" s="260">
        <v>9099.1</v>
      </c>
      <c r="L147" s="260"/>
      <c r="M147" s="260">
        <f t="shared" si="2"/>
        <v>9099.1</v>
      </c>
    </row>
    <row r="148" spans="1:13" x14ac:dyDescent="0.25">
      <c r="A148" s="2">
        <v>142</v>
      </c>
      <c r="B148" s="261" t="s">
        <v>772</v>
      </c>
      <c r="C148" s="397"/>
      <c r="D148" s="396" t="s">
        <v>1238</v>
      </c>
      <c r="E148" s="260"/>
      <c r="F148" s="260"/>
      <c r="G148" s="260"/>
      <c r="H148" s="260"/>
      <c r="I148" s="260"/>
      <c r="J148" s="260"/>
      <c r="K148" s="260">
        <v>819682.03</v>
      </c>
      <c r="L148" s="260"/>
      <c r="M148" s="260">
        <f t="shared" si="2"/>
        <v>819682.03</v>
      </c>
    </row>
    <row r="149" spans="1:13" x14ac:dyDescent="0.25">
      <c r="A149" s="2">
        <v>143</v>
      </c>
      <c r="B149" s="261" t="s">
        <v>1229</v>
      </c>
      <c r="C149" s="397"/>
      <c r="D149" s="396" t="s">
        <v>1238</v>
      </c>
      <c r="E149" s="260"/>
      <c r="F149" s="260"/>
      <c r="G149" s="260"/>
      <c r="H149" s="260"/>
      <c r="I149" s="260"/>
      <c r="J149" s="260"/>
      <c r="K149" s="260"/>
      <c r="L149" s="396">
        <v>25000</v>
      </c>
      <c r="M149" s="260">
        <f t="shared" si="2"/>
        <v>25000</v>
      </c>
    </row>
    <row r="150" spans="1:13" x14ac:dyDescent="0.25">
      <c r="A150" s="2">
        <v>144</v>
      </c>
      <c r="B150" s="261" t="s">
        <v>1234</v>
      </c>
      <c r="C150" s="397"/>
      <c r="D150" s="396" t="s">
        <v>1238</v>
      </c>
      <c r="E150" s="260"/>
      <c r="F150" s="260"/>
      <c r="G150" s="260"/>
      <c r="H150" s="260"/>
      <c r="I150" s="260"/>
      <c r="J150" s="260"/>
      <c r="K150" s="260"/>
      <c r="L150" s="396">
        <v>413000</v>
      </c>
      <c r="M150" s="260">
        <f t="shared" si="2"/>
        <v>413000</v>
      </c>
    </row>
    <row r="151" spans="1:13" x14ac:dyDescent="0.25">
      <c r="A151" s="2">
        <v>145</v>
      </c>
      <c r="B151" s="261" t="s">
        <v>694</v>
      </c>
      <c r="C151" s="397"/>
      <c r="D151" s="396" t="s">
        <v>1238</v>
      </c>
      <c r="E151" s="260"/>
      <c r="F151" s="260"/>
      <c r="G151" s="260"/>
      <c r="H151" s="260"/>
      <c r="I151" s="260"/>
      <c r="J151" s="260"/>
      <c r="K151" s="260"/>
      <c r="L151" s="396">
        <v>216333.29</v>
      </c>
      <c r="M151" s="260">
        <f t="shared" si="2"/>
        <v>216333.29</v>
      </c>
    </row>
    <row r="152" spans="1:13" x14ac:dyDescent="0.25">
      <c r="A152" s="2">
        <v>146</v>
      </c>
      <c r="B152" s="261" t="s">
        <v>694</v>
      </c>
      <c r="C152" s="397"/>
      <c r="D152" s="396" t="s">
        <v>1238</v>
      </c>
      <c r="E152" s="260"/>
      <c r="F152" s="260"/>
      <c r="G152" s="260"/>
      <c r="H152" s="260"/>
      <c r="I152" s="260"/>
      <c r="J152" s="260"/>
      <c r="K152" s="260"/>
      <c r="L152" s="396">
        <v>216333.29</v>
      </c>
      <c r="M152" s="260">
        <f t="shared" si="2"/>
        <v>216333.29</v>
      </c>
    </row>
    <row r="153" spans="1:13" x14ac:dyDescent="0.25">
      <c r="A153" s="2">
        <v>147</v>
      </c>
      <c r="B153" s="261" t="s">
        <v>772</v>
      </c>
      <c r="C153" s="397"/>
      <c r="D153" s="396" t="s">
        <v>1238</v>
      </c>
      <c r="E153" s="260"/>
      <c r="F153" s="260"/>
      <c r="G153" s="260"/>
      <c r="H153" s="260"/>
      <c r="I153" s="260"/>
      <c r="J153" s="260"/>
      <c r="K153" s="260"/>
      <c r="L153" s="396">
        <v>8189.19</v>
      </c>
      <c r="M153" s="260">
        <f t="shared" si="2"/>
        <v>8189.19</v>
      </c>
    </row>
    <row r="154" spans="1:13" x14ac:dyDescent="0.25">
      <c r="A154" s="2">
        <v>148</v>
      </c>
      <c r="B154" s="261" t="s">
        <v>727</v>
      </c>
      <c r="C154" s="397"/>
      <c r="D154" s="396" t="s">
        <v>1238</v>
      </c>
      <c r="E154" s="260"/>
      <c r="F154" s="260"/>
      <c r="G154" s="260"/>
      <c r="H154" s="260"/>
      <c r="I154" s="260"/>
      <c r="J154" s="260"/>
      <c r="K154" s="260"/>
      <c r="L154" s="396">
        <v>96382.399999999994</v>
      </c>
      <c r="M154" s="260">
        <f t="shared" si="2"/>
        <v>96382.399999999994</v>
      </c>
    </row>
    <row r="155" spans="1:13" x14ac:dyDescent="0.25">
      <c r="A155" s="2">
        <v>149</v>
      </c>
      <c r="B155" s="261" t="s">
        <v>714</v>
      </c>
      <c r="C155" s="397"/>
      <c r="D155" s="396" t="s">
        <v>1238</v>
      </c>
      <c r="E155" s="260"/>
      <c r="F155" s="260"/>
      <c r="G155" s="260"/>
      <c r="H155" s="260"/>
      <c r="I155" s="260"/>
      <c r="J155" s="260"/>
      <c r="K155" s="260"/>
      <c r="L155" s="396">
        <v>162722</v>
      </c>
      <c r="M155" s="260">
        <f t="shared" si="2"/>
        <v>162722</v>
      </c>
    </row>
    <row r="156" spans="1:13" x14ac:dyDescent="0.25">
      <c r="A156" s="2">
        <v>150</v>
      </c>
      <c r="B156" s="261" t="s">
        <v>714</v>
      </c>
      <c r="C156" s="397"/>
      <c r="D156" s="396" t="s">
        <v>1238</v>
      </c>
      <c r="E156" s="260"/>
      <c r="F156" s="260"/>
      <c r="G156" s="260"/>
      <c r="H156" s="260"/>
      <c r="I156" s="260"/>
      <c r="J156" s="260"/>
      <c r="K156" s="260"/>
      <c r="L156" s="396">
        <v>212284</v>
      </c>
      <c r="M156" s="260">
        <f t="shared" si="2"/>
        <v>212284</v>
      </c>
    </row>
    <row r="157" spans="1:13" x14ac:dyDescent="0.25">
      <c r="A157" s="2">
        <v>151</v>
      </c>
      <c r="B157" s="261" t="s">
        <v>797</v>
      </c>
      <c r="C157" s="397"/>
      <c r="D157" s="396" t="s">
        <v>1238</v>
      </c>
      <c r="E157" s="260"/>
      <c r="F157" s="260"/>
      <c r="G157" s="260"/>
      <c r="H157" s="260"/>
      <c r="I157" s="260"/>
      <c r="J157" s="260"/>
      <c r="K157" s="260"/>
      <c r="L157" s="396">
        <v>89739</v>
      </c>
      <c r="M157" s="260">
        <f t="shared" si="2"/>
        <v>89739</v>
      </c>
    </row>
    <row r="158" spans="1:13" x14ac:dyDescent="0.25">
      <c r="A158" s="2">
        <v>152</v>
      </c>
      <c r="B158" s="261" t="s">
        <v>785</v>
      </c>
      <c r="C158" s="397"/>
      <c r="D158" s="396" t="s">
        <v>1238</v>
      </c>
      <c r="E158" s="260"/>
      <c r="F158" s="260"/>
      <c r="G158" s="260"/>
      <c r="H158" s="260"/>
      <c r="I158" s="260"/>
      <c r="J158" s="260"/>
      <c r="K158" s="260"/>
      <c r="L158" s="396">
        <v>3500</v>
      </c>
      <c r="M158" s="260">
        <f t="shared" si="2"/>
        <v>3500</v>
      </c>
    </row>
    <row r="159" spans="1:13" x14ac:dyDescent="0.25">
      <c r="A159" s="2">
        <v>153</v>
      </c>
      <c r="B159" s="261" t="s">
        <v>687</v>
      </c>
      <c r="C159" s="397"/>
      <c r="D159" s="396" t="s">
        <v>1238</v>
      </c>
      <c r="E159" s="260"/>
      <c r="F159" s="260"/>
      <c r="G159" s="260"/>
      <c r="H159" s="260"/>
      <c r="I159" s="260"/>
      <c r="J159" s="260"/>
      <c r="K159" s="260"/>
      <c r="L159" s="396">
        <v>525648</v>
      </c>
      <c r="M159" s="260">
        <f t="shared" si="2"/>
        <v>525648</v>
      </c>
    </row>
    <row r="160" spans="1:13" x14ac:dyDescent="0.25">
      <c r="A160" s="2">
        <v>154</v>
      </c>
      <c r="B160" s="261" t="s">
        <v>772</v>
      </c>
      <c r="C160" s="397"/>
      <c r="D160" s="396" t="s">
        <v>1238</v>
      </c>
      <c r="E160" s="260"/>
      <c r="F160" s="260"/>
      <c r="G160" s="260"/>
      <c r="H160" s="260"/>
      <c r="I160" s="260"/>
      <c r="J160" s="260"/>
      <c r="K160" s="260"/>
      <c r="L160" s="396">
        <v>7279.28</v>
      </c>
      <c r="M160" s="260">
        <f t="shared" si="2"/>
        <v>7279.28</v>
      </c>
    </row>
    <row r="161" spans="1:13" x14ac:dyDescent="0.25">
      <c r="A161" s="2">
        <v>155</v>
      </c>
      <c r="B161" s="261" t="s">
        <v>772</v>
      </c>
      <c r="C161" s="397"/>
      <c r="D161" s="396" t="s">
        <v>1238</v>
      </c>
      <c r="E161" s="260"/>
      <c r="F161" s="260"/>
      <c r="G161" s="260"/>
      <c r="H161" s="260"/>
      <c r="I161" s="260"/>
      <c r="J161" s="260"/>
      <c r="K161" s="260"/>
      <c r="L161" s="396">
        <v>6416.25</v>
      </c>
      <c r="M161" s="260">
        <f t="shared" si="2"/>
        <v>6416.25</v>
      </c>
    </row>
    <row r="162" spans="1:13" x14ac:dyDescent="0.25">
      <c r="A162" s="2">
        <v>156</v>
      </c>
      <c r="B162" s="261" t="s">
        <v>786</v>
      </c>
      <c r="C162" s="397"/>
      <c r="D162" s="396" t="s">
        <v>1238</v>
      </c>
      <c r="E162" s="260"/>
      <c r="F162" s="260"/>
      <c r="G162" s="260"/>
      <c r="H162" s="260"/>
      <c r="I162" s="260"/>
      <c r="J162" s="260"/>
      <c r="K162" s="260"/>
      <c r="L162" s="396">
        <v>229450</v>
      </c>
      <c r="M162" s="260">
        <f t="shared" si="2"/>
        <v>229450</v>
      </c>
    </row>
    <row r="163" spans="1:13" x14ac:dyDescent="0.25">
      <c r="A163" s="2">
        <v>157</v>
      </c>
      <c r="B163" s="261" t="s">
        <v>772</v>
      </c>
      <c r="C163" s="397"/>
      <c r="D163" s="396" t="s">
        <v>1238</v>
      </c>
      <c r="E163" s="260"/>
      <c r="F163" s="260"/>
      <c r="G163" s="260"/>
      <c r="H163" s="260"/>
      <c r="I163" s="260"/>
      <c r="J163" s="260"/>
      <c r="K163" s="260"/>
      <c r="L163" s="396">
        <v>5578.98</v>
      </c>
      <c r="M163" s="260">
        <f t="shared" si="2"/>
        <v>5578.98</v>
      </c>
    </row>
    <row r="164" spans="1:13" x14ac:dyDescent="0.25">
      <c r="A164" s="2">
        <v>158</v>
      </c>
      <c r="B164" s="261" t="s">
        <v>797</v>
      </c>
      <c r="C164" s="397"/>
      <c r="D164" s="396" t="s">
        <v>1238</v>
      </c>
      <c r="E164" s="260"/>
      <c r="F164" s="260"/>
      <c r="G164" s="260"/>
      <c r="H164" s="260"/>
      <c r="I164" s="260"/>
      <c r="J164" s="260"/>
      <c r="K164" s="260"/>
      <c r="L164" s="396">
        <v>32697.8</v>
      </c>
      <c r="M164" s="260">
        <f t="shared" si="2"/>
        <v>32697.8</v>
      </c>
    </row>
    <row r="165" spans="1:13" x14ac:dyDescent="0.25">
      <c r="A165" s="2">
        <v>159</v>
      </c>
      <c r="B165" s="261" t="s">
        <v>992</v>
      </c>
      <c r="C165" s="397"/>
      <c r="D165" s="396" t="s">
        <v>1238</v>
      </c>
      <c r="E165" s="260"/>
      <c r="F165" s="260"/>
      <c r="G165" s="260"/>
      <c r="H165" s="260"/>
      <c r="I165" s="260"/>
      <c r="J165" s="260"/>
      <c r="K165" s="260"/>
      <c r="L165" s="396">
        <v>271730</v>
      </c>
      <c r="M165" s="260">
        <f t="shared" si="2"/>
        <v>271730</v>
      </c>
    </row>
    <row r="166" spans="1:13" x14ac:dyDescent="0.25">
      <c r="A166" s="2">
        <v>160</v>
      </c>
      <c r="B166" s="261" t="s">
        <v>721</v>
      </c>
      <c r="C166" s="397"/>
      <c r="D166" s="396" t="s">
        <v>1238</v>
      </c>
      <c r="E166" s="260"/>
      <c r="F166" s="260"/>
      <c r="G166" s="260"/>
      <c r="H166" s="260"/>
      <c r="I166" s="260"/>
      <c r="J166" s="260"/>
      <c r="K166" s="260"/>
      <c r="L166" s="396">
        <v>186794</v>
      </c>
      <c r="M166" s="260">
        <f t="shared" si="2"/>
        <v>186794</v>
      </c>
    </row>
    <row r="167" spans="1:13" x14ac:dyDescent="0.25">
      <c r="A167" s="2">
        <v>161</v>
      </c>
      <c r="B167" s="261" t="s">
        <v>727</v>
      </c>
      <c r="C167" s="397"/>
      <c r="D167" s="396" t="s">
        <v>1238</v>
      </c>
      <c r="E167" s="260"/>
      <c r="F167" s="260"/>
      <c r="G167" s="260"/>
      <c r="H167" s="260"/>
      <c r="I167" s="260"/>
      <c r="J167" s="260"/>
      <c r="K167" s="260"/>
      <c r="L167" s="396">
        <v>204966</v>
      </c>
      <c r="M167" s="260">
        <f t="shared" si="2"/>
        <v>204966</v>
      </c>
    </row>
    <row r="168" spans="1:13" x14ac:dyDescent="0.25">
      <c r="A168" s="2">
        <v>162</v>
      </c>
      <c r="B168" s="261" t="s">
        <v>793</v>
      </c>
      <c r="C168" s="397"/>
      <c r="D168" s="396" t="s">
        <v>1238</v>
      </c>
      <c r="E168" s="260"/>
      <c r="F168" s="260"/>
      <c r="G168" s="260"/>
      <c r="H168" s="260"/>
      <c r="I168" s="260"/>
      <c r="J168" s="260"/>
      <c r="K168" s="260"/>
      <c r="L168" s="396">
        <v>242194.76</v>
      </c>
      <c r="M168" s="260">
        <f t="shared" si="2"/>
        <v>242194.76</v>
      </c>
    </row>
    <row r="169" spans="1:13" x14ac:dyDescent="0.25">
      <c r="A169" s="2">
        <v>163</v>
      </c>
      <c r="B169" s="261" t="s">
        <v>790</v>
      </c>
      <c r="C169" s="397"/>
      <c r="D169" s="396" t="s">
        <v>1238</v>
      </c>
      <c r="E169" s="260"/>
      <c r="F169" s="260"/>
      <c r="G169" s="260"/>
      <c r="H169" s="260"/>
      <c r="I169" s="260"/>
      <c r="J169" s="260"/>
      <c r="K169" s="260"/>
      <c r="L169" s="396">
        <v>5500</v>
      </c>
      <c r="M169" s="260">
        <f t="shared" si="2"/>
        <v>5500</v>
      </c>
    </row>
    <row r="170" spans="1:13" x14ac:dyDescent="0.25">
      <c r="A170" s="2">
        <v>164</v>
      </c>
      <c r="B170" s="261" t="s">
        <v>772</v>
      </c>
      <c r="C170" s="397"/>
      <c r="D170" s="396" t="s">
        <v>1238</v>
      </c>
      <c r="E170" s="260"/>
      <c r="F170" s="260"/>
      <c r="G170" s="260"/>
      <c r="H170" s="260"/>
      <c r="I170" s="260"/>
      <c r="J170" s="260"/>
      <c r="K170" s="260"/>
      <c r="L170" s="396">
        <v>852738.2</v>
      </c>
      <c r="M170" s="260">
        <f t="shared" si="2"/>
        <v>852738.2</v>
      </c>
    </row>
    <row r="171" spans="1:13" x14ac:dyDescent="0.25">
      <c r="A171" s="2">
        <v>165</v>
      </c>
      <c r="B171" s="261" t="s">
        <v>772</v>
      </c>
      <c r="C171" s="397"/>
      <c r="D171" s="396" t="s">
        <v>1238</v>
      </c>
      <c r="E171" s="260"/>
      <c r="F171" s="260"/>
      <c r="G171" s="260"/>
      <c r="H171" s="260"/>
      <c r="I171" s="260"/>
      <c r="J171" s="260"/>
      <c r="K171" s="260"/>
      <c r="L171" s="396">
        <v>5578.98</v>
      </c>
      <c r="M171" s="260">
        <f t="shared" si="2"/>
        <v>5578.98</v>
      </c>
    </row>
    <row r="172" spans="1:13" x14ac:dyDescent="0.25">
      <c r="A172" s="2">
        <v>166</v>
      </c>
      <c r="B172" s="261" t="s">
        <v>772</v>
      </c>
      <c r="C172" s="397"/>
      <c r="D172" s="396" t="s">
        <v>1238</v>
      </c>
      <c r="E172" s="260"/>
      <c r="F172" s="260"/>
      <c r="G172" s="260"/>
      <c r="H172" s="260"/>
      <c r="I172" s="260"/>
      <c r="J172" s="260"/>
      <c r="K172" s="260"/>
      <c r="L172" s="396">
        <v>6369.37</v>
      </c>
      <c r="M172" s="260">
        <f t="shared" si="2"/>
        <v>6369.37</v>
      </c>
    </row>
    <row r="173" spans="1:13" x14ac:dyDescent="0.25">
      <c r="A173" s="2">
        <v>167</v>
      </c>
      <c r="B173" s="266" t="s">
        <v>688</v>
      </c>
      <c r="C173" s="397"/>
      <c r="D173" s="396" t="s">
        <v>1238</v>
      </c>
      <c r="E173" s="260"/>
      <c r="F173" s="260"/>
      <c r="G173" s="260"/>
      <c r="H173" s="260"/>
      <c r="I173" s="260"/>
      <c r="J173" s="260"/>
      <c r="K173" s="260"/>
      <c r="L173" s="396">
        <v>138920.22</v>
      </c>
      <c r="M173" s="260">
        <f t="shared" si="2"/>
        <v>138920.22</v>
      </c>
    </row>
    <row r="174" spans="1:13" x14ac:dyDescent="0.25">
      <c r="A174" s="2">
        <v>168</v>
      </c>
      <c r="B174" s="266" t="s">
        <v>797</v>
      </c>
      <c r="C174" s="397"/>
      <c r="D174" s="396" t="s">
        <v>1238</v>
      </c>
      <c r="E174" s="260"/>
      <c r="F174" s="260"/>
      <c r="G174" s="260"/>
      <c r="H174" s="260"/>
      <c r="I174" s="260"/>
      <c r="J174" s="260"/>
      <c r="K174" s="260"/>
      <c r="L174" s="396">
        <v>53855.199999999997</v>
      </c>
      <c r="M174" s="260">
        <f t="shared" si="2"/>
        <v>53855.199999999997</v>
      </c>
    </row>
    <row r="175" spans="1:13" x14ac:dyDescent="0.25">
      <c r="A175" s="2">
        <v>169</v>
      </c>
      <c r="B175" s="266" t="s">
        <v>683</v>
      </c>
      <c r="C175" s="397"/>
      <c r="D175" s="396" t="s">
        <v>1238</v>
      </c>
      <c r="E175" s="260"/>
      <c r="F175" s="260"/>
      <c r="G175" s="260"/>
      <c r="H175" s="260"/>
      <c r="I175" s="260"/>
      <c r="J175" s="260"/>
      <c r="K175" s="260"/>
      <c r="L175" s="396">
        <v>135036</v>
      </c>
      <c r="M175" s="260">
        <f t="shared" si="2"/>
        <v>135036</v>
      </c>
    </row>
    <row r="176" spans="1:13" x14ac:dyDescent="0.25">
      <c r="A176" s="2">
        <v>170</v>
      </c>
      <c r="B176" s="266" t="s">
        <v>689</v>
      </c>
      <c r="C176" s="397"/>
      <c r="D176" s="396" t="s">
        <v>1238</v>
      </c>
      <c r="E176" s="260"/>
      <c r="F176" s="260"/>
      <c r="G176" s="260"/>
      <c r="H176" s="260"/>
      <c r="I176" s="260"/>
      <c r="J176" s="260"/>
      <c r="K176" s="260"/>
      <c r="L176" s="396">
        <v>210000</v>
      </c>
      <c r="M176" s="260">
        <f t="shared" si="2"/>
        <v>210000</v>
      </c>
    </row>
    <row r="177" spans="1:13" x14ac:dyDescent="0.25">
      <c r="A177" s="2">
        <v>171</v>
      </c>
      <c r="B177" s="266" t="s">
        <v>694</v>
      </c>
      <c r="C177" s="397"/>
      <c r="D177" s="396" t="s">
        <v>1238</v>
      </c>
      <c r="E177" s="260"/>
      <c r="F177" s="260"/>
      <c r="G177" s="260"/>
      <c r="H177" s="260"/>
      <c r="I177" s="260"/>
      <c r="J177" s="260"/>
      <c r="K177" s="260"/>
      <c r="L177" s="396">
        <v>227734.95</v>
      </c>
      <c r="M177" s="260">
        <f t="shared" si="2"/>
        <v>227734.95</v>
      </c>
    </row>
    <row r="178" spans="1:13" x14ac:dyDescent="0.25">
      <c r="A178" s="2">
        <v>172</v>
      </c>
      <c r="B178" s="266" t="s">
        <v>772</v>
      </c>
      <c r="C178" s="397"/>
      <c r="D178" s="396" t="s">
        <v>1238</v>
      </c>
      <c r="E178" s="260"/>
      <c r="F178" s="260"/>
      <c r="G178" s="260"/>
      <c r="H178" s="260"/>
      <c r="I178" s="260"/>
      <c r="J178" s="260"/>
      <c r="K178" s="260"/>
      <c r="L178" s="396">
        <v>46000.94</v>
      </c>
      <c r="M178" s="260">
        <f t="shared" si="2"/>
        <v>46000.94</v>
      </c>
    </row>
    <row r="179" spans="1:13" x14ac:dyDescent="0.25">
      <c r="A179" s="2">
        <v>173</v>
      </c>
      <c r="B179" s="266" t="s">
        <v>717</v>
      </c>
      <c r="C179" s="397"/>
      <c r="D179" s="396" t="s">
        <v>1238</v>
      </c>
      <c r="E179" s="260"/>
      <c r="F179" s="260"/>
      <c r="G179" s="260"/>
      <c r="H179" s="260"/>
      <c r="I179" s="260"/>
      <c r="J179" s="260"/>
      <c r="K179" s="260"/>
      <c r="L179" s="396">
        <v>107989.6</v>
      </c>
      <c r="M179" s="260">
        <f t="shared" si="2"/>
        <v>107989.6</v>
      </c>
    </row>
    <row r="180" spans="1:13" x14ac:dyDescent="0.25">
      <c r="A180" s="2">
        <v>174</v>
      </c>
      <c r="B180" s="266" t="s">
        <v>1235</v>
      </c>
      <c r="C180" s="397"/>
      <c r="D180" s="396" t="s">
        <v>1238</v>
      </c>
      <c r="E180" s="260"/>
      <c r="F180" s="260"/>
      <c r="G180" s="260"/>
      <c r="H180" s="260"/>
      <c r="I180" s="260"/>
      <c r="J180" s="260"/>
      <c r="K180" s="260"/>
      <c r="L180" s="396">
        <v>29500</v>
      </c>
      <c r="M180" s="260">
        <f t="shared" si="2"/>
        <v>29500</v>
      </c>
    </row>
    <row r="181" spans="1:13" x14ac:dyDescent="0.25">
      <c r="A181" s="2">
        <v>175</v>
      </c>
      <c r="B181" s="266" t="s">
        <v>714</v>
      </c>
      <c r="C181" s="397"/>
      <c r="D181" s="396" t="s">
        <v>1238</v>
      </c>
      <c r="E181" s="260"/>
      <c r="F181" s="260"/>
      <c r="G181" s="260"/>
      <c r="H181" s="260"/>
      <c r="I181" s="260"/>
      <c r="J181" s="260"/>
      <c r="K181" s="260"/>
      <c r="L181" s="396">
        <v>105492</v>
      </c>
      <c r="M181" s="260">
        <f t="shared" si="2"/>
        <v>105492</v>
      </c>
    </row>
    <row r="182" spans="1:13" x14ac:dyDescent="0.25">
      <c r="A182" s="2">
        <v>176</v>
      </c>
      <c r="B182" s="266" t="s">
        <v>728</v>
      </c>
      <c r="C182" s="397"/>
      <c r="D182" s="396" t="s">
        <v>1238</v>
      </c>
      <c r="E182" s="260"/>
      <c r="F182" s="260"/>
      <c r="G182" s="260"/>
      <c r="H182" s="260"/>
      <c r="I182" s="260"/>
      <c r="J182" s="260"/>
      <c r="K182" s="260"/>
      <c r="L182" s="396">
        <v>196824</v>
      </c>
      <c r="M182" s="260">
        <f t="shared" si="2"/>
        <v>196824</v>
      </c>
    </row>
    <row r="183" spans="1:13" x14ac:dyDescent="0.25">
      <c r="A183" s="2">
        <v>177</v>
      </c>
      <c r="B183" s="266" t="s">
        <v>692</v>
      </c>
      <c r="C183" s="397"/>
      <c r="D183" s="396" t="s">
        <v>1238</v>
      </c>
      <c r="E183" s="260"/>
      <c r="F183" s="260"/>
      <c r="G183" s="260"/>
      <c r="H183" s="260"/>
      <c r="I183" s="260"/>
      <c r="J183" s="260"/>
      <c r="K183" s="260"/>
      <c r="L183" s="396">
        <v>151260</v>
      </c>
      <c r="M183" s="260">
        <f t="shared" si="2"/>
        <v>151260</v>
      </c>
    </row>
    <row r="184" spans="1:13" x14ac:dyDescent="0.25">
      <c r="A184" s="2">
        <v>178</v>
      </c>
      <c r="B184" s="266" t="s">
        <v>694</v>
      </c>
      <c r="C184" s="397"/>
      <c r="D184" s="396" t="s">
        <v>1238</v>
      </c>
      <c r="E184" s="260"/>
      <c r="F184" s="260"/>
      <c r="G184" s="260"/>
      <c r="H184" s="260"/>
      <c r="I184" s="260"/>
      <c r="J184" s="260"/>
      <c r="K184" s="260"/>
      <c r="L184" s="396">
        <v>252028.29</v>
      </c>
      <c r="M184" s="260">
        <f t="shared" si="2"/>
        <v>252028.29</v>
      </c>
    </row>
    <row r="185" spans="1:13" x14ac:dyDescent="0.25">
      <c r="A185" s="2">
        <v>179</v>
      </c>
      <c r="B185" s="266" t="s">
        <v>694</v>
      </c>
      <c r="C185" s="397"/>
      <c r="D185" s="396" t="s">
        <v>1238</v>
      </c>
      <c r="E185" s="260"/>
      <c r="F185" s="260"/>
      <c r="G185" s="260"/>
      <c r="H185" s="260"/>
      <c r="I185" s="260"/>
      <c r="J185" s="260"/>
      <c r="K185" s="260"/>
      <c r="L185" s="396">
        <v>251092.68</v>
      </c>
      <c r="M185" s="260">
        <f t="shared" si="2"/>
        <v>251092.68</v>
      </c>
    </row>
    <row r="186" spans="1:13" x14ac:dyDescent="0.25">
      <c r="A186" s="2">
        <v>180</v>
      </c>
      <c r="B186" s="266" t="s">
        <v>694</v>
      </c>
      <c r="C186" s="397"/>
      <c r="D186" s="396" t="s">
        <v>1238</v>
      </c>
      <c r="E186" s="260"/>
      <c r="F186" s="260"/>
      <c r="G186" s="260"/>
      <c r="H186" s="260"/>
      <c r="I186" s="260"/>
      <c r="J186" s="260"/>
      <c r="K186" s="260"/>
      <c r="L186" s="396">
        <v>141279.12</v>
      </c>
      <c r="M186" s="260">
        <f t="shared" si="2"/>
        <v>141279.12</v>
      </c>
    </row>
    <row r="187" spans="1:13" x14ac:dyDescent="0.25">
      <c r="A187" s="2">
        <v>181</v>
      </c>
      <c r="B187" s="266" t="s">
        <v>694</v>
      </c>
      <c r="C187" s="397"/>
      <c r="D187" s="396" t="s">
        <v>1238</v>
      </c>
      <c r="E187" s="260"/>
      <c r="F187" s="260"/>
      <c r="G187" s="260"/>
      <c r="H187" s="260"/>
      <c r="I187" s="260"/>
      <c r="J187" s="260"/>
      <c r="K187" s="260"/>
      <c r="L187" s="396">
        <v>216333.29</v>
      </c>
      <c r="M187" s="260">
        <f t="shared" si="2"/>
        <v>216333.29</v>
      </c>
    </row>
    <row r="188" spans="1:13" x14ac:dyDescent="0.25">
      <c r="A188" s="2">
        <v>182</v>
      </c>
      <c r="B188" s="266" t="s">
        <v>781</v>
      </c>
      <c r="C188" s="397"/>
      <c r="D188" s="396" t="s">
        <v>1238</v>
      </c>
      <c r="E188" s="260"/>
      <c r="F188" s="260"/>
      <c r="G188" s="260"/>
      <c r="H188" s="260"/>
      <c r="I188" s="260"/>
      <c r="J188" s="260"/>
      <c r="K188" s="260"/>
      <c r="L188" s="396">
        <v>180000</v>
      </c>
      <c r="M188" s="260">
        <f t="shared" si="2"/>
        <v>180000</v>
      </c>
    </row>
    <row r="189" spans="1:13" x14ac:dyDescent="0.25">
      <c r="A189" s="2">
        <v>183</v>
      </c>
      <c r="B189" s="266" t="s">
        <v>689</v>
      </c>
      <c r="C189" s="397"/>
      <c r="D189" s="396" t="s">
        <v>1238</v>
      </c>
      <c r="E189" s="260"/>
      <c r="F189" s="260"/>
      <c r="G189" s="260"/>
      <c r="H189" s="260"/>
      <c r="I189" s="260"/>
      <c r="J189" s="260"/>
      <c r="K189" s="260"/>
      <c r="L189" s="396">
        <v>271250</v>
      </c>
      <c r="M189" s="260">
        <f t="shared" si="2"/>
        <v>271250</v>
      </c>
    </row>
    <row r="190" spans="1:13" x14ac:dyDescent="0.25">
      <c r="A190" s="2">
        <v>184</v>
      </c>
      <c r="B190" s="266" t="s">
        <v>714</v>
      </c>
      <c r="C190" s="397"/>
      <c r="D190" s="396" t="s">
        <v>1238</v>
      </c>
      <c r="E190" s="260"/>
      <c r="F190" s="260"/>
      <c r="G190" s="260"/>
      <c r="H190" s="260"/>
      <c r="I190" s="260"/>
      <c r="J190" s="260"/>
      <c r="K190" s="260"/>
      <c r="L190" s="396">
        <v>250000</v>
      </c>
      <c r="M190" s="260">
        <f t="shared" si="2"/>
        <v>250000</v>
      </c>
    </row>
    <row r="191" spans="1:13" x14ac:dyDescent="0.25">
      <c r="A191" s="2">
        <v>185</v>
      </c>
      <c r="B191" s="266" t="s">
        <v>781</v>
      </c>
      <c r="C191" s="397"/>
      <c r="D191" s="396" t="s">
        <v>1238</v>
      </c>
      <c r="E191" s="260"/>
      <c r="F191" s="260"/>
      <c r="G191" s="260"/>
      <c r="H191" s="260"/>
      <c r="I191" s="260"/>
      <c r="J191" s="260"/>
      <c r="K191" s="260"/>
      <c r="L191" s="396">
        <v>220000</v>
      </c>
      <c r="M191" s="260">
        <f t="shared" si="2"/>
        <v>220000</v>
      </c>
    </row>
    <row r="192" spans="1:13" x14ac:dyDescent="0.25">
      <c r="A192" s="2">
        <v>186</v>
      </c>
      <c r="B192" s="266" t="s">
        <v>719</v>
      </c>
      <c r="C192" s="397"/>
      <c r="D192" s="396" t="s">
        <v>1238</v>
      </c>
      <c r="E192" s="260"/>
      <c r="F192" s="260"/>
      <c r="G192" s="260"/>
      <c r="H192" s="260"/>
      <c r="I192" s="260"/>
      <c r="J192" s="260"/>
      <c r="K192" s="260"/>
      <c r="L192" s="396">
        <v>188564</v>
      </c>
      <c r="M192" s="260">
        <f t="shared" si="2"/>
        <v>188564</v>
      </c>
    </row>
    <row r="193" spans="1:13" x14ac:dyDescent="0.25">
      <c r="A193" s="2">
        <v>187</v>
      </c>
      <c r="B193" s="266" t="s">
        <v>714</v>
      </c>
      <c r="C193" s="397"/>
      <c r="D193" s="396" t="s">
        <v>1238</v>
      </c>
      <c r="E193" s="260"/>
      <c r="F193" s="260"/>
      <c r="G193" s="260"/>
      <c r="H193" s="260"/>
      <c r="I193" s="260"/>
      <c r="J193" s="260"/>
      <c r="K193" s="260"/>
      <c r="L193" s="396">
        <v>250000</v>
      </c>
      <c r="M193" s="260">
        <f t="shared" si="2"/>
        <v>250000</v>
      </c>
    </row>
    <row r="194" spans="1:13" x14ac:dyDescent="0.25">
      <c r="A194" s="539" t="s">
        <v>665</v>
      </c>
      <c r="B194" s="540"/>
      <c r="C194" s="540"/>
      <c r="D194" s="540"/>
      <c r="E194" s="267">
        <f>SUM(E7:E193)</f>
        <v>0</v>
      </c>
      <c r="F194" s="267"/>
      <c r="G194" s="267">
        <f t="shared" ref="G194:M194" si="3">SUM(G7:G193)</f>
        <v>14300</v>
      </c>
      <c r="H194" s="267">
        <f t="shared" si="3"/>
        <v>1889270.9100000001</v>
      </c>
      <c r="I194" s="267">
        <f t="shared" si="3"/>
        <v>7319861.2303999998</v>
      </c>
      <c r="J194" s="267">
        <f t="shared" si="3"/>
        <v>2271930.5300000003</v>
      </c>
      <c r="K194" s="267">
        <f t="shared" si="3"/>
        <v>6892151.5299999993</v>
      </c>
      <c r="L194" s="267">
        <f t="shared" si="3"/>
        <v>7649585.080000001</v>
      </c>
      <c r="M194" s="268">
        <f t="shared" si="3"/>
        <v>26037099.280400004</v>
      </c>
    </row>
    <row r="195" spans="1:13" x14ac:dyDescent="0.25">
      <c r="M195" s="333"/>
    </row>
    <row r="197" spans="1:13" x14ac:dyDescent="0.25">
      <c r="M197" s="230"/>
    </row>
    <row r="198" spans="1:13" x14ac:dyDescent="0.25">
      <c r="M198" s="230"/>
    </row>
  </sheetData>
  <mergeCells count="4">
    <mergeCell ref="A1:M1"/>
    <mergeCell ref="A2:M2"/>
    <mergeCell ref="A3:M3"/>
    <mergeCell ref="A194:D194"/>
  </mergeCells>
  <pageMargins left="0.7" right="0.7" top="0.75" bottom="0.75" header="0.3" footer="0.3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67"/>
  <sheetViews>
    <sheetView topLeftCell="A25" workbookViewId="0">
      <selection activeCell="E37" sqref="E37"/>
    </sheetView>
  </sheetViews>
  <sheetFormatPr baseColWidth="10" defaultRowHeight="15" x14ac:dyDescent="0.25"/>
  <cols>
    <col min="2" max="2" width="42.85546875" customWidth="1"/>
    <col min="3" max="3" width="21" customWidth="1"/>
    <col min="4" max="8" width="20.140625" bestFit="1" customWidth="1"/>
    <col min="26" max="26" width="21.5703125" customWidth="1"/>
  </cols>
  <sheetData>
    <row r="1" spans="1:26" x14ac:dyDescent="0.25">
      <c r="A1" s="131"/>
      <c r="J1" s="190"/>
      <c r="M1" s="190"/>
    </row>
    <row r="2" spans="1:26" ht="28.5" x14ac:dyDescent="0.45">
      <c r="A2" s="544" t="s">
        <v>613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191"/>
      <c r="M2" s="190"/>
    </row>
    <row r="3" spans="1:26" ht="23.25" x14ac:dyDescent="0.35">
      <c r="A3" s="545" t="s">
        <v>614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191"/>
      <c r="M3" s="190"/>
    </row>
    <row r="4" spans="1:26" ht="18.75" x14ac:dyDescent="0.3">
      <c r="A4" s="546" t="s">
        <v>615</v>
      </c>
      <c r="B4" s="546"/>
      <c r="C4" s="546"/>
      <c r="D4" s="546"/>
      <c r="E4" s="546"/>
      <c r="F4" s="546"/>
      <c r="G4" s="546"/>
      <c r="H4" s="546"/>
      <c r="I4" s="546"/>
      <c r="J4" s="546"/>
      <c r="K4" s="546"/>
      <c r="L4" s="191"/>
      <c r="M4" s="190"/>
    </row>
    <row r="5" spans="1:26" x14ac:dyDescent="0.25">
      <c r="A5" s="131"/>
      <c r="E5" s="547" t="s">
        <v>616</v>
      </c>
      <c r="F5" s="439"/>
      <c r="J5" s="190"/>
      <c r="M5" s="190"/>
    </row>
    <row r="6" spans="1:26" ht="23.25" x14ac:dyDescent="0.35">
      <c r="A6" s="192" t="s">
        <v>617</v>
      </c>
      <c r="B6" s="192"/>
      <c r="C6" s="192" t="s">
        <v>706</v>
      </c>
      <c r="D6" s="192"/>
      <c r="E6" s="192"/>
      <c r="F6" s="192"/>
      <c r="G6" s="192"/>
      <c r="H6" s="192"/>
      <c r="I6" s="192"/>
      <c r="J6" s="193"/>
      <c r="K6" s="194"/>
      <c r="L6" s="195"/>
      <c r="M6" s="196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8"/>
    </row>
    <row r="7" spans="1:26" ht="15.75" thickBot="1" x14ac:dyDescent="0.3">
      <c r="A7" s="199"/>
      <c r="B7" s="200"/>
      <c r="C7" s="200"/>
      <c r="D7" s="200"/>
      <c r="E7" s="200"/>
      <c r="F7" s="200"/>
      <c r="G7" s="200"/>
      <c r="H7" s="200"/>
      <c r="I7" s="200"/>
      <c r="J7" s="201"/>
      <c r="K7" s="200"/>
      <c r="L7" s="200"/>
      <c r="M7" s="190"/>
    </row>
    <row r="8" spans="1:26" ht="18.75" x14ac:dyDescent="0.25">
      <c r="A8" s="548" t="s">
        <v>591</v>
      </c>
      <c r="B8" s="549"/>
      <c r="C8" s="550" t="s">
        <v>618</v>
      </c>
      <c r="D8" s="551"/>
      <c r="E8" s="541" t="s">
        <v>619</v>
      </c>
      <c r="F8" s="541"/>
      <c r="G8" s="541" t="s">
        <v>620</v>
      </c>
      <c r="H8" s="541"/>
      <c r="I8" s="541" t="s">
        <v>621</v>
      </c>
      <c r="J8" s="541"/>
      <c r="K8" s="541" t="s">
        <v>622</v>
      </c>
      <c r="L8" s="541"/>
      <c r="M8" s="541" t="s">
        <v>623</v>
      </c>
      <c r="N8" s="541"/>
      <c r="O8" s="541" t="s">
        <v>624</v>
      </c>
      <c r="P8" s="541"/>
      <c r="Q8" s="541" t="s">
        <v>625</v>
      </c>
      <c r="R8" s="541"/>
      <c r="S8" s="541" t="s">
        <v>626</v>
      </c>
      <c r="T8" s="541"/>
      <c r="U8" s="541" t="s">
        <v>627</v>
      </c>
      <c r="V8" s="541"/>
      <c r="W8" s="541" t="s">
        <v>628</v>
      </c>
      <c r="X8" s="541"/>
      <c r="Y8" s="541" t="s">
        <v>629</v>
      </c>
      <c r="Z8" s="541"/>
    </row>
    <row r="9" spans="1:26" ht="18.75" x14ac:dyDescent="0.25">
      <c r="A9" s="202"/>
      <c r="B9" s="202"/>
      <c r="C9" s="274" t="s">
        <v>630</v>
      </c>
      <c r="D9" s="274" t="s">
        <v>631</v>
      </c>
      <c r="E9" s="203" t="s">
        <v>630</v>
      </c>
      <c r="F9" s="203" t="s">
        <v>631</v>
      </c>
      <c r="G9" s="203" t="s">
        <v>630</v>
      </c>
      <c r="H9" s="203" t="s">
        <v>631</v>
      </c>
      <c r="I9" s="203" t="s">
        <v>630</v>
      </c>
      <c r="J9" s="204" t="s">
        <v>631</v>
      </c>
      <c r="K9" s="203" t="s">
        <v>630</v>
      </c>
      <c r="L9" s="203" t="s">
        <v>631</v>
      </c>
      <c r="M9" s="204" t="s">
        <v>630</v>
      </c>
      <c r="N9" s="203" t="s">
        <v>631</v>
      </c>
      <c r="O9" s="203" t="s">
        <v>630</v>
      </c>
      <c r="P9" s="203" t="s">
        <v>631</v>
      </c>
      <c r="Q9" s="203" t="s">
        <v>630</v>
      </c>
      <c r="R9" s="203" t="s">
        <v>631</v>
      </c>
      <c r="S9" s="203" t="s">
        <v>630</v>
      </c>
      <c r="T9" s="203" t="s">
        <v>631</v>
      </c>
      <c r="U9" s="203" t="s">
        <v>630</v>
      </c>
      <c r="V9" s="203" t="s">
        <v>631</v>
      </c>
      <c r="W9" s="203" t="s">
        <v>630</v>
      </c>
      <c r="X9" s="203" t="s">
        <v>631</v>
      </c>
      <c r="Y9" s="203" t="s">
        <v>630</v>
      </c>
      <c r="Z9" s="203" t="s">
        <v>631</v>
      </c>
    </row>
    <row r="10" spans="1:26" ht="18.75" x14ac:dyDescent="0.3">
      <c r="A10" s="205">
        <v>1</v>
      </c>
      <c r="B10" s="206" t="s">
        <v>632</v>
      </c>
      <c r="C10" s="207">
        <v>4027257.33</v>
      </c>
      <c r="D10" s="207">
        <v>4833111.5</v>
      </c>
      <c r="E10" s="208">
        <v>4840265.29</v>
      </c>
      <c r="F10" s="208">
        <v>5841673.1500000004</v>
      </c>
      <c r="G10" s="208">
        <f>13000+3146909.72</f>
        <v>3159909.72</v>
      </c>
      <c r="H10" s="208">
        <f>4595181.39+50000</f>
        <v>4645181.3899999997</v>
      </c>
      <c r="I10" s="209"/>
      <c r="J10" s="208"/>
      <c r="K10" s="209"/>
      <c r="L10" s="208"/>
      <c r="M10" s="208"/>
      <c r="N10" s="208"/>
      <c r="O10" s="210"/>
      <c r="P10" s="210"/>
      <c r="Q10" s="210"/>
      <c r="R10" s="210"/>
      <c r="S10" s="210"/>
      <c r="T10" s="210"/>
      <c r="U10" s="209"/>
      <c r="V10" s="209"/>
      <c r="W10" s="209"/>
      <c r="X10" s="209"/>
      <c r="Y10" s="209"/>
      <c r="Z10" s="211"/>
    </row>
    <row r="11" spans="1:26" ht="18.75" x14ac:dyDescent="0.3">
      <c r="A11" s="205">
        <v>2</v>
      </c>
      <c r="B11" s="206" t="s">
        <v>633</v>
      </c>
      <c r="C11" s="207">
        <v>1094583.75</v>
      </c>
      <c r="D11" s="207"/>
      <c r="E11" s="208">
        <v>2417181.13</v>
      </c>
      <c r="F11" s="208">
        <v>2152926.5099999998</v>
      </c>
      <c r="G11" s="208">
        <v>2645113.9</v>
      </c>
      <c r="H11" s="208">
        <v>1041144.31</v>
      </c>
      <c r="I11" s="209"/>
      <c r="J11" s="208"/>
      <c r="K11" s="209"/>
      <c r="L11" s="208"/>
      <c r="M11" s="208"/>
      <c r="N11" s="208"/>
      <c r="O11" s="210"/>
      <c r="P11" s="210"/>
      <c r="Q11" s="210"/>
      <c r="R11" s="210"/>
      <c r="S11" s="210"/>
      <c r="T11" s="210"/>
      <c r="U11" s="209"/>
      <c r="V11" s="209"/>
      <c r="W11" s="209"/>
      <c r="X11" s="209"/>
      <c r="Y11" s="209"/>
      <c r="Z11" s="211"/>
    </row>
    <row r="12" spans="1:26" ht="18.75" x14ac:dyDescent="0.3">
      <c r="A12" s="205"/>
      <c r="B12" s="206" t="s">
        <v>634</v>
      </c>
      <c r="C12" s="207">
        <v>0</v>
      </c>
      <c r="D12" s="207">
        <v>0</v>
      </c>
      <c r="E12" s="208">
        <v>10985.64</v>
      </c>
      <c r="F12" s="208"/>
      <c r="G12" s="208">
        <v>0</v>
      </c>
      <c r="H12" s="208"/>
      <c r="I12" s="208"/>
      <c r="J12" s="208"/>
      <c r="K12" s="209"/>
      <c r="L12" s="208"/>
      <c r="M12" s="208"/>
      <c r="N12" s="208"/>
      <c r="O12" s="210"/>
      <c r="P12" s="210"/>
      <c r="Q12" s="210"/>
      <c r="R12" s="210"/>
      <c r="S12" s="210"/>
      <c r="T12" s="210"/>
      <c r="U12" s="209"/>
      <c r="V12" s="209"/>
      <c r="W12" s="209"/>
      <c r="X12" s="209"/>
      <c r="Y12" s="209"/>
      <c r="Z12" s="209"/>
    </row>
    <row r="13" spans="1:26" ht="18.75" x14ac:dyDescent="0.3">
      <c r="A13" s="542" t="s">
        <v>635</v>
      </c>
      <c r="B13" s="542"/>
      <c r="C13" s="212">
        <f t="shared" ref="C13:Z13" si="0">SUM(C10:C12)</f>
        <v>5121841.08</v>
      </c>
      <c r="D13" s="212">
        <f t="shared" si="0"/>
        <v>4833111.5</v>
      </c>
      <c r="E13" s="213">
        <f t="shared" si="0"/>
        <v>7268432.0599999996</v>
      </c>
      <c r="F13" s="213">
        <f t="shared" si="0"/>
        <v>7994599.6600000001</v>
      </c>
      <c r="G13" s="213">
        <f t="shared" si="0"/>
        <v>5805023.6200000001</v>
      </c>
      <c r="H13" s="213">
        <f t="shared" si="0"/>
        <v>5686325.6999999993</v>
      </c>
      <c r="I13" s="213">
        <f t="shared" si="0"/>
        <v>0</v>
      </c>
      <c r="J13" s="214">
        <f t="shared" si="0"/>
        <v>0</v>
      </c>
      <c r="K13" s="215">
        <f t="shared" si="0"/>
        <v>0</v>
      </c>
      <c r="L13" s="213">
        <f t="shared" si="0"/>
        <v>0</v>
      </c>
      <c r="M13" s="214">
        <f t="shared" si="0"/>
        <v>0</v>
      </c>
      <c r="N13" s="213">
        <f t="shared" si="0"/>
        <v>0</v>
      </c>
      <c r="O13" s="215">
        <f t="shared" si="0"/>
        <v>0</v>
      </c>
      <c r="P13" s="215">
        <f t="shared" si="0"/>
        <v>0</v>
      </c>
      <c r="Q13" s="215">
        <f t="shared" si="0"/>
        <v>0</v>
      </c>
      <c r="R13" s="215">
        <f t="shared" si="0"/>
        <v>0</v>
      </c>
      <c r="S13" s="215">
        <f t="shared" si="0"/>
        <v>0</v>
      </c>
      <c r="T13" s="215">
        <f t="shared" si="0"/>
        <v>0</v>
      </c>
      <c r="U13" s="215">
        <f t="shared" si="0"/>
        <v>0</v>
      </c>
      <c r="V13" s="215">
        <f t="shared" si="0"/>
        <v>0</v>
      </c>
      <c r="W13" s="215">
        <f t="shared" si="0"/>
        <v>0</v>
      </c>
      <c r="X13" s="215">
        <f t="shared" si="0"/>
        <v>0</v>
      </c>
      <c r="Y13" s="215">
        <f t="shared" si="0"/>
        <v>0</v>
      </c>
      <c r="Z13" s="215">
        <f t="shared" si="0"/>
        <v>0</v>
      </c>
    </row>
    <row r="14" spans="1:26" ht="18.75" x14ac:dyDescent="0.3">
      <c r="A14" s="205">
        <v>3</v>
      </c>
      <c r="B14" s="206" t="s">
        <v>636</v>
      </c>
      <c r="C14" s="207">
        <v>211714.57</v>
      </c>
      <c r="D14" s="216">
        <v>206908.45</v>
      </c>
      <c r="E14" s="208">
        <f>65463.45+12918.96+311477.59</f>
        <v>389860</v>
      </c>
      <c r="F14" s="208"/>
      <c r="G14" s="208">
        <f>53140.7+6743.06+130031.72</f>
        <v>189915.47999999998</v>
      </c>
      <c r="H14" s="208">
        <f>16298.76+15397.47+30434.4+65463.45+12863.4+155572.92+309977.48+504</f>
        <v>606511.88</v>
      </c>
      <c r="I14" s="209"/>
      <c r="J14" s="208"/>
      <c r="K14" s="209"/>
      <c r="L14" s="208"/>
      <c r="M14" s="208"/>
      <c r="N14" s="217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spans="1:26" ht="18.75" x14ac:dyDescent="0.3">
      <c r="A15" s="205">
        <v>4</v>
      </c>
      <c r="B15" s="206" t="s">
        <v>637</v>
      </c>
      <c r="C15" s="207"/>
      <c r="D15" s="207"/>
      <c r="E15" s="208"/>
      <c r="F15" s="208"/>
      <c r="G15" s="208"/>
      <c r="H15" s="208"/>
      <c r="I15" s="209"/>
      <c r="J15" s="208"/>
      <c r="K15" s="209"/>
      <c r="L15" s="217"/>
      <c r="M15" s="208"/>
      <c r="N15" s="208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spans="1:26" ht="18.75" x14ac:dyDescent="0.3">
      <c r="A16" s="205">
        <v>5</v>
      </c>
      <c r="B16" s="206" t="s">
        <v>638</v>
      </c>
      <c r="C16" s="207">
        <v>275352.44</v>
      </c>
      <c r="D16" s="207">
        <v>156983.54999999999</v>
      </c>
      <c r="E16" s="208">
        <v>222716.34</v>
      </c>
      <c r="F16" s="208">
        <v>272552.44</v>
      </c>
      <c r="G16" s="208">
        <v>73918.679999999993</v>
      </c>
      <c r="H16" s="208">
        <v>222620.34</v>
      </c>
      <c r="I16" s="209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spans="1:26" ht="18.75" x14ac:dyDescent="0.3">
      <c r="A17" s="205">
        <v>6</v>
      </c>
      <c r="B17" s="206" t="s">
        <v>603</v>
      </c>
      <c r="C17" s="207">
        <v>7848.94</v>
      </c>
      <c r="D17" s="207">
        <v>55135.74</v>
      </c>
      <c r="E17" s="208">
        <v>14338.35</v>
      </c>
      <c r="F17" s="208">
        <v>7848.94</v>
      </c>
      <c r="G17" s="208">
        <v>162551.53</v>
      </c>
      <c r="H17" s="208">
        <v>14338.35</v>
      </c>
      <c r="I17" s="209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9"/>
      <c r="V17" s="209"/>
      <c r="W17" s="209"/>
      <c r="X17" s="209"/>
      <c r="Y17" s="209"/>
      <c r="Z17" s="209"/>
    </row>
    <row r="18" spans="1:26" ht="18.75" x14ac:dyDescent="0.3">
      <c r="A18" s="205">
        <v>7</v>
      </c>
      <c r="B18" s="206" t="s">
        <v>604</v>
      </c>
      <c r="C18" s="207"/>
      <c r="D18" s="207"/>
      <c r="E18" s="208"/>
      <c r="F18" s="208"/>
      <c r="G18" s="208"/>
      <c r="H18" s="208"/>
      <c r="I18" s="209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9"/>
      <c r="V18" s="209"/>
      <c r="W18" s="218"/>
      <c r="X18" s="218"/>
      <c r="Y18" s="209"/>
      <c r="Z18" s="209"/>
    </row>
    <row r="19" spans="1:26" ht="18.75" x14ac:dyDescent="0.3">
      <c r="A19" s="205">
        <v>8</v>
      </c>
      <c r="B19" s="206" t="s">
        <v>639</v>
      </c>
      <c r="C19" s="207">
        <v>44770.98</v>
      </c>
      <c r="D19" s="207"/>
      <c r="E19" s="208">
        <v>16720.82</v>
      </c>
      <c r="F19" s="208">
        <v>97648.3</v>
      </c>
      <c r="G19" s="208">
        <v>83376.61</v>
      </c>
      <c r="H19" s="208">
        <v>34117.68</v>
      </c>
      <c r="I19" s="209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9"/>
      <c r="V19" s="209"/>
      <c r="W19" s="209"/>
      <c r="X19" s="209"/>
      <c r="Y19" s="209"/>
      <c r="Z19" s="209"/>
    </row>
    <row r="20" spans="1:26" ht="18.75" x14ac:dyDescent="0.3">
      <c r="A20" s="205">
        <v>9</v>
      </c>
      <c r="B20" s="206" t="s">
        <v>640</v>
      </c>
      <c r="C20" s="207"/>
      <c r="D20" s="207"/>
      <c r="E20" s="208"/>
      <c r="F20" s="208"/>
      <c r="G20" s="208"/>
      <c r="H20" s="208"/>
      <c r="I20" s="209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9"/>
      <c r="V20" s="209"/>
      <c r="W20" s="209"/>
      <c r="X20" s="209"/>
      <c r="Y20" s="209"/>
      <c r="Z20" s="209"/>
    </row>
    <row r="21" spans="1:26" ht="18.75" x14ac:dyDescent="0.3">
      <c r="A21" s="205">
        <v>10</v>
      </c>
      <c r="B21" s="206" t="s">
        <v>641</v>
      </c>
      <c r="C21" s="207">
        <v>7193.05</v>
      </c>
      <c r="D21" s="207">
        <v>15993.02</v>
      </c>
      <c r="E21" s="208">
        <v>28868.13</v>
      </c>
      <c r="F21" s="208">
        <v>9531.6</v>
      </c>
      <c r="G21" s="208">
        <v>10657.5</v>
      </c>
      <c r="H21" s="208">
        <v>77169.399999999994</v>
      </c>
      <c r="I21" s="209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19"/>
      <c r="V21" s="209"/>
      <c r="W21" s="209"/>
      <c r="X21" s="209"/>
      <c r="Y21" s="209"/>
      <c r="Z21" s="209"/>
    </row>
    <row r="22" spans="1:26" ht="18.75" x14ac:dyDescent="0.3">
      <c r="A22" s="205">
        <v>11</v>
      </c>
      <c r="B22" s="206" t="s">
        <v>606</v>
      </c>
      <c r="C22" s="207">
        <v>269639.73</v>
      </c>
      <c r="D22" s="207">
        <v>234503.89</v>
      </c>
      <c r="E22" s="208">
        <v>617068.65</v>
      </c>
      <c r="F22" s="208"/>
      <c r="G22" s="208">
        <v>366095.18</v>
      </c>
      <c r="H22" s="208">
        <v>356314.76</v>
      </c>
      <c r="I22" s="209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9"/>
      <c r="V22" s="209"/>
      <c r="W22" s="209"/>
      <c r="X22" s="209"/>
      <c r="Y22" s="209"/>
      <c r="Z22" s="209"/>
    </row>
    <row r="23" spans="1:26" ht="18.75" x14ac:dyDescent="0.3">
      <c r="A23" s="205">
        <v>12</v>
      </c>
      <c r="B23" s="206" t="s">
        <v>600</v>
      </c>
      <c r="C23" s="207">
        <v>69588.33</v>
      </c>
      <c r="D23" s="207"/>
      <c r="E23" s="208">
        <v>122630.62</v>
      </c>
      <c r="F23" s="208">
        <v>8262.07</v>
      </c>
      <c r="G23" s="208">
        <v>43770.8</v>
      </c>
      <c r="H23" s="208">
        <v>212345.21</v>
      </c>
      <c r="I23" s="209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9"/>
      <c r="V23" s="209"/>
      <c r="W23" s="209"/>
      <c r="X23" s="209"/>
      <c r="Y23" s="209"/>
      <c r="Z23" s="209"/>
    </row>
    <row r="24" spans="1:26" ht="18.75" x14ac:dyDescent="0.3">
      <c r="A24" s="205">
        <v>13</v>
      </c>
      <c r="B24" s="206" t="s">
        <v>599</v>
      </c>
      <c r="C24" s="207"/>
      <c r="D24" s="207"/>
      <c r="E24" s="208"/>
      <c r="F24" s="208"/>
      <c r="G24" s="208"/>
      <c r="H24" s="208"/>
      <c r="I24" s="209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9"/>
      <c r="V24" s="209"/>
      <c r="W24" s="209"/>
      <c r="X24" s="209"/>
      <c r="Y24" s="209"/>
      <c r="Z24" s="209"/>
    </row>
    <row r="25" spans="1:26" ht="18.75" x14ac:dyDescent="0.3">
      <c r="A25" s="205">
        <v>14</v>
      </c>
      <c r="B25" s="206" t="s">
        <v>642</v>
      </c>
      <c r="C25" s="207"/>
      <c r="D25" s="207"/>
      <c r="E25" s="208"/>
      <c r="F25" s="208"/>
      <c r="G25" s="208"/>
      <c r="H25" s="208"/>
      <c r="I25" s="209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9"/>
      <c r="V25" s="209"/>
      <c r="W25" s="209"/>
      <c r="X25" s="209"/>
      <c r="Y25" s="209"/>
      <c r="Z25" s="209"/>
    </row>
    <row r="26" spans="1:26" ht="18.75" x14ac:dyDescent="0.3">
      <c r="A26" s="205">
        <v>15</v>
      </c>
      <c r="B26" s="206" t="s">
        <v>643</v>
      </c>
      <c r="C26" s="207">
        <v>1396</v>
      </c>
      <c r="D26" s="207"/>
      <c r="E26" s="208">
        <v>20821.36</v>
      </c>
      <c r="F26" s="208">
        <v>31949.94</v>
      </c>
      <c r="G26" s="208">
        <v>80842.17</v>
      </c>
      <c r="H26" s="208">
        <v>1396</v>
      </c>
      <c r="I26" s="209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9"/>
      <c r="V26" s="209"/>
      <c r="W26" s="209"/>
      <c r="X26" s="209"/>
      <c r="Y26" s="209"/>
      <c r="Z26" s="209"/>
    </row>
    <row r="27" spans="1:26" ht="18.75" x14ac:dyDescent="0.3">
      <c r="A27" s="205">
        <v>16</v>
      </c>
      <c r="B27" s="206" t="s">
        <v>644</v>
      </c>
      <c r="C27" s="207">
        <v>4869.5200000000004</v>
      </c>
      <c r="D27" s="207">
        <v>6475.14</v>
      </c>
      <c r="E27" s="208">
        <v>102975.46</v>
      </c>
      <c r="F27" s="208">
        <v>4869.5200000000004</v>
      </c>
      <c r="G27" s="208">
        <v>6619.63</v>
      </c>
      <c r="H27" s="208">
        <v>102672.34</v>
      </c>
      <c r="I27" s="209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9"/>
      <c r="V27" s="209"/>
      <c r="W27" s="209"/>
      <c r="X27" s="209"/>
      <c r="Y27" s="209"/>
      <c r="Z27" s="209"/>
    </row>
    <row r="28" spans="1:26" ht="18.75" x14ac:dyDescent="0.3">
      <c r="A28" s="205">
        <v>17</v>
      </c>
      <c r="B28" s="206" t="s">
        <v>602</v>
      </c>
      <c r="C28" s="207">
        <v>76159.34</v>
      </c>
      <c r="D28" s="207"/>
      <c r="E28" s="208">
        <v>186957.88</v>
      </c>
      <c r="F28" s="208"/>
      <c r="G28" s="208">
        <v>136798.59</v>
      </c>
      <c r="H28" s="208"/>
      <c r="I28" s="209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9"/>
      <c r="V28" s="209"/>
      <c r="W28" s="209"/>
      <c r="X28" s="209"/>
      <c r="Y28" s="209"/>
      <c r="Z28" s="209"/>
    </row>
    <row r="29" spans="1:26" ht="18.75" x14ac:dyDescent="0.3">
      <c r="A29" s="205">
        <v>18</v>
      </c>
      <c r="B29" s="206" t="s">
        <v>605</v>
      </c>
      <c r="C29" s="207">
        <v>75131.09</v>
      </c>
      <c r="D29" s="207">
        <v>71992.2</v>
      </c>
      <c r="E29" s="208">
        <v>146560.32000000001</v>
      </c>
      <c r="F29" s="208"/>
      <c r="G29" s="208">
        <v>85258.31</v>
      </c>
      <c r="H29" s="208">
        <v>237322.18</v>
      </c>
      <c r="I29" s="209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9"/>
      <c r="V29" s="209"/>
      <c r="W29" s="209"/>
      <c r="X29" s="209"/>
      <c r="Y29" s="209"/>
      <c r="Z29" s="209"/>
    </row>
    <row r="30" spans="1:26" ht="18.75" x14ac:dyDescent="0.3">
      <c r="A30" s="205">
        <v>19</v>
      </c>
      <c r="B30" s="206" t="s">
        <v>645</v>
      </c>
      <c r="C30" s="207">
        <v>273646.7</v>
      </c>
      <c r="D30" s="207">
        <v>273646.7</v>
      </c>
      <c r="E30" s="208">
        <v>41285.9</v>
      </c>
      <c r="F30" s="208">
        <v>41071.9</v>
      </c>
      <c r="G30" s="208">
        <v>22435.77</v>
      </c>
      <c r="H30" s="208">
        <v>11220.43</v>
      </c>
      <c r="I30" s="209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9"/>
      <c r="V30" s="209"/>
      <c r="W30" s="209"/>
      <c r="X30" s="209"/>
      <c r="Y30" s="209"/>
      <c r="Z30" s="209"/>
    </row>
    <row r="31" spans="1:26" ht="18.75" x14ac:dyDescent="0.3">
      <c r="A31" s="205">
        <v>20</v>
      </c>
      <c r="B31" s="206" t="s">
        <v>646</v>
      </c>
      <c r="C31" s="207">
        <v>48081.02</v>
      </c>
      <c r="D31" s="207">
        <v>48081.02</v>
      </c>
      <c r="E31" s="208">
        <v>217047.26</v>
      </c>
      <c r="F31" s="208"/>
      <c r="G31" s="208">
        <v>79962.77</v>
      </c>
      <c r="H31" s="208"/>
      <c r="I31" s="209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9"/>
      <c r="V31" s="209"/>
      <c r="W31" s="210"/>
      <c r="X31" s="210"/>
      <c r="Y31" s="209"/>
      <c r="Z31" s="209"/>
    </row>
    <row r="32" spans="1:26" ht="18.75" x14ac:dyDescent="0.3">
      <c r="A32" s="205">
        <v>21</v>
      </c>
      <c r="B32" s="206" t="s">
        <v>601</v>
      </c>
      <c r="C32" s="207">
        <v>28637.51</v>
      </c>
      <c r="D32" s="207"/>
      <c r="E32" s="208">
        <v>92478.63</v>
      </c>
      <c r="F32" s="208"/>
      <c r="G32" s="208">
        <v>2821.24</v>
      </c>
      <c r="H32" s="208"/>
      <c r="I32" s="209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9"/>
      <c r="V32" s="209"/>
      <c r="W32" s="210"/>
      <c r="X32" s="210"/>
      <c r="Y32" s="209"/>
      <c r="Z32" s="209"/>
    </row>
    <row r="33" spans="1:26" ht="18.75" x14ac:dyDescent="0.3">
      <c r="A33" s="205">
        <v>22</v>
      </c>
      <c r="B33" s="206" t="s">
        <v>647</v>
      </c>
      <c r="C33" s="207"/>
      <c r="D33" s="207"/>
      <c r="E33" s="208"/>
      <c r="F33" s="208"/>
      <c r="G33" s="208"/>
      <c r="H33" s="208"/>
      <c r="I33" s="209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9"/>
      <c r="V33" s="209"/>
      <c r="W33" s="220"/>
      <c r="X33" s="220"/>
      <c r="Y33" s="209"/>
      <c r="Z33" s="209"/>
    </row>
    <row r="34" spans="1:26" ht="18.75" x14ac:dyDescent="0.3">
      <c r="A34" s="205">
        <v>23</v>
      </c>
      <c r="B34" s="206" t="s">
        <v>648</v>
      </c>
      <c r="C34" s="207"/>
      <c r="D34" s="207"/>
      <c r="E34" s="208"/>
      <c r="F34" s="208"/>
      <c r="G34" s="208"/>
      <c r="H34" s="208"/>
      <c r="I34" s="209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9"/>
      <c r="V34" s="209"/>
      <c r="W34" s="220"/>
      <c r="X34" s="220"/>
      <c r="Y34" s="209"/>
      <c r="Z34" s="209"/>
    </row>
    <row r="35" spans="1:26" ht="18.75" x14ac:dyDescent="0.3">
      <c r="A35" s="205">
        <v>24</v>
      </c>
      <c r="B35" s="206" t="s">
        <v>649</v>
      </c>
      <c r="C35" s="207">
        <v>259154.57</v>
      </c>
      <c r="D35" s="207"/>
      <c r="E35" s="208">
        <v>439967.13</v>
      </c>
      <c r="F35" s="208">
        <v>870590.25</v>
      </c>
      <c r="G35" s="208">
        <v>404678.83</v>
      </c>
      <c r="H35" s="208">
        <v>262926.38</v>
      </c>
      <c r="I35" s="209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9"/>
      <c r="V35" s="209"/>
      <c r="W35" s="221"/>
      <c r="X35" s="221"/>
      <c r="Y35" s="209"/>
      <c r="Z35" s="209"/>
    </row>
    <row r="36" spans="1:26" ht="18.75" x14ac:dyDescent="0.3">
      <c r="A36" s="542" t="s">
        <v>650</v>
      </c>
      <c r="B36" s="542"/>
      <c r="C36" s="212">
        <f t="shared" ref="C36:F36" si="1">SUM(C14:C35)</f>
        <v>1653183.79</v>
      </c>
      <c r="D36" s="212">
        <f t="shared" si="1"/>
        <v>1069719.71</v>
      </c>
      <c r="E36" s="212">
        <f t="shared" si="1"/>
        <v>2660296.85</v>
      </c>
      <c r="F36" s="212">
        <f t="shared" si="1"/>
        <v>1344324.96</v>
      </c>
      <c r="G36" s="212">
        <f t="shared" ref="G36:Z36" si="2">SUM(G14:G35)</f>
        <v>1749703.0900000003</v>
      </c>
      <c r="H36" s="212">
        <f t="shared" si="2"/>
        <v>2138954.9500000002</v>
      </c>
      <c r="I36" s="213">
        <f t="shared" si="2"/>
        <v>0</v>
      </c>
      <c r="J36" s="214">
        <f t="shared" si="2"/>
        <v>0</v>
      </c>
      <c r="K36" s="215">
        <f t="shared" si="2"/>
        <v>0</v>
      </c>
      <c r="L36" s="213">
        <f t="shared" si="2"/>
        <v>0</v>
      </c>
      <c r="M36" s="214">
        <f t="shared" si="2"/>
        <v>0</v>
      </c>
      <c r="N36" s="213">
        <f t="shared" si="2"/>
        <v>0</v>
      </c>
      <c r="O36" s="215">
        <f t="shared" si="2"/>
        <v>0</v>
      </c>
      <c r="P36" s="215">
        <f t="shared" si="2"/>
        <v>0</v>
      </c>
      <c r="Q36" s="215">
        <f t="shared" si="2"/>
        <v>0</v>
      </c>
      <c r="R36" s="215">
        <f t="shared" si="2"/>
        <v>0</v>
      </c>
      <c r="S36" s="215">
        <f t="shared" si="2"/>
        <v>0</v>
      </c>
      <c r="T36" s="215">
        <f t="shared" si="2"/>
        <v>0</v>
      </c>
      <c r="U36" s="215">
        <f t="shared" si="2"/>
        <v>0</v>
      </c>
      <c r="V36" s="215">
        <f t="shared" si="2"/>
        <v>0</v>
      </c>
      <c r="W36" s="215">
        <f t="shared" si="2"/>
        <v>0</v>
      </c>
      <c r="X36" s="215">
        <f t="shared" si="2"/>
        <v>0</v>
      </c>
      <c r="Y36" s="215">
        <f t="shared" si="2"/>
        <v>0</v>
      </c>
      <c r="Z36" s="215">
        <f t="shared" si="2"/>
        <v>0</v>
      </c>
    </row>
    <row r="37" spans="1:26" ht="18.75" x14ac:dyDescent="0.25">
      <c r="A37" s="543" t="s">
        <v>558</v>
      </c>
      <c r="B37" s="543"/>
      <c r="C37" s="222">
        <f t="shared" ref="C37:Z37" si="3">C13+C36</f>
        <v>6775024.8700000001</v>
      </c>
      <c r="D37" s="222">
        <f t="shared" si="3"/>
        <v>5902831.21</v>
      </c>
      <c r="E37" s="222">
        <f t="shared" si="3"/>
        <v>9928728.9100000001</v>
      </c>
      <c r="F37" s="222">
        <f t="shared" si="3"/>
        <v>9338924.620000001</v>
      </c>
      <c r="G37" s="222">
        <f t="shared" si="3"/>
        <v>7554726.7100000009</v>
      </c>
      <c r="H37" s="222">
        <f t="shared" si="3"/>
        <v>7825280.6499999994</v>
      </c>
      <c r="I37" s="222">
        <f t="shared" si="3"/>
        <v>0</v>
      </c>
      <c r="J37" s="204">
        <f t="shared" si="3"/>
        <v>0</v>
      </c>
      <c r="K37" s="222">
        <f t="shared" si="3"/>
        <v>0</v>
      </c>
      <c r="L37" s="222">
        <f t="shared" si="3"/>
        <v>0</v>
      </c>
      <c r="M37" s="204">
        <f t="shared" si="3"/>
        <v>0</v>
      </c>
      <c r="N37" s="222">
        <f t="shared" si="3"/>
        <v>0</v>
      </c>
      <c r="O37" s="222">
        <f t="shared" si="3"/>
        <v>0</v>
      </c>
      <c r="P37" s="222">
        <f t="shared" si="3"/>
        <v>0</v>
      </c>
      <c r="Q37" s="222">
        <f t="shared" si="3"/>
        <v>0</v>
      </c>
      <c r="R37" s="222">
        <f t="shared" si="3"/>
        <v>0</v>
      </c>
      <c r="S37" s="222">
        <f t="shared" si="3"/>
        <v>0</v>
      </c>
      <c r="T37" s="222">
        <f t="shared" si="3"/>
        <v>0</v>
      </c>
      <c r="U37" s="222">
        <f t="shared" si="3"/>
        <v>0</v>
      </c>
      <c r="V37" s="222">
        <f t="shared" si="3"/>
        <v>0</v>
      </c>
      <c r="W37" s="222">
        <f t="shared" si="3"/>
        <v>0</v>
      </c>
      <c r="X37" s="222">
        <f t="shared" si="3"/>
        <v>0</v>
      </c>
      <c r="Y37" s="222">
        <f t="shared" si="3"/>
        <v>0</v>
      </c>
      <c r="Z37" s="222">
        <f t="shared" si="3"/>
        <v>0</v>
      </c>
    </row>
    <row r="38" spans="1:26" ht="18.75" x14ac:dyDescent="0.25">
      <c r="A38" s="223"/>
      <c r="B38" s="223"/>
      <c r="C38" s="224"/>
      <c r="D38" s="224"/>
      <c r="E38" s="224"/>
      <c r="F38" s="224"/>
      <c r="G38" s="224"/>
      <c r="H38" s="224"/>
      <c r="I38" s="224"/>
      <c r="J38" s="225"/>
      <c r="K38" s="224"/>
      <c r="L38" s="224"/>
      <c r="M38" s="225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</row>
    <row r="39" spans="1:26" ht="18.75" x14ac:dyDescent="0.3">
      <c r="A39" s="226" t="s">
        <v>651</v>
      </c>
      <c r="C39" s="227"/>
      <c r="D39" s="227"/>
      <c r="E39" s="191"/>
      <c r="F39" s="227"/>
      <c r="G39" s="191"/>
      <c r="H39" s="191"/>
      <c r="I39" s="191"/>
      <c r="J39" s="228"/>
      <c r="K39" s="191"/>
      <c r="L39" s="229"/>
      <c r="M39" s="190" t="s">
        <v>616</v>
      </c>
      <c r="W39" s="230"/>
      <c r="Y39" s="230"/>
    </row>
    <row r="40" spans="1:26" ht="18.75" x14ac:dyDescent="0.3">
      <c r="A40" s="231" t="s">
        <v>652</v>
      </c>
      <c r="B40" s="142"/>
      <c r="C40" s="227"/>
      <c r="D40" s="227"/>
      <c r="E40" s="232"/>
      <c r="F40" s="227"/>
      <c r="G40" s="191"/>
      <c r="H40" s="191"/>
      <c r="I40" s="191"/>
      <c r="J40" s="228"/>
      <c r="K40" s="191"/>
      <c r="L40" s="229"/>
      <c r="M40" s="190"/>
    </row>
    <row r="41" spans="1:26" ht="18.75" x14ac:dyDescent="0.25">
      <c r="B41" s="233"/>
      <c r="C41" s="234"/>
      <c r="D41" s="234"/>
      <c r="E41" s="234"/>
      <c r="F41" s="234"/>
      <c r="G41" s="234"/>
      <c r="H41" s="234"/>
      <c r="I41" s="234"/>
      <c r="J41" s="235"/>
      <c r="K41" s="234"/>
      <c r="L41" s="233"/>
      <c r="M41" s="190"/>
    </row>
    <row r="42" spans="1:26" ht="18.75" x14ac:dyDescent="0.3">
      <c r="B42" s="236"/>
      <c r="C42" s="237"/>
      <c r="D42" s="237"/>
      <c r="E42" s="237"/>
      <c r="F42" s="238"/>
      <c r="G42" s="239"/>
      <c r="H42" s="239"/>
      <c r="I42" s="239"/>
      <c r="J42" s="240"/>
      <c r="K42" s="239"/>
      <c r="L42" s="236"/>
      <c r="M42" s="190"/>
    </row>
    <row r="43" spans="1:26" ht="18.75" x14ac:dyDescent="0.3">
      <c r="B43" s="236"/>
      <c r="C43" s="237"/>
      <c r="D43" s="237"/>
      <c r="E43" s="237"/>
      <c r="F43" s="238"/>
      <c r="G43" s="239"/>
      <c r="H43" s="239"/>
      <c r="I43" s="239"/>
      <c r="J43" s="240"/>
      <c r="K43" s="239"/>
      <c r="L43" s="236"/>
      <c r="M43" s="190"/>
    </row>
    <row r="44" spans="1:26" ht="18.75" x14ac:dyDescent="0.3">
      <c r="B44" s="236"/>
      <c r="C44" s="237"/>
      <c r="D44" s="237"/>
      <c r="E44" s="237"/>
      <c r="F44" s="238"/>
      <c r="G44" s="239"/>
      <c r="H44" s="239"/>
      <c r="I44" s="239"/>
      <c r="J44" s="240"/>
      <c r="K44" s="239"/>
      <c r="L44" s="236"/>
      <c r="M44" s="190"/>
    </row>
    <row r="45" spans="1:26" ht="18.75" x14ac:dyDescent="0.3">
      <c r="B45" s="236"/>
      <c r="C45" s="237"/>
      <c r="D45" s="237"/>
      <c r="E45" s="237"/>
      <c r="F45" s="238"/>
      <c r="G45" s="239"/>
      <c r="H45" s="239"/>
      <c r="I45" s="239"/>
      <c r="J45" s="240"/>
      <c r="K45" s="239"/>
      <c r="L45" s="236"/>
      <c r="M45" s="190"/>
    </row>
    <row r="46" spans="1:26" ht="18.75" x14ac:dyDescent="0.3">
      <c r="B46" s="236"/>
      <c r="C46" s="237"/>
      <c r="D46" s="237"/>
      <c r="E46" s="237"/>
      <c r="F46" s="238"/>
      <c r="G46" s="239"/>
      <c r="H46" s="239"/>
      <c r="I46" s="239"/>
      <c r="J46" s="240"/>
      <c r="K46" s="239"/>
      <c r="L46" s="236"/>
      <c r="M46" s="190"/>
    </row>
    <row r="47" spans="1:26" ht="18.75" x14ac:dyDescent="0.3">
      <c r="B47" s="236"/>
      <c r="C47" s="237"/>
      <c r="D47" s="237"/>
      <c r="E47" s="237"/>
      <c r="F47" s="238"/>
      <c r="G47" s="239"/>
      <c r="H47" s="239"/>
      <c r="I47" s="239"/>
      <c r="J47" s="240"/>
      <c r="K47" s="239"/>
      <c r="L47" s="236"/>
      <c r="M47" s="190"/>
    </row>
    <row r="48" spans="1:26" ht="18.75" x14ac:dyDescent="0.3">
      <c r="B48" s="236"/>
      <c r="C48" s="237"/>
      <c r="D48" s="237"/>
      <c r="E48" s="237"/>
      <c r="F48" s="238"/>
      <c r="G48" s="239"/>
      <c r="H48" s="239"/>
      <c r="I48" s="239"/>
      <c r="J48" s="240"/>
      <c r="K48" s="239"/>
      <c r="L48" s="236"/>
      <c r="M48" s="190"/>
    </row>
    <row r="49" spans="2:13" ht="18.75" x14ac:dyDescent="0.3">
      <c r="B49" s="236"/>
      <c r="C49" s="237"/>
      <c r="D49" s="237"/>
      <c r="E49" s="237"/>
      <c r="F49" s="238"/>
      <c r="G49" s="239"/>
      <c r="H49" s="239"/>
      <c r="I49" s="239"/>
      <c r="J49" s="240"/>
      <c r="K49" s="239"/>
      <c r="L49" s="236"/>
      <c r="M49" s="190"/>
    </row>
    <row r="50" spans="2:13" ht="18.75" x14ac:dyDescent="0.3">
      <c r="B50" s="236"/>
      <c r="C50" s="237"/>
      <c r="D50" s="237"/>
      <c r="E50" s="237"/>
      <c r="F50" s="238"/>
      <c r="G50" s="239"/>
      <c r="H50" s="239"/>
      <c r="I50" s="239"/>
      <c r="J50" s="240"/>
      <c r="K50" s="239"/>
      <c r="L50" s="236"/>
      <c r="M50" s="190"/>
    </row>
    <row r="51" spans="2:13" ht="18.75" x14ac:dyDescent="0.3">
      <c r="B51" s="236"/>
      <c r="C51" s="237"/>
      <c r="D51" s="237"/>
      <c r="E51" s="237"/>
      <c r="F51" s="238"/>
      <c r="G51" s="239"/>
      <c r="H51" s="239"/>
      <c r="I51" s="239"/>
      <c r="J51" s="240"/>
      <c r="K51" s="239"/>
      <c r="L51" s="236"/>
      <c r="M51" s="190"/>
    </row>
    <row r="52" spans="2:13" ht="18.75" x14ac:dyDescent="0.3">
      <c r="B52" s="236"/>
      <c r="C52" s="237"/>
      <c r="D52" s="237"/>
      <c r="E52" s="237"/>
      <c r="F52" s="238"/>
      <c r="G52" s="239"/>
      <c r="H52" s="239"/>
      <c r="I52" s="239"/>
      <c r="J52" s="240"/>
      <c r="K52" s="239"/>
      <c r="L52" s="236"/>
      <c r="M52" s="190"/>
    </row>
    <row r="53" spans="2:13" ht="18.75" x14ac:dyDescent="0.3">
      <c r="B53" s="236"/>
      <c r="C53" s="237"/>
      <c r="D53" s="237"/>
      <c r="E53" s="237"/>
      <c r="F53" s="238"/>
      <c r="G53" s="239"/>
      <c r="H53" s="239"/>
      <c r="I53" s="239"/>
      <c r="J53" s="240"/>
      <c r="K53" s="239"/>
      <c r="L53" s="236"/>
      <c r="M53" s="190"/>
    </row>
    <row r="54" spans="2:13" ht="18.75" x14ac:dyDescent="0.3">
      <c r="B54" s="241"/>
      <c r="C54" s="242"/>
      <c r="D54" s="242"/>
      <c r="E54" s="242"/>
      <c r="F54" s="242"/>
      <c r="G54" s="191"/>
      <c r="H54" s="191"/>
      <c r="I54" s="191"/>
      <c r="J54" s="228"/>
      <c r="K54" s="191"/>
      <c r="L54" s="241"/>
      <c r="M54" s="190"/>
    </row>
    <row r="55" spans="2:13" ht="18.75" x14ac:dyDescent="0.3">
      <c r="B55" s="243"/>
      <c r="C55" s="191"/>
      <c r="D55" s="191"/>
      <c r="E55" s="191"/>
      <c r="F55" s="191"/>
      <c r="G55" s="191"/>
      <c r="H55" s="191"/>
      <c r="I55" s="191"/>
      <c r="J55" s="228"/>
      <c r="K55" s="191"/>
      <c r="L55" s="243"/>
      <c r="M55" s="190"/>
    </row>
    <row r="56" spans="2:13" ht="18.75" x14ac:dyDescent="0.25">
      <c r="B56" s="233"/>
      <c r="C56" s="234"/>
      <c r="D56" s="234"/>
      <c r="E56" s="234"/>
      <c r="F56" s="234"/>
      <c r="G56" s="234"/>
      <c r="H56" s="234"/>
      <c r="I56" s="234"/>
      <c r="J56" s="235"/>
      <c r="K56" s="234"/>
      <c r="L56" s="233"/>
      <c r="M56" s="190"/>
    </row>
    <row r="57" spans="2:13" ht="18.75" x14ac:dyDescent="0.3">
      <c r="B57" s="229"/>
      <c r="C57" s="227"/>
      <c r="D57" s="227"/>
      <c r="E57" s="191"/>
      <c r="F57" s="227"/>
      <c r="G57" s="191"/>
      <c r="H57" s="191"/>
      <c r="I57" s="191"/>
      <c r="J57" s="228"/>
      <c r="K57" s="191"/>
      <c r="L57" s="229"/>
      <c r="M57" s="190"/>
    </row>
    <row r="58" spans="2:13" ht="18.75" x14ac:dyDescent="0.3">
      <c r="B58" s="229"/>
      <c r="C58" s="227"/>
      <c r="D58" s="227"/>
      <c r="E58" s="191"/>
      <c r="F58" s="227"/>
      <c r="G58" s="191"/>
      <c r="H58" s="191"/>
      <c r="I58" s="191"/>
      <c r="J58" s="228"/>
      <c r="K58" s="191"/>
      <c r="L58" s="229"/>
      <c r="M58" s="190"/>
    </row>
    <row r="59" spans="2:13" ht="18.75" x14ac:dyDescent="0.3">
      <c r="B59" s="229"/>
      <c r="C59" s="227"/>
      <c r="D59" s="227"/>
      <c r="E59" s="191"/>
      <c r="F59" s="227"/>
      <c r="G59" s="191"/>
      <c r="H59" s="191"/>
      <c r="I59" s="191"/>
      <c r="J59" s="228"/>
      <c r="K59" s="191"/>
      <c r="L59" s="229"/>
      <c r="M59" s="190"/>
    </row>
    <row r="60" spans="2:13" ht="18.75" x14ac:dyDescent="0.3">
      <c r="B60" s="229" t="s">
        <v>616</v>
      </c>
      <c r="C60" s="227"/>
      <c r="D60" s="227"/>
      <c r="E60" s="191"/>
      <c r="F60" s="227"/>
      <c r="G60" s="191"/>
      <c r="H60" s="191"/>
      <c r="I60" s="191"/>
      <c r="J60" s="228"/>
      <c r="K60" s="191"/>
      <c r="L60" s="229"/>
      <c r="M60" s="190"/>
    </row>
    <row r="61" spans="2:13" ht="18.75" x14ac:dyDescent="0.3">
      <c r="B61" s="229"/>
      <c r="C61" s="227"/>
      <c r="D61" s="227"/>
      <c r="E61" s="191"/>
      <c r="F61" s="227"/>
      <c r="G61" s="191"/>
      <c r="H61" s="191"/>
      <c r="I61" s="191"/>
      <c r="J61" s="228"/>
      <c r="K61" s="191"/>
      <c r="L61" s="229"/>
      <c r="M61" s="190"/>
    </row>
    <row r="62" spans="2:13" ht="18.75" x14ac:dyDescent="0.3">
      <c r="B62" s="229"/>
      <c r="C62" s="227"/>
      <c r="D62" s="227"/>
      <c r="E62" s="191"/>
      <c r="F62" s="227"/>
      <c r="G62" s="191"/>
      <c r="H62" s="191"/>
      <c r="I62" s="191"/>
      <c r="J62" s="228"/>
      <c r="K62" s="191"/>
      <c r="L62" s="229"/>
      <c r="M62" s="190"/>
    </row>
    <row r="63" spans="2:13" ht="18.75" x14ac:dyDescent="0.3">
      <c r="B63" s="229"/>
      <c r="C63" s="227"/>
      <c r="D63" s="227"/>
      <c r="E63" s="191"/>
      <c r="F63" s="227"/>
      <c r="G63" s="191"/>
      <c r="H63" s="191"/>
      <c r="I63" s="191"/>
      <c r="J63" s="228"/>
      <c r="K63" s="191"/>
      <c r="L63" s="229"/>
      <c r="M63" s="190"/>
    </row>
    <row r="64" spans="2:13" ht="18.75" x14ac:dyDescent="0.3">
      <c r="B64" s="243"/>
      <c r="C64" s="191"/>
      <c r="D64" s="191"/>
      <c r="E64" s="191"/>
      <c r="F64" s="191"/>
      <c r="G64" s="191"/>
      <c r="H64" s="191"/>
      <c r="I64" s="191"/>
      <c r="J64" s="228"/>
      <c r="K64" s="191"/>
      <c r="L64" s="243"/>
      <c r="M64" s="190"/>
    </row>
    <row r="65" spans="2:13" ht="18.75" x14ac:dyDescent="0.3">
      <c r="B65" s="243"/>
      <c r="C65" s="191"/>
      <c r="D65" s="191"/>
      <c r="E65" s="191"/>
      <c r="F65" s="191"/>
      <c r="G65" s="191"/>
      <c r="H65" s="191"/>
      <c r="I65" s="191"/>
      <c r="J65" s="228"/>
      <c r="K65" s="191"/>
      <c r="L65" s="243"/>
      <c r="M65" s="190"/>
    </row>
    <row r="66" spans="2:13" ht="18.75" x14ac:dyDescent="0.3">
      <c r="B66" s="243"/>
      <c r="C66" s="191"/>
      <c r="D66" s="191"/>
      <c r="E66" s="191"/>
      <c r="F66" s="191"/>
      <c r="G66" s="191"/>
      <c r="H66" s="191"/>
      <c r="I66" s="191"/>
      <c r="J66" s="228"/>
      <c r="K66" s="191"/>
      <c r="L66" s="243"/>
      <c r="M66" s="190"/>
    </row>
    <row r="67" spans="2:13" ht="18.75" x14ac:dyDescent="0.3">
      <c r="B67" s="243"/>
      <c r="C67" s="191"/>
      <c r="D67" s="191"/>
      <c r="E67" s="191"/>
      <c r="F67" s="191"/>
      <c r="G67" s="191"/>
      <c r="H67" s="191"/>
      <c r="I67" s="191"/>
      <c r="J67" s="228"/>
      <c r="K67" s="191"/>
      <c r="L67" s="243"/>
      <c r="M67" s="190"/>
    </row>
  </sheetData>
  <mergeCells count="20"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Y8:Z8"/>
    <mergeCell ref="A13:B13"/>
    <mergeCell ref="A36:B36"/>
    <mergeCell ref="A37:B37"/>
    <mergeCell ref="M8:N8"/>
    <mergeCell ref="O8:P8"/>
    <mergeCell ref="Q8:R8"/>
    <mergeCell ref="S8:T8"/>
    <mergeCell ref="U8:V8"/>
    <mergeCell ref="W8:X8"/>
  </mergeCells>
  <pageMargins left="0.7" right="0.7" top="0.75" bottom="0.75" header="0.3" footer="0.3"/>
  <pageSetup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H15" sqref="H15"/>
    </sheetView>
  </sheetViews>
  <sheetFormatPr baseColWidth="10" defaultRowHeight="15" x14ac:dyDescent="0.25"/>
  <cols>
    <col min="1" max="1" width="27.7109375" customWidth="1"/>
    <col min="2" max="2" width="17.5703125" customWidth="1"/>
    <col min="3" max="3" width="17.85546875" bestFit="1" customWidth="1"/>
    <col min="4" max="4" width="18.5703125" customWidth="1"/>
    <col min="5" max="5" width="20.140625" customWidth="1"/>
  </cols>
  <sheetData>
    <row r="1" spans="1:6" ht="22.5" x14ac:dyDescent="0.3">
      <c r="A1" s="537" t="s">
        <v>653</v>
      </c>
      <c r="B1" s="537"/>
      <c r="C1" s="537"/>
      <c r="D1" s="537"/>
      <c r="E1" s="537"/>
      <c r="F1" s="537"/>
    </row>
    <row r="2" spans="1:6" ht="22.5" x14ac:dyDescent="0.3">
      <c r="A2" s="552" t="s">
        <v>589</v>
      </c>
      <c r="B2" s="552"/>
      <c r="C2" s="552"/>
      <c r="D2" s="552"/>
      <c r="E2" s="552"/>
    </row>
    <row r="3" spans="1:6" ht="22.5" x14ac:dyDescent="0.3">
      <c r="A3" s="553" t="s">
        <v>654</v>
      </c>
      <c r="B3" s="553"/>
      <c r="C3" s="553"/>
      <c r="D3" s="553"/>
      <c r="E3" s="553"/>
    </row>
    <row r="4" spans="1:6" ht="18.75" x14ac:dyDescent="0.25">
      <c r="A4" s="244" t="s">
        <v>655</v>
      </c>
      <c r="B4" s="244" t="s">
        <v>656</v>
      </c>
      <c r="C4" s="244" t="s">
        <v>631</v>
      </c>
      <c r="D4" s="244" t="s">
        <v>657</v>
      </c>
      <c r="E4" s="244" t="s">
        <v>72</v>
      </c>
    </row>
    <row r="5" spans="1:6" ht="15.75" x14ac:dyDescent="0.25">
      <c r="A5" s="245" t="s">
        <v>677</v>
      </c>
      <c r="B5" s="246">
        <v>6775024.8700000001</v>
      </c>
      <c r="C5" s="247">
        <v>5902831.21</v>
      </c>
      <c r="D5" s="247">
        <v>102835</v>
      </c>
      <c r="E5" s="306">
        <f>+D5/C5</f>
        <v>1.7421301125091802E-2</v>
      </c>
    </row>
    <row r="6" spans="1:6" ht="15.75" x14ac:dyDescent="0.25">
      <c r="A6" s="245" t="s">
        <v>678</v>
      </c>
      <c r="B6" s="248">
        <v>9928728.9100000001</v>
      </c>
      <c r="C6" s="247">
        <v>9338924.6199999992</v>
      </c>
      <c r="D6" s="248">
        <f>147829.22+68679.07+4547.79</f>
        <v>221056.08000000002</v>
      </c>
      <c r="E6" s="306">
        <f>+D6/C6</f>
        <v>2.3670399858094156E-2</v>
      </c>
    </row>
    <row r="7" spans="1:6" ht="15.75" x14ac:dyDescent="0.25">
      <c r="A7" s="245" t="s">
        <v>548</v>
      </c>
      <c r="B7" s="248">
        <v>7643032.2199999997</v>
      </c>
      <c r="C7" s="247">
        <v>7825280.6500000004</v>
      </c>
      <c r="D7" s="248">
        <v>99442.51</v>
      </c>
      <c r="E7" s="306">
        <f>+D7/C7</f>
        <v>1.2707852209747902E-2</v>
      </c>
    </row>
    <row r="8" spans="1:6" ht="15.75" x14ac:dyDescent="0.25">
      <c r="A8" s="245" t="s">
        <v>547</v>
      </c>
      <c r="B8" s="248"/>
      <c r="C8" s="248"/>
      <c r="D8" s="248"/>
      <c r="E8" s="306"/>
    </row>
    <row r="9" spans="1:6" ht="15.75" x14ac:dyDescent="0.25">
      <c r="A9" s="245" t="s">
        <v>546</v>
      </c>
      <c r="B9" s="250"/>
      <c r="C9" s="250"/>
      <c r="D9" s="248"/>
      <c r="E9" s="249"/>
    </row>
    <row r="10" spans="1:6" ht="15.75" x14ac:dyDescent="0.25">
      <c r="A10" s="245" t="s">
        <v>545</v>
      </c>
      <c r="B10" s="250"/>
      <c r="C10" s="250"/>
      <c r="D10" s="248"/>
      <c r="E10" s="249"/>
    </row>
    <row r="11" spans="1:6" ht="15.75" x14ac:dyDescent="0.25">
      <c r="A11" s="245" t="s">
        <v>544</v>
      </c>
      <c r="B11" s="250"/>
      <c r="C11" s="250"/>
      <c r="D11" s="248"/>
      <c r="E11" s="249"/>
    </row>
    <row r="12" spans="1:6" ht="15.75" x14ac:dyDescent="0.25">
      <c r="A12" s="245" t="s">
        <v>543</v>
      </c>
      <c r="B12" s="250"/>
      <c r="C12" s="250"/>
      <c r="D12" s="248"/>
      <c r="E12" s="249"/>
    </row>
    <row r="13" spans="1:6" ht="15.75" x14ac:dyDescent="0.25">
      <c r="A13" s="245" t="s">
        <v>542</v>
      </c>
      <c r="B13" s="250"/>
      <c r="C13" s="250"/>
      <c r="D13" s="248"/>
      <c r="E13" s="249"/>
    </row>
    <row r="14" spans="1:6" ht="15.75" x14ac:dyDescent="0.25">
      <c r="A14" s="245" t="s">
        <v>679</v>
      </c>
      <c r="B14" s="250"/>
      <c r="C14" s="250"/>
      <c r="D14" s="248"/>
      <c r="E14" s="249"/>
    </row>
    <row r="15" spans="1:6" ht="15.75" x14ac:dyDescent="0.25">
      <c r="A15" s="245" t="s">
        <v>540</v>
      </c>
      <c r="B15" s="250"/>
      <c r="C15" s="250"/>
      <c r="D15" s="248"/>
      <c r="E15" s="249"/>
    </row>
    <row r="16" spans="1:6" ht="15.75" x14ac:dyDescent="0.25">
      <c r="A16" s="245" t="s">
        <v>539</v>
      </c>
      <c r="B16" s="250"/>
      <c r="C16" s="250"/>
      <c r="D16" s="248"/>
      <c r="E16" s="249"/>
    </row>
    <row r="17" spans="1:5" ht="18.75" x14ac:dyDescent="0.3">
      <c r="A17" s="251" t="s">
        <v>348</v>
      </c>
      <c r="B17" s="252">
        <f>SUM(B5:B13)</f>
        <v>24346786</v>
      </c>
      <c r="C17" s="252">
        <f>SUM(C5:C13)</f>
        <v>23067036.479999997</v>
      </c>
      <c r="D17" s="252">
        <f>SUM(D5:D13)</f>
        <v>423333.59</v>
      </c>
      <c r="E17" s="307">
        <f>+D17/C17</f>
        <v>1.835231805208469E-2</v>
      </c>
    </row>
    <row r="18" spans="1:5" ht="15.75" x14ac:dyDescent="0.25">
      <c r="A18" s="253"/>
      <c r="B18" s="254"/>
      <c r="C18" s="254"/>
      <c r="D18" s="254"/>
      <c r="E18" s="255"/>
    </row>
    <row r="19" spans="1:5" ht="15.75" x14ac:dyDescent="0.25">
      <c r="A19" s="226" t="s">
        <v>651</v>
      </c>
      <c r="B19" s="254"/>
      <c r="C19" s="254"/>
      <c r="D19" s="254"/>
      <c r="E19" s="255"/>
    </row>
    <row r="20" spans="1:5" ht="15.75" x14ac:dyDescent="0.25">
      <c r="A20" s="231" t="s">
        <v>652</v>
      </c>
      <c r="B20" s="254"/>
      <c r="C20" s="254"/>
      <c r="D20" s="254"/>
      <c r="E20" s="255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2CB089-94A8-429F-A92D-B88DDF68251D}">
  <ds:schemaRefs>
    <ds:schemaRef ds:uri="07c79e06-4b95-4bd7-9f70-1708916ba346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66a0fbff-63c5-42e0-aeb3-a526626be49b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3</vt:i4>
      </vt:variant>
    </vt:vector>
  </HeadingPairs>
  <TitlesOfParts>
    <vt:vector size="17" baseType="lpstr">
      <vt:lpstr>RELACION DE PAGOS EMITIDOS</vt:lpstr>
      <vt:lpstr>RELACION ORDENES DE COMPRAS</vt:lpstr>
      <vt:lpstr>CONS. FUENTES FINAN</vt:lpstr>
      <vt:lpstr>CUENTA T FONDO 100</vt:lpstr>
      <vt:lpstr>CUENTA T VS</vt:lpstr>
      <vt:lpstr>GASTOS X ATENCION</vt:lpstr>
      <vt:lpstr>PLANTILLA PRESUPUESTO</vt:lpstr>
      <vt:lpstr>TRANSFERENCIA CORRIENTE</vt:lpstr>
      <vt:lpstr>VS</vt:lpstr>
      <vt:lpstr>OBLIGACIONES PENDIENTES</vt:lpstr>
      <vt:lpstr>INGR SEGUN ORIGEN</vt:lpstr>
      <vt:lpstr>DEUDA</vt:lpstr>
      <vt:lpstr>INGRESOS POR A.R.S</vt:lpstr>
      <vt:lpstr>GLOSA</vt:lpstr>
      <vt:lpstr>'CONS. FUENTES FINAN'!Área_de_impresión</vt:lpstr>
      <vt:lpstr>'INGR SEGUN ORIGEN'!Área_de_impresión</vt:lpstr>
      <vt:lpstr>'RELACION DE PAGOS EMITIDOS'!Área_de_impresión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contabilidad</cp:lastModifiedBy>
  <cp:lastPrinted>2025-04-08T16:53:48Z</cp:lastPrinted>
  <dcterms:created xsi:type="dcterms:W3CDTF">2021-03-19T19:51:23Z</dcterms:created>
  <dcterms:modified xsi:type="dcterms:W3CDTF">2025-04-28T14:36:22Z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
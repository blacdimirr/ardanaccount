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SEPTIEMBRE 2025\"/>
    </mc:Choice>
  </mc:AlternateContent>
  <xr:revisionPtr revIDLastSave="0" documentId="13_ncr:1_{FE9991BB-0151-4F0D-8927-5E5E4D3D7B23}" xr6:coauthVersionLast="47" xr6:coauthVersionMax="47" xr10:uidLastSave="{00000000-0000-0000-0000-000000000000}"/>
  <bookViews>
    <workbookView xWindow="-120" yWindow="-120" windowWidth="24240" windowHeight="13140" tabRatio="878" firstSheet="5" activeTab="15" xr2:uid="{00000000-000D-0000-FFFF-FFFF00000000}"/>
  </bookViews>
  <sheets>
    <sheet name="RELACION DE PAGOS EMITIDOS" sheetId="14" r:id="rId1"/>
    <sheet name="RELACION ORDENES DE COMPRAS" sheetId="15" r:id="rId2"/>
    <sheet name="CONS. FUENTES FINAN" sheetId="4" r:id="rId3"/>
    <sheet name="CUENTA T FONDO 100" sheetId="13" r:id="rId4"/>
    <sheet name="CUENTA T VS" sheetId="1" r:id="rId5"/>
    <sheet name="GASTOS X ATENCION" sheetId="6" r:id="rId6"/>
    <sheet name="PLANTILLA PRESUPUESTO" sheetId="18" r:id="rId7"/>
    <sheet name="Sheet2" sheetId="27" state="hidden" r:id="rId8"/>
    <sheet name="TRANSFERENCIA CORRIENTE" sheetId="16" r:id="rId9"/>
    <sheet name="VS" sheetId="17" r:id="rId10"/>
    <sheet name="OBLIGACIONES PENDIENTES" sheetId="19" r:id="rId11"/>
    <sheet name="INGR SEGUN ORIGEN" sheetId="25" r:id="rId12"/>
    <sheet name="Sheet1" sheetId="26" state="hidden" r:id="rId13"/>
    <sheet name="DEUDA" sheetId="23" r:id="rId14"/>
    <sheet name="INGRESOS POR A.R.S" sheetId="21" r:id="rId15"/>
    <sheet name="GLOSA" sheetId="22" r:id="rId16"/>
  </sheets>
  <definedNames>
    <definedName name="_xlnm._FilterDatabase" localSheetId="2" hidden="1">'CONS. FUENTES FINAN'!$A$27:$J$501</definedName>
    <definedName name="_xlnm.Print_Area" localSheetId="2">'CONS. FUENTES FINAN'!$A$1:$J$501</definedName>
    <definedName name="_xlnm.Print_Area" localSheetId="11">'INGR SEGUN ORIGEN'!$A$1:$E$59</definedName>
    <definedName name="_xlnm.Print_Area" localSheetId="0">'RELACION DE PAGOS EMITIDOS'!$A$1:$H$169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8" i="23" l="1"/>
  <c r="S39" i="23" s="1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7" i="23"/>
  <c r="F39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E39" i="23"/>
  <c r="E38" i="25" l="1"/>
  <c r="C167" i="14"/>
  <c r="C165" i="14" s="1"/>
  <c r="K73" i="16"/>
  <c r="J73" i="16"/>
  <c r="C85" i="17"/>
  <c r="D85" i="17"/>
  <c r="E85" i="17"/>
  <c r="F85" i="17"/>
  <c r="G85" i="17"/>
  <c r="H85" i="17"/>
  <c r="I85" i="17"/>
  <c r="J85" i="17"/>
  <c r="K85" i="17"/>
  <c r="B85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B73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4" i="17"/>
  <c r="B75" i="17"/>
  <c r="B76" i="17"/>
  <c r="B77" i="17"/>
  <c r="B78" i="17"/>
  <c r="B79" i="17"/>
  <c r="B80" i="17"/>
  <c r="B81" i="17"/>
  <c r="B82" i="17"/>
  <c r="B83" i="17"/>
  <c r="B84" i="17"/>
  <c r="B9" i="17"/>
  <c r="J35" i="17"/>
  <c r="K61" i="17"/>
  <c r="K51" i="17"/>
  <c r="K43" i="17"/>
  <c r="K35" i="17"/>
  <c r="K25" i="17"/>
  <c r="K15" i="17"/>
  <c r="K9" i="17"/>
  <c r="K51" i="16" l="1"/>
  <c r="K43" i="16"/>
  <c r="K35" i="16"/>
  <c r="K9" i="16"/>
  <c r="K15" i="16"/>
  <c r="K25" i="16"/>
  <c r="JL5" i="1" l="1"/>
  <c r="JL6" i="1"/>
  <c r="JL7" i="1"/>
  <c r="JL8" i="1"/>
  <c r="JL9" i="1"/>
  <c r="JL10" i="1"/>
  <c r="JL11" i="1"/>
  <c r="JL12" i="1"/>
  <c r="JL13" i="1"/>
  <c r="JL14" i="1"/>
  <c r="JL15" i="1"/>
  <c r="JL16" i="1"/>
  <c r="JL17" i="1"/>
  <c r="JL18" i="1"/>
  <c r="JL19" i="1"/>
  <c r="JL20" i="1"/>
  <c r="JL21" i="1"/>
  <c r="JL22" i="1"/>
  <c r="JL4" i="1"/>
  <c r="G162" i="14"/>
  <c r="H162" i="14"/>
  <c r="JJ48" i="1"/>
  <c r="JJ45" i="1"/>
  <c r="JJ46" i="1" s="1"/>
  <c r="JJ47" i="1" s="1"/>
  <c r="JJ39" i="1"/>
  <c r="JJ40" i="1" s="1"/>
  <c r="JJ41" i="1" s="1"/>
  <c r="JJ42" i="1" s="1"/>
  <c r="JJ43" i="1" s="1"/>
  <c r="JJ44" i="1" s="1"/>
  <c r="JJ38" i="1"/>
  <c r="C166" i="14"/>
  <c r="C168" i="14"/>
  <c r="T14" i="21"/>
  <c r="T39" i="21" s="1"/>
  <c r="U14" i="21"/>
  <c r="U39" i="21" s="1"/>
  <c r="V14" i="21"/>
  <c r="V39" i="21" s="1"/>
  <c r="W14" i="21"/>
  <c r="W39" i="21" s="1"/>
  <c r="X14" i="21"/>
  <c r="Y14" i="21"/>
  <c r="Z14" i="21"/>
  <c r="X39" i="21"/>
  <c r="Y39" i="21"/>
  <c r="Z39" i="21"/>
  <c r="T38" i="21"/>
  <c r="U38" i="21"/>
  <c r="V38" i="21"/>
  <c r="W38" i="21"/>
  <c r="X38" i="21"/>
  <c r="Y38" i="21"/>
  <c r="Z38" i="21"/>
  <c r="T15" i="21"/>
  <c r="T11" i="21"/>
  <c r="S39" i="21"/>
  <c r="S14" i="21"/>
  <c r="S38" i="21"/>
  <c r="S15" i="21"/>
  <c r="B52" i="25" l="1"/>
  <c r="C52" i="25"/>
  <c r="D52" i="25"/>
  <c r="D50" i="25"/>
  <c r="D49" i="25"/>
  <c r="C13" i="22" l="1"/>
  <c r="G16" i="4"/>
  <c r="G15" i="4"/>
  <c r="D13" i="19"/>
  <c r="E30" i="25"/>
  <c r="I14" i="4"/>
  <c r="B31" i="26"/>
  <c r="A33" i="26"/>
  <c r="A31" i="26"/>
  <c r="E9" i="25"/>
  <c r="E12" i="25" s="1"/>
  <c r="DK58" i="1"/>
  <c r="C169" i="15"/>
  <c r="H131" i="15"/>
  <c r="G131" i="15"/>
  <c r="I122" i="15"/>
  <c r="E39" i="25" l="1"/>
  <c r="A125" i="13"/>
  <c r="A109" i="13"/>
  <c r="B109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AU109" i="13"/>
  <c r="AV109" i="13"/>
  <c r="AW109" i="13"/>
  <c r="AX109" i="13"/>
  <c r="AY109" i="13"/>
  <c r="AZ109" i="13"/>
  <c r="BA109" i="13"/>
  <c r="BB109" i="13"/>
  <c r="BC109" i="13"/>
  <c r="BD109" i="13"/>
  <c r="BE109" i="13"/>
  <c r="BF109" i="13"/>
  <c r="BG109" i="13"/>
  <c r="BH109" i="13"/>
  <c r="BI109" i="13"/>
  <c r="BJ109" i="13"/>
  <c r="BK109" i="13"/>
  <c r="BL109" i="13"/>
  <c r="BM109" i="13"/>
  <c r="BN109" i="13"/>
  <c r="BO109" i="13"/>
  <c r="BP109" i="13"/>
  <c r="BQ109" i="13"/>
  <c r="BR109" i="13"/>
  <c r="BS109" i="13"/>
  <c r="BT109" i="13"/>
  <c r="BU109" i="13"/>
  <c r="BV109" i="13"/>
  <c r="BW109" i="13"/>
  <c r="BX109" i="13"/>
  <c r="BY109" i="13"/>
  <c r="BZ109" i="13"/>
  <c r="CA109" i="13"/>
  <c r="CB109" i="13"/>
  <c r="CC109" i="13"/>
  <c r="CD109" i="13"/>
  <c r="CE109" i="13"/>
  <c r="CF109" i="13"/>
  <c r="CG109" i="13"/>
  <c r="CH109" i="13"/>
  <c r="CI109" i="13"/>
  <c r="CJ109" i="13"/>
  <c r="CK109" i="13"/>
  <c r="CL109" i="13"/>
  <c r="CM109" i="13"/>
  <c r="CN109" i="13"/>
  <c r="CO109" i="13"/>
  <c r="CP109" i="13"/>
  <c r="CQ109" i="13"/>
  <c r="CR109" i="13"/>
  <c r="CS109" i="13"/>
  <c r="CT109" i="13"/>
  <c r="CU109" i="13"/>
  <c r="CV109" i="13"/>
  <c r="CW109" i="13"/>
  <c r="CX109" i="13"/>
  <c r="CY109" i="13"/>
  <c r="CZ109" i="13"/>
  <c r="DA109" i="13"/>
  <c r="DB109" i="13"/>
  <c r="DC109" i="13"/>
  <c r="DD109" i="13"/>
  <c r="DE109" i="13"/>
  <c r="DF109" i="13"/>
  <c r="DG109" i="13"/>
  <c r="DH109" i="13"/>
  <c r="DI109" i="13"/>
  <c r="DJ109" i="13"/>
  <c r="DK109" i="13"/>
  <c r="DL109" i="13"/>
  <c r="DM109" i="13"/>
  <c r="DN109" i="13"/>
  <c r="DO109" i="13"/>
  <c r="DP109" i="13"/>
  <c r="DQ109" i="13"/>
  <c r="DR109" i="13"/>
  <c r="DS109" i="13"/>
  <c r="DT109" i="13"/>
  <c r="DU109" i="13"/>
  <c r="DV109" i="13"/>
  <c r="DW109" i="13"/>
  <c r="DX109" i="13"/>
  <c r="DY109" i="13"/>
  <c r="DZ109" i="13"/>
  <c r="EA109" i="13"/>
  <c r="EB109" i="13"/>
  <c r="EC109" i="13"/>
  <c r="ED109" i="13"/>
  <c r="EE109" i="13"/>
  <c r="EF109" i="13"/>
  <c r="EG109" i="13"/>
  <c r="EH109" i="13"/>
  <c r="EI109" i="13"/>
  <c r="EJ109" i="13"/>
  <c r="EK109" i="13"/>
  <c r="EL109" i="13"/>
  <c r="EM109" i="13"/>
  <c r="EN109" i="13"/>
  <c r="EO109" i="13"/>
  <c r="EP109" i="13"/>
  <c r="EQ109" i="13"/>
  <c r="ER109" i="13"/>
  <c r="ES109" i="13"/>
  <c r="ET109" i="13"/>
  <c r="EU109" i="13"/>
  <c r="EV109" i="13"/>
  <c r="EW109" i="13"/>
  <c r="EX109" i="13"/>
  <c r="EY109" i="13"/>
  <c r="EZ109" i="13"/>
  <c r="FA109" i="13"/>
  <c r="FB109" i="13"/>
  <c r="FC109" i="13"/>
  <c r="FD109" i="13"/>
  <c r="FE109" i="13"/>
  <c r="FF109" i="13"/>
  <c r="FG109" i="13"/>
  <c r="FH109" i="13"/>
  <c r="FI109" i="13"/>
  <c r="FJ109" i="13"/>
  <c r="FK109" i="13"/>
  <c r="FL109" i="13"/>
  <c r="FM109" i="13"/>
  <c r="FN109" i="13"/>
  <c r="FO109" i="13"/>
  <c r="FP109" i="13"/>
  <c r="FQ109" i="13"/>
  <c r="FR109" i="13"/>
  <c r="FS109" i="13"/>
  <c r="FT109" i="13"/>
  <c r="FU109" i="13"/>
  <c r="FV109" i="13"/>
  <c r="FW109" i="13"/>
  <c r="FX109" i="13"/>
  <c r="FY109" i="13"/>
  <c r="FZ109" i="13"/>
  <c r="GA109" i="13"/>
  <c r="GB109" i="13"/>
  <c r="GC109" i="13"/>
  <c r="GD109" i="13"/>
  <c r="GE109" i="13"/>
  <c r="GF109" i="13"/>
  <c r="GG109" i="13"/>
  <c r="GH109" i="13"/>
  <c r="GI109" i="13"/>
  <c r="GJ109" i="13"/>
  <c r="GK109" i="13"/>
  <c r="GL109" i="13"/>
  <c r="GM109" i="13"/>
  <c r="GN109" i="13"/>
  <c r="GO109" i="13"/>
  <c r="GP109" i="13"/>
  <c r="GQ109" i="13"/>
  <c r="GR109" i="13"/>
  <c r="GS109" i="13"/>
  <c r="GT109" i="13"/>
  <c r="GU109" i="13"/>
  <c r="GV109" i="13"/>
  <c r="GW109" i="13"/>
  <c r="GX109" i="13"/>
  <c r="GY109" i="13"/>
  <c r="GZ109" i="13"/>
  <c r="HA109" i="13"/>
  <c r="HB109" i="13"/>
  <c r="HC109" i="13"/>
  <c r="HD109" i="13"/>
  <c r="HE109" i="13"/>
  <c r="HF109" i="13"/>
  <c r="HG109" i="13"/>
  <c r="HH109" i="13"/>
  <c r="HI109" i="13"/>
  <c r="HJ109" i="13"/>
  <c r="HK109" i="13"/>
  <c r="HL109" i="13"/>
  <c r="HM109" i="13"/>
  <c r="HN109" i="13"/>
  <c r="HO109" i="13"/>
  <c r="HP109" i="13"/>
  <c r="HQ109" i="13"/>
  <c r="HR109" i="13"/>
  <c r="HS109" i="13"/>
  <c r="HT109" i="13"/>
  <c r="HU109" i="13"/>
  <c r="HV109" i="13"/>
  <c r="HW109" i="13"/>
  <c r="HX109" i="13"/>
  <c r="HY109" i="13"/>
  <c r="HZ109" i="13"/>
  <c r="IA109" i="13"/>
  <c r="IB109" i="13"/>
  <c r="IC109" i="13"/>
  <c r="ID109" i="13"/>
  <c r="IE109" i="13"/>
  <c r="IF109" i="13"/>
  <c r="IG109" i="13"/>
  <c r="IH109" i="13"/>
  <c r="II109" i="13"/>
  <c r="IJ109" i="13"/>
  <c r="IK109" i="13"/>
  <c r="IL109" i="13"/>
  <c r="IM109" i="13"/>
  <c r="IN109" i="13"/>
  <c r="IO109" i="13"/>
  <c r="IP109" i="13"/>
  <c r="IQ109" i="13"/>
  <c r="IR109" i="13"/>
  <c r="IS109" i="13"/>
  <c r="IT109" i="13"/>
  <c r="IU109" i="13"/>
  <c r="IV109" i="13"/>
  <c r="IW109" i="13"/>
  <c r="IX109" i="13"/>
  <c r="IY109" i="13"/>
  <c r="IZ109" i="13"/>
  <c r="JA109" i="13"/>
  <c r="JB109" i="13"/>
  <c r="JC109" i="13"/>
  <c r="JD109" i="13"/>
  <c r="JE109" i="13"/>
  <c r="JF109" i="13"/>
  <c r="JG109" i="13"/>
  <c r="JH109" i="13"/>
  <c r="JI109" i="13"/>
  <c r="AB39" i="13"/>
  <c r="JI58" i="13" l="1"/>
  <c r="JI59" i="13"/>
  <c r="JI60" i="13"/>
  <c r="JI61" i="13"/>
  <c r="JI62" i="13"/>
  <c r="JI63" i="13"/>
  <c r="JI64" i="13"/>
  <c r="JI65" i="13"/>
  <c r="JI66" i="13"/>
  <c r="JI67" i="13"/>
  <c r="JI68" i="13"/>
  <c r="JI69" i="13"/>
  <c r="JI70" i="13"/>
  <c r="JI71" i="13"/>
  <c r="JI72" i="13"/>
  <c r="JI73" i="13"/>
  <c r="JI74" i="13"/>
  <c r="JI75" i="13"/>
  <c r="JI76" i="13"/>
  <c r="JI77" i="13"/>
  <c r="JI78" i="13"/>
  <c r="JI79" i="13"/>
  <c r="JI80" i="13"/>
  <c r="JI81" i="13"/>
  <c r="JI82" i="13"/>
  <c r="JI83" i="13"/>
  <c r="JI84" i="13"/>
  <c r="JI85" i="13"/>
  <c r="JI86" i="13"/>
  <c r="JI87" i="13"/>
  <c r="JI88" i="13"/>
  <c r="JI89" i="13"/>
  <c r="JI90" i="13"/>
  <c r="JI91" i="13"/>
  <c r="JI92" i="13"/>
  <c r="JI93" i="13"/>
  <c r="JI94" i="13"/>
  <c r="JI95" i="13"/>
  <c r="JI96" i="13"/>
  <c r="JI97" i="13"/>
  <c r="JI98" i="13"/>
  <c r="JI99" i="13"/>
  <c r="JI100" i="13"/>
  <c r="JI101" i="13"/>
  <c r="JI102" i="13"/>
  <c r="JI103" i="13"/>
  <c r="JI104" i="13"/>
  <c r="JI105" i="13"/>
  <c r="JI106" i="13"/>
  <c r="C169" i="14" l="1"/>
  <c r="JI4" i="1"/>
  <c r="JI5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83" i="18" l="1"/>
  <c r="I83" i="18"/>
  <c r="H83" i="18"/>
  <c r="G83" i="18"/>
  <c r="G82" i="18" s="1"/>
  <c r="J81" i="18"/>
  <c r="I81" i="18"/>
  <c r="H81" i="18"/>
  <c r="G81" i="18"/>
  <c r="J80" i="18"/>
  <c r="I80" i="18"/>
  <c r="H80" i="18"/>
  <c r="M80" i="18" s="1"/>
  <c r="G80" i="18"/>
  <c r="J79" i="18"/>
  <c r="I79" i="18"/>
  <c r="H79" i="18"/>
  <c r="G79" i="18"/>
  <c r="J78" i="18"/>
  <c r="O78" i="18" s="1"/>
  <c r="I78" i="18"/>
  <c r="H78" i="18"/>
  <c r="G78" i="18"/>
  <c r="J77" i="18"/>
  <c r="I77" i="18"/>
  <c r="H77" i="18"/>
  <c r="G77" i="18"/>
  <c r="J76" i="18"/>
  <c r="I76" i="18"/>
  <c r="H76" i="18"/>
  <c r="G76" i="18"/>
  <c r="J75" i="18"/>
  <c r="O75" i="18" s="1"/>
  <c r="I75" i="18"/>
  <c r="H75" i="18"/>
  <c r="G75" i="18"/>
  <c r="J74" i="18"/>
  <c r="I74" i="18"/>
  <c r="H74" i="18"/>
  <c r="G74" i="18"/>
  <c r="J73" i="18"/>
  <c r="I73" i="18"/>
  <c r="H73" i="18"/>
  <c r="G73" i="18"/>
  <c r="J71" i="18"/>
  <c r="I71" i="18"/>
  <c r="H71" i="18"/>
  <c r="J70" i="18"/>
  <c r="I70" i="18"/>
  <c r="H70" i="18"/>
  <c r="M70" i="18" s="1"/>
  <c r="J69" i="18"/>
  <c r="O69" i="18" s="1"/>
  <c r="I69" i="18"/>
  <c r="H69" i="18"/>
  <c r="G70" i="18"/>
  <c r="G69" i="18"/>
  <c r="J67" i="18"/>
  <c r="I67" i="18"/>
  <c r="H67" i="18"/>
  <c r="G67" i="18"/>
  <c r="J66" i="18"/>
  <c r="I66" i="18"/>
  <c r="H66" i="18"/>
  <c r="H65" i="18" s="1"/>
  <c r="G66" i="18"/>
  <c r="L66" i="18" s="1"/>
  <c r="J64" i="18"/>
  <c r="I64" i="18"/>
  <c r="H64" i="18"/>
  <c r="G64" i="18"/>
  <c r="J63" i="18"/>
  <c r="I63" i="18"/>
  <c r="H63" i="18"/>
  <c r="G63" i="18"/>
  <c r="J62" i="18"/>
  <c r="I62" i="18"/>
  <c r="H62" i="18"/>
  <c r="H60" i="18" s="1"/>
  <c r="G62" i="18"/>
  <c r="J61" i="18"/>
  <c r="I61" i="18"/>
  <c r="H61" i="18"/>
  <c r="G61" i="18"/>
  <c r="J59" i="18"/>
  <c r="O59" i="18" s="1"/>
  <c r="I59" i="18"/>
  <c r="H59" i="18"/>
  <c r="G59" i="18"/>
  <c r="J58" i="18"/>
  <c r="I58" i="18"/>
  <c r="H58" i="18"/>
  <c r="M58" i="18" s="1"/>
  <c r="G58" i="18"/>
  <c r="J57" i="18"/>
  <c r="I57" i="18"/>
  <c r="H57" i="18"/>
  <c r="G57" i="18"/>
  <c r="J56" i="18"/>
  <c r="O56" i="18" s="1"/>
  <c r="I56" i="18"/>
  <c r="H56" i="18"/>
  <c r="G56" i="18"/>
  <c r="J55" i="18"/>
  <c r="I55" i="18"/>
  <c r="H55" i="18"/>
  <c r="M55" i="18" s="1"/>
  <c r="G55" i="18"/>
  <c r="J54" i="18"/>
  <c r="I54" i="18"/>
  <c r="H54" i="18"/>
  <c r="G54" i="18"/>
  <c r="J53" i="18"/>
  <c r="I53" i="18"/>
  <c r="H53" i="18"/>
  <c r="G53" i="18"/>
  <c r="J52" i="18"/>
  <c r="I52" i="18"/>
  <c r="H52" i="18"/>
  <c r="M52" i="18" s="1"/>
  <c r="G52" i="18"/>
  <c r="J51" i="18"/>
  <c r="I51" i="18"/>
  <c r="H51" i="18"/>
  <c r="G51" i="18"/>
  <c r="J49" i="18"/>
  <c r="O49" i="18" s="1"/>
  <c r="I49" i="18"/>
  <c r="H49" i="18"/>
  <c r="G49" i="18"/>
  <c r="J48" i="18"/>
  <c r="I48" i="18"/>
  <c r="H48" i="18"/>
  <c r="M48" i="18" s="1"/>
  <c r="G48" i="18"/>
  <c r="J47" i="18"/>
  <c r="I47" i="18"/>
  <c r="H47" i="18"/>
  <c r="G47" i="18"/>
  <c r="J46" i="18"/>
  <c r="I46" i="18"/>
  <c r="N46" i="18" s="1"/>
  <c r="H46" i="18"/>
  <c r="G46" i="18"/>
  <c r="J45" i="18"/>
  <c r="I45" i="18"/>
  <c r="H45" i="18"/>
  <c r="H42" i="18" s="1"/>
  <c r="G45" i="18"/>
  <c r="J44" i="18"/>
  <c r="I44" i="18"/>
  <c r="H44" i="18"/>
  <c r="G44" i="18"/>
  <c r="J43" i="18"/>
  <c r="I43" i="18"/>
  <c r="H43" i="18"/>
  <c r="G43" i="18"/>
  <c r="J41" i="18"/>
  <c r="I41" i="18"/>
  <c r="H41" i="18"/>
  <c r="M41" i="18" s="1"/>
  <c r="G41" i="18"/>
  <c r="J40" i="18"/>
  <c r="I40" i="18"/>
  <c r="H40" i="18"/>
  <c r="G40" i="18"/>
  <c r="J39" i="18"/>
  <c r="I39" i="18"/>
  <c r="N39" i="18" s="1"/>
  <c r="H39" i="18"/>
  <c r="G39" i="18"/>
  <c r="J38" i="18"/>
  <c r="I38" i="18"/>
  <c r="H38" i="18"/>
  <c r="M38" i="18" s="1"/>
  <c r="G38" i="18"/>
  <c r="J37" i="18"/>
  <c r="I37" i="18"/>
  <c r="H37" i="18"/>
  <c r="G37" i="18"/>
  <c r="J36" i="18"/>
  <c r="I36" i="18"/>
  <c r="H36" i="18"/>
  <c r="G36" i="18"/>
  <c r="G34" i="18" s="1"/>
  <c r="J35" i="18"/>
  <c r="I35" i="18"/>
  <c r="H35" i="18"/>
  <c r="M35" i="18" s="1"/>
  <c r="G35" i="18"/>
  <c r="J33" i="18"/>
  <c r="I33" i="18"/>
  <c r="H33" i="18"/>
  <c r="G33" i="18"/>
  <c r="J32" i="18"/>
  <c r="O32" i="18" s="1"/>
  <c r="I32" i="18"/>
  <c r="H32" i="18"/>
  <c r="G32" i="18"/>
  <c r="J31" i="18"/>
  <c r="I31" i="18"/>
  <c r="H31" i="18"/>
  <c r="M31" i="18" s="1"/>
  <c r="G31" i="18"/>
  <c r="J30" i="18"/>
  <c r="I30" i="18"/>
  <c r="H30" i="18"/>
  <c r="G30" i="18"/>
  <c r="J29" i="18"/>
  <c r="I29" i="18"/>
  <c r="H29" i="18"/>
  <c r="G29" i="18"/>
  <c r="J28" i="18"/>
  <c r="I28" i="18"/>
  <c r="H28" i="18"/>
  <c r="M28" i="18" s="1"/>
  <c r="G28" i="18"/>
  <c r="J27" i="18"/>
  <c r="I27" i="18"/>
  <c r="H27" i="18"/>
  <c r="G27" i="18"/>
  <c r="J26" i="18"/>
  <c r="O26" i="18" s="1"/>
  <c r="I26" i="18"/>
  <c r="H26" i="18"/>
  <c r="G26" i="18"/>
  <c r="G24" i="18" s="1"/>
  <c r="J25" i="18"/>
  <c r="I25" i="18"/>
  <c r="H25" i="18"/>
  <c r="H24" i="18" s="1"/>
  <c r="G25" i="18"/>
  <c r="J23" i="18"/>
  <c r="I23" i="18"/>
  <c r="H23" i="18"/>
  <c r="G23" i="18"/>
  <c r="J22" i="18"/>
  <c r="I22" i="18"/>
  <c r="H22" i="18"/>
  <c r="G22" i="18"/>
  <c r="J21" i="18"/>
  <c r="I21" i="18"/>
  <c r="H21" i="18"/>
  <c r="M21" i="18" s="1"/>
  <c r="G21" i="18"/>
  <c r="J20" i="18"/>
  <c r="I20" i="18"/>
  <c r="H20" i="18"/>
  <c r="G20" i="18"/>
  <c r="J19" i="18"/>
  <c r="O19" i="18" s="1"/>
  <c r="I19" i="18"/>
  <c r="H19" i="18"/>
  <c r="G19" i="18"/>
  <c r="J18" i="18"/>
  <c r="I18" i="18"/>
  <c r="H18" i="18"/>
  <c r="M18" i="18" s="1"/>
  <c r="G18" i="18"/>
  <c r="J17" i="18"/>
  <c r="I17" i="18"/>
  <c r="H17" i="18"/>
  <c r="G17" i="18"/>
  <c r="J16" i="18"/>
  <c r="I16" i="18"/>
  <c r="H16" i="18"/>
  <c r="G16" i="18"/>
  <c r="J15" i="18"/>
  <c r="I15" i="18"/>
  <c r="H15" i="18"/>
  <c r="M15" i="18" s="1"/>
  <c r="G15" i="18"/>
  <c r="J13" i="18"/>
  <c r="I13" i="18"/>
  <c r="H13" i="18"/>
  <c r="G13" i="18"/>
  <c r="J12" i="18"/>
  <c r="I12" i="18"/>
  <c r="N12" i="18" s="1"/>
  <c r="H12" i="18"/>
  <c r="G12" i="18"/>
  <c r="J11" i="18"/>
  <c r="I11" i="18"/>
  <c r="H11" i="18"/>
  <c r="M11" i="18" s="1"/>
  <c r="G11" i="18"/>
  <c r="J10" i="18"/>
  <c r="I10" i="18"/>
  <c r="H10" i="18"/>
  <c r="G10" i="18"/>
  <c r="J9" i="18"/>
  <c r="I9" i="18"/>
  <c r="H9" i="18"/>
  <c r="G9" i="18"/>
  <c r="G8" i="18" s="1"/>
  <c r="E83" i="18"/>
  <c r="D83" i="18"/>
  <c r="D82" i="18" s="1"/>
  <c r="C83" i="18"/>
  <c r="M83" i="18" s="1"/>
  <c r="B83" i="18"/>
  <c r="B82" i="18" s="1"/>
  <c r="E81" i="18"/>
  <c r="D81" i="18"/>
  <c r="C81" i="18"/>
  <c r="B81" i="18"/>
  <c r="E80" i="18"/>
  <c r="O80" i="18" s="1"/>
  <c r="D80" i="18"/>
  <c r="N80" i="18" s="1"/>
  <c r="C80" i="18"/>
  <c r="B80" i="18"/>
  <c r="E79" i="18"/>
  <c r="D79" i="18"/>
  <c r="C79" i="18"/>
  <c r="M79" i="18" s="1"/>
  <c r="B79" i="18"/>
  <c r="E78" i="18"/>
  <c r="D78" i="18"/>
  <c r="C78" i="18"/>
  <c r="M78" i="18" s="1"/>
  <c r="B78" i="18"/>
  <c r="E77" i="18"/>
  <c r="D77" i="18"/>
  <c r="C77" i="18"/>
  <c r="B77" i="18"/>
  <c r="E76" i="18"/>
  <c r="D76" i="18"/>
  <c r="C76" i="18"/>
  <c r="M76" i="18" s="1"/>
  <c r="B76" i="18"/>
  <c r="E75" i="18"/>
  <c r="D75" i="18"/>
  <c r="C75" i="18"/>
  <c r="B75" i="18"/>
  <c r="E74" i="18"/>
  <c r="D74" i="18"/>
  <c r="C74" i="18"/>
  <c r="B74" i="18"/>
  <c r="E73" i="18"/>
  <c r="D73" i="18"/>
  <c r="C73" i="18"/>
  <c r="M73" i="18" s="1"/>
  <c r="B73" i="18"/>
  <c r="E71" i="18"/>
  <c r="D71" i="18"/>
  <c r="C71" i="18"/>
  <c r="B71" i="18"/>
  <c r="E70" i="18"/>
  <c r="D70" i="18"/>
  <c r="D68" i="18" s="1"/>
  <c r="C70" i="18"/>
  <c r="B70" i="18"/>
  <c r="E69" i="18"/>
  <c r="D69" i="18"/>
  <c r="N69" i="18" s="1"/>
  <c r="C69" i="18"/>
  <c r="C68" i="18" s="1"/>
  <c r="B69" i="18"/>
  <c r="E67" i="18"/>
  <c r="D67" i="18"/>
  <c r="C67" i="18"/>
  <c r="M67" i="18" s="1"/>
  <c r="B67" i="18"/>
  <c r="E66" i="18"/>
  <c r="O66" i="18" s="1"/>
  <c r="D66" i="18"/>
  <c r="C66" i="18"/>
  <c r="B66" i="18"/>
  <c r="E64" i="18"/>
  <c r="O64" i="18" s="1"/>
  <c r="D64" i="18"/>
  <c r="C64" i="18"/>
  <c r="M64" i="18" s="1"/>
  <c r="B64" i="18"/>
  <c r="E63" i="18"/>
  <c r="D63" i="18"/>
  <c r="C63" i="18"/>
  <c r="M63" i="18" s="1"/>
  <c r="B63" i="18"/>
  <c r="E62" i="18"/>
  <c r="D62" i="18"/>
  <c r="C62" i="18"/>
  <c r="B62" i="18"/>
  <c r="L62" i="18" s="1"/>
  <c r="E61" i="18"/>
  <c r="E60" i="18" s="1"/>
  <c r="D61" i="18"/>
  <c r="C61" i="18"/>
  <c r="M61" i="18" s="1"/>
  <c r="B61" i="18"/>
  <c r="L61" i="18" s="1"/>
  <c r="E59" i="18"/>
  <c r="D59" i="18"/>
  <c r="C59" i="18"/>
  <c r="M59" i="18" s="1"/>
  <c r="B59" i="18"/>
  <c r="E58" i="18"/>
  <c r="D58" i="18"/>
  <c r="C58" i="18"/>
  <c r="B58" i="18"/>
  <c r="L58" i="18" s="1"/>
  <c r="E57" i="18"/>
  <c r="D57" i="18"/>
  <c r="C57" i="18"/>
  <c r="B57" i="18"/>
  <c r="L57" i="18" s="1"/>
  <c r="E56" i="18"/>
  <c r="D56" i="18"/>
  <c r="C56" i="18"/>
  <c r="B56" i="18"/>
  <c r="E55" i="18"/>
  <c r="O55" i="18" s="1"/>
  <c r="D55" i="18"/>
  <c r="C55" i="18"/>
  <c r="B55" i="18"/>
  <c r="L55" i="18" s="1"/>
  <c r="E54" i="18"/>
  <c r="D54" i="18"/>
  <c r="C54" i="18"/>
  <c r="M54" i="18" s="1"/>
  <c r="B54" i="18"/>
  <c r="L54" i="18" s="1"/>
  <c r="E53" i="18"/>
  <c r="D53" i="18"/>
  <c r="C53" i="18"/>
  <c r="B53" i="18"/>
  <c r="E52" i="18"/>
  <c r="D52" i="18"/>
  <c r="C52" i="18"/>
  <c r="B52" i="18"/>
  <c r="L52" i="18" s="1"/>
  <c r="E51" i="18"/>
  <c r="O51" i="18" s="1"/>
  <c r="D51" i="18"/>
  <c r="C51" i="18"/>
  <c r="M51" i="18" s="1"/>
  <c r="B51" i="18"/>
  <c r="L51" i="18" s="1"/>
  <c r="E49" i="18"/>
  <c r="D49" i="18"/>
  <c r="C49" i="18"/>
  <c r="M49" i="18" s="1"/>
  <c r="B49" i="18"/>
  <c r="E48" i="18"/>
  <c r="D48" i="18"/>
  <c r="C48" i="18"/>
  <c r="B48" i="18"/>
  <c r="E47" i="18"/>
  <c r="D47" i="18"/>
  <c r="C47" i="18"/>
  <c r="M47" i="18" s="1"/>
  <c r="B47" i="18"/>
  <c r="E46" i="18"/>
  <c r="D46" i="18"/>
  <c r="C46" i="18"/>
  <c r="M46" i="18" s="1"/>
  <c r="B46" i="18"/>
  <c r="E45" i="18"/>
  <c r="O45" i="18" s="1"/>
  <c r="D45" i="18"/>
  <c r="N45" i="18" s="1"/>
  <c r="C45" i="18"/>
  <c r="B45" i="18"/>
  <c r="E44" i="18"/>
  <c r="D44" i="18"/>
  <c r="C44" i="18"/>
  <c r="M44" i="18" s="1"/>
  <c r="B44" i="18"/>
  <c r="E43" i="18"/>
  <c r="D43" i="18"/>
  <c r="C43" i="18"/>
  <c r="B43" i="18"/>
  <c r="E41" i="18"/>
  <c r="D41" i="18"/>
  <c r="C41" i="18"/>
  <c r="B41" i="18"/>
  <c r="L41" i="18" s="1"/>
  <c r="E40" i="18"/>
  <c r="D40" i="18"/>
  <c r="C40" i="18"/>
  <c r="M40" i="18" s="1"/>
  <c r="B40" i="18"/>
  <c r="E39" i="18"/>
  <c r="D39" i="18"/>
  <c r="C39" i="18"/>
  <c r="M39" i="18" s="1"/>
  <c r="B39" i="18"/>
  <c r="E38" i="18"/>
  <c r="O38" i="18" s="1"/>
  <c r="D38" i="18"/>
  <c r="C38" i="18"/>
  <c r="B38" i="18"/>
  <c r="L38" i="18" s="1"/>
  <c r="E37" i="18"/>
  <c r="O37" i="18" s="1"/>
  <c r="D37" i="18"/>
  <c r="C37" i="18"/>
  <c r="M37" i="18" s="1"/>
  <c r="B37" i="18"/>
  <c r="L37" i="18" s="1"/>
  <c r="E36" i="18"/>
  <c r="D36" i="18"/>
  <c r="C36" i="18"/>
  <c r="C34" i="18" s="1"/>
  <c r="B36" i="18"/>
  <c r="E35" i="18"/>
  <c r="D35" i="18"/>
  <c r="D34" i="18" s="1"/>
  <c r="C35" i="18"/>
  <c r="B35" i="18"/>
  <c r="E33" i="18"/>
  <c r="D33" i="18"/>
  <c r="C33" i="18"/>
  <c r="M33" i="18" s="1"/>
  <c r="B33" i="18"/>
  <c r="L33" i="18" s="1"/>
  <c r="E32" i="18"/>
  <c r="D32" i="18"/>
  <c r="C32" i="18"/>
  <c r="B32" i="18"/>
  <c r="E31" i="18"/>
  <c r="D31" i="18"/>
  <c r="C31" i="18"/>
  <c r="B31" i="18"/>
  <c r="L31" i="18" s="1"/>
  <c r="E30" i="18"/>
  <c r="D30" i="18"/>
  <c r="C30" i="18"/>
  <c r="M30" i="18" s="1"/>
  <c r="B30" i="18"/>
  <c r="L30" i="18" s="1"/>
  <c r="E29" i="18"/>
  <c r="D29" i="18"/>
  <c r="C29" i="18"/>
  <c r="M29" i="18" s="1"/>
  <c r="B29" i="18"/>
  <c r="E28" i="18"/>
  <c r="D28" i="18"/>
  <c r="C28" i="18"/>
  <c r="B28" i="18"/>
  <c r="L28" i="18" s="1"/>
  <c r="E27" i="18"/>
  <c r="D27" i="18"/>
  <c r="C27" i="18"/>
  <c r="M27" i="18" s="1"/>
  <c r="B27" i="18"/>
  <c r="L27" i="18" s="1"/>
  <c r="E26" i="18"/>
  <c r="D26" i="18"/>
  <c r="C26" i="18"/>
  <c r="M26" i="18" s="1"/>
  <c r="B26" i="18"/>
  <c r="E25" i="18"/>
  <c r="O25" i="18" s="1"/>
  <c r="D25" i="18"/>
  <c r="C25" i="18"/>
  <c r="B25" i="18"/>
  <c r="L25" i="18" s="1"/>
  <c r="E23" i="18"/>
  <c r="O23" i="18" s="1"/>
  <c r="D23" i="18"/>
  <c r="C23" i="18"/>
  <c r="M23" i="18" s="1"/>
  <c r="B23" i="18"/>
  <c r="E22" i="18"/>
  <c r="D22" i="18"/>
  <c r="C22" i="18"/>
  <c r="B22" i="18"/>
  <c r="E21" i="18"/>
  <c r="O21" i="18" s="1"/>
  <c r="D21" i="18"/>
  <c r="C21" i="18"/>
  <c r="B21" i="18"/>
  <c r="E20" i="18"/>
  <c r="O20" i="18" s="1"/>
  <c r="D20" i="18"/>
  <c r="C20" i="18"/>
  <c r="M20" i="18" s="1"/>
  <c r="B20" i="18"/>
  <c r="E19" i="18"/>
  <c r="D19" i="18"/>
  <c r="C19" i="18"/>
  <c r="B19" i="18"/>
  <c r="E18" i="18"/>
  <c r="D18" i="18"/>
  <c r="C18" i="18"/>
  <c r="B18" i="18"/>
  <c r="E17" i="18"/>
  <c r="O17" i="18" s="1"/>
  <c r="D17" i="18"/>
  <c r="C17" i="18"/>
  <c r="M17" i="18" s="1"/>
  <c r="B17" i="18"/>
  <c r="E16" i="18"/>
  <c r="D16" i="18"/>
  <c r="C16" i="18"/>
  <c r="B16" i="18"/>
  <c r="E15" i="18"/>
  <c r="E14" i="18" s="1"/>
  <c r="D15" i="18"/>
  <c r="C15" i="18"/>
  <c r="B15" i="18"/>
  <c r="L15" i="18" s="1"/>
  <c r="E13" i="18"/>
  <c r="O13" i="18" s="1"/>
  <c r="D13" i="18"/>
  <c r="C13" i="18"/>
  <c r="B13" i="18"/>
  <c r="L13" i="18" s="1"/>
  <c r="E12" i="18"/>
  <c r="D12" i="18"/>
  <c r="C12" i="18"/>
  <c r="B12" i="18"/>
  <c r="E11" i="18"/>
  <c r="O11" i="18" s="1"/>
  <c r="D11" i="18"/>
  <c r="C11" i="18"/>
  <c r="B11" i="18"/>
  <c r="E10" i="18"/>
  <c r="O10" i="18" s="1"/>
  <c r="D10" i="18"/>
  <c r="C10" i="18"/>
  <c r="M10" i="18" s="1"/>
  <c r="B10" i="18"/>
  <c r="E9" i="18"/>
  <c r="D9" i="18"/>
  <c r="C9" i="18"/>
  <c r="M9" i="18" s="1"/>
  <c r="B9" i="18"/>
  <c r="N83" i="18"/>
  <c r="J82" i="18"/>
  <c r="I82" i="18"/>
  <c r="H82" i="18"/>
  <c r="O81" i="18"/>
  <c r="N81" i="18"/>
  <c r="O79" i="18"/>
  <c r="N78" i="18"/>
  <c r="M77" i="18"/>
  <c r="N76" i="18"/>
  <c r="N75" i="18"/>
  <c r="M75" i="18"/>
  <c r="M74" i="18"/>
  <c r="O73" i="18"/>
  <c r="O71" i="18"/>
  <c r="L71" i="18"/>
  <c r="L70" i="18"/>
  <c r="E68" i="18"/>
  <c r="B68" i="18"/>
  <c r="O67" i="18"/>
  <c r="N67" i="18"/>
  <c r="J65" i="18"/>
  <c r="D65" i="18"/>
  <c r="B65" i="18"/>
  <c r="O63" i="18"/>
  <c r="N63" i="18"/>
  <c r="O62" i="18"/>
  <c r="O61" i="18"/>
  <c r="J60" i="18"/>
  <c r="N59" i="18"/>
  <c r="N58" i="18"/>
  <c r="O57" i="18"/>
  <c r="N56" i="18"/>
  <c r="O54" i="18"/>
  <c r="O53" i="18"/>
  <c r="J50" i="18"/>
  <c r="E50" i="18"/>
  <c r="N49" i="18"/>
  <c r="O47" i="18"/>
  <c r="O46" i="18"/>
  <c r="M45" i="18"/>
  <c r="J42" i="18"/>
  <c r="E42" i="18"/>
  <c r="O43" i="18"/>
  <c r="N43" i="18"/>
  <c r="M43" i="18"/>
  <c r="L43" i="18"/>
  <c r="D42" i="18"/>
  <c r="O40" i="18"/>
  <c r="O39" i="18"/>
  <c r="E34" i="18"/>
  <c r="N36" i="18"/>
  <c r="L35" i="18"/>
  <c r="B34" i="18"/>
  <c r="O33" i="18"/>
  <c r="N32" i="18"/>
  <c r="M32" i="18"/>
  <c r="O30" i="18"/>
  <c r="O29" i="18"/>
  <c r="O28" i="18"/>
  <c r="O27" i="18"/>
  <c r="N26" i="18"/>
  <c r="J24" i="18"/>
  <c r="O22" i="18"/>
  <c r="M22" i="18"/>
  <c r="N20" i="18"/>
  <c r="N19" i="18"/>
  <c r="M19" i="18"/>
  <c r="J14" i="18"/>
  <c r="N16" i="18"/>
  <c r="M16" i="18"/>
  <c r="G14" i="18"/>
  <c r="O9" i="18"/>
  <c r="N9" i="18"/>
  <c r="J8" i="18"/>
  <c r="E8" i="18"/>
  <c r="N29" i="18" l="1"/>
  <c r="N22" i="18"/>
  <c r="M36" i="18"/>
  <c r="N74" i="18"/>
  <c r="N77" i="18"/>
  <c r="D60" i="18"/>
  <c r="N11" i="18"/>
  <c r="N15" i="18"/>
  <c r="N18" i="18"/>
  <c r="N21" i="18"/>
  <c r="N25" i="18"/>
  <c r="N28" i="18"/>
  <c r="N31" i="18"/>
  <c r="N35" i="18"/>
  <c r="N38" i="18"/>
  <c r="N41" i="18"/>
  <c r="N48" i="18"/>
  <c r="N52" i="18"/>
  <c r="N55" i="18"/>
  <c r="N66" i="18"/>
  <c r="N70" i="18"/>
  <c r="O74" i="18"/>
  <c r="O77" i="18"/>
  <c r="O15" i="18"/>
  <c r="O18" i="18"/>
  <c r="O31" i="18"/>
  <c r="O41" i="18"/>
  <c r="O48" i="18"/>
  <c r="O58" i="18"/>
  <c r="M71" i="18"/>
  <c r="M81" i="18"/>
  <c r="L73" i="18"/>
  <c r="B8" i="18"/>
  <c r="C24" i="18"/>
  <c r="N61" i="18"/>
  <c r="O76" i="18"/>
  <c r="O12" i="18"/>
  <c r="O60" i="18"/>
  <c r="N10" i="18"/>
  <c r="N13" i="18"/>
  <c r="N17" i="18"/>
  <c r="N23" i="18"/>
  <c r="N30" i="18"/>
  <c r="N33" i="18"/>
  <c r="N37" i="18"/>
  <c r="N40" i="18"/>
  <c r="N44" i="18"/>
  <c r="N47" i="18"/>
  <c r="N51" i="18"/>
  <c r="N54" i="18"/>
  <c r="N64" i="18"/>
  <c r="N73" i="18"/>
  <c r="N79" i="18"/>
  <c r="I42" i="18"/>
  <c r="I60" i="18"/>
  <c r="J34" i="18"/>
  <c r="J68" i="18"/>
  <c r="O68" i="18" s="1"/>
  <c r="G65" i="18"/>
  <c r="L22" i="18"/>
  <c r="L26" i="18"/>
  <c r="L29" i="18"/>
  <c r="L36" i="18"/>
  <c r="L53" i="18"/>
  <c r="L56" i="18"/>
  <c r="L59" i="18"/>
  <c r="L63" i="18"/>
  <c r="D8" i="18"/>
  <c r="I24" i="18"/>
  <c r="H34" i="18"/>
  <c r="M62" i="18"/>
  <c r="I65" i="18"/>
  <c r="H68" i="18"/>
  <c r="M68" i="18" s="1"/>
  <c r="C8" i="18"/>
  <c r="C72" i="18" s="1"/>
  <c r="C14" i="18"/>
  <c r="I34" i="18"/>
  <c r="C50" i="18"/>
  <c r="N62" i="18"/>
  <c r="I68" i="18"/>
  <c r="N68" i="18" s="1"/>
  <c r="L12" i="18"/>
  <c r="L16" i="18"/>
  <c r="L19" i="18"/>
  <c r="L46" i="18"/>
  <c r="L49" i="18"/>
  <c r="I8" i="18"/>
  <c r="I72" i="18" s="1"/>
  <c r="D14" i="18"/>
  <c r="M25" i="18"/>
  <c r="D50" i="18"/>
  <c r="M69" i="18"/>
  <c r="M66" i="18"/>
  <c r="M12" i="18"/>
  <c r="M53" i="18"/>
  <c r="M56" i="18"/>
  <c r="N71" i="18"/>
  <c r="H50" i="18"/>
  <c r="M50" i="18" s="1"/>
  <c r="C60" i="18"/>
  <c r="M60" i="18" s="1"/>
  <c r="C82" i="18"/>
  <c r="M82" i="18" s="1"/>
  <c r="N53" i="18"/>
  <c r="H14" i="18"/>
  <c r="I50" i="18"/>
  <c r="I14" i="18"/>
  <c r="L10" i="18"/>
  <c r="L17" i="18"/>
  <c r="L20" i="18"/>
  <c r="L23" i="18"/>
  <c r="G42" i="18"/>
  <c r="L47" i="18"/>
  <c r="C42" i="18"/>
  <c r="M13" i="18"/>
  <c r="M57" i="18"/>
  <c r="N57" i="18"/>
  <c r="O42" i="18"/>
  <c r="L74" i="18"/>
  <c r="O50" i="18"/>
  <c r="B42" i="18"/>
  <c r="L42" i="18" s="1"/>
  <c r="L11" i="18"/>
  <c r="L18" i="18"/>
  <c r="L21" i="18"/>
  <c r="L45" i="18"/>
  <c r="L48" i="18"/>
  <c r="G50" i="18"/>
  <c r="G60" i="18"/>
  <c r="O83" i="18"/>
  <c r="N82" i="18"/>
  <c r="L82" i="18"/>
  <c r="L75" i="18"/>
  <c r="L76" i="18"/>
  <c r="L77" i="18"/>
  <c r="L78" i="18"/>
  <c r="L79" i="18"/>
  <c r="L80" i="18"/>
  <c r="L81" i="18"/>
  <c r="O70" i="18"/>
  <c r="G68" i="18"/>
  <c r="L68" i="18" s="1"/>
  <c r="L69" i="18"/>
  <c r="L67" i="18"/>
  <c r="L65" i="18"/>
  <c r="N65" i="18"/>
  <c r="N60" i="18"/>
  <c r="L64" i="18"/>
  <c r="L44" i="18"/>
  <c r="N42" i="18"/>
  <c r="M42" i="18"/>
  <c r="L39" i="18"/>
  <c r="L40" i="18"/>
  <c r="O35" i="18"/>
  <c r="L34" i="18"/>
  <c r="O34" i="18"/>
  <c r="M34" i="18"/>
  <c r="N34" i="18"/>
  <c r="L32" i="18"/>
  <c r="M24" i="18"/>
  <c r="O14" i="18"/>
  <c r="O8" i="18"/>
  <c r="H8" i="18"/>
  <c r="E82" i="18"/>
  <c r="O82" i="18" s="1"/>
  <c r="C65" i="18"/>
  <c r="M65" i="18" s="1"/>
  <c r="B60" i="18"/>
  <c r="B50" i="18"/>
  <c r="L50" i="18" s="1"/>
  <c r="E24" i="18"/>
  <c r="O24" i="18" s="1"/>
  <c r="D24" i="18"/>
  <c r="B24" i="18"/>
  <c r="L24" i="18" s="1"/>
  <c r="B14" i="18"/>
  <c r="L14" i="18" s="1"/>
  <c r="L9" i="18"/>
  <c r="J72" i="18"/>
  <c r="O16" i="18"/>
  <c r="O36" i="18"/>
  <c r="O44" i="18"/>
  <c r="O52" i="18"/>
  <c r="E65" i="18"/>
  <c r="O65" i="18" s="1"/>
  <c r="L83" i="18"/>
  <c r="L8" i="18"/>
  <c r="N24" i="18" l="1"/>
  <c r="N14" i="18"/>
  <c r="N50" i="18"/>
  <c r="N8" i="18"/>
  <c r="L60" i="18"/>
  <c r="M14" i="18"/>
  <c r="H72" i="18"/>
  <c r="G72" i="18"/>
  <c r="M72" i="18"/>
  <c r="M8" i="18"/>
  <c r="N27" i="18"/>
  <c r="E72" i="18"/>
  <c r="O72" i="18" s="1"/>
  <c r="D72" i="18"/>
  <c r="N72" i="18" s="1"/>
  <c r="B72" i="18"/>
  <c r="L72" i="18" l="1"/>
  <c r="A2" i="6"/>
  <c r="JH125" i="13" l="1"/>
  <c r="JG125" i="13"/>
  <c r="JF125" i="13"/>
  <c r="JE125" i="13"/>
  <c r="JD125" i="13"/>
  <c r="JC125" i="13"/>
  <c r="JB125" i="13"/>
  <c r="JA125" i="13"/>
  <c r="IZ125" i="13"/>
  <c r="IY125" i="13"/>
  <c r="IX125" i="13"/>
  <c r="IW125" i="13"/>
  <c r="IV125" i="13"/>
  <c r="IU125" i="13"/>
  <c r="IT125" i="13"/>
  <c r="IS125" i="13"/>
  <c r="IR125" i="13"/>
  <c r="IQ125" i="13"/>
  <c r="IP125" i="13"/>
  <c r="IO125" i="13"/>
  <c r="IN125" i="13"/>
  <c r="IM125" i="13"/>
  <c r="IL125" i="13"/>
  <c r="IK125" i="13"/>
  <c r="IJ125" i="13"/>
  <c r="II125" i="13"/>
  <c r="IH125" i="13"/>
  <c r="IG125" i="13"/>
  <c r="IF125" i="13"/>
  <c r="IE125" i="13"/>
  <c r="ID125" i="13"/>
  <c r="IC125" i="13"/>
  <c r="IB125" i="13"/>
  <c r="IA125" i="13"/>
  <c r="HZ125" i="13"/>
  <c r="HY125" i="13"/>
  <c r="HX125" i="13"/>
  <c r="HW125" i="13"/>
  <c r="HV125" i="13"/>
  <c r="HU125" i="13"/>
  <c r="HT125" i="13"/>
  <c r="HS125" i="13"/>
  <c r="HR125" i="13"/>
  <c r="HQ125" i="13"/>
  <c r="HP125" i="13"/>
  <c r="HO125" i="13"/>
  <c r="HN125" i="13"/>
  <c r="HM125" i="13"/>
  <c r="HL125" i="13"/>
  <c r="HK125" i="13"/>
  <c r="HJ125" i="13"/>
  <c r="HI125" i="13"/>
  <c r="HH125" i="13"/>
  <c r="HG125" i="13"/>
  <c r="HF125" i="13"/>
  <c r="HE125" i="13"/>
  <c r="HD125" i="13"/>
  <c r="HC125" i="13"/>
  <c r="HB125" i="13"/>
  <c r="HA125" i="13"/>
  <c r="GZ125" i="13"/>
  <c r="GY125" i="13"/>
  <c r="GX125" i="13"/>
  <c r="GW125" i="13"/>
  <c r="GV125" i="13"/>
  <c r="GU125" i="13"/>
  <c r="GT125" i="13"/>
  <c r="GS125" i="13"/>
  <c r="GR125" i="13"/>
  <c r="GQ125" i="13"/>
  <c r="GP125" i="13"/>
  <c r="GO125" i="13"/>
  <c r="GN125" i="13"/>
  <c r="GM125" i="13"/>
  <c r="GL125" i="13"/>
  <c r="GK125" i="13"/>
  <c r="GJ125" i="13"/>
  <c r="GI125" i="13"/>
  <c r="GH125" i="13"/>
  <c r="GG125" i="13"/>
  <c r="GF125" i="13"/>
  <c r="GE125" i="13"/>
  <c r="GD125" i="13"/>
  <c r="GC125" i="13"/>
  <c r="GB125" i="13"/>
  <c r="GA125" i="13"/>
  <c r="FZ125" i="13"/>
  <c r="FY125" i="13"/>
  <c r="FX125" i="13"/>
  <c r="FW125" i="13"/>
  <c r="FV125" i="13"/>
  <c r="FU125" i="13"/>
  <c r="FT125" i="13"/>
  <c r="FS125" i="13"/>
  <c r="FR125" i="13"/>
  <c r="FQ125" i="13"/>
  <c r="FP125" i="13"/>
  <c r="FO125" i="13"/>
  <c r="FN125" i="13"/>
  <c r="FM125" i="13"/>
  <c r="FL125" i="13"/>
  <c r="FK125" i="13"/>
  <c r="FJ125" i="13"/>
  <c r="FI125" i="13"/>
  <c r="FH125" i="13"/>
  <c r="FG125" i="13"/>
  <c r="FF125" i="13"/>
  <c r="FE125" i="13"/>
  <c r="FD125" i="13"/>
  <c r="FC125" i="13"/>
  <c r="FB125" i="13"/>
  <c r="FA125" i="13"/>
  <c r="EZ125" i="13"/>
  <c r="EY125" i="13"/>
  <c r="EX125" i="13"/>
  <c r="EW125" i="13"/>
  <c r="EV125" i="13"/>
  <c r="EU125" i="13"/>
  <c r="ET125" i="13"/>
  <c r="ES125" i="13"/>
  <c r="ER125" i="13"/>
  <c r="EQ125" i="13"/>
  <c r="EP125" i="13"/>
  <c r="EO125" i="13"/>
  <c r="EN125" i="13"/>
  <c r="EM125" i="13"/>
  <c r="EL125" i="13"/>
  <c r="EK125" i="13"/>
  <c r="EJ125" i="13"/>
  <c r="EI125" i="13"/>
  <c r="EH125" i="13"/>
  <c r="EG125" i="13"/>
  <c r="EF125" i="13"/>
  <c r="EE125" i="13"/>
  <c r="ED125" i="13"/>
  <c r="EC125" i="13"/>
  <c r="EB125" i="13"/>
  <c r="EA125" i="13"/>
  <c r="DZ125" i="13"/>
  <c r="DY125" i="13"/>
  <c r="DX125" i="13"/>
  <c r="DW125" i="13"/>
  <c r="DV125" i="13"/>
  <c r="DU125" i="13"/>
  <c r="DT125" i="13"/>
  <c r="DS125" i="13"/>
  <c r="DR125" i="13"/>
  <c r="DQ125" i="13"/>
  <c r="DP125" i="13"/>
  <c r="DO125" i="13"/>
  <c r="DN125" i="13"/>
  <c r="DM125" i="13"/>
  <c r="DL125" i="13"/>
  <c r="DK125" i="13"/>
  <c r="DJ125" i="13"/>
  <c r="DI125" i="13"/>
  <c r="DH125" i="13"/>
  <c r="DG125" i="13"/>
  <c r="DF125" i="13"/>
  <c r="DE125" i="13"/>
  <c r="DD125" i="13"/>
  <c r="DC125" i="13"/>
  <c r="DB125" i="13"/>
  <c r="DA125" i="13"/>
  <c r="CZ125" i="13"/>
  <c r="CY125" i="13"/>
  <c r="CX125" i="13"/>
  <c r="CW125" i="13"/>
  <c r="CV125" i="13"/>
  <c r="CU125" i="13"/>
  <c r="CT125" i="13"/>
  <c r="CS125" i="13"/>
  <c r="CR125" i="13"/>
  <c r="CQ125" i="13"/>
  <c r="CP125" i="13"/>
  <c r="CO125" i="13"/>
  <c r="CN125" i="13"/>
  <c r="CM125" i="13"/>
  <c r="CL125" i="13"/>
  <c r="CK125" i="13"/>
  <c r="CJ125" i="13"/>
  <c r="CI125" i="13"/>
  <c r="CH125" i="13"/>
  <c r="CG125" i="13"/>
  <c r="CF125" i="13"/>
  <c r="CE125" i="13"/>
  <c r="CD125" i="13"/>
  <c r="CC125" i="13"/>
  <c r="CB125" i="13"/>
  <c r="CA125" i="13"/>
  <c r="BZ125" i="13"/>
  <c r="BY125" i="13"/>
  <c r="BX125" i="13"/>
  <c r="BW125" i="13"/>
  <c r="BV125" i="13"/>
  <c r="BU125" i="13"/>
  <c r="BT125" i="13"/>
  <c r="BS125" i="13"/>
  <c r="BR125" i="13"/>
  <c r="BQ125" i="13"/>
  <c r="BP125" i="13"/>
  <c r="BO125" i="13"/>
  <c r="BN125" i="13"/>
  <c r="BM125" i="13"/>
  <c r="BL125" i="13"/>
  <c r="BK125" i="13"/>
  <c r="BJ125" i="13"/>
  <c r="BI125" i="13"/>
  <c r="BH125" i="13"/>
  <c r="BG125" i="13"/>
  <c r="BF125" i="13"/>
  <c r="BE125" i="13"/>
  <c r="BD125" i="13"/>
  <c r="BC125" i="13"/>
  <c r="BB125" i="13"/>
  <c r="BA125" i="13"/>
  <c r="AZ125" i="13"/>
  <c r="AY125" i="13"/>
  <c r="AX125" i="13"/>
  <c r="AW125" i="13"/>
  <c r="AV125" i="13"/>
  <c r="AU125" i="13"/>
  <c r="AT125" i="13"/>
  <c r="AS125" i="13"/>
  <c r="AR125" i="13"/>
  <c r="AQ125" i="13"/>
  <c r="AP125" i="13"/>
  <c r="AO125" i="13"/>
  <c r="AN125" i="13"/>
  <c r="AM125" i="13"/>
  <c r="AL125" i="13"/>
  <c r="AK125" i="13"/>
  <c r="AJ125" i="13"/>
  <c r="AI125" i="13"/>
  <c r="AH125" i="13"/>
  <c r="AG125" i="13"/>
  <c r="AF125" i="13"/>
  <c r="AE125" i="13"/>
  <c r="AD125" i="13"/>
  <c r="AC125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B125" i="13"/>
  <c r="JI124" i="13"/>
  <c r="JI123" i="13"/>
  <c r="JI122" i="13"/>
  <c r="JI121" i="13"/>
  <c r="JI120" i="13"/>
  <c r="JI119" i="13"/>
  <c r="JI118" i="13"/>
  <c r="JI117" i="13"/>
  <c r="JI116" i="13"/>
  <c r="JI115" i="13"/>
  <c r="JI114" i="13"/>
  <c r="JI113" i="13"/>
  <c r="JI112" i="13"/>
  <c r="JI111" i="13"/>
  <c r="JP109" i="13"/>
  <c r="JN109" i="13"/>
  <c r="JM109" i="13"/>
  <c r="JL109" i="13"/>
  <c r="JK109" i="13"/>
  <c r="JH126" i="13"/>
  <c r="G501" i="4" s="1"/>
  <c r="JG126" i="13"/>
  <c r="G499" i="4" s="1"/>
  <c r="JF126" i="13"/>
  <c r="G496" i="4" s="1"/>
  <c r="JE126" i="13"/>
  <c r="G494" i="4" s="1"/>
  <c r="JD126" i="13"/>
  <c r="G491" i="4" s="1"/>
  <c r="JB126" i="13"/>
  <c r="G487" i="4" s="1"/>
  <c r="IZ126" i="13"/>
  <c r="G483" i="4" s="1"/>
  <c r="IX126" i="13"/>
  <c r="G479" i="4" s="1"/>
  <c r="IV126" i="13"/>
  <c r="G475" i="4" s="1"/>
  <c r="IU126" i="13"/>
  <c r="G472" i="4" s="1"/>
  <c r="IT126" i="13"/>
  <c r="G470" i="4" s="1"/>
  <c r="IS126" i="13"/>
  <c r="G468" i="4" s="1"/>
  <c r="IR126" i="13"/>
  <c r="G466" i="4" s="1"/>
  <c r="IP126" i="13"/>
  <c r="G460" i="4" s="1"/>
  <c r="IN126" i="13"/>
  <c r="G458" i="4" s="1"/>
  <c r="IL126" i="13"/>
  <c r="G454" i="4" s="1"/>
  <c r="IJ126" i="13"/>
  <c r="G451" i="4" s="1"/>
  <c r="II126" i="13"/>
  <c r="G449" i="4" s="1"/>
  <c r="IH126" i="13"/>
  <c r="G448" i="4" s="1"/>
  <c r="IG126" i="13"/>
  <c r="G445" i="4" s="1"/>
  <c r="IF126" i="13"/>
  <c r="G443" i="4" s="1"/>
  <c r="ID126" i="13"/>
  <c r="G441" i="4" s="1"/>
  <c r="IB126" i="13"/>
  <c r="G437" i="4" s="1"/>
  <c r="HZ126" i="13"/>
  <c r="G433" i="4" s="1"/>
  <c r="HX126" i="13"/>
  <c r="G430" i="4" s="1"/>
  <c r="HW126" i="13"/>
  <c r="G428" i="4" s="1"/>
  <c r="HV126" i="13"/>
  <c r="G426" i="4" s="1"/>
  <c r="HU126" i="13"/>
  <c r="G423" i="4" s="1"/>
  <c r="HT126" i="13"/>
  <c r="G421" i="4" s="1"/>
  <c r="HR126" i="13"/>
  <c r="G417" i="4" s="1"/>
  <c r="HP126" i="13"/>
  <c r="G413" i="4" s="1"/>
  <c r="HN126" i="13"/>
  <c r="G409" i="4" s="1"/>
  <c r="HL126" i="13"/>
  <c r="G404" i="4" s="1"/>
  <c r="HK126" i="13"/>
  <c r="G402" i="4" s="1"/>
  <c r="HJ126" i="13"/>
  <c r="G399" i="4" s="1"/>
  <c r="HI126" i="13"/>
  <c r="G397" i="4" s="1"/>
  <c r="HH126" i="13"/>
  <c r="G395" i="4" s="1"/>
  <c r="HF126" i="13"/>
  <c r="G391" i="4" s="1"/>
  <c r="HD126" i="13"/>
  <c r="G387" i="4" s="1"/>
  <c r="HB126" i="13"/>
  <c r="G382" i="4" s="1"/>
  <c r="GZ126" i="13"/>
  <c r="G378" i="4" s="1"/>
  <c r="GY126" i="13"/>
  <c r="G376" i="4" s="1"/>
  <c r="GX126" i="13"/>
  <c r="G374" i="4" s="1"/>
  <c r="GW126" i="13"/>
  <c r="G372" i="4" s="1"/>
  <c r="GV126" i="13"/>
  <c r="G370" i="4" s="1"/>
  <c r="GT126" i="13"/>
  <c r="G365" i="4" s="1"/>
  <c r="GR126" i="13"/>
  <c r="G361" i="4" s="1"/>
  <c r="GP126" i="13"/>
  <c r="G356" i="4" s="1"/>
  <c r="GN126" i="13"/>
  <c r="G352" i="4" s="1"/>
  <c r="GM126" i="13"/>
  <c r="G350" i="4" s="1"/>
  <c r="GL126" i="13"/>
  <c r="G347" i="4" s="1"/>
  <c r="GK126" i="13"/>
  <c r="G345" i="4" s="1"/>
  <c r="GJ126" i="13"/>
  <c r="G343" i="4" s="1"/>
  <c r="GH126" i="13"/>
  <c r="G339" i="4" s="1"/>
  <c r="GF126" i="13"/>
  <c r="G334" i="4" s="1"/>
  <c r="GD126" i="13"/>
  <c r="G332" i="4" s="1"/>
  <c r="GB126" i="13"/>
  <c r="G329" i="4" s="1"/>
  <c r="GA126" i="13"/>
  <c r="G328" i="4" s="1"/>
  <c r="FZ126" i="13"/>
  <c r="G326" i="4" s="1"/>
  <c r="FY126" i="13"/>
  <c r="G325" i="4" s="1"/>
  <c r="FX126" i="13"/>
  <c r="G323" i="4" s="1"/>
  <c r="FV126" i="13"/>
  <c r="G319" i="4" s="1"/>
  <c r="FT126" i="13"/>
  <c r="G315" i="4" s="1"/>
  <c r="FR126" i="13"/>
  <c r="G311" i="4" s="1"/>
  <c r="FP126" i="13"/>
  <c r="G307" i="4" s="1"/>
  <c r="FO126" i="13"/>
  <c r="G305" i="4" s="1"/>
  <c r="FN126" i="13"/>
  <c r="G302" i="4" s="1"/>
  <c r="B10" i="6" s="1"/>
  <c r="FM126" i="13"/>
  <c r="G301" i="4" s="1"/>
  <c r="FL126" i="13"/>
  <c r="G300" i="4" s="1"/>
  <c r="FJ126" i="13"/>
  <c r="G298" i="4" s="1"/>
  <c r="FH126" i="13"/>
  <c r="G296" i="4" s="1"/>
  <c r="FF126" i="13"/>
  <c r="G293" i="4" s="1"/>
  <c r="FD126" i="13"/>
  <c r="G291" i="4" s="1"/>
  <c r="FC126" i="13"/>
  <c r="G290" i="4" s="1"/>
  <c r="FB126" i="13"/>
  <c r="G289" i="4" s="1"/>
  <c r="FA126" i="13"/>
  <c r="G288" i="4" s="1"/>
  <c r="B29" i="6" s="1"/>
  <c r="EZ126" i="13"/>
  <c r="G285" i="4" s="1"/>
  <c r="EX126" i="13"/>
  <c r="G282" i="4" s="1"/>
  <c r="EV126" i="13"/>
  <c r="G280" i="4" s="1"/>
  <c r="ET126" i="13"/>
  <c r="G278" i="4" s="1"/>
  <c r="ER126" i="13"/>
  <c r="G275" i="4" s="1"/>
  <c r="EQ126" i="13"/>
  <c r="G274" i="4" s="1"/>
  <c r="EP126" i="13"/>
  <c r="G273" i="4" s="1"/>
  <c r="EO126" i="13"/>
  <c r="G271" i="4" s="1"/>
  <c r="EN126" i="13"/>
  <c r="G270" i="4" s="1"/>
  <c r="EL126" i="13"/>
  <c r="G267" i="4" s="1"/>
  <c r="EJ126" i="13"/>
  <c r="G265" i="4" s="1"/>
  <c r="EH126" i="13"/>
  <c r="G263" i="4" s="1"/>
  <c r="EF126" i="13"/>
  <c r="G258" i="4" s="1"/>
  <c r="EE126" i="13"/>
  <c r="G256" i="4" s="1"/>
  <c r="ED126" i="13"/>
  <c r="G254" i="4" s="1"/>
  <c r="EC126" i="13"/>
  <c r="G252" i="4" s="1"/>
  <c r="EB126" i="13"/>
  <c r="G249" i="4" s="1"/>
  <c r="DZ126" i="13"/>
  <c r="G244" i="4" s="1"/>
  <c r="DX126" i="13"/>
  <c r="G240" i="4" s="1"/>
  <c r="DV126" i="13"/>
  <c r="G236" i="4" s="1"/>
  <c r="DT126" i="13"/>
  <c r="G231" i="4" s="1"/>
  <c r="DS126" i="13"/>
  <c r="G229" i="4" s="1"/>
  <c r="DR126" i="13"/>
  <c r="G227" i="4" s="1"/>
  <c r="DQ126" i="13"/>
  <c r="G224" i="4" s="1"/>
  <c r="DP126" i="13"/>
  <c r="G222" i="4" s="1"/>
  <c r="DN126" i="13"/>
  <c r="G220" i="4" s="1"/>
  <c r="DL126" i="13"/>
  <c r="G216" i="4" s="1"/>
  <c r="DJ126" i="13"/>
  <c r="G211" i="4" s="1"/>
  <c r="DH126" i="13"/>
  <c r="G207" i="4" s="1"/>
  <c r="DG126" i="13"/>
  <c r="G206" i="4" s="1"/>
  <c r="DF126" i="13"/>
  <c r="G205" i="4" s="1"/>
  <c r="DE126" i="13"/>
  <c r="G203" i="4" s="1"/>
  <c r="DD126" i="13"/>
  <c r="G202" i="4" s="1"/>
  <c r="DB126" i="13"/>
  <c r="G200" i="4" s="1"/>
  <c r="CZ126" i="13"/>
  <c r="G198" i="4" s="1"/>
  <c r="CX126" i="13"/>
  <c r="G195" i="4" s="1"/>
  <c r="CV126" i="13"/>
  <c r="G193" i="4" s="1"/>
  <c r="CU126" i="13"/>
  <c r="G191" i="4" s="1"/>
  <c r="CT126" i="13"/>
  <c r="G190" i="4" s="1"/>
  <c r="CS126" i="13"/>
  <c r="G189" i="4" s="1"/>
  <c r="CR126" i="13"/>
  <c r="G187" i="4" s="1"/>
  <c r="CP126" i="13"/>
  <c r="G183" i="4" s="1"/>
  <c r="CN126" i="13"/>
  <c r="G178" i="4" s="1"/>
  <c r="CL126" i="13"/>
  <c r="G175" i="4" s="1"/>
  <c r="CJ126" i="13"/>
  <c r="G173" i="4" s="1"/>
  <c r="CI126" i="13"/>
  <c r="G172" i="4" s="1"/>
  <c r="CH126" i="13"/>
  <c r="G171" i="4" s="1"/>
  <c r="CG126" i="13"/>
  <c r="G170" i="4" s="1"/>
  <c r="CF126" i="13"/>
  <c r="G169" i="4" s="1"/>
  <c r="CD126" i="13"/>
  <c r="G166" i="4" s="1"/>
  <c r="CB126" i="13"/>
  <c r="G164" i="4" s="1"/>
  <c r="BZ126" i="13"/>
  <c r="G162" i="4" s="1"/>
  <c r="BX126" i="13"/>
  <c r="G160" i="4" s="1"/>
  <c r="BW126" i="13"/>
  <c r="G159" i="4" s="1"/>
  <c r="BV126" i="13"/>
  <c r="G156" i="4" s="1"/>
  <c r="BU126" i="13"/>
  <c r="G154" i="4" s="1"/>
  <c r="BT126" i="13"/>
  <c r="G152" i="4" s="1"/>
  <c r="BR126" i="13"/>
  <c r="G147" i="4" s="1"/>
  <c r="BP126" i="13"/>
  <c r="G143" i="4" s="1"/>
  <c r="BN126" i="13"/>
  <c r="G139" i="4" s="1"/>
  <c r="BL126" i="13"/>
  <c r="G135" i="4" s="1"/>
  <c r="BK126" i="13"/>
  <c r="G134" i="4" s="1"/>
  <c r="BJ126" i="13"/>
  <c r="G133" i="4" s="1"/>
  <c r="BI126" i="13"/>
  <c r="G132" i="4" s="1"/>
  <c r="BH126" i="13"/>
  <c r="G131" i="4" s="1"/>
  <c r="BF126" i="13"/>
  <c r="G127" i="4" s="1"/>
  <c r="BD126" i="13"/>
  <c r="G122" i="4" s="1"/>
  <c r="BB126" i="13"/>
  <c r="G118" i="4" s="1"/>
  <c r="AZ126" i="13"/>
  <c r="G113" i="4" s="1"/>
  <c r="AY126" i="13"/>
  <c r="G110" i="4" s="1"/>
  <c r="AX126" i="13"/>
  <c r="G108" i="4" s="1"/>
  <c r="AW126" i="13"/>
  <c r="G105" i="4" s="1"/>
  <c r="AV126" i="13"/>
  <c r="G103" i="4" s="1"/>
  <c r="AT126" i="13"/>
  <c r="G100" i="4" s="1"/>
  <c r="AR126" i="13"/>
  <c r="G96" i="4" s="1"/>
  <c r="AP126" i="13"/>
  <c r="G92" i="4" s="1"/>
  <c r="AN126" i="13"/>
  <c r="G86" i="4" s="1"/>
  <c r="AM126" i="13"/>
  <c r="G84" i="4" s="1"/>
  <c r="AL126" i="13"/>
  <c r="G82" i="4" s="1"/>
  <c r="AK126" i="13"/>
  <c r="G80" i="4" s="1"/>
  <c r="AJ126" i="13"/>
  <c r="G77" i="4" s="1"/>
  <c r="AH126" i="13"/>
  <c r="G75" i="4" s="1"/>
  <c r="AF126" i="13"/>
  <c r="G70" i="4" s="1"/>
  <c r="AD126" i="13"/>
  <c r="G67" i="4" s="1"/>
  <c r="AB126" i="13"/>
  <c r="G63" i="4" s="1"/>
  <c r="AA126" i="13"/>
  <c r="G62" i="4" s="1"/>
  <c r="Z126" i="13"/>
  <c r="G61" i="4" s="1"/>
  <c r="Y126" i="13"/>
  <c r="G60" i="4" s="1"/>
  <c r="X126" i="13"/>
  <c r="G59" i="4" s="1"/>
  <c r="V126" i="13"/>
  <c r="G57" i="4" s="1"/>
  <c r="T126" i="13"/>
  <c r="G55" i="4" s="1"/>
  <c r="R126" i="13"/>
  <c r="G50" i="4" s="1"/>
  <c r="P126" i="13"/>
  <c r="G48" i="4" s="1"/>
  <c r="O126" i="13"/>
  <c r="G47" i="4" s="1"/>
  <c r="N126" i="13"/>
  <c r="G45" i="4" s="1"/>
  <c r="M126" i="13"/>
  <c r="G43" i="4" s="1"/>
  <c r="L126" i="13"/>
  <c r="G41" i="4" s="1"/>
  <c r="J126" i="13"/>
  <c r="G39" i="4" s="1"/>
  <c r="H126" i="13"/>
  <c r="G37" i="4" s="1"/>
  <c r="F126" i="13"/>
  <c r="G34" i="4" s="1"/>
  <c r="D126" i="13"/>
  <c r="G32" i="4" s="1"/>
  <c r="C126" i="13"/>
  <c r="G31" i="4" s="1"/>
  <c r="B126" i="13"/>
  <c r="G30" i="4" s="1"/>
  <c r="A126" i="13"/>
  <c r="G29" i="4" s="1"/>
  <c r="JI57" i="13"/>
  <c r="JI56" i="13"/>
  <c r="JI55" i="13"/>
  <c r="JI54" i="13"/>
  <c r="JI53" i="13"/>
  <c r="JI52" i="13"/>
  <c r="JI51" i="13"/>
  <c r="JI50" i="13"/>
  <c r="JI49" i="13"/>
  <c r="JI48" i="13"/>
  <c r="JI47" i="13"/>
  <c r="JI46" i="13"/>
  <c r="JI45" i="13"/>
  <c r="JI44" i="13"/>
  <c r="JI43" i="13"/>
  <c r="JI42" i="13"/>
  <c r="JI41" i="13"/>
  <c r="JI40" i="13"/>
  <c r="JI39" i="13"/>
  <c r="JI38" i="13"/>
  <c r="JI37" i="13"/>
  <c r="JI36" i="13"/>
  <c r="JI35" i="13"/>
  <c r="JI34" i="13"/>
  <c r="JI33" i="13"/>
  <c r="JI32" i="13"/>
  <c r="JI31" i="13"/>
  <c r="JI30" i="13"/>
  <c r="JI29" i="13"/>
  <c r="JI28" i="13"/>
  <c r="JI27" i="13"/>
  <c r="JI26" i="13"/>
  <c r="JI25" i="13"/>
  <c r="JI24" i="13"/>
  <c r="JI23" i="13"/>
  <c r="JI22" i="13"/>
  <c r="JI21" i="13"/>
  <c r="JI20" i="13"/>
  <c r="JI19" i="13"/>
  <c r="JI18" i="13"/>
  <c r="JI17" i="13"/>
  <c r="JI16" i="13"/>
  <c r="JI15" i="13"/>
  <c r="JI14" i="13"/>
  <c r="JI13" i="13"/>
  <c r="JI12" i="13"/>
  <c r="JI11" i="13"/>
  <c r="JI10" i="13"/>
  <c r="JI9" i="13"/>
  <c r="JI8" i="13"/>
  <c r="JI7" i="13"/>
  <c r="JI6" i="13"/>
  <c r="JI5" i="13"/>
  <c r="JI4" i="13"/>
  <c r="JO3" i="13"/>
  <c r="JO109" i="13" s="1"/>
  <c r="JI3" i="13"/>
  <c r="E126" i="13" l="1"/>
  <c r="G33" i="4" s="1"/>
  <c r="Q126" i="13"/>
  <c r="G49" i="4" s="1"/>
  <c r="AC126" i="13"/>
  <c r="G66" i="4" s="1"/>
  <c r="AO126" i="13"/>
  <c r="G90" i="4" s="1"/>
  <c r="BA126" i="13"/>
  <c r="G115" i="4" s="1"/>
  <c r="BM126" i="13"/>
  <c r="G137" i="4" s="1"/>
  <c r="BY126" i="13"/>
  <c r="G161" i="4" s="1"/>
  <c r="CK126" i="13"/>
  <c r="G174" i="4" s="1"/>
  <c r="CW126" i="13"/>
  <c r="G194" i="4" s="1"/>
  <c r="DI126" i="13"/>
  <c r="G210" i="4" s="1"/>
  <c r="DU126" i="13"/>
  <c r="G234" i="4" s="1"/>
  <c r="EG126" i="13"/>
  <c r="G260" i="4" s="1"/>
  <c r="ES126" i="13"/>
  <c r="G277" i="4" s="1"/>
  <c r="FE126" i="13"/>
  <c r="G292" i="4" s="1"/>
  <c r="FQ126" i="13"/>
  <c r="G310" i="4" s="1"/>
  <c r="GC126" i="13"/>
  <c r="G331" i="4" s="1"/>
  <c r="GO126" i="13"/>
  <c r="G354" i="4" s="1"/>
  <c r="HA126" i="13"/>
  <c r="G380" i="4" s="1"/>
  <c r="HM126" i="13"/>
  <c r="G407" i="4" s="1"/>
  <c r="HY126" i="13"/>
  <c r="G431" i="4" s="1"/>
  <c r="IK126" i="13"/>
  <c r="G452" i="4" s="1"/>
  <c r="IW126" i="13"/>
  <c r="G477" i="4" s="1"/>
  <c r="G126" i="13"/>
  <c r="G36" i="4" s="1"/>
  <c r="S126" i="13"/>
  <c r="G53" i="4" s="1"/>
  <c r="AE126" i="13"/>
  <c r="G69" i="4" s="1"/>
  <c r="AQ126" i="13"/>
  <c r="G94" i="4" s="1"/>
  <c r="BC126" i="13"/>
  <c r="G120" i="4" s="1"/>
  <c r="BO126" i="13"/>
  <c r="G141" i="4" s="1"/>
  <c r="CA126" i="13"/>
  <c r="G163" i="4" s="1"/>
  <c r="CM126" i="13"/>
  <c r="G176" i="4" s="1"/>
  <c r="CY126" i="13"/>
  <c r="G196" i="4" s="1"/>
  <c r="DK126" i="13"/>
  <c r="G215" i="4" s="1"/>
  <c r="DW126" i="13"/>
  <c r="G238" i="4" s="1"/>
  <c r="EI126" i="13"/>
  <c r="G264" i="4" s="1"/>
  <c r="EU126" i="13"/>
  <c r="G279" i="4" s="1"/>
  <c r="FG126" i="13"/>
  <c r="G294" i="4" s="1"/>
  <c r="B31" i="6" s="1"/>
  <c r="FS126" i="13"/>
  <c r="G313" i="4" s="1"/>
  <c r="GE126" i="13"/>
  <c r="G333" i="4" s="1"/>
  <c r="GQ126" i="13"/>
  <c r="G359" i="4" s="1"/>
  <c r="HC126" i="13"/>
  <c r="G385" i="4" s="1"/>
  <c r="HO126" i="13"/>
  <c r="G411" i="4" s="1"/>
  <c r="IA126" i="13"/>
  <c r="G435" i="4" s="1"/>
  <c r="IM126" i="13"/>
  <c r="G456" i="4" s="1"/>
  <c r="IY126" i="13"/>
  <c r="G481" i="4" s="1"/>
  <c r="I126" i="13"/>
  <c r="G38" i="4" s="1"/>
  <c r="U126" i="13"/>
  <c r="G56" i="4" s="1"/>
  <c r="AG126" i="13"/>
  <c r="G73" i="4" s="1"/>
  <c r="AS126" i="13"/>
  <c r="G98" i="4" s="1"/>
  <c r="BE126" i="13"/>
  <c r="G124" i="4" s="1"/>
  <c r="BQ126" i="13"/>
  <c r="G145" i="4" s="1"/>
  <c r="CC126" i="13"/>
  <c r="G165" i="4" s="1"/>
  <c r="CO126" i="13"/>
  <c r="G181" i="4" s="1"/>
  <c r="DA126" i="13"/>
  <c r="G199" i="4" s="1"/>
  <c r="DM126" i="13"/>
  <c r="G218" i="4" s="1"/>
  <c r="DY126" i="13"/>
  <c r="G242" i="4" s="1"/>
  <c r="EK126" i="13"/>
  <c r="G266" i="4" s="1"/>
  <c r="EW126" i="13"/>
  <c r="G281" i="4" s="1"/>
  <c r="FI126" i="13"/>
  <c r="G297" i="4" s="1"/>
  <c r="B11" i="6" s="1"/>
  <c r="FU126" i="13"/>
  <c r="G317" i="4" s="1"/>
  <c r="GG126" i="13"/>
  <c r="G335" i="4" s="1"/>
  <c r="GS126" i="13"/>
  <c r="G363" i="4" s="1"/>
  <c r="HE126" i="13"/>
  <c r="G389" i="4" s="1"/>
  <c r="HQ126" i="13"/>
  <c r="G415" i="4" s="1"/>
  <c r="IC126" i="13"/>
  <c r="G439" i="4" s="1"/>
  <c r="IO126" i="13"/>
  <c r="G459" i="4" s="1"/>
  <c r="JA126" i="13"/>
  <c r="G485" i="4" s="1"/>
  <c r="K126" i="13"/>
  <c r="G40" i="4" s="1"/>
  <c r="W126" i="13"/>
  <c r="G58" i="4" s="1"/>
  <c r="AI126" i="13"/>
  <c r="G76" i="4" s="1"/>
  <c r="AU126" i="13"/>
  <c r="G101" i="4" s="1"/>
  <c r="BG126" i="13"/>
  <c r="G129" i="4" s="1"/>
  <c r="BS126" i="13"/>
  <c r="G150" i="4" s="1"/>
  <c r="CE126" i="13"/>
  <c r="G168" i="4" s="1"/>
  <c r="CQ126" i="13"/>
  <c r="G185" i="4" s="1"/>
  <c r="DC126" i="13"/>
  <c r="G201" i="4" s="1"/>
  <c r="DO126" i="13"/>
  <c r="G221" i="4" s="1"/>
  <c r="EA126" i="13"/>
  <c r="G247" i="4" s="1"/>
  <c r="EM126" i="13"/>
  <c r="G269" i="4" s="1"/>
  <c r="EY126" i="13"/>
  <c r="G283" i="4" s="1"/>
  <c r="FK126" i="13"/>
  <c r="G299" i="4" s="1"/>
  <c r="FW126" i="13"/>
  <c r="G321" i="4" s="1"/>
  <c r="GI126" i="13"/>
  <c r="G341" i="4" s="1"/>
  <c r="GU126" i="13"/>
  <c r="G368" i="4" s="1"/>
  <c r="HG126" i="13"/>
  <c r="G393" i="4" s="1"/>
  <c r="HS126" i="13"/>
  <c r="G419" i="4" s="1"/>
  <c r="IE126" i="13"/>
  <c r="G442" i="4" s="1"/>
  <c r="IQ126" i="13"/>
  <c r="G462" i="4" s="1"/>
  <c r="JC126" i="13"/>
  <c r="G489" i="4" s="1"/>
  <c r="JI125" i="13"/>
  <c r="B30" i="6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HI74" i="1"/>
  <c r="HJ74" i="1"/>
  <c r="HK74" i="1"/>
  <c r="HL74" i="1"/>
  <c r="HM74" i="1"/>
  <c r="HN74" i="1"/>
  <c r="HO74" i="1"/>
  <c r="HP74" i="1"/>
  <c r="HQ74" i="1"/>
  <c r="HR74" i="1"/>
  <c r="HS74" i="1"/>
  <c r="HT74" i="1"/>
  <c r="HU74" i="1"/>
  <c r="HV74" i="1"/>
  <c r="HW74" i="1"/>
  <c r="HX74" i="1"/>
  <c r="HY74" i="1"/>
  <c r="HZ74" i="1"/>
  <c r="IA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IO74" i="1"/>
  <c r="IP74" i="1"/>
  <c r="IQ74" i="1"/>
  <c r="IR74" i="1"/>
  <c r="IS74" i="1"/>
  <c r="IT74" i="1"/>
  <c r="IU74" i="1"/>
  <c r="IV74" i="1"/>
  <c r="IW74" i="1"/>
  <c r="IX74" i="1"/>
  <c r="IY74" i="1"/>
  <c r="IZ74" i="1"/>
  <c r="JA74" i="1"/>
  <c r="JB74" i="1"/>
  <c r="JC74" i="1"/>
  <c r="JD74" i="1"/>
  <c r="JE74" i="1"/>
  <c r="JF74" i="1"/>
  <c r="JG74" i="1"/>
  <c r="JH74" i="1"/>
  <c r="A74" i="1"/>
  <c r="JI61" i="1"/>
  <c r="JI62" i="1"/>
  <c r="JI63" i="1"/>
  <c r="JI64" i="1"/>
  <c r="JI65" i="1"/>
  <c r="JI66" i="1"/>
  <c r="JI67" i="1"/>
  <c r="JI68" i="1"/>
  <c r="JI69" i="1"/>
  <c r="JI70" i="1"/>
  <c r="JI71" i="1"/>
  <c r="JI72" i="1"/>
  <c r="JI73" i="1"/>
  <c r="JI60" i="1"/>
  <c r="B58" i="1"/>
  <c r="B75" i="1" s="1"/>
  <c r="C58" i="1"/>
  <c r="C75" i="1" s="1"/>
  <c r="D58" i="1"/>
  <c r="D75" i="1" s="1"/>
  <c r="E58" i="1"/>
  <c r="E75" i="1" s="1"/>
  <c r="F58" i="1"/>
  <c r="F75" i="1" s="1"/>
  <c r="G58" i="1"/>
  <c r="G75" i="1" s="1"/>
  <c r="H58" i="1"/>
  <c r="H75" i="1" s="1"/>
  <c r="I58" i="1"/>
  <c r="J58" i="1"/>
  <c r="K58" i="1"/>
  <c r="K75" i="1" s="1"/>
  <c r="L58" i="1"/>
  <c r="L75" i="1" s="1"/>
  <c r="M58" i="1"/>
  <c r="M75" i="1" s="1"/>
  <c r="N58" i="1"/>
  <c r="N75" i="1" s="1"/>
  <c r="O58" i="1"/>
  <c r="O75" i="1" s="1"/>
  <c r="P58" i="1"/>
  <c r="P75" i="1" s="1"/>
  <c r="Q58" i="1"/>
  <c r="Q75" i="1" s="1"/>
  <c r="R58" i="1"/>
  <c r="R75" i="1" s="1"/>
  <c r="S58" i="1"/>
  <c r="S75" i="1" s="1"/>
  <c r="T58" i="1"/>
  <c r="T75" i="1" s="1"/>
  <c r="U58" i="1"/>
  <c r="V58" i="1"/>
  <c r="W58" i="1"/>
  <c r="W75" i="1" s="1"/>
  <c r="X58" i="1"/>
  <c r="X75" i="1" s="1"/>
  <c r="Y58" i="1"/>
  <c r="Y75" i="1" s="1"/>
  <c r="Z58" i="1"/>
  <c r="Z75" i="1" s="1"/>
  <c r="AA58" i="1"/>
  <c r="AA75" i="1" s="1"/>
  <c r="AB58" i="1"/>
  <c r="AB75" i="1" s="1"/>
  <c r="AC58" i="1"/>
  <c r="AC75" i="1" s="1"/>
  <c r="AD58" i="1"/>
  <c r="AD75" i="1" s="1"/>
  <c r="AE58" i="1"/>
  <c r="AE75" i="1" s="1"/>
  <c r="AF58" i="1"/>
  <c r="AF75" i="1" s="1"/>
  <c r="AG58" i="1"/>
  <c r="AH58" i="1"/>
  <c r="AI58" i="1"/>
  <c r="AI75" i="1" s="1"/>
  <c r="H76" i="4" s="1"/>
  <c r="AJ58" i="1"/>
  <c r="AJ75" i="1" s="1"/>
  <c r="AK58" i="1"/>
  <c r="AK75" i="1" s="1"/>
  <c r="AL58" i="1"/>
  <c r="AL75" i="1" s="1"/>
  <c r="AM58" i="1"/>
  <c r="AM75" i="1" s="1"/>
  <c r="AN58" i="1"/>
  <c r="AN75" i="1" s="1"/>
  <c r="AO58" i="1"/>
  <c r="AO75" i="1" s="1"/>
  <c r="AP58" i="1"/>
  <c r="AP75" i="1" s="1"/>
  <c r="AQ58" i="1"/>
  <c r="AQ75" i="1" s="1"/>
  <c r="AR58" i="1"/>
  <c r="AR75" i="1" s="1"/>
  <c r="AS58" i="1"/>
  <c r="AT58" i="1"/>
  <c r="AU58" i="1"/>
  <c r="AU75" i="1" s="1"/>
  <c r="AV58" i="1"/>
  <c r="AV75" i="1" s="1"/>
  <c r="AW58" i="1"/>
  <c r="AW75" i="1" s="1"/>
  <c r="AX58" i="1"/>
  <c r="AX75" i="1" s="1"/>
  <c r="AY58" i="1"/>
  <c r="AY75" i="1" s="1"/>
  <c r="AZ58" i="1"/>
  <c r="AZ75" i="1" s="1"/>
  <c r="BA58" i="1"/>
  <c r="BA75" i="1" s="1"/>
  <c r="BB58" i="1"/>
  <c r="BB75" i="1" s="1"/>
  <c r="BC58" i="1"/>
  <c r="BC75" i="1" s="1"/>
  <c r="BD58" i="1"/>
  <c r="BD75" i="1" s="1"/>
  <c r="BE58" i="1"/>
  <c r="BF58" i="1"/>
  <c r="BG58" i="1"/>
  <c r="BG75" i="1" s="1"/>
  <c r="BH58" i="1"/>
  <c r="BH75" i="1" s="1"/>
  <c r="BI58" i="1"/>
  <c r="BI75" i="1" s="1"/>
  <c r="BJ58" i="1"/>
  <c r="BJ75" i="1" s="1"/>
  <c r="BK58" i="1"/>
  <c r="BK75" i="1" s="1"/>
  <c r="BL58" i="1"/>
  <c r="BL75" i="1" s="1"/>
  <c r="BM58" i="1"/>
  <c r="BM75" i="1" s="1"/>
  <c r="BN58" i="1"/>
  <c r="BN75" i="1" s="1"/>
  <c r="BO58" i="1"/>
  <c r="BO75" i="1" s="1"/>
  <c r="BP58" i="1"/>
  <c r="BP75" i="1" s="1"/>
  <c r="BQ58" i="1"/>
  <c r="BR58" i="1"/>
  <c r="BS58" i="1"/>
  <c r="BS75" i="1" s="1"/>
  <c r="BT58" i="1"/>
  <c r="BT75" i="1" s="1"/>
  <c r="BU58" i="1"/>
  <c r="BU75" i="1" s="1"/>
  <c r="BV58" i="1"/>
  <c r="BV75" i="1" s="1"/>
  <c r="BW58" i="1"/>
  <c r="BW75" i="1" s="1"/>
  <c r="BX58" i="1"/>
  <c r="BX75" i="1" s="1"/>
  <c r="BY58" i="1"/>
  <c r="BY75" i="1" s="1"/>
  <c r="BZ58" i="1"/>
  <c r="BZ75" i="1" s="1"/>
  <c r="CA58" i="1"/>
  <c r="CA75" i="1" s="1"/>
  <c r="CB58" i="1"/>
  <c r="CB75" i="1" s="1"/>
  <c r="CC58" i="1"/>
  <c r="CD58" i="1"/>
  <c r="CE58" i="1"/>
  <c r="CE75" i="1" s="1"/>
  <c r="CF58" i="1"/>
  <c r="CF75" i="1" s="1"/>
  <c r="CG58" i="1"/>
  <c r="CG75" i="1" s="1"/>
  <c r="CH58" i="1"/>
  <c r="CH75" i="1" s="1"/>
  <c r="CI58" i="1"/>
  <c r="CI75" i="1" s="1"/>
  <c r="CJ58" i="1"/>
  <c r="CJ75" i="1" s="1"/>
  <c r="CK58" i="1"/>
  <c r="CK75" i="1" s="1"/>
  <c r="CL58" i="1"/>
  <c r="CL75" i="1" s="1"/>
  <c r="CM58" i="1"/>
  <c r="CM75" i="1" s="1"/>
  <c r="CN58" i="1"/>
  <c r="CN75" i="1" s="1"/>
  <c r="CO58" i="1"/>
  <c r="CP58" i="1"/>
  <c r="CQ58" i="1"/>
  <c r="CQ75" i="1" s="1"/>
  <c r="CR58" i="1"/>
  <c r="CR75" i="1" s="1"/>
  <c r="CS58" i="1"/>
  <c r="CS75" i="1" s="1"/>
  <c r="CT58" i="1"/>
  <c r="CT75" i="1" s="1"/>
  <c r="CU58" i="1"/>
  <c r="CU75" i="1" s="1"/>
  <c r="CV58" i="1"/>
  <c r="CV75" i="1" s="1"/>
  <c r="CW58" i="1"/>
  <c r="CW75" i="1" s="1"/>
  <c r="CX58" i="1"/>
  <c r="CX75" i="1" s="1"/>
  <c r="CY58" i="1"/>
  <c r="CY75" i="1" s="1"/>
  <c r="CZ58" i="1"/>
  <c r="CZ75" i="1" s="1"/>
  <c r="DA58" i="1"/>
  <c r="DB58" i="1"/>
  <c r="DC58" i="1"/>
  <c r="DC75" i="1" s="1"/>
  <c r="DD58" i="1"/>
  <c r="DD75" i="1" s="1"/>
  <c r="DE58" i="1"/>
  <c r="DE75" i="1" s="1"/>
  <c r="DF58" i="1"/>
  <c r="DF75" i="1" s="1"/>
  <c r="DG58" i="1"/>
  <c r="DG75" i="1" s="1"/>
  <c r="DH58" i="1"/>
  <c r="DH75" i="1" s="1"/>
  <c r="DI58" i="1"/>
  <c r="DI75" i="1" s="1"/>
  <c r="DJ58" i="1"/>
  <c r="DJ75" i="1" s="1"/>
  <c r="DK75" i="1"/>
  <c r="DL58" i="1"/>
  <c r="DL75" i="1" s="1"/>
  <c r="DM58" i="1"/>
  <c r="DN58" i="1"/>
  <c r="DO58" i="1"/>
  <c r="DO75" i="1" s="1"/>
  <c r="DP58" i="1"/>
  <c r="DP75" i="1" s="1"/>
  <c r="DQ58" i="1"/>
  <c r="DQ75" i="1" s="1"/>
  <c r="DR58" i="1"/>
  <c r="DR75" i="1" s="1"/>
  <c r="DS58" i="1"/>
  <c r="DS75" i="1" s="1"/>
  <c r="DT58" i="1"/>
  <c r="DT75" i="1" s="1"/>
  <c r="DU58" i="1"/>
  <c r="DU75" i="1" s="1"/>
  <c r="DV58" i="1"/>
  <c r="DV75" i="1" s="1"/>
  <c r="DW58" i="1"/>
  <c r="DW75" i="1" s="1"/>
  <c r="DX58" i="1"/>
  <c r="DX75" i="1" s="1"/>
  <c r="DY58" i="1"/>
  <c r="DZ58" i="1"/>
  <c r="EA58" i="1"/>
  <c r="EA75" i="1" s="1"/>
  <c r="EB58" i="1"/>
  <c r="EB75" i="1" s="1"/>
  <c r="EC58" i="1"/>
  <c r="EC75" i="1" s="1"/>
  <c r="ED58" i="1"/>
  <c r="ED75" i="1" s="1"/>
  <c r="EE58" i="1"/>
  <c r="EE75" i="1" s="1"/>
  <c r="EF58" i="1"/>
  <c r="EF75" i="1" s="1"/>
  <c r="EG58" i="1"/>
  <c r="EG75" i="1" s="1"/>
  <c r="EH58" i="1"/>
  <c r="EH75" i="1" s="1"/>
  <c r="EI58" i="1"/>
  <c r="EI75" i="1" s="1"/>
  <c r="EJ58" i="1"/>
  <c r="EJ75" i="1" s="1"/>
  <c r="EK58" i="1"/>
  <c r="EL58" i="1"/>
  <c r="EM58" i="1"/>
  <c r="EM75" i="1" s="1"/>
  <c r="EN58" i="1"/>
  <c r="EN75" i="1" s="1"/>
  <c r="EO58" i="1"/>
  <c r="EO75" i="1" s="1"/>
  <c r="EP58" i="1"/>
  <c r="EP75" i="1" s="1"/>
  <c r="EQ58" i="1"/>
  <c r="EQ75" i="1" s="1"/>
  <c r="ER58" i="1"/>
  <c r="ER75" i="1" s="1"/>
  <c r="ES58" i="1"/>
  <c r="ES75" i="1" s="1"/>
  <c r="ET58" i="1"/>
  <c r="ET75" i="1" s="1"/>
  <c r="EU58" i="1"/>
  <c r="EU75" i="1" s="1"/>
  <c r="EV58" i="1"/>
  <c r="EV75" i="1" s="1"/>
  <c r="EW58" i="1"/>
  <c r="EX58" i="1"/>
  <c r="EY58" i="1"/>
  <c r="EY75" i="1" s="1"/>
  <c r="EZ58" i="1"/>
  <c r="EZ75" i="1" s="1"/>
  <c r="FA58" i="1"/>
  <c r="FA75" i="1" s="1"/>
  <c r="FB58" i="1"/>
  <c r="FB75" i="1" s="1"/>
  <c r="FC58" i="1"/>
  <c r="FC75" i="1" s="1"/>
  <c r="FD58" i="1"/>
  <c r="FD75" i="1" s="1"/>
  <c r="FE58" i="1"/>
  <c r="FE75" i="1" s="1"/>
  <c r="FF58" i="1"/>
  <c r="FF75" i="1" s="1"/>
  <c r="FG58" i="1"/>
  <c r="FG75" i="1" s="1"/>
  <c r="FH58" i="1"/>
  <c r="FH75" i="1" s="1"/>
  <c r="FI58" i="1"/>
  <c r="FJ58" i="1"/>
  <c r="FK58" i="1"/>
  <c r="FK75" i="1" s="1"/>
  <c r="FL58" i="1"/>
  <c r="FL75" i="1" s="1"/>
  <c r="FM58" i="1"/>
  <c r="FM75" i="1" s="1"/>
  <c r="FN58" i="1"/>
  <c r="FN75" i="1" s="1"/>
  <c r="FO58" i="1"/>
  <c r="FO75" i="1" s="1"/>
  <c r="FP58" i="1"/>
  <c r="FP75" i="1" s="1"/>
  <c r="FQ58" i="1"/>
  <c r="FQ75" i="1" s="1"/>
  <c r="FR58" i="1"/>
  <c r="FR75" i="1" s="1"/>
  <c r="FS58" i="1"/>
  <c r="FS75" i="1" s="1"/>
  <c r="FT58" i="1"/>
  <c r="FT75" i="1" s="1"/>
  <c r="FU58" i="1"/>
  <c r="FV58" i="1"/>
  <c r="FW58" i="1"/>
  <c r="FW75" i="1" s="1"/>
  <c r="FX58" i="1"/>
  <c r="FX75" i="1" s="1"/>
  <c r="FY58" i="1"/>
  <c r="FY75" i="1" s="1"/>
  <c r="FZ58" i="1"/>
  <c r="FZ75" i="1" s="1"/>
  <c r="GA58" i="1"/>
  <c r="GA75" i="1" s="1"/>
  <c r="GB58" i="1"/>
  <c r="GB75" i="1" s="1"/>
  <c r="GC58" i="1"/>
  <c r="GC75" i="1" s="1"/>
  <c r="GD58" i="1"/>
  <c r="GD75" i="1" s="1"/>
  <c r="GE58" i="1"/>
  <c r="GE75" i="1" s="1"/>
  <c r="GF58" i="1"/>
  <c r="GF75" i="1" s="1"/>
  <c r="GG58" i="1"/>
  <c r="GH58" i="1"/>
  <c r="GI58" i="1"/>
  <c r="GI75" i="1" s="1"/>
  <c r="GJ58" i="1"/>
  <c r="GJ75" i="1" s="1"/>
  <c r="GK58" i="1"/>
  <c r="GK75" i="1" s="1"/>
  <c r="GL58" i="1"/>
  <c r="GL75" i="1" s="1"/>
  <c r="GM58" i="1"/>
  <c r="GM75" i="1" s="1"/>
  <c r="GN58" i="1"/>
  <c r="GN75" i="1" s="1"/>
  <c r="GO58" i="1"/>
  <c r="GO75" i="1" s="1"/>
  <c r="GP58" i="1"/>
  <c r="GP75" i="1" s="1"/>
  <c r="GQ58" i="1"/>
  <c r="GQ75" i="1" s="1"/>
  <c r="GR58" i="1"/>
  <c r="GR75" i="1" s="1"/>
  <c r="GS58" i="1"/>
  <c r="GT58" i="1"/>
  <c r="GU58" i="1"/>
  <c r="GU75" i="1" s="1"/>
  <c r="GV58" i="1"/>
  <c r="GV75" i="1" s="1"/>
  <c r="GW58" i="1"/>
  <c r="GW75" i="1" s="1"/>
  <c r="GX58" i="1"/>
  <c r="GX75" i="1" s="1"/>
  <c r="GY58" i="1"/>
  <c r="GY75" i="1" s="1"/>
  <c r="GZ58" i="1"/>
  <c r="GZ75" i="1" s="1"/>
  <c r="HA58" i="1"/>
  <c r="HA75" i="1" s="1"/>
  <c r="HB58" i="1"/>
  <c r="HB75" i="1" s="1"/>
  <c r="HC58" i="1"/>
  <c r="HC75" i="1" s="1"/>
  <c r="HD58" i="1"/>
  <c r="HD75" i="1" s="1"/>
  <c r="HE58" i="1"/>
  <c r="HF58" i="1"/>
  <c r="HG58" i="1"/>
  <c r="HG75" i="1" s="1"/>
  <c r="HH58" i="1"/>
  <c r="HH75" i="1" s="1"/>
  <c r="HI58" i="1"/>
  <c r="HI75" i="1" s="1"/>
  <c r="HJ58" i="1"/>
  <c r="HJ75" i="1" s="1"/>
  <c r="HK58" i="1"/>
  <c r="HK75" i="1" s="1"/>
  <c r="HL58" i="1"/>
  <c r="HL75" i="1" s="1"/>
  <c r="HM58" i="1"/>
  <c r="HM75" i="1" s="1"/>
  <c r="HN58" i="1"/>
  <c r="HN75" i="1" s="1"/>
  <c r="HO58" i="1"/>
  <c r="HO75" i="1" s="1"/>
  <c r="HP58" i="1"/>
  <c r="HP75" i="1" s="1"/>
  <c r="HQ58" i="1"/>
  <c r="HR58" i="1"/>
  <c r="HS58" i="1"/>
  <c r="HS75" i="1" s="1"/>
  <c r="HT58" i="1"/>
  <c r="HT75" i="1" s="1"/>
  <c r="HU58" i="1"/>
  <c r="HU75" i="1" s="1"/>
  <c r="HV58" i="1"/>
  <c r="HV75" i="1" s="1"/>
  <c r="HW58" i="1"/>
  <c r="HW75" i="1" s="1"/>
  <c r="HX58" i="1"/>
  <c r="HX75" i="1" s="1"/>
  <c r="HY58" i="1"/>
  <c r="HY75" i="1" s="1"/>
  <c r="HZ58" i="1"/>
  <c r="HZ75" i="1" s="1"/>
  <c r="IA58" i="1"/>
  <c r="IA75" i="1" s="1"/>
  <c r="IB58" i="1"/>
  <c r="IB75" i="1" s="1"/>
  <c r="IC58" i="1"/>
  <c r="ID58" i="1"/>
  <c r="IE58" i="1"/>
  <c r="IE75" i="1" s="1"/>
  <c r="IF58" i="1"/>
  <c r="IF75" i="1" s="1"/>
  <c r="IG58" i="1"/>
  <c r="IG75" i="1" s="1"/>
  <c r="IH58" i="1"/>
  <c r="IH75" i="1" s="1"/>
  <c r="II58" i="1"/>
  <c r="II75" i="1" s="1"/>
  <c r="IJ58" i="1"/>
  <c r="IJ75" i="1" s="1"/>
  <c r="IK58" i="1"/>
  <c r="IK75" i="1" s="1"/>
  <c r="IL58" i="1"/>
  <c r="IL75" i="1" s="1"/>
  <c r="IM58" i="1"/>
  <c r="IM75" i="1" s="1"/>
  <c r="IN58" i="1"/>
  <c r="IN75" i="1" s="1"/>
  <c r="IO58" i="1"/>
  <c r="IP58" i="1"/>
  <c r="IQ58" i="1"/>
  <c r="IQ75" i="1" s="1"/>
  <c r="IR58" i="1"/>
  <c r="IR75" i="1" s="1"/>
  <c r="IS58" i="1"/>
  <c r="IS75" i="1" s="1"/>
  <c r="IT58" i="1"/>
  <c r="IT75" i="1" s="1"/>
  <c r="IU58" i="1"/>
  <c r="IU75" i="1" s="1"/>
  <c r="IV58" i="1"/>
  <c r="IV75" i="1" s="1"/>
  <c r="IW58" i="1"/>
  <c r="IW75" i="1" s="1"/>
  <c r="IX58" i="1"/>
  <c r="IX75" i="1" s="1"/>
  <c r="IY58" i="1"/>
  <c r="IY75" i="1" s="1"/>
  <c r="IZ58" i="1"/>
  <c r="IZ75" i="1" s="1"/>
  <c r="JA58" i="1"/>
  <c r="JB58" i="1"/>
  <c r="JC58" i="1"/>
  <c r="JC75" i="1" s="1"/>
  <c r="JD58" i="1"/>
  <c r="JD75" i="1" s="1"/>
  <c r="JE58" i="1"/>
  <c r="JE75" i="1" s="1"/>
  <c r="JF58" i="1"/>
  <c r="JF75" i="1" s="1"/>
  <c r="JG58" i="1"/>
  <c r="JG75" i="1" s="1"/>
  <c r="JH58" i="1"/>
  <c r="JH75" i="1" s="1"/>
  <c r="A58" i="1"/>
  <c r="A75" i="1" s="1"/>
  <c r="JI23" i="1"/>
  <c r="JL23" i="1" s="1"/>
  <c r="JI24" i="1"/>
  <c r="JL24" i="1" s="1"/>
  <c r="JI25" i="1"/>
  <c r="JL25" i="1" s="1"/>
  <c r="JI26" i="1"/>
  <c r="JL26" i="1" s="1"/>
  <c r="JI27" i="1"/>
  <c r="JL27" i="1" s="1"/>
  <c r="JI28" i="1"/>
  <c r="JL28" i="1" s="1"/>
  <c r="JI29" i="1"/>
  <c r="JL29" i="1" s="1"/>
  <c r="JI30" i="1"/>
  <c r="JL30" i="1" s="1"/>
  <c r="JI31" i="1"/>
  <c r="JL31" i="1" s="1"/>
  <c r="JI32" i="1"/>
  <c r="JL32" i="1" s="1"/>
  <c r="JI33" i="1"/>
  <c r="JL33" i="1" s="1"/>
  <c r="JI34" i="1"/>
  <c r="JL34" i="1" s="1"/>
  <c r="JI35" i="1"/>
  <c r="JL35" i="1" s="1"/>
  <c r="JI36" i="1"/>
  <c r="JL36" i="1" s="1"/>
  <c r="JI37" i="1"/>
  <c r="JL37" i="1" s="1"/>
  <c r="JI38" i="1"/>
  <c r="JL38" i="1" s="1"/>
  <c r="JI39" i="1"/>
  <c r="JL39" i="1" s="1"/>
  <c r="JI40" i="1"/>
  <c r="JL40" i="1" s="1"/>
  <c r="JI41" i="1"/>
  <c r="JL41" i="1" s="1"/>
  <c r="JI42" i="1"/>
  <c r="JL42" i="1" s="1"/>
  <c r="JI43" i="1"/>
  <c r="JL43" i="1" s="1"/>
  <c r="JI44" i="1"/>
  <c r="JL44" i="1" s="1"/>
  <c r="JI45" i="1"/>
  <c r="JL45" i="1" s="1"/>
  <c r="JI46" i="1"/>
  <c r="JL46" i="1" s="1"/>
  <c r="JI47" i="1"/>
  <c r="JL47" i="1" s="1"/>
  <c r="JI48" i="1"/>
  <c r="JL48" i="1" s="1"/>
  <c r="JI49" i="1"/>
  <c r="JI50" i="1"/>
  <c r="JL50" i="1" s="1"/>
  <c r="JI51" i="1"/>
  <c r="JL51" i="1" s="1"/>
  <c r="JI52" i="1"/>
  <c r="JL52" i="1" s="1"/>
  <c r="JI53" i="1"/>
  <c r="JL53" i="1" s="1"/>
  <c r="JI54" i="1"/>
  <c r="JL54" i="1" s="1"/>
  <c r="JI55" i="1"/>
  <c r="JL55" i="1" s="1"/>
  <c r="JI56" i="1"/>
  <c r="JL56" i="1" s="1"/>
  <c r="JI57" i="1"/>
  <c r="JL57" i="1" s="1"/>
  <c r="JI58" i="1" l="1"/>
  <c r="JL49" i="1"/>
  <c r="JB75" i="1"/>
  <c r="IP75" i="1"/>
  <c r="ID75" i="1"/>
  <c r="HR75" i="1"/>
  <c r="HF75" i="1"/>
  <c r="GT75" i="1"/>
  <c r="GH75" i="1"/>
  <c r="FV75" i="1"/>
  <c r="FJ75" i="1"/>
  <c r="EX75" i="1"/>
  <c r="EL75" i="1"/>
  <c r="DZ75" i="1"/>
  <c r="DN75" i="1"/>
  <c r="DB75" i="1"/>
  <c r="CP75" i="1"/>
  <c r="CD75" i="1"/>
  <c r="BR75" i="1"/>
  <c r="BF75" i="1"/>
  <c r="AT75" i="1"/>
  <c r="AH75" i="1"/>
  <c r="H75" i="4" s="1"/>
  <c r="V75" i="1"/>
  <c r="J75" i="1"/>
  <c r="JA75" i="1"/>
  <c r="IO75" i="1"/>
  <c r="IC75" i="1"/>
  <c r="HQ75" i="1"/>
  <c r="HE75" i="1"/>
  <c r="GS75" i="1"/>
  <c r="GG75" i="1"/>
  <c r="FU75" i="1"/>
  <c r="FI75" i="1"/>
  <c r="EW75" i="1"/>
  <c r="EK75" i="1"/>
  <c r="DY75" i="1"/>
  <c r="DM75" i="1"/>
  <c r="DA75" i="1"/>
  <c r="CO75" i="1"/>
  <c r="CC75" i="1"/>
  <c r="BQ75" i="1"/>
  <c r="BE75" i="1"/>
  <c r="AS75" i="1"/>
  <c r="AG75" i="1"/>
  <c r="U75" i="1"/>
  <c r="I75" i="1"/>
  <c r="JI126" i="13"/>
  <c r="G450" i="4"/>
  <c r="G447" i="4"/>
  <c r="H452" i="4"/>
  <c r="I452" i="4" s="1"/>
  <c r="H449" i="4"/>
  <c r="I449" i="4" s="1"/>
  <c r="H329" i="4"/>
  <c r="I329" i="4" l="1"/>
  <c r="H147" i="4"/>
  <c r="H146" i="4" s="1"/>
  <c r="G146" i="4" l="1"/>
  <c r="I146" i="4" s="1"/>
  <c r="H311" i="4"/>
  <c r="I311" i="4" s="1"/>
  <c r="G177" i="4"/>
  <c r="I147" i="4" l="1"/>
  <c r="H211" i="4"/>
  <c r="I211" i="4" l="1"/>
  <c r="G35" i="4"/>
  <c r="JO58" i="1"/>
  <c r="JL58" i="1"/>
  <c r="JM58" i="1"/>
  <c r="JN58" i="1"/>
  <c r="JP58" i="1"/>
  <c r="JK58" i="1"/>
  <c r="H33" i="4"/>
  <c r="H37" i="4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I17" i="4"/>
  <c r="G28" i="4"/>
  <c r="G42" i="4"/>
  <c r="G44" i="4"/>
  <c r="G46" i="4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32" i="4"/>
  <c r="I32" i="4" s="1"/>
  <c r="H315" i="4"/>
  <c r="H314" i="4" s="1"/>
  <c r="H294" i="4"/>
  <c r="I294" i="4" s="1"/>
  <c r="H279" i="4"/>
  <c r="H264" i="4"/>
  <c r="H238" i="4"/>
  <c r="H237" i="4" s="1"/>
  <c r="H215" i="4"/>
  <c r="H195" i="4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49" i="4" s="1"/>
  <c r="I168" i="4"/>
  <c r="H499" i="4"/>
  <c r="H498" i="4" s="1"/>
  <c r="I498" i="4" s="1"/>
  <c r="H472" i="4"/>
  <c r="H445" i="4"/>
  <c r="H444" i="4" s="1"/>
  <c r="I444" i="4" s="1"/>
  <c r="G114" i="4"/>
  <c r="I114" i="4" s="1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H40" i="4"/>
  <c r="I40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8" i="4"/>
  <c r="I48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7" i="4"/>
  <c r="H38" i="4"/>
  <c r="I38" i="4" s="1"/>
  <c r="H34" i="4"/>
  <c r="I34" i="4" s="1"/>
  <c r="H485" i="4"/>
  <c r="I485" i="4" s="1"/>
  <c r="H41" i="4"/>
  <c r="I41" i="4" s="1"/>
  <c r="G71" i="4"/>
  <c r="G400" i="4"/>
  <c r="G497" i="4"/>
  <c r="G348" i="4"/>
  <c r="G383" i="4"/>
  <c r="G366" i="4"/>
  <c r="G446" i="4"/>
  <c r="G27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H45" i="4"/>
  <c r="H36" i="4"/>
  <c r="H31" i="4"/>
  <c r="I31" i="4" s="1"/>
  <c r="I249" i="4"/>
  <c r="H280" i="4"/>
  <c r="I280" i="4" s="1"/>
  <c r="I426" i="4"/>
  <c r="I486" i="4"/>
  <c r="H362" i="4"/>
  <c r="I362" i="4" s="1"/>
  <c r="G473" i="4"/>
  <c r="H414" i="4"/>
  <c r="I414" i="4" s="1"/>
  <c r="I347" i="4"/>
  <c r="JI74" i="1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3" i="4"/>
  <c r="H30" i="4"/>
  <c r="I30" i="4" s="1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39" i="4"/>
  <c r="I39" i="4" s="1"/>
  <c r="H284" i="4"/>
  <c r="I284" i="4" s="1"/>
  <c r="I37" i="4"/>
  <c r="I76" i="4"/>
  <c r="I57" i="4"/>
  <c r="I33" i="4"/>
  <c r="I300" i="4"/>
  <c r="G182" i="4"/>
  <c r="B24" i="6" s="1"/>
  <c r="G107" i="4"/>
  <c r="I472" i="4"/>
  <c r="H471" i="4"/>
  <c r="I471" i="4" s="1"/>
  <c r="I389" i="4"/>
  <c r="H388" i="4"/>
  <c r="I388" i="4" s="1"/>
  <c r="H91" i="4"/>
  <c r="I399" i="4"/>
  <c r="H398" i="4"/>
  <c r="I398" i="4" s="1"/>
  <c r="H372" i="4"/>
  <c r="H374" i="4"/>
  <c r="I439" i="4"/>
  <c r="I195" i="4"/>
  <c r="I487" i="4"/>
  <c r="H73" i="4"/>
  <c r="H500" i="4"/>
  <c r="I500" i="4" s="1"/>
  <c r="I425" i="4"/>
  <c r="H29" i="4"/>
  <c r="I438" i="4"/>
  <c r="G337" i="4"/>
  <c r="G405" i="4"/>
  <c r="G357" i="4"/>
  <c r="G492" i="4"/>
  <c r="M18" i="4"/>
  <c r="I346" i="4"/>
  <c r="I248" i="4"/>
  <c r="G51" i="4"/>
  <c r="G78" i="4"/>
  <c r="G64" i="4"/>
  <c r="I499" i="4" l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H35" i="4"/>
  <c r="I35" i="4" s="1"/>
  <c r="I474" i="4"/>
  <c r="H182" i="4"/>
  <c r="C24" i="6" s="1"/>
  <c r="I29" i="4"/>
  <c r="H28" i="4"/>
  <c r="H130" i="4"/>
  <c r="H188" i="4"/>
  <c r="H197" i="4"/>
  <c r="H44" i="4"/>
  <c r="I44" i="4" s="1"/>
  <c r="H106" i="4"/>
  <c r="H276" i="4"/>
  <c r="H111" i="4"/>
  <c r="C21" i="6" s="1"/>
  <c r="I79" i="4"/>
  <c r="I55" i="4"/>
  <c r="H54" i="4"/>
  <c r="I54" i="4" s="1"/>
  <c r="H287" i="4"/>
  <c r="H65" i="4"/>
  <c r="I47" i="4"/>
  <c r="H46" i="4"/>
  <c r="I46" i="4" s="1"/>
  <c r="H232" i="4"/>
  <c r="C27" i="6" s="1"/>
  <c r="H42" i="4"/>
  <c r="I42" i="4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I36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JI75" i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I43" i="4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G26" i="4"/>
  <c r="B18" i="6" s="1"/>
  <c r="I28" i="4" l="1"/>
  <c r="H27" i="4"/>
  <c r="C26" i="6"/>
  <c r="C12" i="6"/>
  <c r="B20" i="6"/>
  <c r="I89" i="4"/>
  <c r="I320" i="4"/>
  <c r="B15" i="6"/>
  <c r="D15" i="6" s="1"/>
  <c r="I109" i="4"/>
  <c r="B25" i="6"/>
  <c r="I91" i="4"/>
  <c r="B19" i="6"/>
  <c r="D19" i="6" s="1"/>
  <c r="I245" i="4"/>
  <c r="B9" i="6"/>
  <c r="M20" i="4"/>
  <c r="B37" i="6"/>
  <c r="B38" i="6" s="1"/>
  <c r="D20" i="6"/>
  <c r="H213" i="4"/>
  <c r="I90" i="4"/>
  <c r="I313" i="4"/>
  <c r="D9" i="6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I27" i="4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B14" i="6" l="1"/>
  <c r="C33" i="6"/>
  <c r="I111" i="4"/>
  <c r="B21" i="6"/>
  <c r="D21" i="6" s="1"/>
  <c r="I259" i="4"/>
  <c r="B28" i="6"/>
  <c r="D28" i="6" s="1"/>
  <c r="C14" i="6"/>
  <c r="H26" i="4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B33" i="6" l="1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M16" i="4" s="1"/>
  <c r="I463" i="4"/>
  <c r="C16" i="6"/>
  <c r="I295" i="4"/>
  <c r="G286" i="4"/>
  <c r="I286" i="4" s="1"/>
  <c r="D12" i="6"/>
  <c r="E9" i="6" s="1"/>
  <c r="C18" i="6"/>
  <c r="C34" i="6" s="1"/>
  <c r="I26" i="4"/>
  <c r="N15" i="4"/>
  <c r="H25" i="4"/>
  <c r="N19" i="4"/>
  <c r="I336" i="4"/>
  <c r="I308" i="4"/>
  <c r="C38" i="6" l="1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l="1"/>
  <c r="E26" i="6" s="1"/>
  <c r="G25" i="4"/>
  <c r="I25" i="4" s="1"/>
  <c r="I212" i="4"/>
  <c r="E28" i="6" l="1"/>
  <c r="D39" i="6"/>
  <c r="E38" i="6" s="1"/>
  <c r="E25" i="6"/>
  <c r="E31" i="6"/>
  <c r="E33" i="6"/>
  <c r="E21" i="6"/>
  <c r="E27" i="6"/>
  <c r="E29" i="6"/>
  <c r="E20" i="6"/>
  <c r="E32" i="6"/>
  <c r="E30" i="6"/>
  <c r="E18" i="6"/>
  <c r="E23" i="6"/>
  <c r="E22" i="6"/>
  <c r="E19" i="6"/>
  <c r="E24" i="6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6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30" i="4"/>
  <c r="J477" i="4"/>
  <c r="J271" i="4"/>
  <c r="J417" i="4"/>
  <c r="J178" i="4"/>
  <c r="J475" i="4"/>
  <c r="J470" i="4"/>
  <c r="J143" i="4"/>
  <c r="J87" i="4"/>
  <c r="J415" i="4"/>
  <c r="J323" i="4"/>
  <c r="E16" i="6" l="1"/>
  <c r="E34" i="6"/>
  <c r="J25" i="4"/>
  <c r="C40" i="6"/>
  <c r="E12" i="6"/>
  <c r="B40" i="6"/>
  <c r="E39" i="6" l="1"/>
  <c r="D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tc={83937EEF-014E-4ADD-8DB1-68A82781D008}</author>
  </authors>
  <commentList>
    <comment ref="J8" authorId="0" shapeId="0" xr:uid="{50431162-0963-4D7C-BD85-4739871D9E9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proceso. Publicado. Desierto. 
Adjudicado y Celebrado. Cancelado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Libanesa Feliz</author>
  </authors>
  <commentList>
    <comment ref="C9" authorId="0" shapeId="0" xr:uid="{F02A3F13-5CB2-4334-B940-B24E69A9401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 xr:uid="{01656516-5F52-4403-A40D-32FBB3EF09F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 xr:uid="{5E1257A1-C183-409F-A47E-F95080501DE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 xr:uid="{3A124828-E3C1-48E2-B034-64B565AF347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 xr:uid="{DE98A363-A96F-48B9-BA1F-61E327573941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 xr:uid="{14A68CD1-1612-4DBE-97E1-D782418730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 xr:uid="{697DF205-6BEF-451D-989C-1D502CD142B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 xr:uid="{E6C912A1-0423-4AB1-AA57-6A81483F8C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 xr:uid="{D702904F-F89B-49BC-B54C-51C03B0BD14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 xr:uid="{739402DC-BE1B-4AFB-84A3-B8E52623B97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 xr:uid="{0416BA56-BF24-4CE9-9987-8118172DBA2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 xr:uid="{191C2BF0-6F4E-42AF-AFA3-D31B952769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 xr:uid="{9939DAA4-2682-476E-AAB4-F34EDC26D45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 xr:uid="{58B019FC-1EF3-4F8B-B3BF-6A3411FF4BF9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 xr:uid="{D5917503-9C5F-4874-B27D-527049B03605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 xr:uid="{EE424643-7E9C-40CA-B73F-43CE495A204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 xr:uid="{FA838393-43B2-47FA-8646-70F6E6EC30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 xr:uid="{EC689D68-BADD-49C5-B934-CF8198B57D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 xr:uid="{6E679887-9AE6-4929-ABCD-4BDDAA57B04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 xr:uid="{AD41F104-C8A0-49EB-9CA7-B16DF7D7E7E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 xr:uid="{C0F63B75-6AD3-420D-9752-AF66ACC8D4B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 xr:uid="{85F590EA-3C8B-4614-9153-2E379079808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 xr:uid="{CA515D77-CC34-4EC2-9A48-932D9D85EB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 xr:uid="{83207460-FC8C-41DC-811B-3155F149DA86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<sst xmlns="http://schemas.openxmlformats.org/spreadsheetml/2006/main" count="2468" uniqueCount="1318">
  <si>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</si>
  <si>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</si>
  <si>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</si>
  <si>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</si>
  <si>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</si>
  <si>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</si>
  <si>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</si>
  <si>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</si>
  <si>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</si>
  <si>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</si>
  <si>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</si>
  <si>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</si>
  <si>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</si>
  <si>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</si>
  <si>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</si>
  <si>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</si>
  <si>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</si>
  <si>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</si>
  <si>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</si>
  <si>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</si>
  <si>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</si>
  <si>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</si>
  <si>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</si>
  <si>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</si>
  <si>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</si>
  <si>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</si>
  <si>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</si>
  <si>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</si>
  <si>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</si>
  <si>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</si>
  <si>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</si>
  <si>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</si>
  <si>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</si>
  <si>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</si>
  <si>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</si>
  <si>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</si>
  <si>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</si>
  <si>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</si>
  <si>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</si>
  <si>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</si>
  <si>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</si>
  <si>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</si>
  <si>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</si>
  <si>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</si>
  <si>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</si>
  <si>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</si>
  <si>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</si>
  <si>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</si>
  <si>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</si>
  <si>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</si>
  <si>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</si>
  <si>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</si>
  <si>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</si>
  <si>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</si>
  <si>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</si>
  <si>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</si>
  <si>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</si>
  <si>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</si>
  <si>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</si>
  <si>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</si>
  <si>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</si>
  <si>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</si>
  <si>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</si>
  <si>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</si>
  <si>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</si>
  <si>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</si>
  <si>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</si>
  <si>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</si>
  <si>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</si>
  <si>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</si>
  <si>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</si>
  <si>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</si>
  <si>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</si>
  <si>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</si>
  <si>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</si>
  <si>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</si>
  <si>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</si>
  <si>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</si>
  <si>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</si>
  <si>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</si>
  <si>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</si>
  <si>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</si>
  <si>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</si>
  <si>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</si>
  <si>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</si>
  <si>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</si>
  <si>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</si>
  <si>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</si>
  <si>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</si>
  <si>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</si>
  <si>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</si>
  <si>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</si>
  <si>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</si>
  <si>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</si>
  <si>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</si>
  <si>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</si>
  <si>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</si>
  <si>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</si>
  <si>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</si>
  <si>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</si>
  <si>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</si>
  <si>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</si>
  <si>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</si>
  <si>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</si>
  <si>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</si>
  <si>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</si>
  <si>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</si>
  <si>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</si>
  <si>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</si>
  <si>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</si>
  <si>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</si>
  <si>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</si>
  <si>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</si>
  <si>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</si>
  <si>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</si>
  <si>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</si>
  <si>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</si>
  <si>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</si>
  <si>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</si>
  <si>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</si>
  <si>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</si>
  <si>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</si>
  <si>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</si>
  <si>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</si>
  <si>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</si>
  <si>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</si>
  <si>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</si>
  <si>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</si>
  <si>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</si>
  <si>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</si>
  <si>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</si>
  <si>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</si>
  <si>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</si>
  <si>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</si>
  <si>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</si>
  <si>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</si>
  <si>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</si>
  <si>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</si>
  <si>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</si>
  <si>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</si>
  <si>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</si>
  <si>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</si>
  <si>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</si>
  <si>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</si>
  <si>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</si>
  <si>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</si>
  <si>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</si>
  <si>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</si>
  <si>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</si>
  <si>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</si>
  <si>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</si>
  <si>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</si>
  <si>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</si>
  <si>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</si>
  <si>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</si>
  <si>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</si>
  <si>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</si>
  <si>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</si>
  <si>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</si>
  <si>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</si>
  <si>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</si>
  <si>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</si>
  <si>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</si>
  <si>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</si>
  <si>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</si>
  <si>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</si>
  <si>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</si>
  <si>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</si>
  <si>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</si>
  <si>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</si>
  <si>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</si>
  <si>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</si>
  <si>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</si>
  <si>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</si>
  <si>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</si>
  <si>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</si>
  <si>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</si>
  <si>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</si>
  <si>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</si>
  <si>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</si>
  <si>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</si>
  <si>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</si>
  <si>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</si>
  <si>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</si>
  <si>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</si>
  <si>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</si>
  <si>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</si>
  <si>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</si>
  <si>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</si>
  <si>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</si>
  <si>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</si>
  <si>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</si>
  <si>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</si>
  <si>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</si>
  <si>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</si>
  <si>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</si>
  <si>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</si>
  <si>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</si>
  <si>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</si>
  <si>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</si>
  <si>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</si>
  <si>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</si>
  <si>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</si>
  <si>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</si>
  <si>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</si>
  <si>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</si>
  <si>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</si>
  <si>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</si>
  <si>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</si>
  <si>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</si>
  <si>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</si>
  <si>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</si>
  <si>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</si>
  <si>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</si>
  <si>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</si>
  <si>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</si>
  <si>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</si>
  <si>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</si>
  <si>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</si>
  <si>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</si>
  <si>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</si>
  <si>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</si>
  <si>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</si>
  <si>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</si>
  <si>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</si>
  <si>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</si>
  <si>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</si>
  <si>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</si>
  <si>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</si>
  <si>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</si>
  <si>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</si>
  <si>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</si>
  <si>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</si>
  <si>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</si>
  <si>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</si>
  <si>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</si>
  <si>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</si>
  <si>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</si>
  <si>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</si>
  <si>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</si>
  <si>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</si>
  <si>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</si>
  <si>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</si>
  <si>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</si>
  <si>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</si>
  <si>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</si>
  <si>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</si>
  <si>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</si>
  <si>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</si>
  <si>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</si>
  <si>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</si>
  <si>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</si>
  <si>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</si>
  <si>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</si>
  <si>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</si>
  <si>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</si>
  <si>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</si>
  <si>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</si>
  <si>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</si>
  <si>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</si>
  <si>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</si>
  <si>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</si>
  <si>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</si>
  <si>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</si>
  <si>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</si>
  <si>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</si>
  <si>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</si>
  <si>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</si>
  <si>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</si>
  <si>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</si>
  <si>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</si>
  <si>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</si>
  <si>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</si>
  <si>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</si>
  <si>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</si>
  <si>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</si>
  <si>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</si>
  <si>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</si>
  <si>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</si>
  <si>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</si>
  <si>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</si>
  <si>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</si>
  <si>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</si>
  <si>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</si>
  <si>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</si>
  <si>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</si>
  <si>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</si>
  <si>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</si>
  <si>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</si>
  <si>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</si>
  <si>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</si>
  <si>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</si>
  <si>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</si>
  <si>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</si>
  <si>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</si>
  <si>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</si>
  <si>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</si>
  <si>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</si>
  <si>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</si>
  <si>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</si>
  <si>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</si>
  <si>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</si>
  <si>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</si>
  <si>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</si>
  <si>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</si>
  <si>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</si>
  <si>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</si>
  <si>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</si>
  <si>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</si>
  <si>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</si>
  <si>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</si>
  <si>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</si>
  <si>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</si>
  <si>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</si>
  <si>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</si>
  <si>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</si>
  <si>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</si>
  <si>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</si>
  <si>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</si>
  <si>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</si>
  <si>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</si>
  <si>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</si>
  <si>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</si>
  <si>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</si>
  <si>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</si>
  <si>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</si>
  <si>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</si>
  <si>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</si>
  <si>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</si>
  <si>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</si>
  <si>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</si>
  <si>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</si>
  <si>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</si>
  <si>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</si>
  <si>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</si>
  <si>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</si>
  <si>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</si>
  <si>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</si>
  <si>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</si>
  <si>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</si>
  <si>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</si>
  <si>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</si>
  <si>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</si>
  <si>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</si>
  <si>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</si>
  <si>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</si>
  <si>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</si>
  <si>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</si>
  <si>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</si>
  <si>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</si>
  <si>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</si>
  <si>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</si>
  <si>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</si>
  <si>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</si>
  <si>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</si>
  <si>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</si>
  <si>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</si>
  <si>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</si>
  <si>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</si>
  <si>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</si>
  <si>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</si>
  <si>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</si>
  <si>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</si>
  <si>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</si>
  <si>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</si>
  <si>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</si>
  <si>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</si>
  <si>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</si>
  <si>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</si>
  <si>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</si>
  <si>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</si>
  <si>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</si>
  <si>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</si>
  <si>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</si>
  <si>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</si>
  <si>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</si>
  <si>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</si>
  <si>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</si>
  <si>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</si>
  <si>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</si>
  <si>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</si>
  <si>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</si>
  <si>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</si>
  <si>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</si>
  <si>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</si>
  <si>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</si>
  <si>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</si>
  <si>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</si>
  <si>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</si>
  <si>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</si>
  <si>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</si>
  <si>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</si>
  <si>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</si>
  <si>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</si>
  <si>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</si>
  <si>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</si>
  <si>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</si>
  <si>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</si>
  <si>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</si>
  <si>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</si>
  <si>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</si>
  <si>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</si>
  <si>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</si>
  <si>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</si>
  <si>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</si>
  <si>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</si>
  <si>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</si>
  <si>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</si>
  <si>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</si>
  <si>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</si>
  <si>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</si>
  <si>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</si>
  <si>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</si>
  <si>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</si>
  <si>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</si>
  <si>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</si>
  <si>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</si>
  <si>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</si>
  <si>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</si>
  <si>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</si>
  <si>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</si>
  <si>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</si>
  <si>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</si>
  <si>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</si>
  <si>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</si>
  <si>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</si>
  <si>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>RELACION DE PAGOS EMITIDOS DURANTE EL MES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</si>
  <si>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</si>
  <si>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</si>
  <si>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</si>
  <si>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</si>
  <si>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</si>
  <si>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</si>
  <si>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</si>
  <si>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ADMINISTRADOR:</t>
  </si>
  <si>
    <t>__________________________</t>
  </si>
  <si>
    <t>DIRECTOR</t>
  </si>
  <si>
    <t>ENC. DE COMPRAS:__________________________</t>
  </si>
  <si>
    <t>CERTIFICO CORRECTO:</t>
  </si>
  <si>
    <t xml:space="preserve">TOTAL COMPRAS       </t>
  </si>
  <si>
    <t>TOTAL RESUMEN</t>
  </si>
  <si>
    <t>Comparacion de precio</t>
  </si>
  <si>
    <t>Compra Menor</t>
  </si>
  <si>
    <t>Compra Directa</t>
  </si>
  <si>
    <t>MONTO</t>
  </si>
  <si>
    <t>CANTIDAD</t>
  </si>
  <si>
    <t>TIPO</t>
  </si>
  <si>
    <t xml:space="preserve">CUENTAS No. </t>
  </si>
  <si>
    <t>RESUMEN DE PROCESO SEGÚN MODALIDAD:</t>
  </si>
  <si>
    <t>RESUMEN DE COMPRAS o SERVICIOS POR CUENTAS:</t>
  </si>
  <si>
    <t>Sub-Total Compras RD$</t>
  </si>
  <si>
    <t>Valor</t>
  </si>
  <si>
    <t>No. Cta. Objetal del Gasto</t>
  </si>
  <si>
    <t>Rubro</t>
  </si>
  <si>
    <t>Beneficiario</t>
  </si>
  <si>
    <t>Fuente. Financ      (FR-VS)</t>
  </si>
  <si>
    <t>No. De Factura Fiscal NCF</t>
  </si>
  <si>
    <t>Fecha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</si>
  <si>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</si>
  <si>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</si>
  <si>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</si>
  <si>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</si>
  <si>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</si>
  <si>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</si>
  <si>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</si>
  <si>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</si>
  <si>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</si>
  <si>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</si>
  <si>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</si>
  <si>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</si>
  <si>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</si>
  <si>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</si>
  <si>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</si>
  <si>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</si>
  <si>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</si>
  <si>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</si>
  <si>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</si>
  <si>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</si>
  <si>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</si>
  <si>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</si>
  <si>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</si>
  <si>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</si>
  <si>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</si>
  <si>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</si>
  <si>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</si>
  <si>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</si>
  <si>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</si>
  <si>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</si>
  <si>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</si>
  <si>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</si>
  <si>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</si>
  <si>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</si>
  <si>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</si>
  <si>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</si>
  <si>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</si>
  <si>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</si>
  <si>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</si>
  <si>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</si>
  <si>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</si>
  <si>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</si>
  <si>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</si>
  <si>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</si>
  <si>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</si>
  <si>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</si>
  <si>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</si>
  <si>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</si>
  <si>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</si>
  <si>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</si>
  <si>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</si>
  <si>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</si>
  <si>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</si>
  <si>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</si>
  <si>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</si>
  <si>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</si>
  <si>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</si>
  <si>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</si>
  <si>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</si>
  <si>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</si>
  <si>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</si>
  <si>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</si>
  <si>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</si>
  <si>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</si>
  <si>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</si>
  <si>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</si>
  <si>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</si>
  <si>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</si>
  <si>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</si>
  <si>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</si>
  <si>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</si>
  <si>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</si>
  <si>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</si>
  <si>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</si>
  <si>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</si>
  <si>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</si>
  <si>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</si>
  <si>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</si>
  <si>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</si>
  <si>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</si>
  <si>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</si>
  <si>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</si>
  <si>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</si>
  <si>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</si>
  <si>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</si>
  <si>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</si>
  <si>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</si>
  <si>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</si>
  <si>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</si>
  <si>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</si>
  <si>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</si>
  <si>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</si>
  <si>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</si>
  <si>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</si>
  <si>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>NOMBRE DEL ESTABLECIMIENTO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</si>
  <si>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</si>
  <si>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</si>
  <si>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</si>
  <si>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</si>
  <si>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</si>
  <si>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</si>
  <si>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</si>
  <si>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</si>
  <si>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</si>
  <si>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</si>
  <si>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</si>
  <si>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</si>
  <si>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</si>
  <si>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</si>
  <si>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</si>
  <si>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</si>
  <si>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</si>
  <si>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</si>
  <si>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</si>
  <si>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</si>
  <si>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</si>
  <si>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</si>
  <si>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</si>
  <si>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</si>
  <si>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</si>
  <si>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</si>
  <si>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</si>
  <si>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</si>
  <si>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</si>
  <si>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</si>
  <si>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</si>
  <si>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</si>
  <si>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                                                                                        ___________________________________________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</si>
  <si>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</si>
  <si>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</si>
  <si>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</si>
  <si>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origen</t>
  </si>
  <si>
    <t>ARS</t>
  </si>
  <si>
    <t xml:space="preserve">Fecha deposito </t>
  </si>
  <si>
    <t xml:space="preserve">No. De Documento de referencia </t>
  </si>
  <si>
    <t xml:space="preserve">valor de Transferencia o Cheque </t>
  </si>
  <si>
    <t>INGRESOS</t>
  </si>
  <si>
    <t xml:space="preserve">Sub-Total </t>
  </si>
  <si>
    <t xml:space="preserve">Venta de Servicio </t>
  </si>
  <si>
    <t>SUBSIDIADO</t>
  </si>
  <si>
    <t>CONTRIBUTIDO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</si>
  <si>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</si>
  <si>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</si>
  <si>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</si>
  <si>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</si>
  <si>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</si>
  <si>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</si>
  <si>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</si>
  <si>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</si>
  <si>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Cafetería </t>
  </si>
  <si>
    <t>Alquiler de espacios internos a terceros</t>
  </si>
  <si>
    <t>Aportes provenientes de convenios Institucionales</t>
  </si>
  <si>
    <t>INGRESOS POR SERVICIOS PACIENTES PRIVADOS Y DIFERENCIAS POR SEGUROS MEDICOS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</si>
  <si>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</si>
  <si>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</si>
  <si>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</si>
  <si>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</si>
  <si>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</si>
  <si>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</si>
  <si>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</si>
  <si>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</si>
  <si>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</si>
  <si>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</si>
  <si>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</si>
  <si>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</si>
  <si>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</si>
  <si>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</si>
  <si>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</si>
  <si>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</si>
  <si>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</si>
  <si>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</si>
  <si>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</si>
  <si>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</si>
  <si>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</si>
  <si>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</si>
  <si>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</si>
  <si>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</si>
  <si>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</si>
  <si>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</si>
  <si>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</si>
  <si>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</si>
  <si>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</si>
  <si>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</si>
  <si>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</si>
  <si>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</si>
  <si>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</si>
  <si>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</si>
  <si>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</si>
  <si>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</si>
  <si>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</si>
  <si>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</si>
  <si>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</si>
  <si>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</si>
  <si>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</si>
  <si>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</si>
  <si>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</si>
  <si>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</si>
  <si>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</si>
  <si>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</si>
  <si>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</si>
  <si>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 xml:space="preserve">RELACION DEUDA </t>
  </si>
  <si>
    <t>NO</t>
  </si>
  <si>
    <t xml:space="preserve">NOMBRES PROVEEDOR  </t>
  </si>
  <si>
    <t>CONCEPTO DE COMPRA</t>
  </si>
  <si>
    <t>FUENTE DE FINANCIAMIENTO</t>
  </si>
  <si>
    <t>AL 31 DICIEMBRE 2021</t>
  </si>
  <si>
    <t>AL 31 DICIEMBRE 2022</t>
  </si>
  <si>
    <t>TOTAL ADEUDA</t>
  </si>
  <si>
    <t>DIRECCION DE FISCALIZACION</t>
  </si>
  <si>
    <t xml:space="preserve">SENASA(POR ATENCION ODONTOGICA) </t>
  </si>
  <si>
    <t>INGR. POR FACT DE SERV. DE INSTITUCIONES</t>
  </si>
  <si>
    <t>FONDO 100</t>
  </si>
  <si>
    <t>CONSOLIDADO GASTOS EJECUCION FINANCIERA 2025</t>
  </si>
  <si>
    <t>Ejecución de Gastos  Fondo (100) 2025</t>
  </si>
  <si>
    <t>FONDO 100(2.1)</t>
  </si>
  <si>
    <t>Años anteriores 2020</t>
  </si>
  <si>
    <t>AL 31 DICIEMBRE 2023</t>
  </si>
  <si>
    <t>Al 31 DICIEMBRE 2024</t>
  </si>
  <si>
    <t>Enero</t>
  </si>
  <si>
    <t>Febrero</t>
  </si>
  <si>
    <t>Octubre</t>
  </si>
  <si>
    <t>Odontologia (facturacion servicios no contemplado en Plan Basico)</t>
  </si>
  <si>
    <t>________________________________</t>
  </si>
  <si>
    <t>___________________________________</t>
  </si>
  <si>
    <t>____________________________________</t>
  </si>
  <si>
    <t>Balance Conciliado</t>
  </si>
  <si>
    <t>Balance en Banco</t>
  </si>
  <si>
    <t>Balance en libro</t>
  </si>
  <si>
    <t>Cuenta Núm.</t>
  </si>
  <si>
    <t>SEPTIEMBRE 2025</t>
  </si>
  <si>
    <t>HOSPITAL MATERNO INFANTIL SAN LORENZO DE LOS MINA</t>
  </si>
  <si>
    <t>ESTABLECIMIENTO: HOSPITAL MATERNO INFANTIL SAN LORENZO DE LOS MINA</t>
  </si>
  <si>
    <t>PAGOS CORRESPONDIENTES AL MES : SEPTIEMBRE 2025</t>
  </si>
  <si>
    <t>LORA &amp; ALMONTE REPARACIONES, SRL</t>
  </si>
  <si>
    <t>PAGO DE FACT NCF NO. B1500000209 POR ADQUISICION DE TANQUE DE AGUA DE 120 GL, PARA SER UTILIZADOS EN EL CUARTO DE BOMBA ESTE HOSPITAL, SEGÚN ORDEN DE COMPRA HSLM-2025-00862</t>
  </si>
  <si>
    <t>CABOD, SRL</t>
  </si>
  <si>
    <t>PAGO DE FACTS NCFS NOS, B1500001833 y B1500001837,  POR ADQUISICION DE DETERGENTE PARA LAVANDERIA, SEGÚN ORDEN DE COMPRA HSLM-2025-00615 (SALDO DE LA ORDEN)</t>
  </si>
  <si>
    <t>PRODUCTOS CANO SRL</t>
  </si>
  <si>
    <t>PAGO NCF B1500001400, POR ADQUISICION DE PAN SEGÚN O/C HSLM-2025-00118.</t>
  </si>
  <si>
    <t>BIO-WIN</t>
  </si>
  <si>
    <t>PAGO DE FACT NCF NO. B1500002583, B1500002591, POR ADQUISICION DE SANGRE DE CARNERO, SEGÚN ORDEN DE COMPRA HSLM-2025-00669</t>
  </si>
  <si>
    <t>PLANETA AZUL</t>
  </si>
  <si>
    <t>PAGO DE FACT NCF E4500000014324, POR ADQUISICION DE BOTELLAS DE AGUA 16.9 ONZ,, SEGÚN ORDEN DE COMPRA 2025-00649</t>
  </si>
  <si>
    <t>PLANETA AZUL, SA</t>
  </si>
  <si>
    <t>PAGO DE FACT NCF E4500000017083,  E4500000017078 Y E4500000017088 POR ADQUISICION DE BOTELLONES DE AGUA, SEGÚN ORDEN DE COMPRA 2025-00587</t>
  </si>
  <si>
    <t>PAGO DE FACT NCF E4500000009906, POR ADQUISICION DE BOTELLITAS DE AGUA DE 16.9 OZ,  SEGÚN ORDEN DE COMPRA 2025-00323</t>
  </si>
  <si>
    <t>AIR LIQUIDE DOMINICANA, SAS</t>
  </si>
  <si>
    <t>PAGO DE FACT NCF E4500000003124, POR ADQUISICION DE SERVICIOS DE INSTALACION Y MANTENIMIENTO DE LA RED DE OXIGENO DEL HOSPITAL, SEGÚN ORDEN DE COMPRA HSLM-2025-00860</t>
  </si>
  <si>
    <t xml:space="preserve">JESUS FERMIN MARTINEZ  </t>
  </si>
  <si>
    <t>PAGO DE FACT NCF NO B1500000459, POR SERVICIO DE TRANSPORTE, SEGÚN ORDEN DE COMPRA HSLM-2025-00709</t>
  </si>
  <si>
    <t>AYUNTAMIENTO SANTO DOMINGO ESTE</t>
  </si>
  <si>
    <t>PAGO NCF NO B1500056270, POR SERVICIO DE RECOGIDA DE DESECHOS SOLIDOS EN EL MES DE AGOSTO 2025</t>
  </si>
  <si>
    <t>ALTICE DOMINICANA S,A</t>
  </si>
  <si>
    <t>PAGO NCF E450000017823, POR SERVICIO DE COMUNICACIÓN PERIODO FACTURADO 01/09/2025 CUENTA 12843802</t>
  </si>
  <si>
    <t>Lilian Yomayra Encarnación de Matos</t>
  </si>
  <si>
    <t>pago de regencia y renovación del  permiso de drogas y farmacia del hospital, perteneciente al mes de agosto 2025</t>
  </si>
  <si>
    <t>SIGNOS FRAMEWORK, SRL</t>
  </si>
  <si>
    <t>PAGO DE FACT NCF NO. B1500000025, POR ADQUISICION DE EQUIPOS PARA SISTEMA DE TURNOS, SEGÚN ORDEN DE COMPRA HSLM-2025-00568</t>
  </si>
  <si>
    <t>SOLUCIONES GARRIDO CEDANO, SRL</t>
  </si>
  <si>
    <t>PAGO DE FACT NCF NO. B1500000001, POR ADQUISICION DE ALIMENTOS Y PRODUCTOS PARA DESPENSA, SEGÚN ORDEN DE COMPRA HSLM-2025-00780</t>
  </si>
  <si>
    <t>SANDRY GOMEZ RODRIGUEZ</t>
  </si>
  <si>
    <t>PAGO DE FACT NCF NO. B1500000569, POR ADQUISICION DE ALIMENTOS, SEGÚN ORDEN DE COMPRA HSLM-2025-00762</t>
  </si>
  <si>
    <t>SERMETIC, SRL</t>
  </si>
  <si>
    <t>PAGO DE FACT NCF NO. B1500000056, POR SERVICIO DE MANTENIMIENTO DE TUBERIA DE GAS DEL AREA DE LA COCINA, SEGÚN ORDEN DE LA COMPRA HSLM-2025-00897</t>
  </si>
  <si>
    <t>INVERSIONES FH, SRL</t>
  </si>
  <si>
    <t>PAGO NCF B1500001543 ADQUISICION DE TICKETS DE COMBUSTIBLE SEGÚN O/C HSLM-2025-00912</t>
  </si>
  <si>
    <t>FARMACO QUIMICA NACIONAL, SA</t>
  </si>
  <si>
    <t>ADQUISICION DE VALVULA HIDROCEFALICA, SEGÚN ORDEN DE COMPRA HSLM-2025-00943</t>
  </si>
  <si>
    <t>TROPIGAS DOMINICANA, SRL</t>
  </si>
  <si>
    <t>PAGO DE FACT NCF NO. E450000005486, POR ADQUISICION DE GAS LICUADO DE PETROLEO SEGÚN ORDEN DE COMPRA HSLM-2025-00730</t>
  </si>
  <si>
    <t>CENTRO DE LA SANGRE Y ESPECIALIDADES Y ESPECIALIDADES SRL</t>
  </si>
  <si>
    <t>PAGO NCF B1500000413, SERVICIO DE SANGRE PARA PACIENTES INTERNOS SEGÚN O/C HSLM-2025-00428.</t>
  </si>
  <si>
    <t>PAGO NCF NO B1500056466, POR SERVICIO DE RECOGIDA DE DESECHOS SOLIDOS EN EL MES DE SEPTIEMBRE 2025</t>
  </si>
  <si>
    <t>LABORATORIO CLINICO LCDA PATRIA M RIVAS SRL</t>
  </si>
  <si>
    <t>PAGO NCF NO E4500000000115 Y E4500000000098, POR SERVICIO DE ESTUDIOS ESPECIALIZADOS SEGÚN ORDEN DE COMPRA HSLM-2025-00312</t>
  </si>
  <si>
    <t>CENTRO DE ESTUDIOS MEDICOS Y DIAGNOSTICOS POR IMÁGENES, SRL</t>
  </si>
  <si>
    <t>PAGO DE FACT NCF B1500000407, POR SERVICIOS DE ESTUDIOS ESPECIALIZADOS A PACIENTES INTERNOS SEGÚN O/C HSLM-2025-00311</t>
  </si>
  <si>
    <t>WILSON HUMBERTO CIRINEO DE LA CRUZ</t>
  </si>
  <si>
    <t>PAGO DE FACT NCF B1500000002, POR INSTALACION DE CUBICULO Y DIVISION DE OFICINA, SEGÚN ORDEN DE COMPRA HSLM-2025-00839</t>
  </si>
  <si>
    <t>OFITOP, SRL</t>
  </si>
  <si>
    <t>PAGO DE FACT NCF NO. B1500000013, POR ADQUISICION DE LETRERO TIPO SEÑALIZACION EN ACRILICO ROTULADO EN VINYL, SEGÚN ORDEN DE COMPRA HSLM-2025-00767</t>
  </si>
  <si>
    <t>CARLOS RAFAEL DE PAULA ROSSO</t>
  </si>
  <si>
    <t>PAGO DE FACT NCF NO. B1500000070, POR ADQUISICION DE REPARACION DE AIRE ACONDICIONADO, SEGÚN ORDEN DE COMPRA HSLM-2025-00915</t>
  </si>
  <si>
    <t>PAGO DE FACT NCF NO. B1500000012, POR ADQUISICION DE NEVERA EJECUTIVA Y MOBILIARIO, SEGÚN ORDEN DE COMPRA HSLM-2025-00879</t>
  </si>
  <si>
    <t>PRODUCTOS TECNOLOGICOS E INDUSTRIALES JARDIN DEL EDEN, E.I.R.L</t>
  </si>
  <si>
    <t>PAGO DE FACT NCF NO. B1500000090, POR ADQUISICION DE DETERGENTE PARA LA LAVANDERIA, SEGÚN ORDEN DE COMPRA HSLM-2025-00918</t>
  </si>
  <si>
    <t>PAGO DE FACT NCF NO. B1500000011, POR ADQUISICION DE LAMINADOS EN VINIL ADHESIVO, SEGÚN ORDEN DE COMPRA HSLM-2025-00816</t>
  </si>
  <si>
    <t>JESUS FERMIN MARTINEZ</t>
  </si>
  <si>
    <t>PAGO DE FACT NCF NO B1500000464, POR SERVICIO DE TRANSPORTE, SEGÚN ORDEN DE COMPRA HSLM-2025-00709</t>
  </si>
  <si>
    <t xml:space="preserve">NEGOCIOS SUHEIDY RODRIGUEZ, SRL </t>
  </si>
  <si>
    <t>PAGO DE FACT NCF NO B1500000167, POR ADQUISICION DE CAJAS PLASTICAS HERMETICAS, PARA USO DE LAS AREAS DE CONTABILIDAD, FACTURACION, ALMACEN, COSTURA Y ARCHIVO, SEGÚN ORDEN DE COMPRA HSLM-2025-00975.</t>
  </si>
  <si>
    <t>Insocorp, SRL</t>
  </si>
  <si>
    <t>Corporacion Medica A.G., SRL</t>
  </si>
  <si>
    <t>Tu Amigo, SRL</t>
  </si>
  <si>
    <t>Ofitop, S.R.L</t>
  </si>
  <si>
    <t>Abrias Novo Group SRL</t>
  </si>
  <si>
    <t>Lambda Diagnósticos, SRL</t>
  </si>
  <si>
    <t>Copem Hospiclinic, SRL</t>
  </si>
  <si>
    <t>Farmaco Internacional, SRL</t>
  </si>
  <si>
    <t>Empresa Rotricomercial, SRL</t>
  </si>
  <si>
    <t>Ropharma, SRL</t>
  </si>
  <si>
    <t>Dumas Pharmaceuticals, S.R.L.</t>
  </si>
  <si>
    <t>Khris Aus Pharmacy, S.R.L</t>
  </si>
  <si>
    <t>Gerenfar, S.R.L.</t>
  </si>
  <si>
    <t>CORPORACION DEL ACUEDUCTO Y ALCANTARILLADO DE SANTO DOMINGO</t>
  </si>
  <si>
    <t>HOSPITAL MATERNO INFANTIL SAN LORENZO DE LOS MINAS</t>
  </si>
  <si>
    <t>Diucam Group SRL</t>
  </si>
  <si>
    <t>Sean Dominican, SRL</t>
  </si>
  <si>
    <t>BIO NOVA, SRL</t>
  </si>
  <si>
    <t>Servicio de Biomedicina Médico SERBIOMED, SRL</t>
  </si>
  <si>
    <t>BAUCOMER, SRL</t>
  </si>
  <si>
    <t>G &amp; M Gelmat Comercial, SRL</t>
  </si>
  <si>
    <t>PAPELERIA E IMPRESOS CRISHOAN, SRL</t>
  </si>
  <si>
    <t>RC TECHNOLOGY, SRL</t>
  </si>
  <si>
    <t>Gapiezo SRL</t>
  </si>
  <si>
    <t>DISTRIBUIDORA BRITO CONTRERAS, SRL</t>
  </si>
  <si>
    <t>Súper Laptop Browsing, SRL</t>
  </si>
  <si>
    <t>Smart Supply Medical Dominicana (SMARTMEDOM),  SRL</t>
  </si>
  <si>
    <t>Soluciones Garrido Cedano, SRL</t>
  </si>
  <si>
    <t>Osiris &amp; Co, SA</t>
  </si>
  <si>
    <t>Nifarmed, SRL</t>
  </si>
  <si>
    <t>Medequip, SRL</t>
  </si>
  <si>
    <t>L &amp; C Supply Products, SRL</t>
  </si>
  <si>
    <t>Ciencia Tecnología y Consultas, SRL</t>
  </si>
  <si>
    <t>Signos Framework, SRL</t>
  </si>
  <si>
    <t>Soluciones de Servicios y Técnicas Altadis, SRL</t>
  </si>
  <si>
    <t>Magnetique, SRL</t>
  </si>
  <si>
    <t>CEM Caribbean Equipment Medical, SRL</t>
  </si>
  <si>
    <t>Oficclin Comercial, SRL</t>
  </si>
  <si>
    <t>Suplimed, SRL</t>
  </si>
  <si>
    <t>PAGO DE FACT NCF B1500000231 POR ADQUISICION DE ASPIRADORES DE SECRECIONES ELECTRICAS SEGUN O/C HSLM- 2025-00724.</t>
  </si>
  <si>
    <t>PAGO DE FACT NCF B1500000226 POR ADQUISICION DE LENTE DE LAPAROSCOPIA SEGUN O/C HSLM-2025-00857.</t>
  </si>
  <si>
    <t>PAGO DE FACT NCF B1500000128 POR ADQUISICION DE PAPEL GRADO MEDICO SEGUN O/C HSLM-2025-00858.</t>
  </si>
  <si>
    <t>PAGO DE FACT NCF B1500000312 POR ADQUISICION DE GASOIL REGULAR SEGUN O/C HSLM-2025-00842.</t>
  </si>
  <si>
    <t>PAGO DE FACT NCF B1500000007 POR ADQUISICION DE SILLA CAJERO, SILLON SEMI EJECUTIVO Y SILLA DE VISITA SEGUN O/C HSLM-2025-00795.</t>
  </si>
  <si>
    <t>PAGO DE FACT NCF B1500000008 POR ADQUISICION DE SILLA CAJERO SEGUN O/C HSLM-2025-00798.</t>
  </si>
  <si>
    <t>PAGO DE FACT NCF B1500000157 POR ADQUISICION DE COCTEL SIN ALCOHOL PARA 500 PERSONAS SEGUN O/C HSLM-2025-00821.</t>
  </si>
  <si>
    <t>PAGO DE FACT NCF B1500002206 POR ADQUISICION DE REACTIVOS Y UTILES MEDICOS SEGUN O/C HSLM-2024-01177.</t>
  </si>
  <si>
    <t>PAGO DE FACT NCF B1500003181 POR ADQUISICION DE MEDICAMENTOS SEGUN O/C HSLM-2024-00997.</t>
  </si>
  <si>
    <t>PAGO DE FACT NCF E450000000074 POR ADQUISICION DE UTILES MEDICOS SEGUN O/C HSLM-2025-00828.</t>
  </si>
  <si>
    <t>PAGO DE FACT NCF B1500000391 POR ADQUISICION DE MEDICAMENTOS SEGUN O/C HSLM-2025-00829.</t>
  </si>
  <si>
    <t>PAGO DE FACT NCF B1500001427 POR ADQUISICION DE MEDICAMENTOS SEGUN O/C HSLM-2025-00826.</t>
  </si>
  <si>
    <t>PAGO DE FACT NCF NO. B1500000125, POR ADQUISICION DE VASO HUMIFICADORES DE OXIGENO, SEGUN ORDEN DE COMPRA HSLM-2025-00830</t>
  </si>
  <si>
    <t>PAGO DE FACT NCF NO. B1500001391, POR ADQUISICION DE MEDICAMENTOS, SEGUN ORDEN DE COMPRA HSLM-2025-00870</t>
  </si>
  <si>
    <t>PAGO DE FACT NCF NO B1500000568, POR ADQUISICION DE ALIMENTOS, SEGUN ORDEN DE COMPRA HSLM-2025-00756</t>
  </si>
  <si>
    <t>PAGO DE FACT NCF NO E450000000080, POR ADQUISICION DE UTIL MEDICO, SEGUN ORDEN DE COMPRA HSLM-2025-00852</t>
  </si>
  <si>
    <t>PAGO DE FACT NCF NO B1500000167, POR ADQUISICION DE UTIL MEDICO, SEGUN ORDEN DE COMPRA HSLM-2025-00871</t>
  </si>
  <si>
    <t>PAGO DE FACT NCF NO. B1500001322, POR ADQUISICION DE MEDICAMENTOS, SEGUN ORDEN DE COMPRA HSLM-2025-00835</t>
  </si>
  <si>
    <t>PAGO DE FACT NCF E450000000077 POR ADQUISICION DE MEDICAMENTOS Y UTILES MEDICOS SEGUN O/C HSLM-2025-00833.</t>
  </si>
  <si>
    <t>PAGO DE FACT NCF NO. E450000000073, POR ADQUISICION DE UTIL MEDICO, SEGUN ORDEN DE COMPRA HSLM-2025-00825</t>
  </si>
  <si>
    <t>PAGO DE FACT NCF B1500001436 POR ADQUISICION DE MEDICAMENTOS SEGUN O/C HSLM-2025-00869.</t>
  </si>
  <si>
    <t>PAGO DE FACT NCF E450000014614 POR SERVICIO DE AGUA CORRESPONDIENTE AL MES DE SEPTIEMBRE 2025.</t>
  </si>
  <si>
    <t>HOSANLORE.NOMINA SUELDO PERSONAL DE VIGILANCIA SEPTIEMBRE 2025</t>
  </si>
  <si>
    <t>HOSANLORE.NOMINA SUELDO TEMPORAL SEPTIEMBRE 2025</t>
  </si>
  <si>
    <t>PAGO DE FACT NCF B1500000029 POR ADQUISICION DE ZAFACON Y CLORO GRANULADO SEGUN O/C HSLM-2025-00859.</t>
  </si>
  <si>
    <t>PAGO FACTURA NCF B1500000127 POR ADQUISICION DE BATAS MANGAS CORTAS SEGUN O/C HSLM-2025-00837.</t>
  </si>
  <si>
    <t>PAGO FACTURA NCF E450000000157 POR ADQUISICION DE MEDICAMENTOS SEGUN O/C HSLM-2025-00876.</t>
  </si>
  <si>
    <t>PAGO FACTURA NCF B1500017798 POR REPARACION DE AUTOCLAVE SEGUN O/C HSLM-2025-00899.</t>
  </si>
  <si>
    <t>PAFO FACTURA NCF B1500000241 POR ADQUISICION DE CABLE DE EXTENSION PARA OXIMETRO Y MONITORES NEONATALES SEGUN O/C HSLM-2025-00620.</t>
  </si>
  <si>
    <t>PAGO FACTURA NCF B1500000690 POR ADQUISICION DE MEDICAMENTOS SEGUN O/C HSLM-2025-00895.</t>
  </si>
  <si>
    <t>PAGO FACTURA NCF B1500000187 POR ADQUISICION DE MEDICAMENTOS SEGUN O/C HSLM-2025-00883.</t>
  </si>
  <si>
    <t>PAGO DE FACT NCF B1500000155 POR SERVICIO DE CATERING PARA EL CURSO TALLER DE LACTANCIA MATERNA SEGUN O/C HSLM-2025-00764.</t>
  </si>
  <si>
    <t>PAGO DE FACT NCF B1500000158 POR SERVICIO DE CATERING PARA LA CELEBRACION DEL DIA DEL MEDICO SEGUN O/C HSLM-2025-00845.</t>
  </si>
  <si>
    <t>PAGO DE FACT NCF B1500001753 POR ADQUISICION DE BEBEDEROS SEGUN O/C HSLM-2025-00831.</t>
  </si>
  <si>
    <t>PAGO FACTURA NCF B1500001760 POR ADQUISICION DE ROLLOS DE PAPEL TERMICO SEGUN O/C HSLM-2025-00853.</t>
  </si>
  <si>
    <t>PAGO DE FACT NCF B1500000115 POR ADQUISICION DE MONITOR DELL SEGUN O/C HSLM-2025-00863.</t>
  </si>
  <si>
    <t>HOSANLORE.NÓMINA SUELDO FIJO SEPTIEMBRE 2025</t>
  </si>
  <si>
    <t>PAGO DE FACT NCF B1500000022 POR ADQUISICION DE PUERTAS SEGUN O/C HSLM-2025-00486.</t>
  </si>
  <si>
    <t>PAGO DE FACT NCF B1500000261 POR ADQUISICION DE NEVERA DE 225 LITROS PARA VACUNAS SEGUN O/C HSLM-2025-00847.</t>
  </si>
  <si>
    <t>PAGO DE FACT NCF B1500000027 POR ADQUISICION DE POSTE ORGANIZADOR DE FILA Y SILLA SECRETARIAL SEGUN O/C HSLM-2025-00844.</t>
  </si>
  <si>
    <t>PAGO DE FACT NCF B1500000691 POR ADQUISICION DE MEDICAMENTOS SEGUN O/C HSLM-2025-00881.</t>
  </si>
  <si>
    <t>PAGO DE FACT NCF B1500000178 POR ADQUISICION DE ESCANER FUJITSU SEGUN O/C HSLM-2025-00808.</t>
  </si>
  <si>
    <t>PAGO DE FACT NCF NO. B1500000233, POR ADQUISICION DE LENTE DE LAPAROSCOPIA, SEGUN ORDEN DE COMPRA HSLM-2025-00732</t>
  </si>
  <si>
    <t>PAGO DE FACT NCF NO. B1500000056, POR ADQUISICION DE MEDICAMENTOS, SEGUN ORDEN DE COMPRA HSLM-2025-00896</t>
  </si>
  <si>
    <t>PAGO DE FACT NCF NO. B1500000135, POR ADQUISICION DE UTIL MEDICO Y MEDICAMENTOS, SEGUN ORDEN DE COMPRA HSLM-2025-00930</t>
  </si>
  <si>
    <t>PAGO DE FACT NCF B1500000002 POR ADQUISICION DE INSUMOS DE DESPENSA SEGUN O/C HSLM-2025-00890.</t>
  </si>
  <si>
    <t>PAGO DE FACT NCF B1500000570 POR ADQUISICION DE ALIMENTOS SEGUN O/C HSLM-2025-00734</t>
  </si>
  <si>
    <t>PAGO FACTURA NCF B1500000015 POR ADQUISICION DE CORTINAS SEGUN O/C HSLM-2025-00840.</t>
  </si>
  <si>
    <t>PAGO FACTURA NCF B1500000571 POR ADQUISICION DE ALIMENTOS SEGUN O/C HSLM-2025-00737.</t>
  </si>
  <si>
    <t>PAGO FACTURA NCF E450000000030 POR ADQUISICION DE MONITORES MATERNO FETAL SEGUN O/C HSLM-2025-00889.</t>
  </si>
  <si>
    <t>PAGO FACT NCF NO. B1500000257, POR ADQUISICION BALANZA PEDIATRICA DIGITAL, SEGUN ORDEN DE COMPRA HSLM-2025-00800</t>
  </si>
  <si>
    <t>PAGO DE FACT NCF NO.B1500001487, POR ADQUISICION DE UTIL MEDICO Y MEDICAMENTOS, SEGUN ORDEN DE COMPRA HSLM-2025-00936</t>
  </si>
  <si>
    <t>PAGO DE FACT NCF E450000000187 POR ADQUISICION DE MEDICAMENTOS SEGUN O/C HSLM-2025-00932.</t>
  </si>
  <si>
    <t>PAGO DE FACT NCF B1500000138 POR ADQUISICION DE UTILES MEDICOS SEGUN O/C HSLM-2025-00931.</t>
  </si>
  <si>
    <t>PAGO DE FACT NCF B1500000133 POR ADQUISICION DE BATAS DESECHABLE PARA PACIENTE SEGUN O/C HSLM-2025-00924.</t>
  </si>
  <si>
    <t>PAGO DE FACT NCF NO. B1500000028, POR ADQUISICION DE CAJAS REGISTRADORAS, SEGUN ORDEN DE COMPRA HSLM-2025-00843</t>
  </si>
  <si>
    <t>PAGO DE FACT NCF B1500000228 POR ADQUISICION DE MANOMETRO DE OXIGENO DE CO2 SEGUN O/C HSLM-2025-00727.</t>
  </si>
  <si>
    <t>PAGO DE FACT NCF B1500000070 POR ADQUISICION DE FLUJOMETRO DE OXIGENO SEGUN O/C HSLM-2025-00861.</t>
  </si>
  <si>
    <t>PAGO DE FACT NCF B1500000161 POR ADQUISICION DE KIT INTERCOMUNICADOR Y SISTEMA DE CONTROL  ACCESO SEGUN O/C HSLM-2025-00898.</t>
  </si>
  <si>
    <t>PAGO DE FACT NCF B1500000161 POR SERVICIO DE ROTULACION FULL COLOR EN VINIL SEGUN O/C HSLM-2025-00898.</t>
  </si>
  <si>
    <t>PAGO DE FACT NCF NO. B1500001350, POR ADQUISICION DE MEDICAMENTOS, SEGUN ORDEN DE COMPRA HSLM-2025-00933</t>
  </si>
  <si>
    <t>PAGO DE FACT NCF NO. B1500000232, POR ADQUISICION DE MANGUERAS DE CO2, SEGUN ORDEN DE COMPRA HSLM-2025-00888</t>
  </si>
  <si>
    <t>PAGO DE FACT NCF B1500000231 POR ADQUISICION DE SISTEMA PACS PARA GESTION DEL AREA DE RADIOLOGIA SEGUN O/C HSLM-2025-00618.</t>
  </si>
  <si>
    <t>PAGO DE FACT NCF NO. B1500000235, POR ADQUISICION DE TRANSDUCTORES, SEGUN ORDEN DE COMPRA HSLM-2025-00728</t>
  </si>
  <si>
    <t>PAGO DE FACT NCF NO. B15000001443, POR ADQUISICION DE MEDICAMENTOS, SEGUN ORDEN DE COMPRA HSLM-2025-00900</t>
  </si>
  <si>
    <t>PAGO DE FACT NCF B1500000190 POR ADQUISICION DE VARIADOR  DE FRECUENCIA SEGUN O/C HSLM-2025-00929.</t>
  </si>
  <si>
    <t>PAGO DE FACT NCF B1500000393 POR ADQUISICION DE MEDICAMENTOS SEGUN O/C HSLM-2025-00884.</t>
  </si>
  <si>
    <t>PAGO DE FACT NCF B1500001403 POR ADQUISICION DE UTILES MEDICOS SEGUN O/C HSLM-2025-00886.</t>
  </si>
  <si>
    <t>PAGO DE FACT NCF E450000000089 POR ADQUISICION DE UTILES MEDICOS SEGUN O/C HSLM-2025-00885.</t>
  </si>
  <si>
    <t>PAGO DE FACT NCF B1500007949 POR ADQUISICION DE REACTIVOS E INSUMOS DE LABORATORIO SEGUN O/C HSLM-2025-00799.</t>
  </si>
  <si>
    <t>PAGO DE FACT NCF NO. E450000000204, POR ADQUISICION DE REACTIVOS, SEGUN ORDEN DE COMPRA HSLM-2025-00944</t>
  </si>
  <si>
    <t>PAGO DE FACT NCF B1500001765, POR ADQUISICION DE TALONARIOS, SEGUN ORDEN DE COMPRA HSLM-2025-00903</t>
  </si>
  <si>
    <t>PAGO DE FACT NCF B1500001762, POR ADQUISICION DE MOBILIARIO, SEGUN ORDEN DE COMPRA HSLM-2025-00907</t>
  </si>
  <si>
    <t>PAGO FACT NCF NO B1500000030, POR ADQUISICION DE DISPENSADORES, SEGUN ORDEN DE COMPRA HSLM-2025-00901</t>
  </si>
  <si>
    <t>PAGO DE FACT NCF NO. B1500001763, POR ADQUISICION DE ARCHIVOS, SEGUN ORDEN DE COMPRA HSLM-2025-00917</t>
  </si>
  <si>
    <t>PAGO DE FACT NCF NO. B1500000132, POR ADQUISICION DE UTIL MEDICO, SEGUN ORDEN DE COMPRA HSLM-2025-00923</t>
  </si>
  <si>
    <t>PAGO DE FACT NCF NO. B1500000026, POR ADQUISICION DE LICENCIA SISTEMA DE TURNOS, SEGUN ORDEN DE COMPRA HSLM-2025-00567</t>
  </si>
  <si>
    <t>PAGO DE FACT NCF NO. B1500000122, POR SERVICIO DE ADECUACION DE LA UNIDAD INTEGRAL DE ADOLESCENTES PRIMERA ETAPA, DEL SEGUNDO NIVEL, SEGUN ORDEN HSLM-2025-00391</t>
  </si>
  <si>
    <t>PAGO DE FACT NCF NO. B1500000111, POR ADQUISICION DE SABANAS, PARA USO DEL HOSPITAL, SEGÚN ORDEN DE COMPRA  HSLM-2025-00563</t>
  </si>
  <si>
    <t>PAGO DE FACT NCF B1500000014 POR ADQUISICION DE ZAFACON DE METAL SEGUN O/C HSLM-2025-00908.</t>
  </si>
  <si>
    <t>PAGO DE FACT NCF NO. B1500000061, POR ADQUISICION DE UTIL MEDICO, SEGUN ORDEN DE COMPRA HSLM-2025-00705</t>
  </si>
  <si>
    <t>PAGO DE FACT NCF NO. B1500001557, POR ADQUISICION DE PAPEL TERMICO, SEGUN ORDEN DE COMPRA HSLM-2025-00951</t>
  </si>
  <si>
    <t>PAGO DE FACT NCF NO. B1500000631, POR ADQUISICION DE MEDICAMENTOS, SEGUN ORDEN DE COMPRA HSLM-2025-00947</t>
  </si>
  <si>
    <t>PAGO DE FACT NCF NO, B1500001767 POR ADQUISICION DE MATERIALES DE OFICINA, SEGUN ORDEN DE COMPRA HSLM-2025-00938</t>
  </si>
  <si>
    <t>PAGO DE FACT NCF NO. B1500000191, POR ADQUISICION DE MEDICAMENTOS, SEGUN ORDEN DE COMPRA HSLM-2025-00952</t>
  </si>
  <si>
    <t>PAGO DE FACT NCF NO. E450000000267, POR ADQUISICION DE UTIL MEDICO, SEGUN ORDEN DE COMPRA HSLM-2025-00978</t>
  </si>
  <si>
    <t>03/09/2025</t>
  </si>
  <si>
    <t>04/09/2025</t>
  </si>
  <si>
    <t>05/09/2025</t>
  </si>
  <si>
    <t>10/09/2025</t>
  </si>
  <si>
    <t>11/09/2025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</si>
  <si>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</si>
  <si>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</si>
  <si>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</si>
  <si>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</si>
  <si>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</si>
  <si>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</si>
  <si>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</si>
  <si>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25/09/2025</t>
  </si>
  <si>
    <t>27/09/2025</t>
  </si>
  <si>
    <t>29/09/2025</t>
  </si>
  <si>
    <t>RESUMEN DE GASTOS</t>
  </si>
  <si>
    <t>PAGOS A PROVEEDORES</t>
  </si>
  <si>
    <t>CAJA CHICA</t>
  </si>
  <si>
    <t>NOMINA</t>
  </si>
  <si>
    <t>OTROS GASTOS</t>
  </si>
  <si>
    <t>TOTAL GENERAL</t>
  </si>
  <si>
    <t>Bio Nuclear, SA</t>
  </si>
  <si>
    <t>Q&amp;Q Medical RD, SRL</t>
  </si>
  <si>
    <t>Productos Tecnológicos e Industriales Jardín Del Edén, E.I.R.L</t>
  </si>
  <si>
    <t>Antares Pharma, SRL</t>
  </si>
  <si>
    <t>Macrotech Farmacéutica, SRL</t>
  </si>
  <si>
    <t>Hauspital, SRL</t>
  </si>
  <si>
    <t>Destreza Comercial, SRL</t>
  </si>
  <si>
    <t>A&amp;S Importadora Medicas, SRL</t>
  </si>
  <si>
    <t>PAGO FACTURA NCF B1500000704 POR ADQUISICION DE MEDICAMENTOS SEGUN O/C HSLM-2025-00973.</t>
  </si>
  <si>
    <t>PAGO DE FACT NCF NO. B1500000031, POR ADQUISICION DE SERVICIO DE CATERING PARA 50 PERSONAS, SEGUN ORDEN DE COMPRA HSLM-2025-00906</t>
  </si>
  <si>
    <t>PAGO FACTURA NCF B15000000705 POR ADQUISICION DE MEDICAMENTOS SEGUN O/C HSLM-2025-00972.</t>
  </si>
  <si>
    <t>PAGO DE FACT NCF NO E4500000008131, POR ADQUISICION DE REACTIVOS, SEGUN ORDEN DE COMPRA HSLM-2025-00942</t>
  </si>
  <si>
    <t>PAGO FACTURA NCF B1500000395 POR ADQUISICION DE MEDICAMENTOS SEGUN O/C HSLM-2025-00887.</t>
  </si>
  <si>
    <t>PAGO DE FACT NCF NO. B1500000080, POR ADQUISICION DE REACTIVOS, SEGUN ORDEN DE COMPRA HSLM-2025-00827</t>
  </si>
  <si>
    <t>PAGO DE FACT NCF NO. B1500000098, POR ADQUISICION DE DETERGENTE PARA LA LAVANDERIA, SEGÚN ORDEN DE COMPRA HSLM-2025-00918</t>
  </si>
  <si>
    <t>PAGO FACTURA NCF B1500001551 POR ADQUISICION DE CARTUCHO PARA GASES ARTERIALES SEGUN O/C HSLM-2025-00872.</t>
  </si>
  <si>
    <t>PAGO DE FACT NCF NO. E450000000233, POR ADQUISICION DE UTIL MEDICO Y MEDICAMENTOS, SEGUN ORDEN DE COMPRA HSLM-2025-00956</t>
  </si>
  <si>
    <t>PAGO DE FACT NCF NO B150000007, POR ADQUISICIO DE MEDICAMENTOS, SEGUN ORDEN DE COMPRA HSLM-2025-00950</t>
  </si>
  <si>
    <t>PAGO FACTURA NCF E450000001601 Y E450000001522 POR ADQUISCION DE UTILES MEDICOS SEGUN O/C HSLM-2025-00854.</t>
  </si>
  <si>
    <t>PAGO DE FACT NCF NO. B1500000825, POR ADQUISICION DE MEDICAMENTOS, SEGUN ORDEN DE COMPRA HSLM-2025-00977</t>
  </si>
  <si>
    <t>PAGO DE FACT NCF NO. B1500001496, POR ADQUISICON DE GASES ARTERIALES, SEGUN ORDEN DE COMPRA HSLM-2025-00745</t>
  </si>
  <si>
    <t>PAGO ACTURA NCF B1500000057 POR ADQUISICION DE MEDICAMENTOS Y UTILES MEDICOS SEGUN O/C HSLM-2025-00981.</t>
  </si>
  <si>
    <t>PAGO DE FACT NCF NO. B1500000168, POR ADQUISICON DE MEDICAMENTOS, SEGUN ORDEN DE COMPRA HSLM-2025-00916</t>
  </si>
  <si>
    <t>PAGO DE FACT NCF NO. B1500001442, POR ADQUISICION DE UTIL MEDICO, SEGUN ORDEN DE COMPRA HSLM-2025-00946.</t>
  </si>
  <si>
    <t>PAGO DE FACT NCF NO. B1500000826, POR ADQUISICION DE UTIL MEDICO, SEGUN ORDEN DE COMPRA HSLM-2025-00976</t>
  </si>
  <si>
    <t>PAGO DE FACT NCF NO. B1500002450, POR ADQUISICION DE UTIL MEDICO Y MEDICAMENTO, SEGUN ORDEN DE COMPRA HSLM-2025-00955</t>
  </si>
  <si>
    <t>30/09/2025</t>
  </si>
  <si>
    <t>OSCAR A RENTA NEGRON, SA</t>
  </si>
  <si>
    <t>ADQUISICION DE MEDICAMENTOS,</t>
  </si>
  <si>
    <t>ELVIS EMMANUEL DE LA ROSA NUÑEZ</t>
  </si>
  <si>
    <t>DELMIRA GARCIA</t>
  </si>
  <si>
    <t>FREDY OSCAR RODRIGUEZ RIVAS</t>
  </si>
  <si>
    <t>NULO</t>
  </si>
  <si>
    <t>SANTIAGO RUDECINTO SORIANO</t>
  </si>
  <si>
    <t>RUDDY SEGURA</t>
  </si>
  <si>
    <t>NELSON YNFANTE VELAZQUEZ</t>
  </si>
  <si>
    <t>ALEXANDER MENDEZ CONTRERAS</t>
  </si>
  <si>
    <t>OVIDIO DE JESUS DURAN CLEMENTE</t>
  </si>
  <si>
    <t>22/9/2025</t>
  </si>
  <si>
    <t>26/09/2025</t>
  </si>
  <si>
    <t>26/9/2025</t>
  </si>
  <si>
    <t>REPOSICION DEL FONDO DE CAJA CHICA</t>
  </si>
  <si>
    <t>SENASA LARIMAR</t>
  </si>
  <si>
    <t>EXTRANJEROS</t>
  </si>
  <si>
    <t>Ejecución de Gastos  VENTA SERVICIOS  2025</t>
  </si>
  <si>
    <t>Fecha de registro: hasta el [01] de [01] del [2025]</t>
  </si>
  <si>
    <t>#  Orden de Compra o Servicios</t>
  </si>
  <si>
    <t># DE EXPEDIENTE(PROCESO CELEBRADO)</t>
  </si>
  <si>
    <t>Status del proceso</t>
  </si>
  <si>
    <t>solo observar cuando se presentas esos procesos</t>
  </si>
  <si>
    <t>HSML-2025-00698</t>
  </si>
  <si>
    <t>HSLM-DAF-CD-2025-0698</t>
  </si>
  <si>
    <t>Margayu, SRL</t>
  </si>
  <si>
    <t>Productos de carne y aves de corral</t>
  </si>
  <si>
    <t>Adjudicado</t>
  </si>
  <si>
    <t>HSML-2025-00882</t>
  </si>
  <si>
    <t>HSLM-DAF-CD-2025-0699</t>
  </si>
  <si>
    <t>Farmacia Ruth, SRL</t>
  </si>
  <si>
    <t>Práctica médica</t>
  </si>
  <si>
    <t>HSML-2025-00880</t>
  </si>
  <si>
    <t>HSLM-DAF-CD-2025-0700</t>
  </si>
  <si>
    <t>Productos para la esterilización médica</t>
  </si>
  <si>
    <t>HSML-2025-00885</t>
  </si>
  <si>
    <t>HSLM-DAF-CD-2025-0701</t>
  </si>
  <si>
    <t>Productos para administración intravenosa y arterial</t>
  </si>
  <si>
    <t>HSML-2025-00884</t>
  </si>
  <si>
    <t>HSLM-DAF-CD-2025-0702</t>
  </si>
  <si>
    <t>Agentes que afectan el agua y los electrolitos</t>
  </si>
  <si>
    <t>HSML-2025-00886</t>
  </si>
  <si>
    <t>HSLM-DAF-CD-2025-0703</t>
  </si>
  <si>
    <t>Dumas Pharmaceuticals, SRL</t>
  </si>
  <si>
    <t>Productos de hacer imágenes diagnósticas médicas y de medicina nuclear</t>
  </si>
  <si>
    <t>HSML-2025-00910</t>
  </si>
  <si>
    <t>HSLM-DAF-CM-2025-0220</t>
  </si>
  <si>
    <t>INSOCORP, SRL</t>
  </si>
  <si>
    <t>Productos quirúrgicos</t>
  </si>
  <si>
    <t>HSML-2025-00909</t>
  </si>
  <si>
    <t>HSLM-DAF-CM-2025-0221</t>
  </si>
  <si>
    <t>HSML-2025-00808</t>
  </si>
  <si>
    <t>HSLM-DAF-CD-2025-0704</t>
  </si>
  <si>
    <t>Equipo de laboratorio y científico</t>
  </si>
  <si>
    <t>HSML-2025-00902</t>
  </si>
  <si>
    <t>HSLM-DAF-CD-2025-0705</t>
  </si>
  <si>
    <t>Jhonathan  Del Rosario Franco</t>
  </si>
  <si>
    <t>Servicios legales</t>
  </si>
  <si>
    <t>HSML-2025-00901</t>
  </si>
  <si>
    <t>HSLM-DAF-CD-2025-0706</t>
  </si>
  <si>
    <t>Suministros de aseo y limpieza</t>
  </si>
  <si>
    <t>HSML-2025-00897</t>
  </si>
  <si>
    <t>HSLM-DAF-CD-2025-0707</t>
  </si>
  <si>
    <t>Sermetic, SRL</t>
  </si>
  <si>
    <t>Servicios de construcción y perforación de pozos</t>
  </si>
  <si>
    <t>HSML-2025-00898</t>
  </si>
  <si>
    <t>HSLM-DAF-CD-2025-0708</t>
  </si>
  <si>
    <t>Equipo informático y accesorios</t>
  </si>
  <si>
    <t>HSML-2025-00914</t>
  </si>
  <si>
    <t>HSLM-DAF-CM-2025-0222</t>
  </si>
  <si>
    <t>Grupo Xeron Medic SRL</t>
  </si>
  <si>
    <t>Medicamentos que afectan al sistema gastrointestinal</t>
  </si>
  <si>
    <t>HSML-2025-00899</t>
  </si>
  <si>
    <t>HSLM-DAF-CD-2025-0710</t>
  </si>
  <si>
    <t>Bio Nova, SRL</t>
  </si>
  <si>
    <t>Servicios de mantenimiento, renovación y reparación de equipo médico quirúrgico.</t>
  </si>
  <si>
    <t>HSML-2025-00900</t>
  </si>
  <si>
    <t>HSLM-DAF-CD-2025-0709</t>
  </si>
  <si>
    <t>Medicamentos antiinfecciosos</t>
  </si>
  <si>
    <t>HSML-2025-00915</t>
  </si>
  <si>
    <t>HSLM-DAF-CM-2025-0223</t>
  </si>
  <si>
    <t>Servicios de mantenimiento y reparaciones de construcciones e instalaciones</t>
  </si>
  <si>
    <t>HSML-2025-00903</t>
  </si>
  <si>
    <t>HSLM-DAF-CD-2025-0711</t>
  </si>
  <si>
    <t>Papelería E. Impresos Crishoan, SRL</t>
  </si>
  <si>
    <t>Servicios de apoyo a la fabricación</t>
  </si>
  <si>
    <t>HSML-2025-00904</t>
  </si>
  <si>
    <t>HSLM-DAF-CD-2025-0712</t>
  </si>
  <si>
    <t>Telas y vestidos médicos</t>
  </si>
  <si>
    <t>HSML-2025-00927</t>
  </si>
  <si>
    <t>HSLM-DAF-CM-2025-0224</t>
  </si>
  <si>
    <t>Ramirez &amp; Mojica Envoy Pack Courier Express, SRL</t>
  </si>
  <si>
    <t>Dispositivos de comunicaciones y accesorios</t>
  </si>
  <si>
    <t>HSML-2025-00329</t>
  </si>
  <si>
    <t>HSLM-DAF-CM-2025-0225</t>
  </si>
  <si>
    <t>Instrumentos de medida, observación y ensayo</t>
  </si>
  <si>
    <t>HSML-2025-00989</t>
  </si>
  <si>
    <t>HSLM-DAF-CM-2025-0226</t>
  </si>
  <si>
    <t>Mantenergia Electrica y Abastecimientos, SRL</t>
  </si>
  <si>
    <t>Baterías  y  generadores  y  transmisión  de  energía  cinética</t>
  </si>
  <si>
    <t>HSML-2025-00918</t>
  </si>
  <si>
    <t>HSLM-DAF-CM-2025-0227</t>
  </si>
  <si>
    <t>Aditivos</t>
  </si>
  <si>
    <t>HSML-2025-00905</t>
  </si>
  <si>
    <t>HSLM-DAF-CD-2025-0713</t>
  </si>
  <si>
    <t>HSML-2025-00906</t>
  </si>
  <si>
    <t>HSLM-DAF-CD-2025-0716</t>
  </si>
  <si>
    <t>Restaurantes y catering (servicios de comidas y bebidas)</t>
  </si>
  <si>
    <t>HSML-2025-00908</t>
  </si>
  <si>
    <t>HSLM-DAF-CD-2025-0715</t>
  </si>
  <si>
    <t>Muebles de alojamiento</t>
  </si>
  <si>
    <t>HSML-2025-00907</t>
  </si>
  <si>
    <t>HSLM-DAF-CD-2025-0714</t>
  </si>
  <si>
    <t>HSML-2025-00912</t>
  </si>
  <si>
    <t>HSLM-DAF-CD-2025-0717</t>
  </si>
  <si>
    <t>Combustibles</t>
  </si>
  <si>
    <t>HSML-2025-00939</t>
  </si>
  <si>
    <t>HSLM-DAF-CM-2025-0228</t>
  </si>
  <si>
    <t>P&amp;D Recycling, SRL</t>
  </si>
  <si>
    <t>Eliminación y tratamiento de desechos</t>
  </si>
  <si>
    <t>HSML-2025-00911</t>
  </si>
  <si>
    <t>HSLM-DAF-CD-2025-0718</t>
  </si>
  <si>
    <t>Etiquetado y accesorios</t>
  </si>
  <si>
    <t>HSML-2025-00913</t>
  </si>
  <si>
    <t>HSLM-DAF-CD-2025-0719</t>
  </si>
  <si>
    <t>HSML-2025-00965</t>
  </si>
  <si>
    <t>HSLM-DAF-CM-2025-0229</t>
  </si>
  <si>
    <t>Materiales Industriales, S.A.S</t>
  </si>
  <si>
    <t>Lámparas y bombillas y componentes para lámparas</t>
  </si>
  <si>
    <t>HSML-2025-00916</t>
  </si>
  <si>
    <t>HSLM-DAF-CD-2025-0720</t>
  </si>
  <si>
    <t>Medicamentos para el sistema nervioso central</t>
  </si>
  <si>
    <t>HSML-2025-00920</t>
  </si>
  <si>
    <t>HSLM-DAF-CD-2025-0721</t>
  </si>
  <si>
    <t>HSML-2025-00917</t>
  </si>
  <si>
    <t>HSLM-DAF-CD-2025-0722</t>
  </si>
  <si>
    <t>HSML-2025-00949</t>
  </si>
  <si>
    <t>HSLM-DAF-CM-2025-0230</t>
  </si>
  <si>
    <t>Aparatos electrodomésticos</t>
  </si>
  <si>
    <t>HSML-2025-00919</t>
  </si>
  <si>
    <t>HSLM-DAF-CD-2025-0724</t>
  </si>
  <si>
    <t>Lora &amp; Almonte Reparaciones, SRL</t>
  </si>
  <si>
    <t>Iluminación, artefactos y accesorios</t>
  </si>
  <si>
    <t>HSML-2025-00944</t>
  </si>
  <si>
    <t>HSLM-DAF-CM-2025-0232</t>
  </si>
  <si>
    <t>HSML-2025-00942</t>
  </si>
  <si>
    <t>HSLM-DAF-CM-2025-0231</t>
  </si>
  <si>
    <t>HSML-2025-00945</t>
  </si>
  <si>
    <t>HSLM-DAF-CM-2025-0233</t>
  </si>
  <si>
    <t>HSML-2025-00948</t>
  </si>
  <si>
    <t>HSLM-DAF-CM-2025-0234</t>
  </si>
  <si>
    <t>HSML-2025-00923</t>
  </si>
  <si>
    <t>HSLM-DAF-CD-2025-0725</t>
  </si>
  <si>
    <t>Productos de examen y control del paciente</t>
  </si>
  <si>
    <t>HSML-2025-00924</t>
  </si>
  <si>
    <t>HSLM-DAF-CD-2025-0726</t>
  </si>
  <si>
    <t>HSML-2025-00925</t>
  </si>
  <si>
    <t>HSLM-DAF-CD-2025-0727</t>
  </si>
  <si>
    <t>HSML-2025-00930</t>
  </si>
  <si>
    <t>HSLM-DAF-CD-2025-0728</t>
  </si>
  <si>
    <t>Medicamentos para el sistema nervioso autónomo</t>
  </si>
  <si>
    <t>HSML-2025-00922</t>
  </si>
  <si>
    <t>HSLM-DAF-CD-2025-0729</t>
  </si>
  <si>
    <t>AMMB Importación, SRL</t>
  </si>
  <si>
    <t>HSML-2025-00921</t>
  </si>
  <si>
    <t>HSLM-DAF-CD-2025-0730</t>
  </si>
  <si>
    <t>HSML-2025-00928</t>
  </si>
  <si>
    <t>HSLM-DAF-CD-2025-0731</t>
  </si>
  <si>
    <t>RYS SOLUCIONES E INVERSIONES INTEGRALES, SRL</t>
  </si>
  <si>
    <t>Suministros de oficina</t>
  </si>
  <si>
    <t>HSML-2025-00926</t>
  </si>
  <si>
    <t>HSLM-DAF-CD-2025-0732</t>
  </si>
  <si>
    <t>HSML-2025-00935</t>
  </si>
  <si>
    <t>HSLM-DAF-CD-2025-0733</t>
  </si>
  <si>
    <t>Elementos  y  gases</t>
  </si>
  <si>
    <t>HSML-2025-00931</t>
  </si>
  <si>
    <t>HSLM-DAF-CD-2025-0734</t>
  </si>
  <si>
    <t>Productos para el cuidado de heridas</t>
  </si>
  <si>
    <t>HSML-2025-00934</t>
  </si>
  <si>
    <t>HSLM-DAF-CD-2025-0735</t>
  </si>
  <si>
    <t>Gestoria Administrativa Ynuñez S.R.L</t>
  </si>
  <si>
    <t>HSML-2025-00932</t>
  </si>
  <si>
    <t>HSLM-DAF-CD-2025-0736</t>
  </si>
  <si>
    <t>HSML-2025-00961</t>
  </si>
  <si>
    <t>HSLM-DAF-CM-2025-0235</t>
  </si>
  <si>
    <t>HSML-2025-00933</t>
  </si>
  <si>
    <t>HSLM-DAF-CD-2025-0737</t>
  </si>
  <si>
    <t>HSML-2025-00936</t>
  </si>
  <si>
    <t>HSLM-DAF-CD-2025-0738</t>
  </si>
  <si>
    <t>HSLM-DAF-CM-2025-0236</t>
  </si>
  <si>
    <t>Puertas  y  ventanas  y  vidrio</t>
  </si>
  <si>
    <t>HSML-2025-00937</t>
  </si>
  <si>
    <t>HSLM-DAF-CD-2025-0739</t>
  </si>
  <si>
    <t>Analisis de oferta</t>
  </si>
  <si>
    <t>HSLM-DAF-CD-2025-0741</t>
  </si>
  <si>
    <t>Bebidas</t>
  </si>
  <si>
    <t>Evaluación</t>
  </si>
  <si>
    <t>HSML-2025-00938</t>
  </si>
  <si>
    <t>HSLM-DAF-CD-2025-0740</t>
  </si>
  <si>
    <t>HSML-2025-00940</t>
  </si>
  <si>
    <t>HSLM-DAF-CD-2025-0742</t>
  </si>
  <si>
    <t>Bello-Lab, SRL</t>
  </si>
  <si>
    <t>HSML-2025-00941</t>
  </si>
  <si>
    <t>HSLM-DAF-CD-2025-0743</t>
  </si>
  <si>
    <t>HSML-2025-00943</t>
  </si>
  <si>
    <t>HSLM-DAF-CD-2025-0744</t>
  </si>
  <si>
    <t xml:space="preserve">Farmaco Quimica Nacional, SA </t>
  </si>
  <si>
    <t>HSML-2025-00975</t>
  </si>
  <si>
    <t>HSLM-DAF-CM-2025-0237</t>
  </si>
  <si>
    <t>Negocios Suheidy Rodriguez, SRL</t>
  </si>
  <si>
    <t>Recipientes  y  almacenamiento</t>
  </si>
  <si>
    <t>HSML-2025-00946</t>
  </si>
  <si>
    <t>HSLM-DAF-CD-2025-0745</t>
  </si>
  <si>
    <t>Hormonas y antagonistas hormonales</t>
  </si>
  <si>
    <t>HSML-2025-00947</t>
  </si>
  <si>
    <t>HSLM-DAF-CD-2025-0746</t>
  </si>
  <si>
    <t>Medicamentos cardiovasculares</t>
  </si>
  <si>
    <t>HSML-2025-00992</t>
  </si>
  <si>
    <t>HSLM-DAF-CM-2025-0238</t>
  </si>
  <si>
    <t>HSML-2025-00951</t>
  </si>
  <si>
    <t>HSLM-DAF-CD-2025-0747</t>
  </si>
  <si>
    <t>Productos de papel</t>
  </si>
  <si>
    <t>HSML-2025-00953</t>
  </si>
  <si>
    <t>HSLM-DAF-CD-2025-0748</t>
  </si>
  <si>
    <t>Productos medicinales de deportes y ortopédicos y prótesis</t>
  </si>
  <si>
    <t>HSML-2025-00950</t>
  </si>
  <si>
    <t>HSLM-DAF-CD-2025-0749</t>
  </si>
  <si>
    <t>HSML-2025-00952</t>
  </si>
  <si>
    <t>HSLM-DAF-CD-2025-0750</t>
  </si>
  <si>
    <t>HSML-2025-00955</t>
  </si>
  <si>
    <t>HSLM-DAF-CD-2025-0751</t>
  </si>
  <si>
    <t xml:space="preserve">A&amp;S Importadora Medicas, SRL </t>
  </si>
  <si>
    <t>HSML-2025-00954</t>
  </si>
  <si>
    <t>HSLM-DAF-CD-2025-0752</t>
  </si>
  <si>
    <t>Leansan Pharmas, SRL</t>
  </si>
  <si>
    <t>HSML-2025-00956</t>
  </si>
  <si>
    <t>HSLM-DAF-CD-2025-0753</t>
  </si>
  <si>
    <t>HSML-2025-00958</t>
  </si>
  <si>
    <t>HSLM-DAF-CD-2025-0755</t>
  </si>
  <si>
    <t>Empresas OCL, SRL</t>
  </si>
  <si>
    <t>HSML-2025-00957</t>
  </si>
  <si>
    <t>HSLM-DAF-CD-2025-0756</t>
  </si>
  <si>
    <t>HSML-2025-00968</t>
  </si>
  <si>
    <t>HSLM-DAF-CD-2025-0754</t>
  </si>
  <si>
    <t>HSML-2025-00960</t>
  </si>
  <si>
    <t>HSLM-DAF-CD-2025-0757</t>
  </si>
  <si>
    <t>BAAM &amp; Asociados, SRL</t>
  </si>
  <si>
    <t>HSML-2025-00962</t>
  </si>
  <si>
    <t>HSLM-DAF-CD-2025-0758</t>
  </si>
  <si>
    <t>Equipo de aseo</t>
  </si>
  <si>
    <t>HSML-2025-00963</t>
  </si>
  <si>
    <t>HSLM-DAF-CD-2025-0759</t>
  </si>
  <si>
    <t>Medina N Solutions, SRL</t>
  </si>
  <si>
    <t>HSML-2025-00994</t>
  </si>
  <si>
    <t>HSLM-DAF-CM-2025-0239</t>
  </si>
  <si>
    <t>HSML-2025-00966</t>
  </si>
  <si>
    <t>HSLM-DAF-CD-2025-0760</t>
  </si>
  <si>
    <t xml:space="preserve">Sandry Gomez Rodriguez </t>
  </si>
  <si>
    <t>Frutos secos</t>
  </si>
  <si>
    <t>HSML-2025-00967</t>
  </si>
  <si>
    <t>HSLM-DAF-CD-2025-0761</t>
  </si>
  <si>
    <t>Dialisis Net SRL</t>
  </si>
  <si>
    <t>HSML-2025-00973</t>
  </si>
  <si>
    <t>HSLM-DAF-CD-2025-0763</t>
  </si>
  <si>
    <t>Baucomer, SRL</t>
  </si>
  <si>
    <t>HSML-2025-00972</t>
  </si>
  <si>
    <t>HSLM-DAF-CD-2025-0764</t>
  </si>
  <si>
    <t>Medicamentos que afectan al sistema respiratorio</t>
  </si>
  <si>
    <t>HSML-2025-00969</t>
  </si>
  <si>
    <t>HSLM-DAF-CD-2025-0762</t>
  </si>
  <si>
    <t>Fármacos que afectan a los oídos, los ojos, la nariz y la piel</t>
  </si>
  <si>
    <t>HSML-2025-00970</t>
  </si>
  <si>
    <t>HSLM-DAF-CD-2025-0765</t>
  </si>
  <si>
    <t>Oscar A Renta Negron, SA</t>
  </si>
  <si>
    <t>HSML-2025-00971</t>
  </si>
  <si>
    <t>HSLM-DAF-CD-2025-0766</t>
  </si>
  <si>
    <t>Ameriline Pharmaceutical, SRL</t>
  </si>
  <si>
    <t>HSML-2025-00974</t>
  </si>
  <si>
    <t>HSLM-DAF-CD-2025-0767</t>
  </si>
  <si>
    <t>HSLM-DAF-CM-2025-0240</t>
  </si>
  <si>
    <t>HSML-2025-00979</t>
  </si>
  <si>
    <t>HSLM-DAF-CD-2025-0768</t>
  </si>
  <si>
    <t>Grupo Irmaceli Services, S.R.L.</t>
  </si>
  <si>
    <t>Protección contra incendios</t>
  </si>
  <si>
    <t>HSLM-DAF-CM-2025-0241</t>
  </si>
  <si>
    <t>HSML-2025-00978</t>
  </si>
  <si>
    <t>HSLM-DAF-CD-2025-0769</t>
  </si>
  <si>
    <t>HSML-2025-00976</t>
  </si>
  <si>
    <t>HSLM-DAF-CD-2025-0772</t>
  </si>
  <si>
    <t>Productos de resucitación, anestesia y respiratorio</t>
  </si>
  <si>
    <t>HSLM-DAF-CM-2025-0242</t>
  </si>
  <si>
    <t>HSML-2025-00977</t>
  </si>
  <si>
    <t>HSLM-DAF-CD-2025-0771</t>
  </si>
  <si>
    <t>HSML-2025-00980</t>
  </si>
  <si>
    <t>HSLM-DAF-CD-2025-0770</t>
  </si>
  <si>
    <t>HSML-2025-00981</t>
  </si>
  <si>
    <t>HSLM-DAF-CD-2025-0773</t>
  </si>
  <si>
    <t>HSLM-DAF-CM-2025-0244</t>
  </si>
  <si>
    <t>Tratamientos de ventanas</t>
  </si>
  <si>
    <t>Publicado</t>
  </si>
  <si>
    <t>HSML-2025-00982</t>
  </si>
  <si>
    <t>HSLM-DAF-CD-2025-0774</t>
  </si>
  <si>
    <t>HSLM-DAF-CM-2025-0243</t>
  </si>
  <si>
    <t>Alimentos preparados y conservados</t>
  </si>
  <si>
    <t>HSML-2025-00983</t>
  </si>
  <si>
    <t>HSLM-DAF-CD-2025-0776</t>
  </si>
  <si>
    <t>Morami, SRL</t>
  </si>
  <si>
    <t>cancelado</t>
  </si>
  <si>
    <t>HSLM-DAF-CD-2025-0775</t>
  </si>
  <si>
    <t>Cancelado</t>
  </si>
  <si>
    <t>HSML-2025-00984</t>
  </si>
  <si>
    <t>HSLM-DAF-CD-2025-0777</t>
  </si>
  <si>
    <t>Nutrición clínica</t>
  </si>
  <si>
    <t>HSLM-DAF-CD-2025-0778</t>
  </si>
  <si>
    <t>Herramientas  de  mano</t>
  </si>
  <si>
    <t>HSML-2025-00986</t>
  </si>
  <si>
    <t>HSLM-DAF-CD-2025-0780</t>
  </si>
  <si>
    <t>HSML-2025-00985</t>
  </si>
  <si>
    <t>HSLM-DAF-CD-2025-0779</t>
  </si>
  <si>
    <t>HSML-2025-00987</t>
  </si>
  <si>
    <t>HSLM-DAF-CD-2025-0781</t>
  </si>
  <si>
    <t>HSML-2025-00988</t>
  </si>
  <si>
    <t>HSLM-DAF-CD-2025-0782</t>
  </si>
  <si>
    <t>HSML-2025-00990</t>
  </si>
  <si>
    <t>HSLM-DAF-CD-2025-0783</t>
  </si>
  <si>
    <t>HSML-2025-00991</t>
  </si>
  <si>
    <t>HSLM-DAF-CD-2025-0784</t>
  </si>
  <si>
    <t>Productos de centro médico</t>
  </si>
  <si>
    <t>HSLM-DAF-CM-2025-0245</t>
  </si>
  <si>
    <t>HSLM-DAF-CD-2025-0785</t>
  </si>
  <si>
    <t>vs</t>
  </si>
  <si>
    <t>FONDO 100 (2.3)</t>
  </si>
  <si>
    <t>FONDO 100 (2.6)</t>
  </si>
  <si>
    <t>Otros (INGRESOS EXTRANJEROS )</t>
  </si>
  <si>
    <t>DEL 01 AL 30 DE SEPTIEMBRE 2025</t>
  </si>
  <si>
    <t>ARS RENACER</t>
  </si>
  <si>
    <t>ARS MAPHRE</t>
  </si>
  <si>
    <t>ARS ASEMAP</t>
  </si>
  <si>
    <t>ARS CMD</t>
  </si>
  <si>
    <t>ARS SEMMA</t>
  </si>
  <si>
    <t>ARS FUTURO</t>
  </si>
  <si>
    <t>ARS YUNEN</t>
  </si>
  <si>
    <t>30/9/2025</t>
  </si>
  <si>
    <t>Bajo las funciones que nos asisten certificamos que el valor de los ingresos percibidos al  30/09/2025 correspondieron a un monto de RD$118,507,828.69</t>
  </si>
  <si>
    <t>Dado a los 30 dias del mes de 09 del año 2025</t>
  </si>
  <si>
    <t>010-390450-6</t>
  </si>
  <si>
    <t>DIRECCIÓN DE FISCALIZACIÓN Y CONTROL</t>
  </si>
  <si>
    <t>PROMESE CAL</t>
  </si>
  <si>
    <t>DETALLE OBLIGACIONES CONTRAÍDAS PENDIENTES AL 30 DE SEPTIEMBRE 2025</t>
  </si>
  <si>
    <r>
      <t xml:space="preserve">                          </t>
    </r>
    <r>
      <rPr>
        <b/>
        <sz val="14"/>
        <color theme="1"/>
        <rFont val="Calibri"/>
        <family val="2"/>
        <scheme val="minor"/>
      </rPr>
      <t xml:space="preserve">ESTABLECIMIENTO:    HOSPITAL MATERNO INFANTIL SAN LORENZO DE LOS MINA                       </t>
    </r>
    <r>
      <rPr>
        <b/>
        <sz val="12"/>
        <color theme="1"/>
        <rFont val="Calibri"/>
        <family val="2"/>
        <scheme val="minor"/>
      </rPr>
      <t>REGION OZAMA</t>
    </r>
  </si>
  <si>
    <t>010-026900-0</t>
  </si>
  <si>
    <t>602-500900-0</t>
  </si>
  <si>
    <t>999-510700-0</t>
  </si>
  <si>
    <t>RELACIÓN DE ORDENES DE COMPRAS DE BIENES Y SERVICIOS EFECTUADAS MES DE SEPTIEMBRE 2025</t>
  </si>
  <si>
    <t>COLABORACION PARA REALIZAR EL ESTUDIO DE GAMMAGRAFIA HEPATUBILIAR, PARA DESCARTAR SINDROME COLESTASICO EN ESTUDIO, ATRESIA BILIAR</t>
  </si>
  <si>
    <t>SERVICIO DE PINTURA PARA EL PRIMER NIVEL DE ESTE HOSPITAL, SEGÚN ORDEN DE SERVICIO HSLM-CD-2025-0056</t>
  </si>
  <si>
    <t>PAGO POR EL SERVICIO DE LIMPIEZA Y CLORIFICACION DE LAS CISTERNAS DE ESTE HOSPITAL, SEGÚN ORDEN HSLM-CD-2025-0054.</t>
  </si>
  <si>
    <t>PAGO POR EL SERVICIO DE JARDINERIA Y MANTENIMIENTO DE AREAS VERDES DE ESTE HOSPITAL, SEGÚN ORDEN HSLM-CD-2025-0055.</t>
  </si>
  <si>
    <t>PAGO POR SERVICIO DE TRANSPORTE DE LA AMBULANCIA CORRESPONDIENTE AL MES DE SEPTIEMBRE 2025.</t>
  </si>
  <si>
    <t>PAGO POR SERVICIO DE MANTENIMIENTO MECANICO PARA LA AMBULANCIA DE ESTE HOSPITAL, SEGÚN ORDEN DE SERVICIO 0044</t>
  </si>
  <si>
    <t>COLABORACION PARA CAVAR HOYO Y CERTIFICACION DE ACTAS DE DEFUNCION</t>
  </si>
  <si>
    <t>COMISIONES BANCARIAS</t>
  </si>
  <si>
    <t>PAGO POR COMISION BANCARIA</t>
  </si>
  <si>
    <t>322-A</t>
  </si>
  <si>
    <t>NOMINA INCENTIVOS</t>
  </si>
  <si>
    <t>PAGO NOMINA INCENTIVO SENASA ENERO-JULIO 2025</t>
  </si>
  <si>
    <t>Fecha de imputación: hasta el [30] de [09] del [2025]</t>
  </si>
  <si>
    <t>18/9/2025</t>
  </si>
  <si>
    <t>29/9/2025</t>
  </si>
  <si>
    <t>Hospifar, SRL</t>
  </si>
  <si>
    <t>GA INTERPRISE IMPORT, SRL</t>
  </si>
  <si>
    <t>D, CORA INDUSTRIAL, S.R.L</t>
  </si>
  <si>
    <t xml:space="preserve">VARA, SRL. </t>
  </si>
  <si>
    <t>LE.F.P CONSULTORES SRL</t>
  </si>
  <si>
    <t>UNIQUE REPRESENTACIONES, S.R.L</t>
  </si>
  <si>
    <t xml:space="preserve">J. JIREH EQUIPOS MEDICOS SRL </t>
  </si>
  <si>
    <t xml:space="preserve">FARMACIA RUTH </t>
  </si>
  <si>
    <t>Ciencia Tecnología y Consultas, SRL (CIENTEC)</t>
  </si>
  <si>
    <t>Insocorp, S.R.L.</t>
  </si>
  <si>
    <t>Agua Planeta Azul, SA</t>
  </si>
  <si>
    <t>SUPLIMED,SRL</t>
  </si>
  <si>
    <t>Gestiones Sanitarias &amp; Ambientales, SRL (GSA)</t>
  </si>
  <si>
    <t xml:space="preserve">Lora &amp; Almore Reparaciones SRL </t>
  </si>
  <si>
    <t>DIALISIS NET SRL</t>
  </si>
  <si>
    <t>31 ENERO 2025</t>
  </si>
  <si>
    <t>28 DE FEBRERO 2025</t>
  </si>
  <si>
    <t>31 DE MARZO 2025</t>
  </si>
  <si>
    <t>30 DE ABRIL 2025</t>
  </si>
  <si>
    <t>31 DE MAYO 2025</t>
  </si>
  <si>
    <t>30 DE JUNIO 2025</t>
  </si>
  <si>
    <t>31 DE JULIO 2025</t>
  </si>
  <si>
    <t>30 DE SEPTIEMBRE 2025</t>
  </si>
  <si>
    <t>31 DE AGOSTO 2025</t>
  </si>
  <si>
    <t>VS/FG</t>
  </si>
  <si>
    <r>
      <t xml:space="preserve">Establecimiento:      HOSPITAL MATERNO INFANTIL SAN LORENZO DE LOS MINA   Mes:    SEPTIEMBRE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</si>
  <si>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MES DE SEPTIEMBRE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</si>
</sst>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#,##0.00_);\-#,##0.00"/>
    <numFmt numFmtId="167" formatCode="dd/mm/yyyy;@"/>
    <numFmt numFmtId="168" formatCode="d/mm/yyyy;@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0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8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 Light"/>
      <family val="1"/>
      <scheme val="major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</cellStyleXfs>
  <cellXfs count="50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3" borderId="0" xfId="0" applyFill="1"/>
    <xf numFmtId="0" fontId="46" fillId="14" borderId="1" xfId="0" applyFont="1" applyFill="1" applyBorder="1" applyAlignment="1">
      <alignment horizontal="center" vertical="center" wrapText="1"/>
    </xf>
    <xf numFmtId="0" fontId="46" fillId="14" borderId="1" xfId="0" applyFont="1" applyFill="1" applyBorder="1" applyAlignment="1">
      <alignment horizontal="left" vertical="center" wrapText="1"/>
    </xf>
    <xf numFmtId="43" fontId="46" fillId="14" borderId="1" xfId="6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3" fontId="47" fillId="0" borderId="1" xfId="6" applyFont="1" applyFill="1" applyBorder="1"/>
    <xf numFmtId="43" fontId="47" fillId="0" borderId="1" xfId="6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3" fillId="0" borderId="1" xfId="0" applyFont="1" applyBorder="1" applyAlignment="1">
      <alignment horizontal="right"/>
    </xf>
    <xf numFmtId="0" fontId="48" fillId="0" borderId="1" xfId="0" applyFont="1" applyBorder="1"/>
    <xf numFmtId="0" fontId="43" fillId="0" borderId="0" xfId="0" applyFont="1"/>
    <xf numFmtId="0" fontId="39" fillId="0" borderId="0" xfId="0" applyFont="1"/>
    <xf numFmtId="0" fontId="0" fillId="0" borderId="1" xfId="0" applyBorder="1" applyAlignment="1">
      <alignment wrapText="1"/>
    </xf>
    <xf numFmtId="0" fontId="40" fillId="0" borderId="0" xfId="0" applyFont="1" applyAlignment="1">
      <alignment horizontal="center"/>
    </xf>
    <xf numFmtId="43" fontId="43" fillId="16" borderId="1" xfId="6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8" borderId="1" xfId="6" applyFont="1" applyFill="1" applyBorder="1" applyAlignment="1">
      <alignment wrapText="1"/>
    </xf>
    <xf numFmtId="43" fontId="0" fillId="18" borderId="1" xfId="6" applyFont="1" applyFill="1" applyBorder="1"/>
    <xf numFmtId="0" fontId="43" fillId="18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6" borderId="1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7" borderId="1" xfId="0" applyNumberFormat="1" applyFont="1" applyFill="1" applyBorder="1" applyAlignment="1">
      <alignment horizontal="center" vertical="center" wrapText="1"/>
    </xf>
    <xf numFmtId="165" fontId="43" fillId="16" borderId="1" xfId="0" applyNumberFormat="1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8" borderId="1" xfId="6" applyFont="1" applyFill="1" applyBorder="1" applyAlignment="1">
      <alignment horizontal="right" wrapText="1"/>
    </xf>
    <xf numFmtId="43" fontId="43" fillId="18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8" borderId="0" xfId="0" applyFill="1"/>
    <xf numFmtId="43" fontId="43" fillId="18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8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9" fillId="0" borderId="0" xfId="0" applyFont="1"/>
    <xf numFmtId="0" fontId="45" fillId="0" borderId="0" xfId="0" applyFont="1"/>
    <xf numFmtId="14" fontId="0" fillId="0" borderId="1" xfId="0" applyNumberFormat="1" applyBorder="1"/>
    <xf numFmtId="44" fontId="0" fillId="0" borderId="0" xfId="0" applyNumberFormat="1"/>
    <xf numFmtId="0" fontId="43" fillId="22" borderId="0" xfId="0" applyFont="1" applyFill="1" applyAlignment="1">
      <alignment horizontal="center" vertical="center" wrapText="1"/>
    </xf>
    <xf numFmtId="0" fontId="0" fillId="22" borderId="0" xfId="0" applyFill="1"/>
    <xf numFmtId="43" fontId="43" fillId="22" borderId="0" xfId="0" applyNumberFormat="1" applyFont="1" applyFill="1"/>
    <xf numFmtId="43" fontId="0" fillId="0" borderId="0" xfId="6" applyFont="1"/>
    <xf numFmtId="0" fontId="53" fillId="0" borderId="0" xfId="5" applyFont="1"/>
    <xf numFmtId="0" fontId="56" fillId="0" borderId="0" xfId="5" applyFont="1"/>
    <xf numFmtId="43" fontId="56" fillId="0" borderId="0" xfId="6" applyFont="1" applyFill="1" applyAlignment="1"/>
    <xf numFmtId="0" fontId="57" fillId="0" borderId="0" xfId="5" applyFont="1"/>
    <xf numFmtId="0" fontId="57" fillId="0" borderId="0" xfId="5" applyFont="1" applyAlignment="1">
      <alignment horizontal="left"/>
    </xf>
    <xf numFmtId="43" fontId="58" fillId="0" borderId="0" xfId="6" applyFont="1"/>
    <xf numFmtId="0" fontId="58" fillId="0" borderId="0" xfId="0" applyFont="1"/>
    <xf numFmtId="43" fontId="58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59" fillId="23" borderId="1" xfId="5" applyFont="1" applyFill="1" applyBorder="1" applyAlignment="1">
      <alignment horizontal="center" vertical="center"/>
    </xf>
    <xf numFmtId="43" fontId="59" fillId="24" borderId="1" xfId="6" applyFont="1" applyFill="1" applyBorder="1" applyAlignment="1">
      <alignment horizontal="center" vertical="center"/>
    </xf>
    <xf numFmtId="0" fontId="53" fillId="0" borderId="1" xfId="5" applyFont="1" applyBorder="1" applyAlignment="1">
      <alignment horizontal="center"/>
    </xf>
    <xf numFmtId="0" fontId="53" fillId="0" borderId="1" xfId="5" applyFont="1" applyBorder="1" applyAlignment="1">
      <alignment horizontal="left" vertical="center"/>
    </xf>
    <xf numFmtId="43" fontId="53" fillId="0" borderId="1" xfId="6" applyFont="1" applyFill="1" applyBorder="1" applyAlignment="1">
      <alignment vertical="center"/>
    </xf>
    <xf numFmtId="43" fontId="53" fillId="0" borderId="1" xfId="6" applyFont="1" applyFill="1" applyBorder="1" applyAlignment="1">
      <alignment horizontal="left" vertical="center"/>
    </xf>
    <xf numFmtId="43" fontId="53" fillId="0" borderId="1" xfId="10" applyFont="1" applyFill="1" applyBorder="1" applyAlignment="1"/>
    <xf numFmtId="43" fontId="53" fillId="0" borderId="1" xfId="6" applyFont="1" applyFill="1" applyBorder="1" applyAlignment="1"/>
    <xf numFmtId="43" fontId="60" fillId="3" borderId="1" xfId="6" applyFont="1" applyFill="1" applyBorder="1" applyAlignment="1">
      <alignment horizontal="center" wrapText="1"/>
    </xf>
    <xf numFmtId="43" fontId="59" fillId="21" borderId="1" xfId="5" applyNumberFormat="1" applyFont="1" applyFill="1" applyBorder="1" applyAlignment="1">
      <alignment vertical="center"/>
    </xf>
    <xf numFmtId="43" fontId="59" fillId="21" borderId="1" xfId="5" applyNumberFormat="1" applyFont="1" applyFill="1" applyBorder="1" applyAlignment="1">
      <alignment horizontal="center" vertical="center"/>
    </xf>
    <xf numFmtId="43" fontId="59" fillId="21" borderId="1" xfId="6" applyFont="1" applyFill="1" applyBorder="1" applyAlignment="1">
      <alignment horizontal="center" vertical="center"/>
    </xf>
    <xf numFmtId="43" fontId="59" fillId="21" borderId="1" xfId="10" applyFont="1" applyFill="1" applyBorder="1" applyAlignment="1"/>
    <xf numFmtId="43" fontId="53" fillId="0" borderId="1" xfId="5" applyNumberFormat="1" applyFont="1" applyBorder="1" applyAlignment="1">
      <alignment vertical="center"/>
    </xf>
    <xf numFmtId="43" fontId="53" fillId="0" borderId="1" xfId="5" applyNumberFormat="1" applyFont="1" applyBorder="1" applyAlignment="1">
      <alignment horizontal="left" vertical="center"/>
    </xf>
    <xf numFmtId="43" fontId="61" fillId="0" borderId="1" xfId="10" applyFont="1" applyFill="1" applyBorder="1" applyAlignment="1">
      <alignment horizontal="center"/>
    </xf>
    <xf numFmtId="43" fontId="30" fillId="0" borderId="1" xfId="10" applyFont="1" applyFill="1" applyBorder="1" applyAlignment="1"/>
    <xf numFmtId="43" fontId="59" fillId="0" borderId="1" xfId="6" applyFont="1" applyFill="1" applyBorder="1" applyAlignment="1">
      <alignment horizontal="center"/>
    </xf>
    <xf numFmtId="43" fontId="61" fillId="0" borderId="1" xfId="6" applyFont="1" applyFill="1" applyBorder="1" applyAlignment="1">
      <alignment horizontal="center"/>
    </xf>
    <xf numFmtId="43" fontId="59" fillId="24" borderId="1" xfId="5" applyNumberFormat="1" applyFont="1" applyFill="1" applyBorder="1" applyAlignment="1">
      <alignment horizontal="center" vertical="center"/>
    </xf>
    <xf numFmtId="0" fontId="59" fillId="3" borderId="0" xfId="5" applyFont="1" applyFill="1" applyAlignment="1">
      <alignment horizontal="center" vertical="center"/>
    </xf>
    <xf numFmtId="43" fontId="59" fillId="3" borderId="0" xfId="5" applyNumberFormat="1" applyFont="1" applyFill="1" applyAlignment="1">
      <alignment horizontal="center" vertical="center"/>
    </xf>
    <xf numFmtId="43" fontId="59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3" fillId="0" borderId="0" xfId="10" applyFont="1" applyFill="1" applyBorder="1" applyAlignment="1"/>
    <xf numFmtId="43" fontId="53" fillId="0" borderId="0" xfId="6" applyFont="1" applyFill="1" applyBorder="1" applyAlignment="1"/>
    <xf numFmtId="17" fontId="53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3" fillId="0" borderId="0" xfId="5" applyNumberFormat="1" applyFont="1"/>
    <xf numFmtId="0" fontId="59" fillId="0" borderId="0" xfId="5" applyFont="1" applyAlignment="1">
      <alignment horizontal="left" vertical="center"/>
    </xf>
    <xf numFmtId="0" fontId="59" fillId="0" borderId="0" xfId="5" applyFont="1" applyAlignment="1">
      <alignment horizontal="center" vertical="center"/>
    </xf>
    <xf numFmtId="43" fontId="59" fillId="0" borderId="0" xfId="6" applyFont="1" applyFill="1" applyBorder="1" applyAlignment="1">
      <alignment horizontal="center" vertical="center"/>
    </xf>
    <xf numFmtId="17" fontId="62" fillId="0" borderId="0" xfId="5" applyNumberFormat="1" applyFont="1" applyAlignment="1">
      <alignment horizontal="left"/>
    </xf>
    <xf numFmtId="43" fontId="62" fillId="0" borderId="0" xfId="10" applyFont="1" applyFill="1" applyBorder="1" applyAlignment="1"/>
    <xf numFmtId="43" fontId="62" fillId="0" borderId="0" xfId="5" applyNumberFormat="1" applyFont="1"/>
    <xf numFmtId="0" fontId="62" fillId="0" borderId="0" xfId="5" applyFont="1"/>
    <xf numFmtId="43" fontId="62" fillId="0" borderId="0" xfId="6" applyFont="1" applyFill="1" applyBorder="1" applyAlignment="1"/>
    <xf numFmtId="0" fontId="59" fillId="0" borderId="0" xfId="5" applyFont="1" applyAlignment="1">
      <alignment horizontal="left"/>
    </xf>
    <xf numFmtId="43" fontId="59" fillId="0" borderId="0" xfId="5" applyNumberFormat="1" applyFont="1"/>
    <xf numFmtId="0" fontId="53" fillId="0" borderId="0" xfId="5" applyFont="1" applyAlignment="1">
      <alignment horizontal="left"/>
    </xf>
    <xf numFmtId="0" fontId="33" fillId="24" borderId="2" xfId="5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9" fontId="38" fillId="3" borderId="1" xfId="9" applyFont="1" applyFill="1" applyBorder="1" applyAlignment="1">
      <alignment horizontal="right" vertical="center"/>
    </xf>
    <xf numFmtId="4" fontId="38" fillId="0" borderId="1" xfId="3" applyNumberFormat="1" applyFont="1" applyBorder="1" applyAlignment="1">
      <alignment horizontal="center" vertical="center"/>
    </xf>
    <xf numFmtId="0" fontId="33" fillId="24" borderId="1" xfId="5" applyFont="1" applyFill="1" applyBorder="1" applyAlignment="1">
      <alignment horizontal="center" wrapText="1"/>
    </xf>
    <xf numFmtId="4" fontId="33" fillId="24" borderId="1" xfId="3" applyNumberFormat="1" applyFont="1" applyFill="1" applyBorder="1" applyAlignment="1">
      <alignment horizontal="right" vertical="center"/>
    </xf>
    <xf numFmtId="0" fontId="65" fillId="3" borderId="0" xfId="5" applyFont="1" applyFill="1" applyAlignment="1">
      <alignment horizontal="center"/>
    </xf>
    <xf numFmtId="3" fontId="65" fillId="3" borderId="0" xfId="5" applyNumberFormat="1" applyFont="1" applyFill="1" applyAlignment="1">
      <alignment horizontal="center" vertical="center"/>
    </xf>
    <xf numFmtId="0" fontId="66" fillId="0" borderId="0" xfId="0" applyFont="1"/>
    <xf numFmtId="0" fontId="0" fillId="0" borderId="16" xfId="0" applyBorder="1"/>
    <xf numFmtId="0" fontId="0" fillId="0" borderId="0" xfId="0" applyAlignment="1">
      <alignment vertical="center" wrapText="1"/>
    </xf>
    <xf numFmtId="0" fontId="68" fillId="0" borderId="1" xfId="11" applyFont="1" applyBorder="1" applyAlignment="1">
      <alignment vertical="center"/>
    </xf>
    <xf numFmtId="0" fontId="69" fillId="0" borderId="1" xfId="12" applyFont="1" applyBorder="1" applyAlignment="1">
      <alignment vertical="center"/>
    </xf>
    <xf numFmtId="0" fontId="69" fillId="0" borderId="1" xfId="12" applyFont="1" applyBorder="1" applyAlignment="1">
      <alignment horizontal="left" vertical="center"/>
    </xf>
    <xf numFmtId="43" fontId="0" fillId="0" borderId="1" xfId="6" applyFont="1" applyFill="1" applyBorder="1" applyAlignment="1"/>
    <xf numFmtId="0" fontId="68" fillId="0" borderId="1" xfId="13" applyFont="1" applyBorder="1" applyAlignment="1">
      <alignment vertical="center"/>
    </xf>
    <xf numFmtId="166" fontId="69" fillId="0" borderId="1" xfId="12" applyNumberFormat="1" applyFont="1" applyBorder="1" applyAlignment="1">
      <alignment horizontal="left" vertical="center"/>
    </xf>
    <xf numFmtId="0" fontId="68" fillId="0" borderId="1" xfId="0" applyFont="1" applyBorder="1" applyAlignment="1">
      <alignment vertical="center"/>
    </xf>
    <xf numFmtId="0" fontId="68" fillId="0" borderId="1" xfId="14" applyFont="1" applyBorder="1" applyAlignment="1">
      <alignment vertical="center"/>
    </xf>
    <xf numFmtId="0" fontId="68" fillId="0" borderId="1" xfId="15" applyFont="1" applyBorder="1" applyAlignment="1">
      <alignment vertical="center"/>
    </xf>
    <xf numFmtId="0" fontId="69" fillId="0" borderId="3" xfId="12" applyFont="1" applyBorder="1" applyAlignment="1">
      <alignment horizontal="left" vertical="center"/>
    </xf>
    <xf numFmtId="0" fontId="69" fillId="0" borderId="1" xfId="15" applyFont="1" applyBorder="1" applyAlignment="1">
      <alignment horizontal="left" vertical="center"/>
    </xf>
    <xf numFmtId="0" fontId="68" fillId="0" borderId="1" xfId="16" applyFont="1" applyBorder="1" applyAlignment="1">
      <alignment vertical="center"/>
    </xf>
    <xf numFmtId="0" fontId="2" fillId="3" borderId="0" xfId="1" applyFill="1"/>
    <xf numFmtId="0" fontId="0" fillId="3" borderId="1" xfId="0" applyFill="1" applyBorder="1"/>
    <xf numFmtId="44" fontId="0" fillId="3" borderId="0" xfId="0" applyNumberFormat="1" applyFill="1"/>
    <xf numFmtId="0" fontId="70" fillId="0" borderId="0" xfId="0" applyFont="1"/>
    <xf numFmtId="0" fontId="70" fillId="25" borderId="5" xfId="0" applyFont="1" applyFill="1" applyBorder="1"/>
    <xf numFmtId="0" fontId="70" fillId="25" borderId="1" xfId="0" applyFont="1" applyFill="1" applyBorder="1" applyAlignment="1">
      <alignment horizontal="center"/>
    </xf>
    <xf numFmtId="43" fontId="46" fillId="14" borderId="1" xfId="6" applyFont="1" applyFill="1" applyBorder="1" applyAlignment="1">
      <alignment horizontal="left" vertical="center" wrapText="1"/>
    </xf>
    <xf numFmtId="1" fontId="47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1" fontId="47" fillId="0" borderId="1" xfId="1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/>
    <xf numFmtId="0" fontId="47" fillId="0" borderId="1" xfId="0" applyFont="1" applyFill="1" applyBorder="1" applyAlignment="1">
      <alignment horizontal="center"/>
    </xf>
    <xf numFmtId="1" fontId="47" fillId="0" borderId="1" xfId="1" applyNumberFormat="1" applyFont="1" applyFill="1" applyBorder="1" applyAlignment="1">
      <alignment horizontal="left" vertical="center" wrapText="1"/>
    </xf>
    <xf numFmtId="1" fontId="47" fillId="0" borderId="1" xfId="0" applyNumberFormat="1" applyFont="1" applyFill="1" applyBorder="1" applyAlignment="1">
      <alignment horizontal="left" wrapText="1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59" fillId="24" borderId="1" xfId="5" applyFont="1" applyFill="1" applyBorder="1" applyAlignment="1">
      <alignment horizontal="center" vertical="center"/>
    </xf>
    <xf numFmtId="0" fontId="47" fillId="0" borderId="1" xfId="0" applyNumberFormat="1" applyFont="1" applyBorder="1" applyAlignment="1">
      <alignment horizontal="center"/>
    </xf>
    <xf numFmtId="14" fontId="47" fillId="0" borderId="1" xfId="0" applyNumberFormat="1" applyFont="1" applyFill="1" applyBorder="1" applyAlignment="1">
      <alignment horizontal="center"/>
    </xf>
    <xf numFmtId="43" fontId="43" fillId="15" borderId="32" xfId="0" applyNumberFormat="1" applyFont="1" applyFill="1" applyBorder="1" applyAlignment="1"/>
    <xf numFmtId="43" fontId="43" fillId="0" borderId="1" xfId="0" applyNumberFormat="1" applyFont="1" applyBorder="1"/>
    <xf numFmtId="43" fontId="59" fillId="0" borderId="1" xfId="10" applyFont="1" applyFill="1" applyBorder="1" applyAlignment="1"/>
    <xf numFmtId="43" fontId="59" fillId="0" borderId="0" xfId="5" applyNumberFormat="1" applyFont="1" applyAlignment="1">
      <alignment horizontal="center" vertical="center"/>
    </xf>
    <xf numFmtId="10" fontId="38" fillId="3" borderId="1" xfId="9" applyNumberFormat="1" applyFont="1" applyFill="1" applyBorder="1" applyAlignment="1">
      <alignment horizontal="right" vertical="center"/>
    </xf>
    <xf numFmtId="10" fontId="33" fillId="24" borderId="1" xfId="9" applyNumberFormat="1" applyFont="1" applyFill="1" applyBorder="1" applyAlignment="1">
      <alignment horizontal="center" vertical="center"/>
    </xf>
    <xf numFmtId="43" fontId="39" fillId="16" borderId="1" xfId="6" applyFont="1" applyFill="1" applyBorder="1" applyAlignment="1">
      <alignment horizontal="center" vertical="center" wrapText="1"/>
    </xf>
    <xf numFmtId="43" fontId="43" fillId="18" borderId="1" xfId="6" applyFont="1" applyFill="1" applyBorder="1"/>
    <xf numFmtId="43" fontId="1" fillId="0" borderId="1" xfId="6" applyFont="1" applyBorder="1"/>
    <xf numFmtId="0" fontId="39" fillId="0" borderId="7" xfId="0" applyFont="1" applyBorder="1" applyAlignment="1">
      <alignment horizontal="center"/>
    </xf>
    <xf numFmtId="14" fontId="0" fillId="3" borderId="1" xfId="0" applyNumberForma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44" fontId="0" fillId="3" borderId="1" xfId="0" applyNumberFormat="1" applyFill="1" applyBorder="1"/>
    <xf numFmtId="14" fontId="45" fillId="3" borderId="1" xfId="0" applyNumberFormat="1" applyFont="1" applyFill="1" applyBorder="1" applyAlignment="1">
      <alignment horizontal="left"/>
    </xf>
    <xf numFmtId="0" fontId="45" fillId="3" borderId="1" xfId="0" applyFont="1" applyFill="1" applyBorder="1"/>
    <xf numFmtId="0" fontId="45" fillId="3" borderId="1" xfId="0" applyFont="1" applyFill="1" applyBorder="1" applyAlignment="1">
      <alignment wrapText="1"/>
    </xf>
    <xf numFmtId="44" fontId="45" fillId="3" borderId="1" xfId="0" applyNumberFormat="1" applyFont="1" applyFill="1" applyBorder="1"/>
    <xf numFmtId="0" fontId="45" fillId="3" borderId="0" xfId="0" applyFont="1" applyFill="1"/>
    <xf numFmtId="4" fontId="0" fillId="3" borderId="1" xfId="0" applyNumberFormat="1" applyFill="1" applyBorder="1"/>
    <xf numFmtId="0" fontId="0" fillId="3" borderId="16" xfId="0" applyFill="1" applyBorder="1"/>
    <xf numFmtId="0" fontId="43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167" fontId="0" fillId="0" borderId="1" xfId="0" applyNumberFormat="1" applyBorder="1"/>
    <xf numFmtId="167" fontId="0" fillId="0" borderId="1" xfId="0" applyNumberFormat="1" applyBorder="1" applyAlignment="1">
      <alignment horizontal="right"/>
    </xf>
    <xf numFmtId="43" fontId="51" fillId="0" borderId="1" xfId="6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39" fillId="18" borderId="27" xfId="0" applyFont="1" applyFill="1" applyBorder="1" applyAlignment="1">
      <alignment horizontal="center"/>
    </xf>
    <xf numFmtId="0" fontId="39" fillId="11" borderId="42" xfId="0" applyFont="1" applyFill="1" applyBorder="1" applyAlignment="1">
      <alignment horizontal="center"/>
    </xf>
    <xf numFmtId="0" fontId="39" fillId="11" borderId="38" xfId="0" applyFont="1" applyFill="1" applyBorder="1" applyAlignment="1">
      <alignment horizontal="center"/>
    </xf>
    <xf numFmtId="0" fontId="39" fillId="11" borderId="43" xfId="0" applyFont="1" applyFill="1" applyBorder="1" applyAlignment="1">
      <alignment horizontal="center"/>
    </xf>
    <xf numFmtId="0" fontId="39" fillId="18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4" xfId="0" applyFont="1" applyBorder="1"/>
    <xf numFmtId="0" fontId="43" fillId="0" borderId="46" xfId="0" applyFont="1" applyBorder="1"/>
    <xf numFmtId="44" fontId="43" fillId="0" borderId="46" xfId="8" applyFont="1" applyBorder="1"/>
    <xf numFmtId="44" fontId="43" fillId="0" borderId="35" xfId="8" applyFont="1" applyBorder="1"/>
    <xf numFmtId="43" fontId="1" fillId="0" borderId="1" xfId="6" applyFont="1" applyBorder="1" applyAlignment="1">
      <alignment horizontal="center"/>
    </xf>
    <xf numFmtId="43" fontId="43" fillId="0" borderId="1" xfId="0" applyNumberFormat="1" applyFont="1" applyBorder="1" applyAlignment="1">
      <alignment horizontal="center"/>
    </xf>
    <xf numFmtId="0" fontId="71" fillId="26" borderId="1" xfId="0" applyFont="1" applyFill="1" applyBorder="1" applyAlignment="1">
      <alignment horizontal="left"/>
    </xf>
    <xf numFmtId="0" fontId="70" fillId="26" borderId="1" xfId="0" applyFont="1" applyFill="1" applyBorder="1" applyAlignment="1">
      <alignment horizontal="center" wrapText="1"/>
    </xf>
    <xf numFmtId="0" fontId="71" fillId="26" borderId="1" xfId="0" applyFont="1" applyFill="1" applyBorder="1" applyAlignment="1">
      <alignment horizontal="center" wrapText="1"/>
    </xf>
    <xf numFmtId="0" fontId="71" fillId="26" borderId="1" xfId="0" applyFont="1" applyFill="1" applyBorder="1" applyAlignment="1">
      <alignment horizontal="center"/>
    </xf>
    <xf numFmtId="14" fontId="47" fillId="14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168" fontId="69" fillId="0" borderId="1" xfId="12" applyNumberFormat="1" applyFont="1" applyBorder="1" applyAlignment="1">
      <alignment horizontal="left" vertical="center"/>
    </xf>
    <xf numFmtId="43" fontId="43" fillId="0" borderId="12" xfId="0" applyNumberFormat="1" applyFont="1" applyBorder="1"/>
    <xf numFmtId="0" fontId="70" fillId="27" borderId="1" xfId="0" applyFont="1" applyFill="1" applyBorder="1" applyAlignment="1">
      <alignment horizontal="center" vertical="center" wrapText="1"/>
    </xf>
    <xf numFmtId="0" fontId="70" fillId="27" borderId="1" xfId="0" applyFont="1" applyFill="1" applyBorder="1" applyAlignment="1">
      <alignment vertical="center" wrapText="1"/>
    </xf>
    <xf numFmtId="17" fontId="70" fillId="27" borderId="1" xfId="0" applyNumberFormat="1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3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0" fontId="43" fillId="15" borderId="26" xfId="0" applyFont="1" applyFill="1" applyBorder="1" applyAlignment="1">
      <alignment horizontal="center"/>
    </xf>
    <xf numFmtId="0" fontId="43" fillId="15" borderId="32" xfId="0" applyFont="1" applyFill="1" applyBorder="1" applyAlignment="1">
      <alignment horizontal="center"/>
    </xf>
    <xf numFmtId="0" fontId="43" fillId="0" borderId="5" xfId="0" applyFont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43" fillId="0" borderId="5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39" fillId="0" borderId="5" xfId="0" applyFont="1" applyBorder="1" applyAlignment="1">
      <alignment horizontal="right"/>
    </xf>
    <xf numFmtId="0" fontId="39" fillId="0" borderId="3" xfId="0" applyFont="1" applyBorder="1" applyAlignment="1">
      <alignment horizontal="right"/>
    </xf>
    <xf numFmtId="0" fontId="40" fillId="0" borderId="0" xfId="0" applyFont="1" applyAlignment="1">
      <alignment horizontal="center"/>
    </xf>
    <xf numFmtId="0" fontId="39" fillId="0" borderId="16" xfId="0" applyFont="1" applyBorder="1" applyAlignment="1">
      <alignment horizontal="center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4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8" borderId="5" xfId="0" applyFont="1" applyFill="1" applyBorder="1" applyAlignment="1">
      <alignment horizontal="center" vertical="center" wrapText="1"/>
    </xf>
    <xf numFmtId="0" fontId="39" fillId="18" borderId="4" xfId="0" applyFont="1" applyFill="1" applyBorder="1" applyAlignment="1">
      <alignment horizontal="center" vertical="center" wrapText="1"/>
    </xf>
    <xf numFmtId="0" fontId="39" fillId="19" borderId="2" xfId="0" applyFont="1" applyFill="1" applyBorder="1" applyAlignment="1">
      <alignment horizontal="center" vertical="center" wrapText="1"/>
    </xf>
    <xf numFmtId="0" fontId="39" fillId="19" borderId="7" xfId="0" applyFont="1" applyFill="1" applyBorder="1" applyAlignment="1">
      <alignment horizontal="center" vertical="center" wrapText="1"/>
    </xf>
    <xf numFmtId="0" fontId="39" fillId="19" borderId="6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0" fontId="43" fillId="18" borderId="5" xfId="0" applyFont="1" applyFill="1" applyBorder="1" applyAlignment="1">
      <alignment horizontal="center"/>
    </xf>
    <xf numFmtId="0" fontId="43" fillId="18" borderId="4" xfId="0" applyFont="1" applyFill="1" applyBorder="1" applyAlignment="1">
      <alignment horizontal="center"/>
    </xf>
    <xf numFmtId="0" fontId="43" fillId="18" borderId="3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39" fillId="18" borderId="29" xfId="0" applyFont="1" applyFill="1" applyBorder="1" applyAlignment="1">
      <alignment horizontal="center"/>
    </xf>
    <xf numFmtId="0" fontId="39" fillId="18" borderId="45" xfId="0" applyFont="1" applyFill="1" applyBorder="1" applyAlignment="1">
      <alignment horizontal="center"/>
    </xf>
    <xf numFmtId="0" fontId="39" fillId="18" borderId="5" xfId="0" applyFont="1" applyFill="1" applyBorder="1" applyAlignment="1">
      <alignment horizontal="center"/>
    </xf>
    <xf numFmtId="0" fontId="39" fillId="18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44" xfId="0" applyFont="1" applyFill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40" fillId="0" borderId="32" xfId="0" applyFont="1" applyBorder="1" applyAlignment="1">
      <alignment horizontal="center"/>
    </xf>
    <xf numFmtId="0" fontId="39" fillId="18" borderId="40" xfId="0" applyFont="1" applyFill="1" applyBorder="1" applyAlignment="1">
      <alignment horizontal="center"/>
    </xf>
    <xf numFmtId="0" fontId="39" fillId="18" borderId="41" xfId="0" applyFont="1" applyFill="1" applyBorder="1" applyAlignment="1">
      <alignment horizontal="center"/>
    </xf>
    <xf numFmtId="0" fontId="0" fillId="3" borderId="0" xfId="0" applyFill="1" applyAlignment="1">
      <alignment horizontal="left" vertical="top" wrapText="1"/>
    </xf>
    <xf numFmtId="0" fontId="41" fillId="0" borderId="0" xfId="0" applyFont="1" applyAlignment="1">
      <alignment horizontal="center"/>
    </xf>
    <xf numFmtId="0" fontId="43" fillId="20" borderId="1" xfId="0" applyFont="1" applyFill="1" applyBorder="1" applyAlignment="1">
      <alignment horizontal="center"/>
    </xf>
    <xf numFmtId="0" fontId="43" fillId="0" borderId="36" xfId="0" applyFont="1" applyBorder="1" applyAlignment="1">
      <alignment horizontal="left"/>
    </xf>
    <xf numFmtId="0" fontId="0" fillId="3" borderId="0" xfId="0" applyFill="1" applyAlignment="1">
      <alignment horizontal="left"/>
    </xf>
    <xf numFmtId="0" fontId="26" fillId="0" borderId="0" xfId="0" applyFont="1" applyAlignment="1">
      <alignment horizontal="left"/>
    </xf>
    <xf numFmtId="0" fontId="43" fillId="0" borderId="47" xfId="0" applyFont="1" applyBorder="1" applyAlignment="1">
      <alignment horizontal="center"/>
    </xf>
    <xf numFmtId="0" fontId="43" fillId="0" borderId="48" xfId="0" applyFont="1" applyBorder="1" applyAlignment="1">
      <alignment horizontal="center"/>
    </xf>
    <xf numFmtId="0" fontId="43" fillId="0" borderId="49" xfId="0" applyFont="1" applyBorder="1" applyAlignment="1">
      <alignment horizontal="center"/>
    </xf>
    <xf numFmtId="0" fontId="59" fillId="24" borderId="39" xfId="5" applyFont="1" applyFill="1" applyBorder="1" applyAlignment="1">
      <alignment horizontal="center" vertical="center"/>
    </xf>
    <xf numFmtId="0" fontId="59" fillId="21" borderId="1" xfId="5" applyFont="1" applyFill="1" applyBorder="1" applyAlignment="1">
      <alignment horizontal="center" vertical="center"/>
    </xf>
    <xf numFmtId="0" fontId="59" fillId="24" borderId="1" xfId="5" applyFont="1" applyFill="1" applyBorder="1" applyAlignment="1">
      <alignment horizontal="center" vertical="center"/>
    </xf>
    <xf numFmtId="0" fontId="52" fillId="0" borderId="0" xfId="5" applyFont="1" applyAlignment="1">
      <alignment horizontal="center"/>
    </xf>
    <xf numFmtId="0" fontId="54" fillId="0" borderId="0" xfId="5" applyFont="1" applyAlignment="1">
      <alignment horizontal="center"/>
    </xf>
    <xf numFmtId="0" fontId="55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59" fillId="23" borderId="28" xfId="5" applyFont="1" applyFill="1" applyBorder="1" applyAlignment="1">
      <alignment horizontal="center" vertical="center"/>
    </xf>
    <xf numFmtId="0" fontId="59" fillId="23" borderId="39" xfId="5" applyFont="1" applyFill="1" applyBorder="1" applyAlignment="1">
      <alignment horizontal="center" vertical="center"/>
    </xf>
    <xf numFmtId="0" fontId="59" fillId="24" borderId="40" xfId="5" applyFont="1" applyFill="1" applyBorder="1" applyAlignment="1">
      <alignment horizontal="center" vertical="center"/>
    </xf>
    <xf numFmtId="0" fontId="59" fillId="24" borderId="41" xfId="5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56" fillId="0" borderId="0" xfId="5" applyFont="1" applyAlignment="1">
      <alignment horizontal="center" wrapText="1"/>
    </xf>
    <xf numFmtId="0" fontId="56" fillId="0" borderId="0" xfId="5" applyFont="1" applyAlignment="1">
      <alignment horizontal="center"/>
    </xf>
    <xf numFmtId="0" fontId="72" fillId="20" borderId="37" xfId="0" applyFont="1" applyFill="1" applyBorder="1" applyAlignment="1">
      <alignment horizontal="center" vertical="center"/>
    </xf>
    <xf numFmtId="0" fontId="72" fillId="20" borderId="38" xfId="0" applyFont="1" applyFill="1" applyBorder="1" applyAlignment="1">
      <alignment horizontal="center" vertical="center"/>
    </xf>
    <xf numFmtId="0" fontId="72" fillId="20" borderId="38" xfId="0" applyFont="1" applyFill="1" applyBorder="1" applyAlignment="1">
      <alignment horizontal="center" vertical="center" wrapText="1"/>
    </xf>
    <xf numFmtId="0" fontId="72" fillId="3" borderId="1" xfId="0" applyFont="1" applyFill="1" applyBorder="1"/>
    <xf numFmtId="0" fontId="48" fillId="3" borderId="2" xfId="0" applyFont="1" applyFill="1" applyBorder="1" applyAlignment="1">
      <alignment vertical="center" wrapText="1"/>
    </xf>
    <xf numFmtId="14" fontId="48" fillId="3" borderId="1" xfId="0" applyNumberFormat="1" applyFont="1" applyFill="1" applyBorder="1"/>
    <xf numFmtId="1" fontId="48" fillId="3" borderId="1" xfId="0" applyNumberFormat="1" applyFont="1" applyFill="1" applyBorder="1"/>
    <xf numFmtId="44" fontId="48" fillId="3" borderId="1" xfId="8" applyFont="1" applyFill="1" applyBorder="1"/>
    <xf numFmtId="0" fontId="72" fillId="0" borderId="1" xfId="0" applyFont="1" applyBorder="1"/>
    <xf numFmtId="0" fontId="72" fillId="21" borderId="1" xfId="0" applyFont="1" applyFill="1" applyBorder="1" applyAlignment="1">
      <alignment horizontal="center" vertical="center" wrapText="1"/>
    </xf>
    <xf numFmtId="0" fontId="48" fillId="21" borderId="1" xfId="0" applyFont="1" applyFill="1" applyBorder="1"/>
    <xf numFmtId="44" fontId="72" fillId="21" borderId="1" xfId="8" applyFont="1" applyFill="1" applyBorder="1"/>
    <xf numFmtId="0" fontId="72" fillId="0" borderId="2" xfId="0" applyFont="1" applyBorder="1" applyAlignment="1">
      <alignment horizontal="left" vertical="center" wrapText="1"/>
    </xf>
    <xf numFmtId="167" fontId="48" fillId="0" borderId="1" xfId="0" applyNumberFormat="1" applyFont="1" applyBorder="1" applyAlignment="1">
      <alignment horizontal="right"/>
    </xf>
    <xf numFmtId="1" fontId="48" fillId="0" borderId="7" xfId="0" applyNumberFormat="1" applyFont="1" applyBorder="1"/>
    <xf numFmtId="43" fontId="48" fillId="0" borderId="1" xfId="6" applyFont="1" applyBorder="1"/>
    <xf numFmtId="0" fontId="72" fillId="0" borderId="7" xfId="0" applyFont="1" applyBorder="1" applyAlignment="1">
      <alignment horizontal="left" vertical="center" wrapText="1"/>
    </xf>
    <xf numFmtId="1" fontId="48" fillId="0" borderId="1" xfId="0" applyNumberFormat="1" applyFont="1" applyBorder="1"/>
    <xf numFmtId="167" fontId="48" fillId="3" borderId="1" xfId="0" applyNumberFormat="1" applyFont="1" applyFill="1" applyBorder="1" applyAlignment="1">
      <alignment horizontal="right"/>
    </xf>
    <xf numFmtId="43" fontId="48" fillId="3" borderId="1" xfId="6" applyFont="1" applyFill="1" applyBorder="1"/>
    <xf numFmtId="167" fontId="48" fillId="14" borderId="1" xfId="0" applyNumberFormat="1" applyFont="1" applyFill="1" applyBorder="1" applyAlignment="1">
      <alignment horizontal="right"/>
    </xf>
    <xf numFmtId="0" fontId="48" fillId="14" borderId="1" xfId="0" applyFont="1" applyFill="1" applyBorder="1"/>
    <xf numFmtId="43" fontId="48" fillId="14" borderId="1" xfId="6" applyFont="1" applyFill="1" applyBorder="1"/>
    <xf numFmtId="0" fontId="72" fillId="0" borderId="6" xfId="0" applyFont="1" applyBorder="1" applyAlignment="1">
      <alignment horizontal="left" vertical="center" wrapText="1"/>
    </xf>
    <xf numFmtId="0" fontId="72" fillId="0" borderId="6" xfId="0" applyFont="1" applyBorder="1" applyAlignment="1">
      <alignment horizontal="left" vertical="center" wrapText="1"/>
    </xf>
    <xf numFmtId="0" fontId="72" fillId="0" borderId="1" xfId="0" applyFont="1" applyFill="1" applyBorder="1"/>
    <xf numFmtId="43" fontId="72" fillId="0" borderId="1" xfId="0" applyNumberFormat="1" applyFont="1" applyFill="1" applyBorder="1"/>
    <xf numFmtId="0" fontId="72" fillId="0" borderId="7" xfId="0" applyFont="1" applyBorder="1" applyAlignment="1">
      <alignment horizontal="center" vertical="center" wrapText="1"/>
    </xf>
    <xf numFmtId="0" fontId="48" fillId="0" borderId="2" xfId="0" applyFont="1" applyFill="1" applyBorder="1" applyAlignment="1">
      <alignment wrapText="1"/>
    </xf>
    <xf numFmtId="44" fontId="48" fillId="0" borderId="1" xfId="8" applyFont="1" applyFill="1" applyBorder="1" applyAlignment="1">
      <alignment wrapText="1"/>
    </xf>
    <xf numFmtId="1" fontId="48" fillId="0" borderId="1" xfId="0" applyNumberFormat="1" applyFont="1" applyFill="1" applyBorder="1"/>
    <xf numFmtId="44" fontId="48" fillId="0" borderId="1" xfId="8" applyFont="1" applyFill="1" applyBorder="1"/>
    <xf numFmtId="0" fontId="48" fillId="0" borderId="1" xfId="0" applyFont="1" applyFill="1" applyBorder="1"/>
    <xf numFmtId="0" fontId="48" fillId="0" borderId="1" xfId="0" applyFont="1" applyFill="1" applyBorder="1" applyAlignment="1">
      <alignment wrapText="1"/>
    </xf>
    <xf numFmtId="0" fontId="72" fillId="0" borderId="13" xfId="0" applyFont="1" applyBorder="1" applyAlignment="1">
      <alignment horizontal="center" vertical="center" wrapText="1"/>
    </xf>
    <xf numFmtId="14" fontId="73" fillId="0" borderId="1" xfId="5" applyNumberFormat="1" applyFont="1" applyFill="1" applyBorder="1" applyAlignment="1">
      <alignment wrapText="1"/>
    </xf>
    <xf numFmtId="44" fontId="73" fillId="0" borderId="1" xfId="8" applyFont="1" applyFill="1" applyBorder="1"/>
    <xf numFmtId="0" fontId="48" fillId="0" borderId="2" xfId="0" applyFont="1" applyBorder="1"/>
    <xf numFmtId="14" fontId="73" fillId="3" borderId="1" xfId="5" applyNumberFormat="1" applyFont="1" applyFill="1" applyBorder="1"/>
    <xf numFmtId="44" fontId="73" fillId="3" borderId="1" xfId="8" applyFont="1" applyFill="1" applyBorder="1"/>
    <xf numFmtId="0" fontId="72" fillId="21" borderId="5" xfId="0" applyFont="1" applyFill="1" applyBorder="1" applyAlignment="1">
      <alignment horizontal="center" vertical="center" wrapText="1"/>
    </xf>
    <xf numFmtId="0" fontId="72" fillId="21" borderId="3" xfId="0" applyFont="1" applyFill="1" applyBorder="1" applyAlignment="1">
      <alignment horizontal="center" vertical="center" wrapText="1"/>
    </xf>
    <xf numFmtId="0" fontId="72" fillId="22" borderId="5" xfId="0" applyFont="1" applyFill="1" applyBorder="1" applyAlignment="1">
      <alignment horizontal="center" vertical="center" wrapText="1"/>
    </xf>
    <xf numFmtId="0" fontId="72" fillId="22" borderId="3" xfId="0" applyFont="1" applyFill="1" applyBorder="1" applyAlignment="1">
      <alignment horizontal="center" vertical="center" wrapText="1"/>
    </xf>
    <xf numFmtId="0" fontId="48" fillId="22" borderId="1" xfId="0" applyFont="1" applyFill="1" applyBorder="1"/>
    <xf numFmtId="44" fontId="72" fillId="22" borderId="1" xfId="8" applyFont="1" applyFill="1" applyBorder="1"/>
    <xf numFmtId="0" fontId="48" fillId="0" borderId="1" xfId="0" applyFont="1" applyBorder="1" applyAlignment="1">
      <alignment vertical="center" wrapText="1"/>
    </xf>
    <xf numFmtId="0" fontId="48" fillId="3" borderId="1" xfId="0" applyFont="1" applyFill="1" applyBorder="1" applyAlignment="1">
      <alignment vertical="center" wrapText="1"/>
    </xf>
    <xf numFmtId="0" fontId="44" fillId="14" borderId="1" xfId="0" applyFont="1" applyFill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</cellXfs>
  <cellStyles count="17">
    <cellStyle name="Comma" xfId="6" builtinId="3"/>
    <cellStyle name="Currency" xfId="8" builtinId="4"/>
    <cellStyle name="Millares 2" xfId="3" xr:uid="{00000000-0005-0000-0000-000001000000}"/>
    <cellStyle name="Millares 2 2" xfId="4" xr:uid="{00000000-0005-0000-0000-000002000000}"/>
    <cellStyle name="Millares 2 4" xfId="10" xr:uid="{00000000-0005-0000-0000-000003000000}"/>
    <cellStyle name="Millares 3" xfId="7" xr:uid="{00000000-0005-0000-0000-000004000000}"/>
    <cellStyle name="Normal" xfId="0" builtinId="0"/>
    <cellStyle name="Normal 10" xfId="13" xr:uid="{00000000-0005-0000-0000-000007000000}"/>
    <cellStyle name="Normal 11" xfId="14" xr:uid="{00000000-0005-0000-0000-000008000000}"/>
    <cellStyle name="Normal 12 3" xfId="16" xr:uid="{00000000-0005-0000-0000-000009000000}"/>
    <cellStyle name="Normal 17" xfId="11" xr:uid="{00000000-0005-0000-0000-00000A000000}"/>
    <cellStyle name="Normal 2" xfId="1" xr:uid="{00000000-0005-0000-0000-00000B000000}"/>
    <cellStyle name="Normal 2 2" xfId="5" xr:uid="{00000000-0005-0000-0000-00000C000000}"/>
    <cellStyle name="Normal 2 4" xfId="12" xr:uid="{00000000-0005-0000-0000-00000D000000}"/>
    <cellStyle name="Normal 9" xfId="15" xr:uid="{00000000-0005-0000-0000-00000E000000}"/>
    <cellStyle name="Percent" xfId="9" builtinId="5"/>
    <cellStyle name="Porcentaje 2" xfId="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704850</xdr:colOff>
      <xdr:row>0</xdr:row>
      <xdr:rowOff>57150</xdr:rowOff>
    </xdr:from>
    <xdr:to>
      <xdr:col>5</xdr:col>
      <xdr:colOff>17212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57150"/>
          <a:ext cx="156661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398992</xdr:colOff>
      <xdr:row>0</xdr:row>
      <xdr:rowOff>185208</xdr:rowOff>
    </xdr:from>
    <xdr:ext cx="1304925" cy="456142"/>
    <xdr:pic>
      <xdr:nvPicPr>
        <xdr:cNvPr id="2" name="Imagen 1">
          <a:extLst>
            <a:ext uri="{FF2B5EF4-FFF2-40B4-BE49-F238E27FC236}">
              <a16:creationId xmlns:a16="http://schemas.microsoft.com/office/drawing/2014/main" id="{BEB0E77B-E60C-499E-AA30-E79B408F3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0192" y="185208"/>
          <a:ext cx="1304925" cy="456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52917</xdr:rowOff>
    </xdr:from>
    <xdr:to>
      <xdr:col>0</xdr:col>
      <xdr:colOff>2296583</xdr:colOff>
      <xdr:row>5</xdr:row>
      <xdr:rowOff>46567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22184B-713C-4575-B9C7-A17EAD78FF3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50"/>
          <a:ext cx="2296583" cy="628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169"/>
  <sheetViews>
    <sheetView view="pageBreakPreview" zoomScale="90" zoomScaleNormal="90" zoomScaleSheetLayoutView="90" workbookViewId="0">
      <selection activeCell="M14" sqref="M14"/>
    </sheetView>
  </sheetViews>
  <sheetFormatPr defaultColWidth="11.42578125" defaultRowHeight="15" x14ac:dyDescent="0.25"/>
  <cols>
    <col min="1" max="1" width="11.42578125" style="335"/>
    <col min="2" max="2" width="17.7109375" customWidth="1"/>
    <col min="3" max="3" width="18.85546875" customWidth="1"/>
    <col min="4" max="4" width="13.7109375" customWidth="1"/>
    <col min="5" max="5" width="33.85546875" style="275" customWidth="1"/>
    <col min="6" max="6" width="56.28515625" style="275" customWidth="1"/>
    <col min="7" max="7" width="20.42578125" bestFit="1" customWidth="1"/>
    <col min="8" max="8" width="16.42578125" customWidth="1"/>
  </cols>
  <sheetData>
    <row r="5" spans="1:9" x14ac:dyDescent="0.25">
      <c r="A5" s="342" t="s">
        <v>425</v>
      </c>
      <c r="B5" s="342"/>
      <c r="C5" s="342"/>
      <c r="D5" s="342"/>
      <c r="E5" s="342"/>
      <c r="F5" s="342"/>
      <c r="G5" s="342"/>
      <c r="H5" s="342"/>
    </row>
    <row r="6" spans="1:9" x14ac:dyDescent="0.25">
      <c r="A6" s="343" t="s">
        <v>426</v>
      </c>
      <c r="B6" s="343"/>
      <c r="C6" s="343"/>
      <c r="D6" s="343"/>
      <c r="E6" s="343"/>
      <c r="F6" s="343"/>
      <c r="G6" s="343"/>
      <c r="H6" s="343"/>
    </row>
    <row r="7" spans="1:9" x14ac:dyDescent="0.25">
      <c r="A7" s="344" t="s">
        <v>689</v>
      </c>
      <c r="B7" s="344"/>
      <c r="C7" s="344"/>
      <c r="D7" s="344"/>
      <c r="E7" s="344"/>
      <c r="F7" s="344"/>
      <c r="G7" s="344"/>
      <c r="H7" s="344"/>
    </row>
    <row r="9" spans="1:9" s="131" customFormat="1" x14ac:dyDescent="0.25">
      <c r="A9" s="345" t="s">
        <v>690</v>
      </c>
      <c r="B9" s="345"/>
      <c r="C9" s="345"/>
      <c r="D9" s="345"/>
      <c r="E9" s="345"/>
      <c r="F9" s="345"/>
      <c r="G9" s="345"/>
      <c r="H9" s="345"/>
    </row>
    <row r="10" spans="1:9" ht="27" x14ac:dyDescent="0.25">
      <c r="A10" s="334" t="s">
        <v>374</v>
      </c>
      <c r="B10" s="132" t="s">
        <v>427</v>
      </c>
      <c r="C10" s="132" t="s">
        <v>428</v>
      </c>
      <c r="D10" s="132" t="s">
        <v>429</v>
      </c>
      <c r="E10" s="133" t="s">
        <v>430</v>
      </c>
      <c r="F10" s="273" t="s">
        <v>431</v>
      </c>
      <c r="G10" s="134" t="s">
        <v>432</v>
      </c>
      <c r="H10" s="134" t="s">
        <v>433</v>
      </c>
    </row>
    <row r="11" spans="1:9" ht="57" x14ac:dyDescent="0.3">
      <c r="A11" s="288">
        <v>45697</v>
      </c>
      <c r="B11" s="136"/>
      <c r="C11" s="136">
        <v>290</v>
      </c>
      <c r="D11" s="136"/>
      <c r="E11" s="276" t="s">
        <v>691</v>
      </c>
      <c r="F11" s="274" t="s">
        <v>692</v>
      </c>
      <c r="G11" s="137">
        <v>177799.99</v>
      </c>
      <c r="H11" s="138">
        <v>170266.1</v>
      </c>
      <c r="I11" s="227"/>
    </row>
    <row r="12" spans="1:9" ht="42.75" x14ac:dyDescent="0.3">
      <c r="A12" s="288">
        <v>45786</v>
      </c>
      <c r="B12" s="136"/>
      <c r="C12" s="136">
        <v>291</v>
      </c>
      <c r="D12" s="136"/>
      <c r="E12" s="276" t="s">
        <v>693</v>
      </c>
      <c r="F12" s="274" t="s">
        <v>694</v>
      </c>
      <c r="G12" s="137">
        <v>155677.4</v>
      </c>
      <c r="H12" s="138">
        <v>149080.9</v>
      </c>
      <c r="I12" s="227"/>
    </row>
    <row r="13" spans="1:9" ht="28.5" x14ac:dyDescent="0.3">
      <c r="A13" s="288">
        <v>45786</v>
      </c>
      <c r="B13" s="136"/>
      <c r="C13" s="136">
        <v>292</v>
      </c>
      <c r="D13" s="136"/>
      <c r="E13" s="276" t="s">
        <v>695</v>
      </c>
      <c r="F13" s="274" t="s">
        <v>696</v>
      </c>
      <c r="G13" s="137">
        <v>90600</v>
      </c>
      <c r="H13" s="138">
        <v>86070</v>
      </c>
      <c r="I13" s="227"/>
    </row>
    <row r="14" spans="1:9" ht="42.75" x14ac:dyDescent="0.3">
      <c r="A14" s="288">
        <v>45786</v>
      </c>
      <c r="B14" s="136"/>
      <c r="C14" s="136">
        <v>293</v>
      </c>
      <c r="D14" s="136"/>
      <c r="E14" s="276" t="s">
        <v>697</v>
      </c>
      <c r="F14" s="274" t="s">
        <v>698</v>
      </c>
      <c r="G14" s="137">
        <v>4800</v>
      </c>
      <c r="H14" s="138">
        <v>4560</v>
      </c>
      <c r="I14" s="227"/>
    </row>
    <row r="15" spans="1:9" ht="42.75" x14ac:dyDescent="0.3">
      <c r="A15" s="288">
        <v>45786</v>
      </c>
      <c r="B15" s="136"/>
      <c r="C15" s="136">
        <v>294</v>
      </c>
      <c r="D15" s="136"/>
      <c r="E15" s="276" t="s">
        <v>699</v>
      </c>
      <c r="F15" s="274" t="s">
        <v>700</v>
      </c>
      <c r="G15" s="137">
        <v>14000</v>
      </c>
      <c r="H15" s="138">
        <v>14000</v>
      </c>
      <c r="I15" s="227"/>
    </row>
    <row r="16" spans="1:9" ht="42.75" x14ac:dyDescent="0.3">
      <c r="A16" s="288">
        <v>45786</v>
      </c>
      <c r="B16" s="136"/>
      <c r="C16" s="136">
        <v>295</v>
      </c>
      <c r="D16" s="136"/>
      <c r="E16" s="276" t="s">
        <v>701</v>
      </c>
      <c r="F16" s="274" t="s">
        <v>702</v>
      </c>
      <c r="G16" s="137">
        <v>30060</v>
      </c>
      <c r="H16" s="138">
        <v>30060</v>
      </c>
      <c r="I16" s="227"/>
    </row>
    <row r="17" spans="1:9" ht="42.75" x14ac:dyDescent="0.3">
      <c r="A17" s="288">
        <v>45786</v>
      </c>
      <c r="B17" s="136"/>
      <c r="C17" s="136">
        <v>296</v>
      </c>
      <c r="D17" s="136"/>
      <c r="E17" s="276" t="s">
        <v>701</v>
      </c>
      <c r="F17" s="274" t="s">
        <v>703</v>
      </c>
      <c r="G17" s="137">
        <v>7000</v>
      </c>
      <c r="H17" s="138">
        <v>7000</v>
      </c>
      <c r="I17" s="227"/>
    </row>
    <row r="18" spans="1:9" ht="57" x14ac:dyDescent="0.3">
      <c r="A18" s="288">
        <v>45786</v>
      </c>
      <c r="B18" s="136"/>
      <c r="C18" s="136">
        <v>297</v>
      </c>
      <c r="D18" s="136"/>
      <c r="E18" s="276" t="s">
        <v>704</v>
      </c>
      <c r="F18" s="274" t="s">
        <v>705</v>
      </c>
      <c r="G18" s="137">
        <v>132966.46</v>
      </c>
      <c r="H18" s="137">
        <v>132966.46</v>
      </c>
      <c r="I18" s="227"/>
    </row>
    <row r="19" spans="1:9" ht="28.5" x14ac:dyDescent="0.3">
      <c r="A19" s="288">
        <v>45786</v>
      </c>
      <c r="B19" s="136"/>
      <c r="C19" s="136">
        <v>298</v>
      </c>
      <c r="D19" s="136"/>
      <c r="E19" s="276" t="s">
        <v>706</v>
      </c>
      <c r="F19" s="274" t="s">
        <v>707</v>
      </c>
      <c r="G19" s="137">
        <v>16000</v>
      </c>
      <c r="H19" s="138">
        <v>15200</v>
      </c>
      <c r="I19" s="227"/>
    </row>
    <row r="20" spans="1:9" ht="28.5" x14ac:dyDescent="0.3">
      <c r="A20" s="288">
        <v>45786</v>
      </c>
      <c r="B20" s="136"/>
      <c r="C20" s="136">
        <v>299</v>
      </c>
      <c r="D20" s="136"/>
      <c r="E20" s="276" t="s">
        <v>708</v>
      </c>
      <c r="F20" s="274" t="s">
        <v>709</v>
      </c>
      <c r="G20" s="137">
        <v>25000</v>
      </c>
      <c r="H20" s="138">
        <v>25000</v>
      </c>
      <c r="I20" s="227"/>
    </row>
    <row r="21" spans="1:9" ht="30.75" x14ac:dyDescent="0.3">
      <c r="A21" s="288">
        <v>45786</v>
      </c>
      <c r="B21" s="136"/>
      <c r="C21" s="136">
        <v>300</v>
      </c>
      <c r="D21" s="136"/>
      <c r="E21" s="276" t="s">
        <v>710</v>
      </c>
      <c r="F21" s="145" t="s">
        <v>711</v>
      </c>
      <c r="G21" s="137">
        <v>111421.68</v>
      </c>
      <c r="H21" s="137">
        <v>111421.68</v>
      </c>
      <c r="I21" s="227"/>
    </row>
    <row r="22" spans="1:9" ht="28.5" x14ac:dyDescent="0.3">
      <c r="A22" s="288">
        <v>45786</v>
      </c>
      <c r="B22" s="136"/>
      <c r="C22" s="136">
        <v>301</v>
      </c>
      <c r="D22" s="136"/>
      <c r="E22" s="276" t="s">
        <v>712</v>
      </c>
      <c r="F22" s="274" t="s">
        <v>713</v>
      </c>
      <c r="G22" s="137">
        <v>25000</v>
      </c>
      <c r="H22" s="138">
        <v>25000</v>
      </c>
      <c r="I22" s="227"/>
    </row>
    <row r="23" spans="1:9" ht="42.75" x14ac:dyDescent="0.3">
      <c r="A23" s="288">
        <v>45878</v>
      </c>
      <c r="B23" s="136"/>
      <c r="C23" s="136">
        <v>302</v>
      </c>
      <c r="D23" s="136"/>
      <c r="E23" s="276" t="s">
        <v>714</v>
      </c>
      <c r="F23" s="274" t="s">
        <v>715</v>
      </c>
      <c r="G23" s="137">
        <v>1819265</v>
      </c>
      <c r="H23" s="138">
        <v>1742177.5</v>
      </c>
      <c r="I23" s="227"/>
    </row>
    <row r="24" spans="1:9" ht="42.75" x14ac:dyDescent="0.3">
      <c r="A24" s="288">
        <v>45878</v>
      </c>
      <c r="B24" s="136"/>
      <c r="C24" s="136">
        <v>303</v>
      </c>
      <c r="D24" s="136"/>
      <c r="E24" s="276" t="s">
        <v>716</v>
      </c>
      <c r="F24" s="274" t="s">
        <v>717</v>
      </c>
      <c r="G24" s="137">
        <v>653845.29</v>
      </c>
      <c r="H24" s="138">
        <v>623051.81000000006</v>
      </c>
      <c r="I24" s="227"/>
    </row>
    <row r="25" spans="1:9" ht="28.5" x14ac:dyDescent="0.3">
      <c r="A25" s="288">
        <v>45970</v>
      </c>
      <c r="B25" s="136"/>
      <c r="C25" s="136">
        <v>304</v>
      </c>
      <c r="D25" s="136"/>
      <c r="E25" s="276" t="s">
        <v>718</v>
      </c>
      <c r="F25" s="274" t="s">
        <v>719</v>
      </c>
      <c r="G25" s="137">
        <v>237670</v>
      </c>
      <c r="H25" s="138">
        <v>225786.5</v>
      </c>
      <c r="I25" s="227"/>
    </row>
    <row r="26" spans="1:9" ht="42.75" x14ac:dyDescent="0.3">
      <c r="A26" s="288">
        <v>46000</v>
      </c>
      <c r="B26" s="136"/>
      <c r="C26" s="136">
        <v>305</v>
      </c>
      <c r="D26" s="136"/>
      <c r="E26" s="276" t="s">
        <v>720</v>
      </c>
      <c r="F26" s="274" t="s">
        <v>721</v>
      </c>
      <c r="G26" s="137">
        <v>90048.75</v>
      </c>
      <c r="H26" s="138">
        <v>86233.13</v>
      </c>
      <c r="I26" s="227"/>
    </row>
    <row r="27" spans="1:9" ht="28.5" x14ac:dyDescent="0.3">
      <c r="A27" s="288">
        <v>46000</v>
      </c>
      <c r="B27" s="136"/>
      <c r="C27" s="136">
        <v>306</v>
      </c>
      <c r="D27" s="136"/>
      <c r="E27" s="276" t="s">
        <v>722</v>
      </c>
      <c r="F27" s="274" t="s">
        <v>723</v>
      </c>
      <c r="G27" s="137">
        <v>172000</v>
      </c>
      <c r="H27" s="138">
        <v>170573.26</v>
      </c>
      <c r="I27" s="227"/>
    </row>
    <row r="28" spans="1:9" ht="28.5" x14ac:dyDescent="0.3">
      <c r="A28" s="288" t="s">
        <v>881</v>
      </c>
      <c r="B28" s="136"/>
      <c r="C28" s="136">
        <v>307</v>
      </c>
      <c r="D28" s="136"/>
      <c r="E28" s="276" t="s">
        <v>724</v>
      </c>
      <c r="F28" s="274" t="s">
        <v>725</v>
      </c>
      <c r="G28" s="137">
        <v>27704.04</v>
      </c>
      <c r="H28" s="138">
        <v>26530.14</v>
      </c>
      <c r="I28" s="227"/>
    </row>
    <row r="29" spans="1:9" ht="42.75" x14ac:dyDescent="0.3">
      <c r="A29" s="288" t="s">
        <v>882</v>
      </c>
      <c r="B29" s="136"/>
      <c r="C29" s="136">
        <v>308</v>
      </c>
      <c r="D29" s="136"/>
      <c r="E29" s="276" t="s">
        <v>726</v>
      </c>
      <c r="F29" s="274" t="s">
        <v>727</v>
      </c>
      <c r="G29" s="137">
        <v>22638</v>
      </c>
      <c r="H29" s="138">
        <v>22638</v>
      </c>
      <c r="I29" s="227"/>
    </row>
    <row r="30" spans="1:9" ht="42.75" x14ac:dyDescent="0.3">
      <c r="A30" s="288" t="s">
        <v>882</v>
      </c>
      <c r="B30" s="279"/>
      <c r="C30" s="279">
        <v>309</v>
      </c>
      <c r="D30" s="279"/>
      <c r="E30" s="280" t="s">
        <v>728</v>
      </c>
      <c r="F30" s="281" t="s">
        <v>729</v>
      </c>
      <c r="G30" s="137">
        <v>74000</v>
      </c>
      <c r="H30" s="137">
        <v>70300</v>
      </c>
      <c r="I30" s="227"/>
    </row>
    <row r="31" spans="1:9" ht="28.5" x14ac:dyDescent="0.3">
      <c r="A31" s="288" t="s">
        <v>882</v>
      </c>
      <c r="B31" s="136"/>
      <c r="C31" s="136">
        <v>310</v>
      </c>
      <c r="D31" s="136"/>
      <c r="E31" s="276" t="s">
        <v>708</v>
      </c>
      <c r="F31" s="274" t="s">
        <v>730</v>
      </c>
      <c r="G31" s="137">
        <v>25000</v>
      </c>
      <c r="H31" s="138">
        <v>25000</v>
      </c>
      <c r="I31" s="227"/>
    </row>
    <row r="32" spans="1:9" ht="42.75" x14ac:dyDescent="0.3">
      <c r="A32" s="288" t="s">
        <v>1289</v>
      </c>
      <c r="B32" s="136"/>
      <c r="C32" s="136">
        <v>311</v>
      </c>
      <c r="D32" s="136"/>
      <c r="E32" s="276" t="s">
        <v>731</v>
      </c>
      <c r="F32" s="274" t="s">
        <v>732</v>
      </c>
      <c r="G32" s="137">
        <v>76045</v>
      </c>
      <c r="H32" s="138">
        <v>76045</v>
      </c>
      <c r="I32" s="227"/>
    </row>
    <row r="33" spans="1:9" ht="42.75" x14ac:dyDescent="0.3">
      <c r="A33" s="288" t="s">
        <v>882</v>
      </c>
      <c r="B33" s="136"/>
      <c r="C33" s="136">
        <v>312</v>
      </c>
      <c r="D33" s="136"/>
      <c r="E33" s="276" t="s">
        <v>733</v>
      </c>
      <c r="F33" s="274" t="s">
        <v>734</v>
      </c>
      <c r="G33" s="137">
        <v>44300</v>
      </c>
      <c r="H33" s="138">
        <v>42085</v>
      </c>
      <c r="I33" s="227"/>
    </row>
    <row r="34" spans="1:9" ht="42.75" x14ac:dyDescent="0.3">
      <c r="A34" s="288" t="s">
        <v>882</v>
      </c>
      <c r="B34" s="136"/>
      <c r="C34" s="136">
        <v>313</v>
      </c>
      <c r="D34" s="136"/>
      <c r="E34" s="276" t="s">
        <v>735</v>
      </c>
      <c r="F34" s="274" t="s">
        <v>736</v>
      </c>
      <c r="G34" s="137">
        <v>180568</v>
      </c>
      <c r="H34" s="138">
        <v>173003</v>
      </c>
      <c r="I34" s="227"/>
    </row>
    <row r="35" spans="1:9" ht="42.75" x14ac:dyDescent="0.3">
      <c r="A35" s="288" t="s">
        <v>882</v>
      </c>
      <c r="B35" s="136"/>
      <c r="C35" s="136">
        <v>314</v>
      </c>
      <c r="D35" s="136"/>
      <c r="E35" s="276" t="s">
        <v>737</v>
      </c>
      <c r="F35" s="274" t="s">
        <v>738</v>
      </c>
      <c r="G35" s="137">
        <v>136880</v>
      </c>
      <c r="H35" s="138">
        <v>131080</v>
      </c>
      <c r="I35" s="227"/>
    </row>
    <row r="36" spans="1:9" ht="42.75" x14ac:dyDescent="0.3">
      <c r="A36" s="288" t="s">
        <v>882</v>
      </c>
      <c r="B36" s="136"/>
      <c r="C36" s="136">
        <v>315</v>
      </c>
      <c r="D36" s="136"/>
      <c r="E36" s="276" t="s">
        <v>739</v>
      </c>
      <c r="F36" s="274" t="s">
        <v>740</v>
      </c>
      <c r="G36" s="137">
        <v>396975.6</v>
      </c>
      <c r="H36" s="138">
        <v>380154.6</v>
      </c>
      <c r="I36" s="227"/>
    </row>
    <row r="37" spans="1:9" ht="42.75" x14ac:dyDescent="0.3">
      <c r="A37" s="288" t="s">
        <v>882</v>
      </c>
      <c r="B37" s="136"/>
      <c r="C37" s="136">
        <v>316</v>
      </c>
      <c r="D37" s="136"/>
      <c r="E37" s="276" t="s">
        <v>737</v>
      </c>
      <c r="F37" s="274" t="s">
        <v>741</v>
      </c>
      <c r="G37" s="137">
        <v>248301.03</v>
      </c>
      <c r="H37" s="137">
        <v>237779.8</v>
      </c>
      <c r="I37" s="227"/>
    </row>
    <row r="38" spans="1:9" ht="42.75" x14ac:dyDescent="0.3">
      <c r="A38" s="288" t="s">
        <v>1289</v>
      </c>
      <c r="B38" s="136"/>
      <c r="C38" s="136">
        <v>317</v>
      </c>
      <c r="D38" s="136"/>
      <c r="E38" s="276" t="s">
        <v>737</v>
      </c>
      <c r="F38" s="274" t="s">
        <v>744</v>
      </c>
      <c r="G38" s="137">
        <v>132840.57</v>
      </c>
      <c r="H38" s="138">
        <v>127211.73</v>
      </c>
      <c r="I38" s="227"/>
    </row>
    <row r="39" spans="1:9" ht="42.75" x14ac:dyDescent="0.3">
      <c r="A39" s="288" t="s">
        <v>884</v>
      </c>
      <c r="B39" s="136"/>
      <c r="C39" s="136">
        <v>318</v>
      </c>
      <c r="D39" s="136"/>
      <c r="E39" s="276" t="s">
        <v>742</v>
      </c>
      <c r="F39" s="274" t="s">
        <v>743</v>
      </c>
      <c r="G39" s="137">
        <v>365139.20000000001</v>
      </c>
      <c r="H39" s="138">
        <v>349667.2</v>
      </c>
      <c r="I39" s="227"/>
    </row>
    <row r="40" spans="1:9" ht="45.75" x14ac:dyDescent="0.3">
      <c r="A40" s="288" t="s">
        <v>934</v>
      </c>
      <c r="B40" s="136"/>
      <c r="C40" s="136">
        <v>319</v>
      </c>
      <c r="D40" s="136"/>
      <c r="E40" s="277" t="s">
        <v>742</v>
      </c>
      <c r="F40" s="277" t="s">
        <v>743</v>
      </c>
      <c r="G40" s="278">
        <v>308841.40000000002</v>
      </c>
      <c r="H40" s="278">
        <v>295754.90000000002</v>
      </c>
      <c r="I40" s="227"/>
    </row>
    <row r="41" spans="1:9" ht="28.5" x14ac:dyDescent="0.3">
      <c r="A41" s="288" t="s">
        <v>934</v>
      </c>
      <c r="B41" s="136"/>
      <c r="C41" s="136">
        <v>320</v>
      </c>
      <c r="D41" s="136"/>
      <c r="E41" s="276" t="s">
        <v>745</v>
      </c>
      <c r="F41" s="274" t="s">
        <v>746</v>
      </c>
      <c r="G41" s="137">
        <v>32000</v>
      </c>
      <c r="H41" s="138">
        <v>30400</v>
      </c>
      <c r="I41" s="227"/>
    </row>
    <row r="42" spans="1:9" ht="57" x14ac:dyDescent="0.3">
      <c r="A42" s="288" t="s">
        <v>934</v>
      </c>
      <c r="B42" s="136"/>
      <c r="C42" s="136">
        <v>321</v>
      </c>
      <c r="D42" s="136"/>
      <c r="E42" s="276" t="s">
        <v>747</v>
      </c>
      <c r="F42" s="274" t="s">
        <v>748</v>
      </c>
      <c r="G42" s="137">
        <v>858540</v>
      </c>
      <c r="H42" s="138">
        <v>822075</v>
      </c>
      <c r="I42" s="227"/>
    </row>
    <row r="43" spans="1:9" ht="15.75" x14ac:dyDescent="0.3">
      <c r="A43" s="288" t="s">
        <v>934</v>
      </c>
      <c r="B43" s="136"/>
      <c r="C43" s="136">
        <v>322</v>
      </c>
      <c r="D43" s="136"/>
      <c r="E43" s="276" t="s">
        <v>922</v>
      </c>
      <c r="F43" s="274" t="s">
        <v>923</v>
      </c>
      <c r="G43" s="137">
        <v>34270.400000000001</v>
      </c>
      <c r="H43" s="138">
        <v>34270.400000000001</v>
      </c>
      <c r="I43" s="227"/>
    </row>
    <row r="44" spans="1:9" ht="15.75" x14ac:dyDescent="0.3">
      <c r="A44" s="288" t="s">
        <v>1290</v>
      </c>
      <c r="B44" s="136"/>
      <c r="C44" s="136" t="s">
        <v>1285</v>
      </c>
      <c r="D44" s="136"/>
      <c r="E44" s="276" t="s">
        <v>1286</v>
      </c>
      <c r="F44" s="274" t="s">
        <v>1287</v>
      </c>
      <c r="G44" s="137">
        <v>4413127.5500000007</v>
      </c>
      <c r="H44" s="138">
        <v>4413127.5500000007</v>
      </c>
      <c r="I44" s="227"/>
    </row>
    <row r="45" spans="1:9" ht="42.75" x14ac:dyDescent="0.3">
      <c r="A45" s="288" t="s">
        <v>874</v>
      </c>
      <c r="B45" s="287">
        <v>3911</v>
      </c>
      <c r="C45" s="136"/>
      <c r="D45" s="136"/>
      <c r="E45" s="276" t="s">
        <v>749</v>
      </c>
      <c r="F45" s="274" t="s">
        <v>788</v>
      </c>
      <c r="G45" s="137">
        <v>1945820</v>
      </c>
      <c r="H45" s="138"/>
    </row>
    <row r="46" spans="1:9" ht="28.5" x14ac:dyDescent="0.3">
      <c r="A46" s="288" t="s">
        <v>874</v>
      </c>
      <c r="B46" s="287">
        <v>3915</v>
      </c>
      <c r="C46" s="136"/>
      <c r="D46" s="136"/>
      <c r="E46" s="276" t="s">
        <v>749</v>
      </c>
      <c r="F46" s="274" t="s">
        <v>789</v>
      </c>
      <c r="G46" s="137">
        <v>271000</v>
      </c>
      <c r="H46" s="138"/>
    </row>
    <row r="47" spans="1:9" ht="28.5" x14ac:dyDescent="0.3">
      <c r="A47" s="288" t="s">
        <v>874</v>
      </c>
      <c r="B47" s="287">
        <v>3919</v>
      </c>
      <c r="C47" s="136"/>
      <c r="D47" s="136"/>
      <c r="E47" s="276" t="s">
        <v>750</v>
      </c>
      <c r="F47" s="274" t="s">
        <v>790</v>
      </c>
      <c r="G47" s="137">
        <v>260780</v>
      </c>
      <c r="H47" s="138"/>
    </row>
    <row r="48" spans="1:9" ht="28.5" x14ac:dyDescent="0.3">
      <c r="A48" s="288" t="s">
        <v>874</v>
      </c>
      <c r="B48" s="287">
        <v>3923</v>
      </c>
      <c r="C48" s="136"/>
      <c r="D48" s="136"/>
      <c r="E48" s="276" t="s">
        <v>751</v>
      </c>
      <c r="F48" s="274" t="s">
        <v>791</v>
      </c>
      <c r="G48" s="137">
        <v>337200</v>
      </c>
      <c r="H48" s="138"/>
    </row>
    <row r="49" spans="1:8" ht="42.75" x14ac:dyDescent="0.3">
      <c r="A49" s="288" t="s">
        <v>874</v>
      </c>
      <c r="B49" s="287">
        <v>3927</v>
      </c>
      <c r="C49" s="136"/>
      <c r="D49" s="136"/>
      <c r="E49" s="276" t="s">
        <v>752</v>
      </c>
      <c r="F49" s="274" t="s">
        <v>792</v>
      </c>
      <c r="G49" s="137">
        <v>260443.67</v>
      </c>
      <c r="H49" s="138"/>
    </row>
    <row r="50" spans="1:8" ht="28.5" x14ac:dyDescent="0.3">
      <c r="A50" s="288" t="s">
        <v>874</v>
      </c>
      <c r="B50" s="287">
        <v>3932</v>
      </c>
      <c r="C50" s="136"/>
      <c r="D50" s="136"/>
      <c r="E50" s="276" t="s">
        <v>752</v>
      </c>
      <c r="F50" s="274" t="s">
        <v>793</v>
      </c>
      <c r="G50" s="137">
        <v>45366.46</v>
      </c>
      <c r="H50" s="138"/>
    </row>
    <row r="51" spans="1:8" ht="42.75" x14ac:dyDescent="0.3">
      <c r="A51" s="288" t="s">
        <v>875</v>
      </c>
      <c r="B51" s="287">
        <v>3936</v>
      </c>
      <c r="C51" s="136"/>
      <c r="D51" s="136"/>
      <c r="E51" s="276" t="s">
        <v>753</v>
      </c>
      <c r="F51" s="274" t="s">
        <v>794</v>
      </c>
      <c r="G51" s="137">
        <v>242313</v>
      </c>
      <c r="H51" s="138"/>
    </row>
    <row r="52" spans="1:8" ht="42.75" x14ac:dyDescent="0.3">
      <c r="A52" s="288" t="s">
        <v>875</v>
      </c>
      <c r="B52" s="287">
        <v>3940</v>
      </c>
      <c r="C52" s="136"/>
      <c r="D52" s="136"/>
      <c r="E52" s="276" t="s">
        <v>754</v>
      </c>
      <c r="F52" s="274" t="s">
        <v>795</v>
      </c>
      <c r="G52" s="137">
        <v>163477.94</v>
      </c>
      <c r="H52" s="138"/>
    </row>
    <row r="53" spans="1:8" ht="28.5" x14ac:dyDescent="0.3">
      <c r="A53" s="288" t="s">
        <v>875</v>
      </c>
      <c r="B53" s="287">
        <v>3944</v>
      </c>
      <c r="C53" s="136"/>
      <c r="D53" s="136"/>
      <c r="E53" s="276" t="s">
        <v>755</v>
      </c>
      <c r="F53" s="274" t="s">
        <v>796</v>
      </c>
      <c r="G53" s="137">
        <v>75000</v>
      </c>
      <c r="H53" s="138"/>
    </row>
    <row r="54" spans="1:8" ht="28.5" x14ac:dyDescent="0.3">
      <c r="A54" s="288" t="s">
        <v>875</v>
      </c>
      <c r="B54" s="287">
        <v>3948</v>
      </c>
      <c r="C54" s="136"/>
      <c r="D54" s="136"/>
      <c r="E54" s="276" t="s">
        <v>756</v>
      </c>
      <c r="F54" s="274" t="s">
        <v>797</v>
      </c>
      <c r="G54" s="137">
        <v>259328</v>
      </c>
      <c r="H54" s="138"/>
    </row>
    <row r="55" spans="1:8" ht="28.5" x14ac:dyDescent="0.3">
      <c r="A55" s="288" t="s">
        <v>875</v>
      </c>
      <c r="B55" s="287">
        <v>3952</v>
      </c>
      <c r="C55" s="136"/>
      <c r="D55" s="136"/>
      <c r="E55" s="276" t="s">
        <v>757</v>
      </c>
      <c r="F55" s="274" t="s">
        <v>798</v>
      </c>
      <c r="G55" s="137">
        <v>271700</v>
      </c>
      <c r="H55" s="138"/>
    </row>
    <row r="56" spans="1:8" ht="28.5" x14ac:dyDescent="0.3">
      <c r="A56" s="288" t="s">
        <v>876</v>
      </c>
      <c r="B56" s="287">
        <v>3963</v>
      </c>
      <c r="C56" s="136"/>
      <c r="D56" s="136"/>
      <c r="E56" s="276" t="s">
        <v>758</v>
      </c>
      <c r="F56" s="274" t="s">
        <v>799</v>
      </c>
      <c r="G56" s="137">
        <v>180000</v>
      </c>
      <c r="H56" s="138"/>
    </row>
    <row r="57" spans="1:8" ht="42.75" x14ac:dyDescent="0.3">
      <c r="A57" s="288" t="s">
        <v>877</v>
      </c>
      <c r="B57" s="287">
        <v>4016</v>
      </c>
      <c r="C57" s="136"/>
      <c r="D57" s="136"/>
      <c r="E57" s="276" t="s">
        <v>750</v>
      </c>
      <c r="F57" s="274" t="s">
        <v>800</v>
      </c>
      <c r="G57" s="137">
        <v>177000</v>
      </c>
      <c r="H57" s="138"/>
    </row>
    <row r="58" spans="1:8" ht="42.75" x14ac:dyDescent="0.3">
      <c r="A58" s="288" t="s">
        <v>877</v>
      </c>
      <c r="B58" s="287">
        <v>4020</v>
      </c>
      <c r="C58" s="136"/>
      <c r="D58" s="136"/>
      <c r="E58" s="276" t="s">
        <v>759</v>
      </c>
      <c r="F58" s="274" t="s">
        <v>801</v>
      </c>
      <c r="G58" s="137">
        <v>78000</v>
      </c>
      <c r="H58" s="138"/>
    </row>
    <row r="59" spans="1:8" ht="28.5" x14ac:dyDescent="0.3">
      <c r="A59" s="288" t="s">
        <v>877</v>
      </c>
      <c r="B59" s="287">
        <v>4029</v>
      </c>
      <c r="C59" s="136"/>
      <c r="D59" s="136"/>
      <c r="E59" s="276" t="s">
        <v>718</v>
      </c>
      <c r="F59" s="274" t="s">
        <v>802</v>
      </c>
      <c r="G59" s="137">
        <v>166220</v>
      </c>
      <c r="H59" s="138"/>
    </row>
    <row r="60" spans="1:8" ht="42.75" x14ac:dyDescent="0.3">
      <c r="A60" s="288" t="s">
        <v>877</v>
      </c>
      <c r="B60" s="287">
        <v>4033</v>
      </c>
      <c r="C60" s="136"/>
      <c r="D60" s="136"/>
      <c r="E60" s="276" t="s">
        <v>756</v>
      </c>
      <c r="F60" s="274" t="s">
        <v>803</v>
      </c>
      <c r="G60" s="137">
        <v>144019</v>
      </c>
      <c r="H60" s="138"/>
    </row>
    <row r="61" spans="1:8" ht="28.5" x14ac:dyDescent="0.3">
      <c r="A61" s="135" t="s">
        <v>877</v>
      </c>
      <c r="B61" s="287">
        <v>4037</v>
      </c>
      <c r="C61" s="136"/>
      <c r="D61" s="136"/>
      <c r="E61" s="276" t="s">
        <v>760</v>
      </c>
      <c r="F61" s="274" t="s">
        <v>804</v>
      </c>
      <c r="G61" s="137">
        <v>188800</v>
      </c>
      <c r="H61" s="138"/>
    </row>
    <row r="62" spans="1:8" ht="42.75" x14ac:dyDescent="0.3">
      <c r="A62" s="135" t="s">
        <v>877</v>
      </c>
      <c r="B62" s="287">
        <v>4044</v>
      </c>
      <c r="C62" s="136"/>
      <c r="D62" s="136"/>
      <c r="E62" s="276" t="s">
        <v>761</v>
      </c>
      <c r="F62" s="274" t="s">
        <v>805</v>
      </c>
      <c r="G62" s="137">
        <v>230000</v>
      </c>
      <c r="H62" s="138"/>
    </row>
    <row r="63" spans="1:8" ht="42.75" x14ac:dyDescent="0.3">
      <c r="A63" s="135" t="s">
        <v>877</v>
      </c>
      <c r="B63" s="287">
        <v>4045</v>
      </c>
      <c r="C63" s="136"/>
      <c r="D63" s="136"/>
      <c r="E63" s="276" t="s">
        <v>756</v>
      </c>
      <c r="F63" s="274" t="s">
        <v>806</v>
      </c>
      <c r="G63" s="137">
        <v>233576</v>
      </c>
      <c r="H63" s="138"/>
    </row>
    <row r="64" spans="1:8" ht="42.75" x14ac:dyDescent="0.3">
      <c r="A64" s="135" t="s">
        <v>877</v>
      </c>
      <c r="B64" s="287">
        <v>4049</v>
      </c>
      <c r="C64" s="136"/>
      <c r="D64" s="136"/>
      <c r="E64" s="276" t="s">
        <v>756</v>
      </c>
      <c r="F64" s="274" t="s">
        <v>807</v>
      </c>
      <c r="G64" s="137">
        <v>259234.2</v>
      </c>
      <c r="H64" s="138"/>
    </row>
    <row r="65" spans="1:8" ht="28.5" x14ac:dyDescent="0.3">
      <c r="A65" s="135" t="s">
        <v>877</v>
      </c>
      <c r="B65" s="287">
        <v>4056</v>
      </c>
      <c r="C65" s="136"/>
      <c r="D65" s="136"/>
      <c r="E65" s="276" t="s">
        <v>758</v>
      </c>
      <c r="F65" s="274" t="s">
        <v>808</v>
      </c>
      <c r="G65" s="137">
        <v>92500</v>
      </c>
      <c r="H65" s="138"/>
    </row>
    <row r="66" spans="1:8" ht="42.75" x14ac:dyDescent="0.3">
      <c r="A66" s="135" t="s">
        <v>878</v>
      </c>
      <c r="B66" s="287">
        <v>4060</v>
      </c>
      <c r="C66" s="136"/>
      <c r="D66" s="136"/>
      <c r="E66" s="276" t="s">
        <v>762</v>
      </c>
      <c r="F66" s="274" t="s">
        <v>809</v>
      </c>
      <c r="G66" s="137">
        <v>60535</v>
      </c>
      <c r="H66" s="138"/>
    </row>
    <row r="67" spans="1:8" ht="28.5" x14ac:dyDescent="0.3">
      <c r="A67" s="135" t="s">
        <v>879</v>
      </c>
      <c r="B67" s="287">
        <v>4067</v>
      </c>
      <c r="C67" s="136"/>
      <c r="D67" s="136"/>
      <c r="E67" s="276" t="s">
        <v>763</v>
      </c>
      <c r="F67" s="274" t="s">
        <v>810</v>
      </c>
      <c r="G67" s="137">
        <v>45000</v>
      </c>
      <c r="H67" s="138"/>
    </row>
    <row r="68" spans="1:8" ht="28.5" x14ac:dyDescent="0.3">
      <c r="A68" s="135" t="s">
        <v>879</v>
      </c>
      <c r="B68" s="287">
        <v>4069</v>
      </c>
      <c r="C68" s="136"/>
      <c r="D68" s="136"/>
      <c r="E68" s="276" t="s">
        <v>763</v>
      </c>
      <c r="F68" s="274" t="s">
        <v>811</v>
      </c>
      <c r="G68" s="137">
        <v>1283649.94</v>
      </c>
      <c r="H68" s="138"/>
    </row>
    <row r="69" spans="1:8" ht="42.75" x14ac:dyDescent="0.3">
      <c r="A69" s="135" t="s">
        <v>879</v>
      </c>
      <c r="B69" s="287">
        <v>4074</v>
      </c>
      <c r="C69" s="136"/>
      <c r="D69" s="136"/>
      <c r="E69" s="276" t="s">
        <v>764</v>
      </c>
      <c r="F69" s="274" t="s">
        <v>812</v>
      </c>
      <c r="G69" s="137">
        <v>112690</v>
      </c>
      <c r="H69" s="138"/>
    </row>
    <row r="70" spans="1:8" ht="28.5" x14ac:dyDescent="0.3">
      <c r="A70" s="135" t="s">
        <v>880</v>
      </c>
      <c r="B70" s="287">
        <v>4078</v>
      </c>
      <c r="C70" s="136"/>
      <c r="D70" s="136"/>
      <c r="E70" s="276" t="s">
        <v>750</v>
      </c>
      <c r="F70" s="274" t="s">
        <v>813</v>
      </c>
      <c r="G70" s="137">
        <v>247800</v>
      </c>
      <c r="H70" s="138"/>
    </row>
    <row r="71" spans="1:8" ht="28.5" x14ac:dyDescent="0.3">
      <c r="A71" s="135" t="s">
        <v>880</v>
      </c>
      <c r="B71" s="287">
        <v>4083</v>
      </c>
      <c r="C71" s="136"/>
      <c r="D71" s="136"/>
      <c r="E71" s="276" t="s">
        <v>765</v>
      </c>
      <c r="F71" s="274" t="s">
        <v>814</v>
      </c>
      <c r="G71" s="137">
        <v>79600</v>
      </c>
      <c r="H71" s="138"/>
    </row>
    <row r="72" spans="1:8" ht="28.5" x14ac:dyDescent="0.3">
      <c r="A72" s="135" t="s">
        <v>880</v>
      </c>
      <c r="B72" s="287">
        <v>4095</v>
      </c>
      <c r="C72" s="136"/>
      <c r="D72" s="136"/>
      <c r="E72" s="276" t="s">
        <v>766</v>
      </c>
      <c r="F72" s="274" t="s">
        <v>815</v>
      </c>
      <c r="G72" s="137">
        <v>13039</v>
      </c>
      <c r="H72" s="138"/>
    </row>
    <row r="73" spans="1:8" ht="42.75" x14ac:dyDescent="0.3">
      <c r="A73" s="135" t="s">
        <v>880</v>
      </c>
      <c r="B73" s="287">
        <v>4099</v>
      </c>
      <c r="C73" s="136"/>
      <c r="D73" s="136"/>
      <c r="E73" s="276" t="s">
        <v>767</v>
      </c>
      <c r="F73" s="274" t="s">
        <v>816</v>
      </c>
      <c r="G73" s="137">
        <v>368160</v>
      </c>
      <c r="H73" s="138"/>
    </row>
    <row r="74" spans="1:8" ht="28.5" x14ac:dyDescent="0.3">
      <c r="A74" s="135" t="s">
        <v>880</v>
      </c>
      <c r="B74" s="287">
        <v>4104</v>
      </c>
      <c r="C74" s="136"/>
      <c r="D74" s="136"/>
      <c r="E74" s="276" t="s">
        <v>768</v>
      </c>
      <c r="F74" s="274" t="s">
        <v>817</v>
      </c>
      <c r="G74" s="137">
        <v>735000</v>
      </c>
      <c r="H74" s="138"/>
    </row>
    <row r="75" spans="1:8" ht="28.5" x14ac:dyDescent="0.3">
      <c r="A75" s="135" t="s">
        <v>880</v>
      </c>
      <c r="B75" s="287">
        <v>4108</v>
      </c>
      <c r="C75" s="136"/>
      <c r="D75" s="136"/>
      <c r="E75" s="276" t="s">
        <v>769</v>
      </c>
      <c r="F75" s="274" t="s">
        <v>818</v>
      </c>
      <c r="G75" s="137">
        <v>1875000</v>
      </c>
      <c r="H75" s="138"/>
    </row>
    <row r="76" spans="1:8" ht="42.75" x14ac:dyDescent="0.3">
      <c r="A76" s="135" t="s">
        <v>881</v>
      </c>
      <c r="B76" s="287">
        <v>4115</v>
      </c>
      <c r="C76" s="136"/>
      <c r="D76" s="136"/>
      <c r="E76" s="276" t="s">
        <v>753</v>
      </c>
      <c r="F76" s="274" t="s">
        <v>819</v>
      </c>
      <c r="G76" s="137">
        <v>1095158</v>
      </c>
      <c r="H76" s="138"/>
    </row>
    <row r="77" spans="1:8" ht="42.75" x14ac:dyDescent="0.3">
      <c r="A77" s="135" t="s">
        <v>881</v>
      </c>
      <c r="B77" s="287">
        <v>4119</v>
      </c>
      <c r="C77" s="136"/>
      <c r="D77" s="136"/>
      <c r="E77" s="276" t="s">
        <v>753</v>
      </c>
      <c r="F77" s="274" t="s">
        <v>820</v>
      </c>
      <c r="G77" s="137">
        <v>1144423</v>
      </c>
      <c r="H77" s="138"/>
    </row>
    <row r="78" spans="1:8" ht="28.5" x14ac:dyDescent="0.3">
      <c r="A78" s="135" t="s">
        <v>881</v>
      </c>
      <c r="B78" s="287">
        <v>4126</v>
      </c>
      <c r="C78" s="136"/>
      <c r="D78" s="136"/>
      <c r="E78" s="276" t="s">
        <v>770</v>
      </c>
      <c r="F78" s="274" t="s">
        <v>821</v>
      </c>
      <c r="G78" s="137">
        <v>111510</v>
      </c>
      <c r="H78" s="138"/>
    </row>
    <row r="79" spans="1:8" ht="28.5" x14ac:dyDescent="0.3">
      <c r="A79" s="135" t="s">
        <v>881</v>
      </c>
      <c r="B79" s="287">
        <v>4132</v>
      </c>
      <c r="C79" s="136"/>
      <c r="D79" s="136"/>
      <c r="E79" s="276" t="s">
        <v>770</v>
      </c>
      <c r="F79" s="274" t="s">
        <v>822</v>
      </c>
      <c r="G79" s="137">
        <v>97940</v>
      </c>
      <c r="H79" s="138"/>
    </row>
    <row r="80" spans="1:8" ht="28.5" x14ac:dyDescent="0.3">
      <c r="A80" s="135" t="s">
        <v>881</v>
      </c>
      <c r="B80" s="287">
        <v>4133</v>
      </c>
      <c r="C80" s="136"/>
      <c r="D80" s="136"/>
      <c r="E80" s="276" t="s">
        <v>771</v>
      </c>
      <c r="F80" s="274" t="s">
        <v>823</v>
      </c>
      <c r="G80" s="137">
        <v>99049.2</v>
      </c>
      <c r="H80" s="138"/>
    </row>
    <row r="81" spans="1:8" ht="28.5" x14ac:dyDescent="0.3">
      <c r="A81" s="135" t="s">
        <v>881</v>
      </c>
      <c r="B81" s="287">
        <v>4135</v>
      </c>
      <c r="C81" s="136"/>
      <c r="D81" s="136"/>
      <c r="E81" s="276" t="s">
        <v>763</v>
      </c>
      <c r="F81" s="274" t="s">
        <v>824</v>
      </c>
      <c r="G81" s="137">
        <v>70262853.939999998</v>
      </c>
      <c r="H81" s="138"/>
    </row>
    <row r="82" spans="1:8" ht="28.5" x14ac:dyDescent="0.3">
      <c r="A82" s="135" t="s">
        <v>881</v>
      </c>
      <c r="B82" s="287">
        <v>4139</v>
      </c>
      <c r="C82" s="136"/>
      <c r="D82" s="136"/>
      <c r="E82" s="276" t="s">
        <v>772</v>
      </c>
      <c r="F82" s="274" t="s">
        <v>825</v>
      </c>
      <c r="G82" s="137">
        <v>80124.36</v>
      </c>
      <c r="H82" s="138"/>
    </row>
    <row r="83" spans="1:8" ht="42.75" x14ac:dyDescent="0.3">
      <c r="A83" s="135" t="s">
        <v>881</v>
      </c>
      <c r="B83" s="287">
        <v>4143</v>
      </c>
      <c r="C83" s="136"/>
      <c r="D83" s="136"/>
      <c r="E83" s="276" t="s">
        <v>773</v>
      </c>
      <c r="F83" s="274" t="s">
        <v>826</v>
      </c>
      <c r="G83" s="137">
        <v>140999.99</v>
      </c>
      <c r="H83" s="138"/>
    </row>
    <row r="84" spans="1:8" ht="42.75" x14ac:dyDescent="0.3">
      <c r="A84" s="135" t="s">
        <v>881</v>
      </c>
      <c r="B84" s="287">
        <v>4147</v>
      </c>
      <c r="C84" s="136"/>
      <c r="D84" s="136"/>
      <c r="E84" s="276" t="s">
        <v>764</v>
      </c>
      <c r="F84" s="274" t="s">
        <v>827</v>
      </c>
      <c r="G84" s="137">
        <v>115640</v>
      </c>
      <c r="H84" s="138"/>
    </row>
    <row r="85" spans="1:8" ht="28.5" x14ac:dyDescent="0.3">
      <c r="A85" s="135" t="s">
        <v>881</v>
      </c>
      <c r="B85" s="287">
        <v>4151</v>
      </c>
      <c r="C85" s="136"/>
      <c r="D85" s="136"/>
      <c r="E85" s="276" t="s">
        <v>768</v>
      </c>
      <c r="F85" s="274" t="s">
        <v>828</v>
      </c>
      <c r="G85" s="137">
        <v>1325000</v>
      </c>
      <c r="H85" s="138"/>
    </row>
    <row r="86" spans="1:8" ht="28.5" x14ac:dyDescent="0.3">
      <c r="A86" s="135" t="s">
        <v>881</v>
      </c>
      <c r="B86" s="287">
        <v>4155</v>
      </c>
      <c r="C86" s="136"/>
      <c r="D86" s="136"/>
      <c r="E86" s="276" t="s">
        <v>774</v>
      </c>
      <c r="F86" s="274" t="s">
        <v>829</v>
      </c>
      <c r="G86" s="137">
        <v>295000</v>
      </c>
      <c r="H86" s="138"/>
    </row>
    <row r="87" spans="1:8" ht="42.75" x14ac:dyDescent="0.3">
      <c r="A87" s="135" t="s">
        <v>882</v>
      </c>
      <c r="B87" s="287">
        <v>4159</v>
      </c>
      <c r="C87" s="136"/>
      <c r="D87" s="136"/>
      <c r="E87" s="276" t="s">
        <v>749</v>
      </c>
      <c r="F87" s="274" t="s">
        <v>830</v>
      </c>
      <c r="G87" s="137">
        <v>271253.68</v>
      </c>
      <c r="H87" s="138"/>
    </row>
    <row r="88" spans="1:8" ht="42.75" x14ac:dyDescent="0.3">
      <c r="A88" s="135" t="s">
        <v>882</v>
      </c>
      <c r="B88" s="287">
        <v>4163</v>
      </c>
      <c r="C88" s="136"/>
      <c r="D88" s="136"/>
      <c r="E88" s="276" t="s">
        <v>775</v>
      </c>
      <c r="F88" s="274" t="s">
        <v>831</v>
      </c>
      <c r="G88" s="137">
        <v>442500</v>
      </c>
      <c r="H88" s="138"/>
    </row>
    <row r="89" spans="1:8" ht="42.75" x14ac:dyDescent="0.3">
      <c r="A89" s="135" t="s">
        <v>882</v>
      </c>
      <c r="B89" s="287">
        <v>4171</v>
      </c>
      <c r="C89" s="136"/>
      <c r="D89" s="136"/>
      <c r="E89" s="276" t="s">
        <v>750</v>
      </c>
      <c r="F89" s="274" t="s">
        <v>832</v>
      </c>
      <c r="G89" s="137">
        <v>267500</v>
      </c>
      <c r="H89" s="138"/>
    </row>
    <row r="90" spans="1:8" ht="28.5" x14ac:dyDescent="0.3">
      <c r="A90" s="135" t="s">
        <v>882</v>
      </c>
      <c r="B90" s="287">
        <v>4176</v>
      </c>
      <c r="C90" s="136"/>
      <c r="D90" s="136"/>
      <c r="E90" s="276" t="s">
        <v>776</v>
      </c>
      <c r="F90" s="274" t="s">
        <v>833</v>
      </c>
      <c r="G90" s="137">
        <v>762441.58</v>
      </c>
      <c r="H90" s="138"/>
    </row>
    <row r="91" spans="1:8" ht="28.5" x14ac:dyDescent="0.3">
      <c r="A91" s="135" t="s">
        <v>882</v>
      </c>
      <c r="B91" s="287">
        <v>4180</v>
      </c>
      <c r="C91" s="136"/>
      <c r="D91" s="136"/>
      <c r="E91" s="276" t="s">
        <v>718</v>
      </c>
      <c r="F91" s="274" t="s">
        <v>834</v>
      </c>
      <c r="G91" s="137">
        <v>628550</v>
      </c>
      <c r="H91" s="138"/>
    </row>
    <row r="92" spans="1:8" ht="28.5" x14ac:dyDescent="0.3">
      <c r="A92" s="135" t="s">
        <v>883</v>
      </c>
      <c r="B92" s="287">
        <v>4186</v>
      </c>
      <c r="C92" s="136"/>
      <c r="D92" s="136"/>
      <c r="E92" s="276" t="s">
        <v>752</v>
      </c>
      <c r="F92" s="274" t="s">
        <v>835</v>
      </c>
      <c r="G92" s="137">
        <v>788476.06</v>
      </c>
      <c r="H92" s="138"/>
    </row>
    <row r="93" spans="1:8" ht="28.5" x14ac:dyDescent="0.3">
      <c r="A93" s="135" t="s">
        <v>883</v>
      </c>
      <c r="B93" s="287">
        <v>4190</v>
      </c>
      <c r="C93" s="136"/>
      <c r="D93" s="136"/>
      <c r="E93" s="276" t="s">
        <v>718</v>
      </c>
      <c r="F93" s="274" t="s">
        <v>836</v>
      </c>
      <c r="G93" s="137">
        <v>407506</v>
      </c>
      <c r="H93" s="138"/>
    </row>
    <row r="94" spans="1:8" ht="28.5" x14ac:dyDescent="0.3">
      <c r="A94" s="135" t="s">
        <v>883</v>
      </c>
      <c r="B94" s="287">
        <v>4195</v>
      </c>
      <c r="C94" s="136"/>
      <c r="D94" s="136"/>
      <c r="E94" s="276" t="s">
        <v>777</v>
      </c>
      <c r="F94" s="274" t="s">
        <v>837</v>
      </c>
      <c r="G94" s="137">
        <v>692448.19</v>
      </c>
      <c r="H94" s="138"/>
    </row>
    <row r="95" spans="1:8" ht="42.75" x14ac:dyDescent="0.3">
      <c r="A95" s="135" t="s">
        <v>884</v>
      </c>
      <c r="B95" s="287">
        <v>4205</v>
      </c>
      <c r="C95" s="136"/>
      <c r="D95" s="136"/>
      <c r="E95" s="276" t="s">
        <v>773</v>
      </c>
      <c r="F95" s="274" t="s">
        <v>838</v>
      </c>
      <c r="G95" s="137">
        <v>30444</v>
      </c>
      <c r="H95" s="138"/>
    </row>
    <row r="96" spans="1:8" ht="42.75" x14ac:dyDescent="0.3">
      <c r="A96" s="135" t="s">
        <v>884</v>
      </c>
      <c r="B96" s="287">
        <v>4209</v>
      </c>
      <c r="C96" s="136"/>
      <c r="D96" s="136"/>
      <c r="E96" s="276" t="s">
        <v>778</v>
      </c>
      <c r="F96" s="274" t="s">
        <v>839</v>
      </c>
      <c r="G96" s="137">
        <v>200243</v>
      </c>
      <c r="H96" s="138"/>
    </row>
    <row r="97" spans="1:8" ht="28.5" x14ac:dyDescent="0.3">
      <c r="A97" s="135" t="s">
        <v>884</v>
      </c>
      <c r="B97" s="287">
        <v>4213</v>
      </c>
      <c r="C97" s="136"/>
      <c r="D97" s="136"/>
      <c r="E97" s="276" t="s">
        <v>765</v>
      </c>
      <c r="F97" s="274" t="s">
        <v>840</v>
      </c>
      <c r="G97" s="137">
        <v>199000</v>
      </c>
      <c r="H97" s="138"/>
    </row>
    <row r="98" spans="1:8" ht="28.5" x14ac:dyDescent="0.3">
      <c r="A98" s="135" t="s">
        <v>884</v>
      </c>
      <c r="B98" s="287">
        <v>4217</v>
      </c>
      <c r="C98" s="136"/>
      <c r="D98" s="136"/>
      <c r="E98" s="276" t="s">
        <v>750</v>
      </c>
      <c r="F98" s="274" t="s">
        <v>841</v>
      </c>
      <c r="G98" s="137">
        <v>208500</v>
      </c>
      <c r="H98" s="138"/>
    </row>
    <row r="99" spans="1:8" ht="42.75" x14ac:dyDescent="0.3">
      <c r="A99" s="135" t="s">
        <v>884</v>
      </c>
      <c r="B99" s="287">
        <v>4223</v>
      </c>
      <c r="C99" s="136"/>
      <c r="D99" s="136"/>
      <c r="E99" s="276" t="s">
        <v>750</v>
      </c>
      <c r="F99" s="274" t="s">
        <v>842</v>
      </c>
      <c r="G99" s="137">
        <v>269040</v>
      </c>
      <c r="H99" s="138"/>
    </row>
    <row r="100" spans="1:8" ht="42.75" x14ac:dyDescent="0.3">
      <c r="A100" s="135" t="s">
        <v>884</v>
      </c>
      <c r="B100" s="287">
        <v>4231</v>
      </c>
      <c r="C100" s="136"/>
      <c r="D100" s="136"/>
      <c r="E100" s="276" t="s">
        <v>764</v>
      </c>
      <c r="F100" s="274" t="s">
        <v>843</v>
      </c>
      <c r="G100" s="137">
        <v>101480</v>
      </c>
      <c r="H100" s="138"/>
    </row>
    <row r="101" spans="1:8" ht="42.75" x14ac:dyDescent="0.3">
      <c r="A101" s="135" t="s">
        <v>884</v>
      </c>
      <c r="B101" s="287">
        <v>4232</v>
      </c>
      <c r="C101" s="136"/>
      <c r="D101" s="136"/>
      <c r="E101" s="276" t="s">
        <v>749</v>
      </c>
      <c r="F101" s="274" t="s">
        <v>844</v>
      </c>
      <c r="G101" s="137">
        <v>47200</v>
      </c>
      <c r="H101" s="138"/>
    </row>
    <row r="102" spans="1:8" ht="28.5" x14ac:dyDescent="0.3">
      <c r="A102" s="135" t="s">
        <v>884</v>
      </c>
      <c r="B102" s="287">
        <v>4237</v>
      </c>
      <c r="C102" s="136"/>
      <c r="D102" s="136"/>
      <c r="E102" s="276" t="s">
        <v>779</v>
      </c>
      <c r="F102" s="274" t="s">
        <v>845</v>
      </c>
      <c r="G102" s="137">
        <v>271400</v>
      </c>
      <c r="H102" s="138"/>
    </row>
    <row r="103" spans="1:8" ht="42.75" x14ac:dyDescent="0.3">
      <c r="A103" s="135" t="s">
        <v>884</v>
      </c>
      <c r="B103" s="287">
        <v>4241</v>
      </c>
      <c r="C103" s="136"/>
      <c r="D103" s="136"/>
      <c r="E103" s="276" t="s">
        <v>753</v>
      </c>
      <c r="F103" s="274" t="s">
        <v>846</v>
      </c>
      <c r="G103" s="137">
        <v>74356.639999999999</v>
      </c>
      <c r="H103" s="138"/>
    </row>
    <row r="104" spans="1:8" ht="42.75" x14ac:dyDescent="0.3">
      <c r="A104" s="135" t="s">
        <v>884</v>
      </c>
      <c r="B104" s="287">
        <v>4245</v>
      </c>
      <c r="C104" s="136"/>
      <c r="D104" s="136"/>
      <c r="E104" s="276" t="s">
        <v>753</v>
      </c>
      <c r="F104" s="274" t="s">
        <v>847</v>
      </c>
      <c r="G104" s="137">
        <v>47633.3</v>
      </c>
      <c r="H104" s="138"/>
    </row>
    <row r="105" spans="1:8" ht="42.75" x14ac:dyDescent="0.3">
      <c r="A105" s="135" t="s">
        <v>885</v>
      </c>
      <c r="B105" s="287">
        <v>4260</v>
      </c>
      <c r="C105" s="136"/>
      <c r="D105" s="136"/>
      <c r="E105" s="276" t="s">
        <v>761</v>
      </c>
      <c r="F105" s="274" t="s">
        <v>848</v>
      </c>
      <c r="G105" s="137">
        <v>23000</v>
      </c>
      <c r="H105" s="138"/>
    </row>
    <row r="106" spans="1:8" ht="42.75" x14ac:dyDescent="0.3">
      <c r="A106" s="135" t="s">
        <v>885</v>
      </c>
      <c r="B106" s="287">
        <v>4264</v>
      </c>
      <c r="C106" s="136"/>
      <c r="D106" s="136"/>
      <c r="E106" s="276" t="s">
        <v>749</v>
      </c>
      <c r="F106" s="274" t="s">
        <v>849</v>
      </c>
      <c r="G106" s="137">
        <v>26550</v>
      </c>
      <c r="H106" s="138"/>
    </row>
    <row r="107" spans="1:8" ht="42.75" x14ac:dyDescent="0.3">
      <c r="A107" s="135" t="s">
        <v>885</v>
      </c>
      <c r="B107" s="287">
        <v>4271</v>
      </c>
      <c r="C107" s="136"/>
      <c r="D107" s="136"/>
      <c r="E107" s="276" t="s">
        <v>780</v>
      </c>
      <c r="F107" s="274" t="s">
        <v>850</v>
      </c>
      <c r="G107" s="137">
        <v>1829000</v>
      </c>
      <c r="H107" s="138"/>
    </row>
    <row r="108" spans="1:8" ht="42.75" x14ac:dyDescent="0.3">
      <c r="A108" s="135" t="s">
        <v>885</v>
      </c>
      <c r="B108" s="287">
        <v>4272</v>
      </c>
      <c r="C108" s="136"/>
      <c r="D108" s="136"/>
      <c r="E108" s="276" t="s">
        <v>749</v>
      </c>
      <c r="F108" s="274" t="s">
        <v>851</v>
      </c>
      <c r="G108" s="137">
        <v>1099760</v>
      </c>
      <c r="H108" s="138"/>
    </row>
    <row r="109" spans="1:8" ht="42.75" x14ac:dyDescent="0.3">
      <c r="A109" s="135" t="s">
        <v>885</v>
      </c>
      <c r="B109" s="287">
        <v>4276</v>
      </c>
      <c r="C109" s="136"/>
      <c r="D109" s="136"/>
      <c r="E109" s="276" t="s">
        <v>758</v>
      </c>
      <c r="F109" s="274" t="s">
        <v>852</v>
      </c>
      <c r="G109" s="137">
        <v>140000</v>
      </c>
      <c r="H109" s="138"/>
    </row>
    <row r="110" spans="1:8" ht="28.5" x14ac:dyDescent="0.3">
      <c r="A110" s="135" t="s">
        <v>885</v>
      </c>
      <c r="B110" s="287">
        <v>4280</v>
      </c>
      <c r="C110" s="136"/>
      <c r="D110" s="136"/>
      <c r="E110" s="276" t="s">
        <v>769</v>
      </c>
      <c r="F110" s="274" t="s">
        <v>853</v>
      </c>
      <c r="G110" s="137">
        <v>277701.2</v>
      </c>
      <c r="H110" s="138"/>
    </row>
    <row r="111" spans="1:8" ht="28.5" x14ac:dyDescent="0.3">
      <c r="A111" s="135" t="s">
        <v>885</v>
      </c>
      <c r="B111" s="287">
        <v>4284</v>
      </c>
      <c r="C111" s="136"/>
      <c r="D111" s="136"/>
      <c r="E111" s="276" t="s">
        <v>757</v>
      </c>
      <c r="F111" s="274" t="s">
        <v>854</v>
      </c>
      <c r="G111" s="137">
        <v>240000</v>
      </c>
      <c r="H111" s="138"/>
    </row>
    <row r="112" spans="1:8" ht="28.5" x14ac:dyDescent="0.3">
      <c r="A112" s="135" t="s">
        <v>885</v>
      </c>
      <c r="B112" s="287">
        <v>4288</v>
      </c>
      <c r="C112" s="136"/>
      <c r="D112" s="136"/>
      <c r="E112" s="276" t="s">
        <v>759</v>
      </c>
      <c r="F112" s="274" t="s">
        <v>855</v>
      </c>
      <c r="G112" s="137">
        <v>197768</v>
      </c>
      <c r="H112" s="138"/>
    </row>
    <row r="113" spans="1:8" ht="28.5" x14ac:dyDescent="0.3">
      <c r="A113" s="135" t="s">
        <v>885</v>
      </c>
      <c r="B113" s="287">
        <v>4292</v>
      </c>
      <c r="C113" s="136"/>
      <c r="D113" s="136"/>
      <c r="E113" s="276" t="s">
        <v>756</v>
      </c>
      <c r="F113" s="274" t="s">
        <v>856</v>
      </c>
      <c r="G113" s="137">
        <v>216825</v>
      </c>
      <c r="H113" s="138"/>
    </row>
    <row r="114" spans="1:8" ht="42.75" x14ac:dyDescent="0.3">
      <c r="A114" s="135" t="s">
        <v>885</v>
      </c>
      <c r="B114" s="287">
        <v>4296</v>
      </c>
      <c r="C114" s="136"/>
      <c r="D114" s="136"/>
      <c r="E114" s="276" t="s">
        <v>781</v>
      </c>
      <c r="F114" s="274" t="s">
        <v>857</v>
      </c>
      <c r="G114" s="137">
        <v>661965.31999999995</v>
      </c>
      <c r="H114" s="138"/>
    </row>
    <row r="115" spans="1:8" ht="28.5" x14ac:dyDescent="0.3">
      <c r="A115" s="135" t="s">
        <v>886</v>
      </c>
      <c r="B115" s="287">
        <v>4300</v>
      </c>
      <c r="C115" s="136"/>
      <c r="D115" s="136"/>
      <c r="E115" s="276" t="s">
        <v>754</v>
      </c>
      <c r="F115" s="274" t="s">
        <v>858</v>
      </c>
      <c r="G115" s="137">
        <v>637538.02</v>
      </c>
      <c r="H115" s="138"/>
    </row>
    <row r="116" spans="1:8" ht="28.5" x14ac:dyDescent="0.3">
      <c r="A116" s="135" t="s">
        <v>886</v>
      </c>
      <c r="B116" s="287">
        <v>4305</v>
      </c>
      <c r="C116" s="136"/>
      <c r="D116" s="136"/>
      <c r="E116" s="276" t="s">
        <v>770</v>
      </c>
      <c r="F116" s="274" t="s">
        <v>859</v>
      </c>
      <c r="G116" s="137">
        <v>242372</v>
      </c>
      <c r="H116" s="138"/>
    </row>
    <row r="117" spans="1:8" ht="28.5" x14ac:dyDescent="0.3">
      <c r="A117" s="135" t="s">
        <v>886</v>
      </c>
      <c r="B117" s="287">
        <v>4309</v>
      </c>
      <c r="C117" s="136"/>
      <c r="D117" s="136"/>
      <c r="E117" s="276" t="s">
        <v>770</v>
      </c>
      <c r="F117" s="274" t="s">
        <v>860</v>
      </c>
      <c r="G117" s="137">
        <v>148680</v>
      </c>
      <c r="H117" s="138"/>
    </row>
    <row r="118" spans="1:8" ht="42.75" x14ac:dyDescent="0.3">
      <c r="A118" s="135" t="s">
        <v>886</v>
      </c>
      <c r="B118" s="287">
        <v>4313</v>
      </c>
      <c r="C118" s="136"/>
      <c r="D118" s="136"/>
      <c r="E118" s="276" t="s">
        <v>764</v>
      </c>
      <c r="F118" s="274" t="s">
        <v>861</v>
      </c>
      <c r="G118" s="137">
        <v>212400</v>
      </c>
      <c r="H118" s="138"/>
    </row>
    <row r="119" spans="1:8" ht="28.5" x14ac:dyDescent="0.3">
      <c r="A119" s="135" t="s">
        <v>886</v>
      </c>
      <c r="B119" s="287">
        <v>4317</v>
      </c>
      <c r="C119" s="136"/>
      <c r="D119" s="136"/>
      <c r="E119" s="276" t="s">
        <v>770</v>
      </c>
      <c r="F119" s="274" t="s">
        <v>862</v>
      </c>
      <c r="G119" s="137">
        <v>62304</v>
      </c>
      <c r="H119" s="138"/>
    </row>
    <row r="120" spans="1:8" ht="28.5" x14ac:dyDescent="0.3">
      <c r="A120" s="135" t="s">
        <v>886</v>
      </c>
      <c r="B120" s="287">
        <v>4321</v>
      </c>
      <c r="C120" s="136"/>
      <c r="D120" s="136"/>
      <c r="E120" s="276" t="s">
        <v>750</v>
      </c>
      <c r="F120" s="274" t="s">
        <v>863</v>
      </c>
      <c r="G120" s="137">
        <v>211210</v>
      </c>
      <c r="H120" s="138"/>
    </row>
    <row r="121" spans="1:8" ht="42.75" x14ac:dyDescent="0.3">
      <c r="A121" s="135" t="s">
        <v>886</v>
      </c>
      <c r="B121" s="287">
        <v>4326</v>
      </c>
      <c r="C121" s="136"/>
      <c r="D121" s="136"/>
      <c r="E121" s="276" t="s">
        <v>782</v>
      </c>
      <c r="F121" s="274" t="s">
        <v>864</v>
      </c>
      <c r="G121" s="137">
        <v>1950000</v>
      </c>
      <c r="H121" s="138"/>
    </row>
    <row r="122" spans="1:8" ht="57" x14ac:dyDescent="0.3">
      <c r="A122" s="135" t="s">
        <v>887</v>
      </c>
      <c r="B122" s="287">
        <v>4330</v>
      </c>
      <c r="C122" s="136"/>
      <c r="D122" s="136"/>
      <c r="E122" s="276" t="s">
        <v>783</v>
      </c>
      <c r="F122" s="274" t="s">
        <v>865</v>
      </c>
      <c r="G122" s="137">
        <v>1567740.53</v>
      </c>
      <c r="H122" s="138"/>
    </row>
    <row r="123" spans="1:8" ht="42.75" x14ac:dyDescent="0.3">
      <c r="A123" s="135" t="s">
        <v>888</v>
      </c>
      <c r="B123" s="287">
        <v>4334</v>
      </c>
      <c r="C123" s="136"/>
      <c r="D123" s="136"/>
      <c r="E123" s="276" t="s">
        <v>784</v>
      </c>
      <c r="F123" s="274" t="s">
        <v>866</v>
      </c>
      <c r="G123" s="137">
        <v>469640</v>
      </c>
      <c r="H123" s="138"/>
    </row>
    <row r="124" spans="1:8" ht="28.5" x14ac:dyDescent="0.3">
      <c r="A124" s="135" t="s">
        <v>888</v>
      </c>
      <c r="B124" s="287">
        <v>4339</v>
      </c>
      <c r="C124" s="136"/>
      <c r="D124" s="136"/>
      <c r="E124" s="276" t="s">
        <v>752</v>
      </c>
      <c r="F124" s="274" t="s">
        <v>867</v>
      </c>
      <c r="G124" s="137">
        <v>4101.09</v>
      </c>
      <c r="H124" s="138"/>
    </row>
    <row r="125" spans="1:8" ht="28.5" x14ac:dyDescent="0.3">
      <c r="A125" s="135" t="s">
        <v>888</v>
      </c>
      <c r="B125" s="287">
        <v>4346</v>
      </c>
      <c r="C125" s="136"/>
      <c r="D125" s="136"/>
      <c r="E125" s="276" t="s">
        <v>779</v>
      </c>
      <c r="F125" s="274" t="s">
        <v>868</v>
      </c>
      <c r="G125" s="137">
        <v>8673</v>
      </c>
      <c r="H125" s="138"/>
    </row>
    <row r="126" spans="1:8" ht="28.5" x14ac:dyDescent="0.3">
      <c r="A126" s="135" t="s">
        <v>888</v>
      </c>
      <c r="B126" s="287">
        <v>4352</v>
      </c>
      <c r="C126" s="136"/>
      <c r="D126" s="136"/>
      <c r="E126" s="276" t="s">
        <v>785</v>
      </c>
      <c r="F126" s="274" t="s">
        <v>869</v>
      </c>
      <c r="G126" s="137">
        <v>28461.599999999999</v>
      </c>
      <c r="H126" s="138"/>
    </row>
    <row r="127" spans="1:8" ht="42.75" x14ac:dyDescent="0.3">
      <c r="A127" s="135" t="s">
        <v>888</v>
      </c>
      <c r="B127" s="287">
        <v>4356</v>
      </c>
      <c r="C127" s="136"/>
      <c r="D127" s="136"/>
      <c r="E127" s="276" t="s">
        <v>786</v>
      </c>
      <c r="F127" s="274" t="s">
        <v>870</v>
      </c>
      <c r="G127" s="137">
        <v>145220</v>
      </c>
      <c r="H127" s="138"/>
    </row>
    <row r="128" spans="1:8" ht="42.75" x14ac:dyDescent="0.3">
      <c r="A128" s="135" t="s">
        <v>888</v>
      </c>
      <c r="B128" s="287">
        <v>4360</v>
      </c>
      <c r="C128" s="136"/>
      <c r="D128" s="136"/>
      <c r="E128" s="276" t="s">
        <v>770</v>
      </c>
      <c r="F128" s="274" t="s">
        <v>871</v>
      </c>
      <c r="G128" s="137">
        <v>271071.5</v>
      </c>
      <c r="H128" s="138"/>
    </row>
    <row r="129" spans="1:8" ht="42.75" x14ac:dyDescent="0.3">
      <c r="A129" s="135" t="s">
        <v>888</v>
      </c>
      <c r="B129" s="287">
        <v>4364</v>
      </c>
      <c r="C129" s="136"/>
      <c r="D129" s="136"/>
      <c r="E129" s="276" t="s">
        <v>769</v>
      </c>
      <c r="F129" s="274" t="s">
        <v>872</v>
      </c>
      <c r="G129" s="137">
        <v>144000</v>
      </c>
      <c r="H129" s="138"/>
    </row>
    <row r="130" spans="1:8" ht="42.75" x14ac:dyDescent="0.3">
      <c r="A130" s="135" t="s">
        <v>888</v>
      </c>
      <c r="B130" s="287">
        <v>4368</v>
      </c>
      <c r="C130" s="136"/>
      <c r="D130" s="136"/>
      <c r="E130" s="276" t="s">
        <v>787</v>
      </c>
      <c r="F130" s="274" t="s">
        <v>873</v>
      </c>
      <c r="G130" s="137">
        <v>172642.97</v>
      </c>
      <c r="H130" s="138"/>
    </row>
    <row r="131" spans="1:8" ht="28.5" x14ac:dyDescent="0.3">
      <c r="A131" s="135" t="s">
        <v>921</v>
      </c>
      <c r="B131" s="287">
        <v>4390</v>
      </c>
      <c r="C131" s="136"/>
      <c r="D131" s="136"/>
      <c r="E131" s="276" t="s">
        <v>768</v>
      </c>
      <c r="F131" s="274" t="s">
        <v>903</v>
      </c>
      <c r="G131" s="137">
        <v>195000</v>
      </c>
      <c r="H131" s="138"/>
    </row>
    <row r="132" spans="1:8" ht="42.75" x14ac:dyDescent="0.3">
      <c r="A132" s="135" t="s">
        <v>921</v>
      </c>
      <c r="B132" s="287">
        <v>4396</v>
      </c>
      <c r="C132" s="136"/>
      <c r="D132" s="136"/>
      <c r="E132" s="276" t="s">
        <v>764</v>
      </c>
      <c r="F132" s="274" t="s">
        <v>904</v>
      </c>
      <c r="G132" s="137">
        <v>74930</v>
      </c>
      <c r="H132" s="138"/>
    </row>
    <row r="133" spans="1:8" ht="28.5" x14ac:dyDescent="0.3">
      <c r="A133" s="135" t="s">
        <v>921</v>
      </c>
      <c r="B133" s="287">
        <v>4399</v>
      </c>
      <c r="C133" s="136"/>
      <c r="D133" s="136"/>
      <c r="E133" s="276" t="s">
        <v>768</v>
      </c>
      <c r="F133" s="274" t="s">
        <v>905</v>
      </c>
      <c r="G133" s="137">
        <v>112000</v>
      </c>
      <c r="H133" s="138"/>
    </row>
    <row r="134" spans="1:8" ht="28.5" x14ac:dyDescent="0.3">
      <c r="A134" s="135" t="s">
        <v>921</v>
      </c>
      <c r="B134" s="287">
        <v>4403</v>
      </c>
      <c r="C134" s="136"/>
      <c r="D134" s="136"/>
      <c r="E134" s="276" t="s">
        <v>895</v>
      </c>
      <c r="F134" s="274" t="s">
        <v>906</v>
      </c>
      <c r="G134" s="137">
        <v>313804</v>
      </c>
      <c r="H134" s="138"/>
    </row>
    <row r="135" spans="1:8" ht="28.5" x14ac:dyDescent="0.3">
      <c r="A135" s="135" t="s">
        <v>921</v>
      </c>
      <c r="B135" s="287">
        <v>4406</v>
      </c>
      <c r="C135" s="136"/>
      <c r="D135" s="136"/>
      <c r="E135" s="276" t="s">
        <v>757</v>
      </c>
      <c r="F135" s="274" t="s">
        <v>907</v>
      </c>
      <c r="G135" s="137">
        <v>1612500</v>
      </c>
      <c r="H135" s="138"/>
    </row>
    <row r="136" spans="1:8" ht="28.5" x14ac:dyDescent="0.3">
      <c r="A136" s="135" t="s">
        <v>921</v>
      </c>
      <c r="B136" s="287">
        <v>4411</v>
      </c>
      <c r="C136" s="136"/>
      <c r="D136" s="136"/>
      <c r="E136" s="276" t="s">
        <v>896</v>
      </c>
      <c r="F136" s="274" t="s">
        <v>908</v>
      </c>
      <c r="G136" s="137">
        <v>605972.47999999998</v>
      </c>
      <c r="H136" s="138"/>
    </row>
    <row r="137" spans="1:8" ht="42.75" x14ac:dyDescent="0.3">
      <c r="A137" s="135" t="s">
        <v>921</v>
      </c>
      <c r="B137" s="287">
        <v>4415</v>
      </c>
      <c r="C137" s="136"/>
      <c r="D137" s="136"/>
      <c r="E137" s="276" t="s">
        <v>897</v>
      </c>
      <c r="F137" s="274" t="s">
        <v>909</v>
      </c>
      <c r="G137" s="137">
        <v>196918.39999999999</v>
      </c>
      <c r="H137" s="138"/>
    </row>
    <row r="138" spans="1:8" ht="42.75" x14ac:dyDescent="0.3">
      <c r="A138" s="135" t="s">
        <v>921</v>
      </c>
      <c r="B138" s="287">
        <v>4419</v>
      </c>
      <c r="C138" s="136"/>
      <c r="D138" s="136"/>
      <c r="E138" s="276" t="s">
        <v>785</v>
      </c>
      <c r="F138" s="274" t="s">
        <v>910</v>
      </c>
      <c r="G138" s="137">
        <v>1800000</v>
      </c>
      <c r="H138" s="138"/>
    </row>
    <row r="139" spans="1:8" ht="42.75" x14ac:dyDescent="0.3">
      <c r="A139" s="135" t="s">
        <v>921</v>
      </c>
      <c r="B139" s="287">
        <v>4425</v>
      </c>
      <c r="C139" s="136"/>
      <c r="D139" s="136"/>
      <c r="E139" s="276" t="s">
        <v>755</v>
      </c>
      <c r="F139" s="274" t="s">
        <v>911</v>
      </c>
      <c r="G139" s="137">
        <v>203633.12</v>
      </c>
      <c r="H139" s="138"/>
    </row>
    <row r="140" spans="1:8" ht="42.75" x14ac:dyDescent="0.3">
      <c r="A140" s="135" t="s">
        <v>921</v>
      </c>
      <c r="B140" s="287">
        <v>4431</v>
      </c>
      <c r="C140" s="136"/>
      <c r="D140" s="136"/>
      <c r="E140" s="276" t="s">
        <v>898</v>
      </c>
      <c r="F140" s="274" t="s">
        <v>912</v>
      </c>
      <c r="G140" s="137">
        <v>225000</v>
      </c>
      <c r="H140" s="138"/>
    </row>
    <row r="141" spans="1:8" ht="42.75" x14ac:dyDescent="0.3">
      <c r="A141" s="135" t="s">
        <v>921</v>
      </c>
      <c r="B141" s="287">
        <v>4432</v>
      </c>
      <c r="C141" s="136"/>
      <c r="D141" s="136"/>
      <c r="E141" s="276" t="s">
        <v>899</v>
      </c>
      <c r="F141" s="274" t="s">
        <v>913</v>
      </c>
      <c r="G141" s="137">
        <v>1050992.96</v>
      </c>
      <c r="H141" s="138"/>
    </row>
    <row r="142" spans="1:8" ht="42.75" x14ac:dyDescent="0.3">
      <c r="A142" s="135" t="s">
        <v>921</v>
      </c>
      <c r="B142" s="287">
        <v>4436</v>
      </c>
      <c r="C142" s="136"/>
      <c r="D142" s="136"/>
      <c r="E142" s="276" t="s">
        <v>900</v>
      </c>
      <c r="F142" s="274" t="s">
        <v>914</v>
      </c>
      <c r="G142" s="137">
        <v>117000</v>
      </c>
      <c r="H142" s="138"/>
    </row>
    <row r="143" spans="1:8" ht="42.75" x14ac:dyDescent="0.3">
      <c r="A143" s="135" t="s">
        <v>921</v>
      </c>
      <c r="B143" s="287">
        <v>4443</v>
      </c>
      <c r="C143" s="136"/>
      <c r="D143" s="136"/>
      <c r="E143" s="276" t="s">
        <v>785</v>
      </c>
      <c r="F143" s="274" t="s">
        <v>915</v>
      </c>
      <c r="G143" s="137">
        <v>600000</v>
      </c>
      <c r="H143" s="138"/>
    </row>
    <row r="144" spans="1:8" ht="42.75" x14ac:dyDescent="0.3">
      <c r="A144" s="135" t="s">
        <v>921</v>
      </c>
      <c r="B144" s="287">
        <v>4444</v>
      </c>
      <c r="C144" s="136"/>
      <c r="D144" s="136"/>
      <c r="E144" s="276" t="s">
        <v>901</v>
      </c>
      <c r="F144" s="274" t="s">
        <v>916</v>
      </c>
      <c r="G144" s="137">
        <v>272595</v>
      </c>
      <c r="H144" s="138"/>
    </row>
    <row r="145" spans="1:8" ht="42.75" x14ac:dyDescent="0.3">
      <c r="A145" s="135" t="s">
        <v>921</v>
      </c>
      <c r="B145" s="287">
        <v>4448</v>
      </c>
      <c r="C145" s="136"/>
      <c r="D145" s="136"/>
      <c r="E145" s="276" t="s">
        <v>760</v>
      </c>
      <c r="F145" s="274" t="s">
        <v>917</v>
      </c>
      <c r="G145" s="137">
        <v>150000</v>
      </c>
      <c r="H145" s="138"/>
    </row>
    <row r="146" spans="1:8" ht="28.5" x14ac:dyDescent="0.3">
      <c r="A146" s="135" t="s">
        <v>921</v>
      </c>
      <c r="B146" s="287">
        <v>4455</v>
      </c>
      <c r="C146" s="136"/>
      <c r="D146" s="136"/>
      <c r="E146" s="276" t="s">
        <v>759</v>
      </c>
      <c r="F146" s="274" t="s">
        <v>918</v>
      </c>
      <c r="G146" s="137">
        <v>255284.8</v>
      </c>
      <c r="H146" s="138"/>
    </row>
    <row r="147" spans="1:8" ht="28.5" x14ac:dyDescent="0.3">
      <c r="A147" s="135" t="s">
        <v>921</v>
      </c>
      <c r="B147" s="287">
        <v>4459</v>
      </c>
      <c r="C147" s="136"/>
      <c r="D147" s="136"/>
      <c r="E147" s="276" t="s">
        <v>900</v>
      </c>
      <c r="F147" s="274" t="s">
        <v>919</v>
      </c>
      <c r="G147" s="137">
        <v>159300</v>
      </c>
      <c r="H147" s="138"/>
    </row>
    <row r="148" spans="1:8" ht="42.75" x14ac:dyDescent="0.3">
      <c r="A148" s="135" t="s">
        <v>921</v>
      </c>
      <c r="B148" s="287">
        <v>4463</v>
      </c>
      <c r="C148" s="136"/>
      <c r="D148" s="136"/>
      <c r="E148" s="276" t="s">
        <v>902</v>
      </c>
      <c r="F148" s="274" t="s">
        <v>920</v>
      </c>
      <c r="G148" s="137">
        <v>221736</v>
      </c>
      <c r="H148" s="138"/>
    </row>
    <row r="149" spans="1:8" ht="42.75" x14ac:dyDescent="0.3">
      <c r="A149" s="135">
        <v>45697</v>
      </c>
      <c r="B149" s="136"/>
      <c r="C149" s="136"/>
      <c r="D149" s="136">
        <v>37290</v>
      </c>
      <c r="E149" s="276" t="s">
        <v>924</v>
      </c>
      <c r="F149" s="274" t="s">
        <v>1281</v>
      </c>
      <c r="G149" s="137">
        <v>33714.29</v>
      </c>
      <c r="H149" s="138">
        <v>28000</v>
      </c>
    </row>
    <row r="150" spans="1:8" ht="15.75" x14ac:dyDescent="0.3">
      <c r="A150" s="135">
        <v>45878</v>
      </c>
      <c r="B150" s="136"/>
      <c r="C150" s="136"/>
      <c r="D150" s="136">
        <v>37291</v>
      </c>
      <c r="E150" s="276" t="s">
        <v>925</v>
      </c>
      <c r="F150" s="274" t="s">
        <v>936</v>
      </c>
      <c r="G150" s="137">
        <v>55617.91</v>
      </c>
      <c r="H150" s="138">
        <v>55617.91</v>
      </c>
    </row>
    <row r="151" spans="1:8" ht="28.5" x14ac:dyDescent="0.3">
      <c r="A151" s="135" t="s">
        <v>882</v>
      </c>
      <c r="B151" s="136"/>
      <c r="C151" s="136"/>
      <c r="D151" s="136">
        <v>37292</v>
      </c>
      <c r="E151" s="276" t="s">
        <v>926</v>
      </c>
      <c r="F151" s="274" t="s">
        <v>1282</v>
      </c>
      <c r="G151" s="137">
        <v>3600</v>
      </c>
      <c r="H151" s="138">
        <v>3600</v>
      </c>
    </row>
    <row r="152" spans="1:8" ht="15.75" x14ac:dyDescent="0.3">
      <c r="A152" s="135" t="s">
        <v>933</v>
      </c>
      <c r="B152" s="136"/>
      <c r="C152" s="136"/>
      <c r="D152" s="136">
        <v>37293</v>
      </c>
      <c r="E152" s="276" t="s">
        <v>927</v>
      </c>
      <c r="F152" s="274" t="s">
        <v>927</v>
      </c>
      <c r="G152" s="137">
        <v>0</v>
      </c>
      <c r="H152" s="138">
        <v>0</v>
      </c>
    </row>
    <row r="153" spans="1:8" ht="15.75" x14ac:dyDescent="0.3">
      <c r="A153" s="135" t="s">
        <v>933</v>
      </c>
      <c r="B153" s="136"/>
      <c r="C153" s="136"/>
      <c r="D153" s="136">
        <v>37294</v>
      </c>
      <c r="E153" s="276" t="s">
        <v>927</v>
      </c>
      <c r="F153" s="274" t="s">
        <v>927</v>
      </c>
      <c r="G153" s="137">
        <v>0</v>
      </c>
      <c r="H153" s="138">
        <v>0</v>
      </c>
    </row>
    <row r="154" spans="1:8" ht="15.75" x14ac:dyDescent="0.3">
      <c r="A154" s="135" t="s">
        <v>933</v>
      </c>
      <c r="B154" s="136"/>
      <c r="C154" s="136"/>
      <c r="D154" s="136">
        <v>37295</v>
      </c>
      <c r="E154" s="276" t="s">
        <v>925</v>
      </c>
      <c r="F154" s="274" t="s">
        <v>936</v>
      </c>
      <c r="G154" s="137">
        <v>56472.04</v>
      </c>
      <c r="H154" s="138">
        <v>56472.04</v>
      </c>
    </row>
    <row r="155" spans="1:8" ht="15.75" x14ac:dyDescent="0.3">
      <c r="A155" s="135" t="s">
        <v>934</v>
      </c>
      <c r="B155" s="136"/>
      <c r="C155" s="136"/>
      <c r="D155" s="136">
        <v>37296</v>
      </c>
      <c r="E155" s="276" t="s">
        <v>927</v>
      </c>
      <c r="F155" s="274" t="s">
        <v>927</v>
      </c>
      <c r="G155" s="137">
        <v>0</v>
      </c>
      <c r="H155" s="138">
        <v>0</v>
      </c>
    </row>
    <row r="156" spans="1:8" ht="42.75" x14ac:dyDescent="0.3">
      <c r="A156" s="135" t="s">
        <v>934</v>
      </c>
      <c r="B156" s="136"/>
      <c r="C156" s="136"/>
      <c r="D156" s="136">
        <v>37297</v>
      </c>
      <c r="E156" s="276" t="s">
        <v>928</v>
      </c>
      <c r="F156" s="274" t="s">
        <v>1276</v>
      </c>
      <c r="G156" s="137">
        <v>18000</v>
      </c>
      <c r="H156" s="138">
        <v>18000</v>
      </c>
    </row>
    <row r="157" spans="1:8" ht="42.75" x14ac:dyDescent="0.3">
      <c r="A157" s="135" t="s">
        <v>935</v>
      </c>
      <c r="B157" s="136"/>
      <c r="C157" s="136"/>
      <c r="D157" s="136">
        <v>37298</v>
      </c>
      <c r="E157" s="276" t="s">
        <v>929</v>
      </c>
      <c r="F157" s="274" t="s">
        <v>1278</v>
      </c>
      <c r="G157" s="137">
        <v>21673.47</v>
      </c>
      <c r="H157" s="138">
        <v>18000</v>
      </c>
    </row>
    <row r="158" spans="1:8" ht="28.5" x14ac:dyDescent="0.3">
      <c r="A158" s="135" t="s">
        <v>934</v>
      </c>
      <c r="B158" s="136"/>
      <c r="C158" s="136"/>
      <c r="D158" s="136">
        <v>37299</v>
      </c>
      <c r="E158" s="276" t="s">
        <v>930</v>
      </c>
      <c r="F158" s="274" t="s">
        <v>1277</v>
      </c>
      <c r="G158" s="137">
        <v>18061.22</v>
      </c>
      <c r="H158" s="138">
        <v>15000</v>
      </c>
    </row>
    <row r="159" spans="1:8" ht="42.75" x14ac:dyDescent="0.3">
      <c r="A159" s="135" t="s">
        <v>934</v>
      </c>
      <c r="B159" s="136"/>
      <c r="C159" s="136"/>
      <c r="D159" s="136">
        <v>37300</v>
      </c>
      <c r="E159" s="276" t="s">
        <v>931</v>
      </c>
      <c r="F159" s="274" t="s">
        <v>1279</v>
      </c>
      <c r="G159" s="137">
        <v>18061.22</v>
      </c>
      <c r="H159" s="138">
        <v>15000</v>
      </c>
    </row>
    <row r="160" spans="1:8" ht="28.5" x14ac:dyDescent="0.3">
      <c r="A160" s="135" t="s">
        <v>934</v>
      </c>
      <c r="B160" s="136"/>
      <c r="C160" s="136"/>
      <c r="D160" s="136">
        <v>37301</v>
      </c>
      <c r="E160" s="276" t="s">
        <v>932</v>
      </c>
      <c r="F160" s="274" t="s">
        <v>1280</v>
      </c>
      <c r="G160" s="137">
        <v>20000</v>
      </c>
      <c r="H160" s="138">
        <v>20000</v>
      </c>
    </row>
    <row r="161" spans="1:8" ht="15.75" x14ac:dyDescent="0.3">
      <c r="A161" s="135" t="s">
        <v>921</v>
      </c>
      <c r="B161" s="136"/>
      <c r="C161" s="136"/>
      <c r="D161" s="136"/>
      <c r="E161" s="276" t="s">
        <v>1283</v>
      </c>
      <c r="F161" s="274" t="s">
        <v>1284</v>
      </c>
      <c r="G161" s="137">
        <v>21179.93</v>
      </c>
      <c r="H161" s="138">
        <v>21179.93</v>
      </c>
    </row>
    <row r="162" spans="1:8" ht="15.75" thickBot="1" x14ac:dyDescent="0.3">
      <c r="A162" s="346" t="s">
        <v>348</v>
      </c>
      <c r="B162" s="347"/>
      <c r="C162" s="347"/>
      <c r="D162" s="347"/>
      <c r="E162" s="347"/>
      <c r="F162" s="347"/>
      <c r="G162" s="289">
        <f>SUM(G11:G161)</f>
        <v>121741919.58000001</v>
      </c>
      <c r="H162" s="289">
        <f>SUM(H11:H161)</f>
        <v>11126439.540000001</v>
      </c>
    </row>
    <row r="164" spans="1:8" x14ac:dyDescent="0.25">
      <c r="A164" s="350" t="s">
        <v>889</v>
      </c>
      <c r="B164" s="351"/>
      <c r="C164" s="352"/>
      <c r="G164" s="227"/>
    </row>
    <row r="165" spans="1:8" x14ac:dyDescent="0.25">
      <c r="A165" s="353" t="s">
        <v>890</v>
      </c>
      <c r="B165" s="354"/>
      <c r="C165" s="171">
        <f>+G162-C166-C168-C167</f>
        <v>41078960.450000018</v>
      </c>
    </row>
    <row r="166" spans="1:8" x14ac:dyDescent="0.25">
      <c r="A166" s="353" t="s">
        <v>891</v>
      </c>
      <c r="B166" s="354"/>
      <c r="C166" s="171">
        <f>+G154+G150</f>
        <v>112089.95000000001</v>
      </c>
    </row>
    <row r="167" spans="1:8" x14ac:dyDescent="0.25">
      <c r="A167" s="353" t="s">
        <v>892</v>
      </c>
      <c r="B167" s="354"/>
      <c r="C167" s="171">
        <f>+G81+G68+G67+G44+G44</f>
        <v>80417758.979999989</v>
      </c>
    </row>
    <row r="168" spans="1:8" x14ac:dyDescent="0.25">
      <c r="A168" s="353" t="s">
        <v>893</v>
      </c>
      <c r="B168" s="354"/>
      <c r="C168" s="171">
        <f>+G160+G159+G157+G158+G156+G155+G153+G153+G152+G151+G149</f>
        <v>133110.20000000001</v>
      </c>
    </row>
    <row r="169" spans="1:8" x14ac:dyDescent="0.25">
      <c r="A169" s="348" t="s">
        <v>894</v>
      </c>
      <c r="B169" s="349"/>
      <c r="C169" s="290">
        <f>+C165+C166+C167+C168</f>
        <v>121741919.58000001</v>
      </c>
    </row>
  </sheetData>
  <mergeCells count="11">
    <mergeCell ref="A169:B169"/>
    <mergeCell ref="A164:C164"/>
    <mergeCell ref="A165:B165"/>
    <mergeCell ref="A166:B166"/>
    <mergeCell ref="A167:B167"/>
    <mergeCell ref="A168:B168"/>
    <mergeCell ref="A5:H5"/>
    <mergeCell ref="A6:H6"/>
    <mergeCell ref="A7:H7"/>
    <mergeCell ref="A9:H9"/>
    <mergeCell ref="A162:F162"/>
  </mergeCells>
  <pageMargins left="0.70866141732283505" right="0.70866141732283505" top="0.74803149606299202" bottom="0.74803149606299202" header="0.31496062992126" footer="0.31496062992126"/>
  <pageSetup scale="55" orientation="landscape" r:id="rId1"/>
  <rowBreaks count="1" manualBreakCount="1">
    <brk id="130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9"/>
  <sheetViews>
    <sheetView zoomScale="90" zoomScaleNormal="90" workbookViewId="0">
      <selection activeCell="A7" sqref="A7:I7"/>
    </sheetView>
  </sheetViews>
  <sheetFormatPr defaultColWidth="12.5703125" defaultRowHeight="15" x14ac:dyDescent="0.25"/>
  <cols>
    <col min="1" max="1" width="11.140625" customWidth="1"/>
    <col min="2" max="2" width="18.28515625" customWidth="1"/>
    <col min="3" max="3" width="26.28515625" customWidth="1"/>
    <col min="4" max="4" width="24.28515625" customWidth="1"/>
    <col min="5" max="5" width="18.28515625" customWidth="1"/>
    <col min="6" max="6" width="53.28515625" customWidth="1"/>
    <col min="7" max="7" width="10.85546875" customWidth="1"/>
    <col min="8" max="8" width="61.28515625" customWidth="1"/>
    <col min="9" max="9" width="16.85546875" bestFit="1" customWidth="1"/>
    <col min="10" max="10" width="31.42578125" customWidth="1"/>
  </cols>
  <sheetData>
    <row r="1" spans="1:11" x14ac:dyDescent="0.25">
      <c r="A1" s="139"/>
      <c r="B1" s="139"/>
      <c r="F1" s="283"/>
    </row>
    <row r="2" spans="1:11" x14ac:dyDescent="0.25">
      <c r="A2" s="139"/>
      <c r="B2" s="139"/>
    </row>
    <row r="3" spans="1:11" x14ac:dyDescent="0.25">
      <c r="A3" s="342"/>
      <c r="B3" s="342"/>
      <c r="C3" s="342"/>
      <c r="D3" s="342"/>
      <c r="E3" s="342"/>
      <c r="F3" s="342"/>
      <c r="G3" s="342"/>
      <c r="H3" s="342"/>
      <c r="I3" s="342"/>
    </row>
    <row r="4" spans="1:11" ht="18.75" x14ac:dyDescent="0.3">
      <c r="A4" s="357" t="s">
        <v>77</v>
      </c>
      <c r="B4" s="357"/>
      <c r="C4" s="357"/>
      <c r="D4" s="357"/>
      <c r="E4" s="357"/>
      <c r="F4" s="357"/>
      <c r="G4" s="357"/>
      <c r="H4" s="357"/>
      <c r="I4" s="357"/>
    </row>
    <row r="5" spans="1:11" ht="18.75" x14ac:dyDescent="0.3">
      <c r="A5" s="357" t="s">
        <v>666</v>
      </c>
      <c r="B5" s="357"/>
      <c r="C5" s="357"/>
      <c r="D5" s="357"/>
      <c r="E5" s="357"/>
      <c r="F5" s="357"/>
      <c r="G5" s="357"/>
      <c r="H5" s="357"/>
      <c r="I5" s="357"/>
    </row>
    <row r="6" spans="1:11" ht="18.75" x14ac:dyDescent="0.3">
      <c r="A6" s="357" t="s">
        <v>1275</v>
      </c>
      <c r="B6" s="357"/>
      <c r="C6" s="357"/>
      <c r="D6" s="357"/>
      <c r="E6" s="357"/>
      <c r="F6" s="357"/>
      <c r="G6" s="357"/>
      <c r="H6" s="357"/>
      <c r="I6" s="357"/>
    </row>
    <row r="7" spans="1:11" ht="18.75" x14ac:dyDescent="0.3">
      <c r="A7" s="358" t="s">
        <v>1271</v>
      </c>
      <c r="B7" s="358"/>
      <c r="C7" s="358"/>
      <c r="D7" s="358"/>
      <c r="E7" s="358"/>
      <c r="F7" s="358"/>
      <c r="G7" s="358"/>
      <c r="H7" s="358"/>
      <c r="I7" s="358"/>
    </row>
    <row r="8" spans="1:11" ht="31.5" x14ac:dyDescent="0.25">
      <c r="A8" s="330" t="s">
        <v>457</v>
      </c>
      <c r="B8" s="331" t="s">
        <v>941</v>
      </c>
      <c r="C8" s="331" t="s">
        <v>942</v>
      </c>
      <c r="D8" s="332" t="s">
        <v>456</v>
      </c>
      <c r="E8" s="332" t="s">
        <v>455</v>
      </c>
      <c r="F8" s="333" t="s">
        <v>454</v>
      </c>
      <c r="G8" s="333" t="s">
        <v>453</v>
      </c>
      <c r="H8" s="332" t="s">
        <v>452</v>
      </c>
      <c r="I8" s="333" t="s">
        <v>451</v>
      </c>
      <c r="J8" s="333" t="s">
        <v>943</v>
      </c>
      <c r="K8" s="298" t="s">
        <v>944</v>
      </c>
    </row>
    <row r="9" spans="1:11" s="131" customFormat="1" x14ac:dyDescent="0.25">
      <c r="A9" s="299">
        <v>45901.418510960648</v>
      </c>
      <c r="B9" s="299" t="s">
        <v>945</v>
      </c>
      <c r="C9" s="268" t="s">
        <v>946</v>
      </c>
      <c r="D9" s="268"/>
      <c r="E9" s="300"/>
      <c r="F9" s="268" t="s">
        <v>947</v>
      </c>
      <c r="G9" s="268">
        <v>50110000</v>
      </c>
      <c r="H9" s="268" t="s">
        <v>948</v>
      </c>
      <c r="I9" s="301">
        <v>227500</v>
      </c>
      <c r="J9" s="268" t="s">
        <v>949</v>
      </c>
    </row>
    <row r="10" spans="1:11" s="131" customFormat="1" x14ac:dyDescent="0.25">
      <c r="A10" s="299">
        <v>45901.45927028935</v>
      </c>
      <c r="B10" s="299" t="s">
        <v>950</v>
      </c>
      <c r="C10" s="268" t="s">
        <v>951</v>
      </c>
      <c r="D10" s="268"/>
      <c r="E10" s="300"/>
      <c r="F10" s="268" t="s">
        <v>952</v>
      </c>
      <c r="G10" s="268">
        <v>85120000</v>
      </c>
      <c r="H10" s="268" t="s">
        <v>953</v>
      </c>
      <c r="I10" s="301">
        <v>270000</v>
      </c>
      <c r="J10" s="268" t="s">
        <v>949</v>
      </c>
    </row>
    <row r="11" spans="1:11" s="131" customFormat="1" x14ac:dyDescent="0.25">
      <c r="A11" s="299">
        <v>45901.459270983796</v>
      </c>
      <c r="B11" s="299" t="s">
        <v>954</v>
      </c>
      <c r="C11" s="268" t="s">
        <v>955</v>
      </c>
      <c r="D11" s="268"/>
      <c r="E11" s="300"/>
      <c r="F11" s="268" t="s">
        <v>750</v>
      </c>
      <c r="G11" s="268">
        <v>42280000</v>
      </c>
      <c r="H11" s="268" t="s">
        <v>956</v>
      </c>
      <c r="I11" s="301">
        <v>260780</v>
      </c>
      <c r="J11" s="268" t="s">
        <v>949</v>
      </c>
    </row>
    <row r="12" spans="1:11" s="131" customFormat="1" x14ac:dyDescent="0.25">
      <c r="A12" s="299">
        <v>45901.626459606479</v>
      </c>
      <c r="B12" s="299" t="s">
        <v>957</v>
      </c>
      <c r="C12" s="268" t="s">
        <v>958</v>
      </c>
      <c r="D12" s="268"/>
      <c r="E12" s="300"/>
      <c r="F12" s="268" t="s">
        <v>756</v>
      </c>
      <c r="G12" s="268">
        <v>42220000</v>
      </c>
      <c r="H12" s="268" t="s">
        <v>959</v>
      </c>
      <c r="I12" s="301">
        <v>216825</v>
      </c>
      <c r="J12" s="268" t="s">
        <v>949</v>
      </c>
    </row>
    <row r="13" spans="1:11" s="131" customFormat="1" x14ac:dyDescent="0.25">
      <c r="A13" s="299">
        <v>45901.626459803236</v>
      </c>
      <c r="B13" s="299" t="s">
        <v>960</v>
      </c>
      <c r="C13" s="268" t="s">
        <v>961</v>
      </c>
      <c r="D13" s="268"/>
      <c r="E13" s="300"/>
      <c r="F13" s="268" t="s">
        <v>757</v>
      </c>
      <c r="G13" s="268">
        <v>51190000</v>
      </c>
      <c r="H13" s="268" t="s">
        <v>962</v>
      </c>
      <c r="I13" s="301">
        <v>240000</v>
      </c>
      <c r="J13" s="268" t="s">
        <v>949</v>
      </c>
    </row>
    <row r="14" spans="1:11" s="131" customFormat="1" x14ac:dyDescent="0.25">
      <c r="A14" s="299">
        <v>45902.419746990738</v>
      </c>
      <c r="B14" s="299" t="s">
        <v>963</v>
      </c>
      <c r="C14" s="268" t="s">
        <v>964</v>
      </c>
      <c r="D14" s="268"/>
      <c r="E14" s="300"/>
      <c r="F14" s="268" t="s">
        <v>965</v>
      </c>
      <c r="G14" s="268">
        <v>42200000</v>
      </c>
      <c r="H14" s="268" t="s">
        <v>966</v>
      </c>
      <c r="I14" s="301">
        <v>197768</v>
      </c>
      <c r="J14" s="268" t="s">
        <v>949</v>
      </c>
    </row>
    <row r="15" spans="1:11" s="131" customFormat="1" x14ac:dyDescent="0.25">
      <c r="A15" s="299">
        <v>45902.460462118055</v>
      </c>
      <c r="B15" s="299" t="s">
        <v>967</v>
      </c>
      <c r="C15" s="268" t="s">
        <v>968</v>
      </c>
      <c r="D15" s="268"/>
      <c r="E15" s="300"/>
      <c r="F15" s="268" t="s">
        <v>969</v>
      </c>
      <c r="G15" s="268">
        <v>42290000</v>
      </c>
      <c r="H15" s="268" t="s">
        <v>970</v>
      </c>
      <c r="I15" s="301">
        <v>708000</v>
      </c>
      <c r="J15" s="268" t="s">
        <v>949</v>
      </c>
    </row>
    <row r="16" spans="1:11" s="131" customFormat="1" x14ac:dyDescent="0.25">
      <c r="A16" s="299">
        <v>45902.503212118056</v>
      </c>
      <c r="B16" s="299" t="s">
        <v>971</v>
      </c>
      <c r="C16" s="268" t="s">
        <v>972</v>
      </c>
      <c r="D16" s="268"/>
      <c r="E16" s="300"/>
      <c r="F16" s="268" t="s">
        <v>969</v>
      </c>
      <c r="G16" s="268">
        <v>42290000</v>
      </c>
      <c r="H16" s="268" t="s">
        <v>970</v>
      </c>
      <c r="I16" s="301">
        <v>354815</v>
      </c>
      <c r="J16" s="268" t="s">
        <v>949</v>
      </c>
    </row>
    <row r="17" spans="1:10" s="131" customFormat="1" x14ac:dyDescent="0.25">
      <c r="A17" s="299">
        <v>45902.507150613426</v>
      </c>
      <c r="B17" s="299" t="s">
        <v>973</v>
      </c>
      <c r="C17" s="268" t="s">
        <v>974</v>
      </c>
      <c r="D17" s="268"/>
      <c r="E17" s="300"/>
      <c r="F17" s="268" t="s">
        <v>969</v>
      </c>
      <c r="G17" s="268">
        <v>41100000</v>
      </c>
      <c r="H17" s="268" t="s">
        <v>975</v>
      </c>
      <c r="I17" s="301">
        <v>26550</v>
      </c>
      <c r="J17" s="268" t="s">
        <v>949</v>
      </c>
    </row>
    <row r="18" spans="1:10" s="131" customFormat="1" x14ac:dyDescent="0.25">
      <c r="A18" s="299">
        <v>45902.541915393515</v>
      </c>
      <c r="B18" s="299" t="s">
        <v>976</v>
      </c>
      <c r="C18" s="268" t="s">
        <v>977</v>
      </c>
      <c r="D18" s="268"/>
      <c r="E18" s="300"/>
      <c r="F18" s="268" t="s">
        <v>978</v>
      </c>
      <c r="G18" s="268">
        <v>80120000</v>
      </c>
      <c r="H18" s="268" t="s">
        <v>979</v>
      </c>
      <c r="I18" s="301">
        <v>17700</v>
      </c>
      <c r="J18" s="268" t="s">
        <v>949</v>
      </c>
    </row>
    <row r="19" spans="1:10" s="131" customFormat="1" x14ac:dyDescent="0.25">
      <c r="A19" s="299">
        <v>45902.585392094908</v>
      </c>
      <c r="B19" s="299" t="s">
        <v>980</v>
      </c>
      <c r="C19" s="268" t="s">
        <v>981</v>
      </c>
      <c r="D19" s="268"/>
      <c r="E19" s="300"/>
      <c r="F19" s="268" t="s">
        <v>764</v>
      </c>
      <c r="G19" s="268">
        <v>47130000</v>
      </c>
      <c r="H19" s="268" t="s">
        <v>982</v>
      </c>
      <c r="I19" s="301">
        <v>212400</v>
      </c>
      <c r="J19" s="268" t="s">
        <v>949</v>
      </c>
    </row>
    <row r="20" spans="1:10" s="131" customFormat="1" x14ac:dyDescent="0.25">
      <c r="A20" s="299">
        <v>45903.418830555551</v>
      </c>
      <c r="B20" s="299" t="s">
        <v>983</v>
      </c>
      <c r="C20" s="268" t="s">
        <v>984</v>
      </c>
      <c r="D20" s="268"/>
      <c r="E20" s="300"/>
      <c r="F20" s="268" t="s">
        <v>985</v>
      </c>
      <c r="G20" s="268">
        <v>71120000</v>
      </c>
      <c r="H20" s="268" t="s">
        <v>986</v>
      </c>
      <c r="I20" s="301">
        <v>90049</v>
      </c>
      <c r="J20" s="268" t="s">
        <v>949</v>
      </c>
    </row>
    <row r="21" spans="1:10" s="131" customFormat="1" x14ac:dyDescent="0.25">
      <c r="A21" s="299">
        <v>45903.459325810181</v>
      </c>
      <c r="B21" s="299" t="s">
        <v>987</v>
      </c>
      <c r="C21" s="268" t="s">
        <v>988</v>
      </c>
      <c r="D21" s="268"/>
      <c r="E21" s="300"/>
      <c r="F21" s="268" t="s">
        <v>753</v>
      </c>
      <c r="G21" s="268">
        <v>43210000</v>
      </c>
      <c r="H21" s="268" t="s">
        <v>989</v>
      </c>
      <c r="I21" s="301">
        <v>121990</v>
      </c>
      <c r="J21" s="268" t="s">
        <v>949</v>
      </c>
    </row>
    <row r="22" spans="1:10" s="131" customFormat="1" x14ac:dyDescent="0.25">
      <c r="A22" s="299">
        <v>45903.548665509261</v>
      </c>
      <c r="B22" s="299" t="s">
        <v>990</v>
      </c>
      <c r="C22" s="268" t="s">
        <v>991</v>
      </c>
      <c r="D22" s="268"/>
      <c r="E22" s="300"/>
      <c r="F22" s="268" t="s">
        <v>992</v>
      </c>
      <c r="G22" s="268">
        <v>51170000</v>
      </c>
      <c r="H22" s="268" t="s">
        <v>993</v>
      </c>
      <c r="I22" s="301">
        <v>555000</v>
      </c>
      <c r="J22" s="268" t="s">
        <v>949</v>
      </c>
    </row>
    <row r="23" spans="1:10" s="131" customFormat="1" x14ac:dyDescent="0.25">
      <c r="A23" s="299">
        <v>45903.605602349533</v>
      </c>
      <c r="B23" s="299" t="s">
        <v>994</v>
      </c>
      <c r="C23" s="268" t="s">
        <v>995</v>
      </c>
      <c r="D23" s="268"/>
      <c r="E23" s="300"/>
      <c r="F23" s="268" t="s">
        <v>996</v>
      </c>
      <c r="G23" s="268">
        <v>85160000</v>
      </c>
      <c r="H23" s="268" t="s">
        <v>997</v>
      </c>
      <c r="I23" s="301">
        <v>13039</v>
      </c>
      <c r="J23" s="268" t="s">
        <v>949</v>
      </c>
    </row>
    <row r="24" spans="1:10" s="131" customFormat="1" x14ac:dyDescent="0.25">
      <c r="A24" s="299">
        <v>45903.626917789348</v>
      </c>
      <c r="B24" s="299" t="s">
        <v>998</v>
      </c>
      <c r="C24" s="268" t="s">
        <v>999</v>
      </c>
      <c r="D24" s="268"/>
      <c r="E24" s="300"/>
      <c r="F24" s="268" t="s">
        <v>758</v>
      </c>
      <c r="G24" s="268">
        <v>51100000</v>
      </c>
      <c r="H24" s="268" t="s">
        <v>1000</v>
      </c>
      <c r="I24" s="301">
        <v>140000</v>
      </c>
      <c r="J24" s="268" t="s">
        <v>949</v>
      </c>
    </row>
    <row r="25" spans="1:10" s="131" customFormat="1" x14ac:dyDescent="0.25">
      <c r="A25" s="299">
        <v>45904.419361921297</v>
      </c>
      <c r="B25" s="299" t="s">
        <v>1001</v>
      </c>
      <c r="C25" s="268" t="s">
        <v>1002</v>
      </c>
      <c r="D25" s="268"/>
      <c r="E25" s="300"/>
      <c r="F25" s="268" t="s">
        <v>739</v>
      </c>
      <c r="G25" s="268">
        <v>72100000</v>
      </c>
      <c r="H25" s="268" t="s">
        <v>1003</v>
      </c>
      <c r="I25" s="301">
        <v>396976</v>
      </c>
      <c r="J25" s="268" t="s">
        <v>949</v>
      </c>
    </row>
    <row r="26" spans="1:10" s="131" customFormat="1" x14ac:dyDescent="0.25">
      <c r="A26" s="299">
        <v>45904.459423645829</v>
      </c>
      <c r="B26" s="299" t="s">
        <v>1004</v>
      </c>
      <c r="C26" s="268" t="s">
        <v>1005</v>
      </c>
      <c r="D26" s="268"/>
      <c r="E26" s="300"/>
      <c r="F26" s="268" t="s">
        <v>1006</v>
      </c>
      <c r="G26" s="268">
        <v>73150000</v>
      </c>
      <c r="H26" s="268" t="s">
        <v>1007</v>
      </c>
      <c r="I26" s="301">
        <v>242372</v>
      </c>
      <c r="J26" s="268" t="s">
        <v>949</v>
      </c>
    </row>
    <row r="27" spans="1:10" s="131" customFormat="1" x14ac:dyDescent="0.25">
      <c r="A27" s="299">
        <v>45904.45962804398</v>
      </c>
      <c r="B27" s="299" t="s">
        <v>1008</v>
      </c>
      <c r="C27" s="268" t="s">
        <v>1009</v>
      </c>
      <c r="D27" s="268"/>
      <c r="E27" s="300"/>
      <c r="F27" s="268" t="s">
        <v>764</v>
      </c>
      <c r="G27" s="268">
        <v>42130000</v>
      </c>
      <c r="H27" s="268" t="s">
        <v>1010</v>
      </c>
      <c r="I27" s="301">
        <v>67260</v>
      </c>
      <c r="J27" s="268" t="s">
        <v>949</v>
      </c>
    </row>
    <row r="28" spans="1:10" s="131" customFormat="1" x14ac:dyDescent="0.25">
      <c r="A28" s="299">
        <v>45904.479202627313</v>
      </c>
      <c r="B28" s="299" t="s">
        <v>1011</v>
      </c>
      <c r="C28" s="268" t="s">
        <v>1012</v>
      </c>
      <c r="D28" s="268"/>
      <c r="E28" s="300"/>
      <c r="F28" s="268" t="s">
        <v>1013</v>
      </c>
      <c r="G28" s="268">
        <v>43190000</v>
      </c>
      <c r="H28" s="268" t="s">
        <v>1014</v>
      </c>
      <c r="I28" s="301">
        <v>520380</v>
      </c>
      <c r="J28" s="268" t="s">
        <v>949</v>
      </c>
    </row>
    <row r="29" spans="1:10" s="131" customFormat="1" x14ac:dyDescent="0.25">
      <c r="A29" s="299">
        <v>45904.541915474532</v>
      </c>
      <c r="B29" s="299" t="s">
        <v>1015</v>
      </c>
      <c r="C29" s="268" t="s">
        <v>1016</v>
      </c>
      <c r="D29" s="268"/>
      <c r="E29" s="300"/>
      <c r="F29" s="268" t="s">
        <v>769</v>
      </c>
      <c r="G29" s="268">
        <v>41110000</v>
      </c>
      <c r="H29" s="268" t="s">
        <v>1017</v>
      </c>
      <c r="I29" s="301">
        <v>277701</v>
      </c>
      <c r="J29" s="268" t="s">
        <v>949</v>
      </c>
    </row>
    <row r="30" spans="1:10" s="131" customFormat="1" x14ac:dyDescent="0.25">
      <c r="A30" s="299">
        <v>45904.54236342592</v>
      </c>
      <c r="B30" s="299" t="s">
        <v>1018</v>
      </c>
      <c r="C30" s="268" t="s">
        <v>1019</v>
      </c>
      <c r="D30" s="268"/>
      <c r="E30" s="300"/>
      <c r="F30" s="268" t="s">
        <v>1020</v>
      </c>
      <c r="G30" s="268">
        <v>26110000</v>
      </c>
      <c r="H30" s="268" t="s">
        <v>1021</v>
      </c>
      <c r="I30" s="301">
        <v>571120</v>
      </c>
      <c r="J30" s="268" t="s">
        <v>949</v>
      </c>
    </row>
    <row r="31" spans="1:10" s="131" customFormat="1" x14ac:dyDescent="0.25">
      <c r="A31" s="299">
        <v>45904.585146909718</v>
      </c>
      <c r="B31" s="299" t="s">
        <v>1022</v>
      </c>
      <c r="C31" s="268" t="s">
        <v>1023</v>
      </c>
      <c r="D31" s="268"/>
      <c r="E31" s="300"/>
      <c r="F31" s="268" t="s">
        <v>897</v>
      </c>
      <c r="G31" s="268">
        <v>12160000</v>
      </c>
      <c r="H31" s="268" t="s">
        <v>1024</v>
      </c>
      <c r="I31" s="301">
        <v>1628872</v>
      </c>
      <c r="J31" s="268" t="s">
        <v>949</v>
      </c>
    </row>
    <row r="32" spans="1:10" s="131" customFormat="1" x14ac:dyDescent="0.25">
      <c r="A32" s="299">
        <v>45905.42014869213</v>
      </c>
      <c r="B32" s="299" t="s">
        <v>1025</v>
      </c>
      <c r="C32" s="268" t="s">
        <v>1026</v>
      </c>
      <c r="D32" s="268"/>
      <c r="E32" s="300"/>
      <c r="F32" s="268" t="s">
        <v>996</v>
      </c>
      <c r="G32" s="268">
        <v>41100000</v>
      </c>
      <c r="H32" s="268" t="s">
        <v>975</v>
      </c>
      <c r="I32" s="301">
        <v>32657</v>
      </c>
      <c r="J32" s="268" t="s">
        <v>949</v>
      </c>
    </row>
    <row r="33" spans="1:10" s="131" customFormat="1" x14ac:dyDescent="0.25">
      <c r="A33" s="299">
        <v>45905.502215856483</v>
      </c>
      <c r="B33" s="299" t="s">
        <v>1027</v>
      </c>
      <c r="C33" s="268" t="s">
        <v>1028</v>
      </c>
      <c r="D33" s="268"/>
      <c r="E33" s="300"/>
      <c r="F33" s="268" t="s">
        <v>764</v>
      </c>
      <c r="G33" s="268">
        <v>90100000</v>
      </c>
      <c r="H33" s="268" t="s">
        <v>1029</v>
      </c>
      <c r="I33" s="301">
        <v>74930</v>
      </c>
      <c r="J33" s="268" t="s">
        <v>949</v>
      </c>
    </row>
    <row r="34" spans="1:10" s="131" customFormat="1" x14ac:dyDescent="0.25">
      <c r="A34" s="299">
        <v>45905.50241616898</v>
      </c>
      <c r="B34" s="299" t="s">
        <v>1030</v>
      </c>
      <c r="C34" s="268" t="s">
        <v>1031</v>
      </c>
      <c r="D34" s="268"/>
      <c r="E34" s="300"/>
      <c r="F34" s="268" t="s">
        <v>752</v>
      </c>
      <c r="G34" s="268">
        <v>56100000</v>
      </c>
      <c r="H34" s="268" t="s">
        <v>1032</v>
      </c>
      <c r="I34" s="301">
        <v>89070</v>
      </c>
      <c r="J34" s="268" t="s">
        <v>949</v>
      </c>
    </row>
    <row r="35" spans="1:10" s="131" customFormat="1" x14ac:dyDescent="0.25">
      <c r="A35" s="299">
        <v>45905.502854398146</v>
      </c>
      <c r="B35" s="299" t="s">
        <v>1033</v>
      </c>
      <c r="C35" s="268" t="s">
        <v>1034</v>
      </c>
      <c r="D35" s="268"/>
      <c r="E35" s="300"/>
      <c r="F35" s="268" t="s">
        <v>1006</v>
      </c>
      <c r="G35" s="268">
        <v>56100000</v>
      </c>
      <c r="H35" s="268" t="s">
        <v>1032</v>
      </c>
      <c r="I35" s="301">
        <v>148680</v>
      </c>
      <c r="J35" s="268" t="s">
        <v>949</v>
      </c>
    </row>
    <row r="36" spans="1:10" s="131" customFormat="1" x14ac:dyDescent="0.25">
      <c r="A36" s="299">
        <v>45908.451395370372</v>
      </c>
      <c r="B36" s="299" t="s">
        <v>1035</v>
      </c>
      <c r="C36" s="268" t="s">
        <v>1036</v>
      </c>
      <c r="D36" s="268"/>
      <c r="E36" s="300"/>
      <c r="F36" s="268" t="s">
        <v>722</v>
      </c>
      <c r="G36" s="268">
        <v>15100000</v>
      </c>
      <c r="H36" s="268" t="s">
        <v>1037</v>
      </c>
      <c r="I36" s="301">
        <v>172000</v>
      </c>
      <c r="J36" s="268" t="s">
        <v>949</v>
      </c>
    </row>
    <row r="37" spans="1:10" s="131" customFormat="1" x14ac:dyDescent="0.25">
      <c r="A37" s="299">
        <v>45908.459759178237</v>
      </c>
      <c r="B37" s="299" t="s">
        <v>1038</v>
      </c>
      <c r="C37" s="268" t="s">
        <v>1039</v>
      </c>
      <c r="D37" s="268"/>
      <c r="E37" s="300"/>
      <c r="F37" s="268" t="s">
        <v>1040</v>
      </c>
      <c r="G37" s="268">
        <v>76120000</v>
      </c>
      <c r="H37" s="268" t="s">
        <v>1041</v>
      </c>
      <c r="I37" s="301">
        <v>720000</v>
      </c>
      <c r="J37" s="268" t="s">
        <v>949</v>
      </c>
    </row>
    <row r="38" spans="1:10" s="131" customFormat="1" x14ac:dyDescent="0.25">
      <c r="A38" s="299">
        <v>45908.501717858795</v>
      </c>
      <c r="B38" s="299" t="s">
        <v>1042</v>
      </c>
      <c r="C38" s="268" t="s">
        <v>1043</v>
      </c>
      <c r="D38" s="268"/>
      <c r="E38" s="300"/>
      <c r="F38" s="268" t="s">
        <v>1006</v>
      </c>
      <c r="G38" s="268">
        <v>55120000</v>
      </c>
      <c r="H38" s="268" t="s">
        <v>1044</v>
      </c>
      <c r="I38" s="301">
        <v>212400</v>
      </c>
      <c r="J38" s="268" t="s">
        <v>949</v>
      </c>
    </row>
    <row r="39" spans="1:10" s="131" customFormat="1" x14ac:dyDescent="0.25">
      <c r="A39" s="299">
        <v>45908.625465081015</v>
      </c>
      <c r="B39" s="299" t="s">
        <v>1045</v>
      </c>
      <c r="C39" s="268" t="s">
        <v>1046</v>
      </c>
      <c r="D39" s="268"/>
      <c r="E39" s="300"/>
      <c r="F39" s="268" t="s">
        <v>992</v>
      </c>
      <c r="G39" s="268">
        <v>55120000</v>
      </c>
      <c r="H39" s="268" t="s">
        <v>1044</v>
      </c>
      <c r="I39" s="301">
        <v>270102</v>
      </c>
      <c r="J39" s="268" t="s">
        <v>949</v>
      </c>
    </row>
    <row r="40" spans="1:10" s="131" customFormat="1" x14ac:dyDescent="0.25">
      <c r="A40" s="299">
        <v>45909.420191782403</v>
      </c>
      <c r="B40" s="299" t="s">
        <v>1047</v>
      </c>
      <c r="C40" s="268" t="s">
        <v>1048</v>
      </c>
      <c r="D40" s="268"/>
      <c r="E40" s="300"/>
      <c r="F40" s="268" t="s">
        <v>1049</v>
      </c>
      <c r="G40" s="268">
        <v>39100000</v>
      </c>
      <c r="H40" s="268" t="s">
        <v>1050</v>
      </c>
      <c r="I40" s="301">
        <v>496151</v>
      </c>
      <c r="J40" s="268" t="s">
        <v>949</v>
      </c>
    </row>
    <row r="41" spans="1:10" s="131" customFormat="1" x14ac:dyDescent="0.25">
      <c r="A41" s="299">
        <v>45909.501686608797</v>
      </c>
      <c r="B41" s="299" t="s">
        <v>1051</v>
      </c>
      <c r="C41" s="268" t="s">
        <v>1052</v>
      </c>
      <c r="D41" s="268"/>
      <c r="E41" s="300"/>
      <c r="F41" s="268" t="s">
        <v>760</v>
      </c>
      <c r="G41" s="268">
        <v>51140000</v>
      </c>
      <c r="H41" s="268" t="s">
        <v>1053</v>
      </c>
      <c r="I41" s="301">
        <v>150000</v>
      </c>
      <c r="J41" s="268" t="s">
        <v>949</v>
      </c>
    </row>
    <row r="42" spans="1:10" s="131" customFormat="1" x14ac:dyDescent="0.25">
      <c r="A42" s="299">
        <v>45909.604218599532</v>
      </c>
      <c r="B42" s="299" t="s">
        <v>1054</v>
      </c>
      <c r="C42" s="268" t="s">
        <v>1055</v>
      </c>
      <c r="D42" s="268"/>
      <c r="E42" s="300"/>
      <c r="F42" s="268" t="s">
        <v>996</v>
      </c>
      <c r="G42" s="268">
        <v>41110000</v>
      </c>
      <c r="H42" s="268" t="s">
        <v>1017</v>
      </c>
      <c r="I42" s="301">
        <v>233700</v>
      </c>
      <c r="J42" s="268" t="s">
        <v>949</v>
      </c>
    </row>
    <row r="43" spans="1:10" s="131" customFormat="1" x14ac:dyDescent="0.25">
      <c r="A43" s="299">
        <v>45909.625847337964</v>
      </c>
      <c r="B43" s="299" t="s">
        <v>1056</v>
      </c>
      <c r="C43" s="268" t="s">
        <v>1057</v>
      </c>
      <c r="D43" s="268"/>
      <c r="E43" s="300"/>
      <c r="F43" s="268" t="s">
        <v>1006</v>
      </c>
      <c r="G43" s="268">
        <v>56100000</v>
      </c>
      <c r="H43" s="268" t="s">
        <v>1032</v>
      </c>
      <c r="I43" s="301">
        <v>62304</v>
      </c>
      <c r="J43" s="268" t="s">
        <v>949</v>
      </c>
    </row>
    <row r="44" spans="1:10" s="131" customFormat="1" x14ac:dyDescent="0.25">
      <c r="A44" s="299">
        <v>45909.63892824074</v>
      </c>
      <c r="B44" s="299" t="s">
        <v>1058</v>
      </c>
      <c r="C44" s="268" t="s">
        <v>1059</v>
      </c>
      <c r="D44" s="268"/>
      <c r="E44" s="300"/>
      <c r="F44" s="268" t="s">
        <v>996</v>
      </c>
      <c r="G44" s="268">
        <v>52140000</v>
      </c>
      <c r="H44" s="268" t="s">
        <v>1060</v>
      </c>
      <c r="I44" s="301">
        <v>301891</v>
      </c>
      <c r="J44" s="268" t="s">
        <v>949</v>
      </c>
    </row>
    <row r="45" spans="1:10" s="131" customFormat="1" x14ac:dyDescent="0.25">
      <c r="A45" s="299">
        <v>45910.434087002315</v>
      </c>
      <c r="B45" s="299" t="s">
        <v>1061</v>
      </c>
      <c r="C45" s="268" t="s">
        <v>1062</v>
      </c>
      <c r="D45" s="268"/>
      <c r="E45" s="300"/>
      <c r="F45" s="268" t="s">
        <v>1063</v>
      </c>
      <c r="G45" s="268">
        <v>39110000</v>
      </c>
      <c r="H45" s="268" t="s">
        <v>1064</v>
      </c>
      <c r="I45" s="301">
        <v>23681</v>
      </c>
      <c r="J45" s="268" t="s">
        <v>949</v>
      </c>
    </row>
    <row r="46" spans="1:10" s="131" customFormat="1" x14ac:dyDescent="0.25">
      <c r="A46" s="299">
        <v>45910.459145289351</v>
      </c>
      <c r="B46" s="299" t="s">
        <v>1065</v>
      </c>
      <c r="C46" s="268" t="s">
        <v>1066</v>
      </c>
      <c r="D46" s="268"/>
      <c r="E46" s="300"/>
      <c r="F46" s="268" t="s">
        <v>754</v>
      </c>
      <c r="G46" s="268">
        <v>41110000</v>
      </c>
      <c r="H46" s="268" t="s">
        <v>1017</v>
      </c>
      <c r="I46" s="301">
        <v>753713</v>
      </c>
      <c r="J46" s="268" t="s">
        <v>949</v>
      </c>
    </row>
    <row r="47" spans="1:10" s="131" customFormat="1" x14ac:dyDescent="0.25">
      <c r="A47" s="299">
        <v>45910.459315428241</v>
      </c>
      <c r="B47" s="299" t="s">
        <v>1067</v>
      </c>
      <c r="C47" s="268" t="s">
        <v>1068</v>
      </c>
      <c r="D47" s="268"/>
      <c r="E47" s="300"/>
      <c r="F47" s="268" t="s">
        <v>895</v>
      </c>
      <c r="G47" s="268">
        <v>41110000</v>
      </c>
      <c r="H47" s="268" t="s">
        <v>1017</v>
      </c>
      <c r="I47" s="301">
        <v>313804</v>
      </c>
      <c r="J47" s="268" t="s">
        <v>949</v>
      </c>
    </row>
    <row r="48" spans="1:10" s="131" customFormat="1" x14ac:dyDescent="0.25">
      <c r="A48" s="299">
        <v>45910.459316284723</v>
      </c>
      <c r="B48" s="299" t="s">
        <v>1069</v>
      </c>
      <c r="C48" s="268" t="s">
        <v>1070</v>
      </c>
      <c r="D48" s="268"/>
      <c r="E48" s="300"/>
      <c r="F48" s="268" t="s">
        <v>781</v>
      </c>
      <c r="G48" s="268">
        <v>41110000</v>
      </c>
      <c r="H48" s="268" t="s">
        <v>1017</v>
      </c>
      <c r="I48" s="301">
        <v>843597</v>
      </c>
      <c r="J48" s="268" t="s">
        <v>949</v>
      </c>
    </row>
    <row r="49" spans="1:10" s="131" customFormat="1" x14ac:dyDescent="0.25">
      <c r="A49" s="299">
        <v>45910.50243429398</v>
      </c>
      <c r="B49" s="299" t="s">
        <v>1071</v>
      </c>
      <c r="C49" s="268" t="s">
        <v>1072</v>
      </c>
      <c r="D49" s="268"/>
      <c r="E49" s="300"/>
      <c r="F49" s="268" t="s">
        <v>969</v>
      </c>
      <c r="G49" s="268">
        <v>42290000</v>
      </c>
      <c r="H49" s="268" t="s">
        <v>970</v>
      </c>
      <c r="I49" s="301">
        <v>1899800</v>
      </c>
      <c r="J49" s="268" t="s">
        <v>949</v>
      </c>
    </row>
    <row r="50" spans="1:10" s="131" customFormat="1" x14ac:dyDescent="0.25">
      <c r="A50" s="299">
        <v>45910.502434456015</v>
      </c>
      <c r="B50" s="299" t="s">
        <v>1073</v>
      </c>
      <c r="C50" s="268" t="s">
        <v>1074</v>
      </c>
      <c r="D50" s="268"/>
      <c r="E50" s="300"/>
      <c r="F50" s="268" t="s">
        <v>750</v>
      </c>
      <c r="G50" s="268">
        <v>42180000</v>
      </c>
      <c r="H50" s="268" t="s">
        <v>1075</v>
      </c>
      <c r="I50" s="301">
        <v>211210</v>
      </c>
      <c r="J50" s="268" t="s">
        <v>949</v>
      </c>
    </row>
    <row r="51" spans="1:10" s="131" customFormat="1" x14ac:dyDescent="0.25">
      <c r="A51" s="299">
        <v>45910.520863310187</v>
      </c>
      <c r="B51" s="299" t="s">
        <v>1076</v>
      </c>
      <c r="C51" s="268" t="s">
        <v>1077</v>
      </c>
      <c r="D51" s="268"/>
      <c r="E51" s="300"/>
      <c r="F51" s="268" t="s">
        <v>750</v>
      </c>
      <c r="G51" s="268">
        <v>42130000</v>
      </c>
      <c r="H51" s="268" t="s">
        <v>1010</v>
      </c>
      <c r="I51" s="301">
        <v>269040</v>
      </c>
      <c r="J51" s="268" t="s">
        <v>949</v>
      </c>
    </row>
    <row r="52" spans="1:10" s="131" customFormat="1" x14ac:dyDescent="0.25">
      <c r="A52" s="299">
        <v>45910.552106365736</v>
      </c>
      <c r="B52" s="299" t="s">
        <v>1078</v>
      </c>
      <c r="C52" s="268" t="s">
        <v>1079</v>
      </c>
      <c r="D52" s="268"/>
      <c r="E52" s="300"/>
      <c r="F52" s="268" t="s">
        <v>750</v>
      </c>
      <c r="G52" s="268">
        <v>42180000</v>
      </c>
      <c r="H52" s="268" t="s">
        <v>1075</v>
      </c>
      <c r="I52" s="301">
        <v>271400</v>
      </c>
      <c r="J52" s="268" t="s">
        <v>949</v>
      </c>
    </row>
    <row r="53" spans="1:10" s="131" customFormat="1" x14ac:dyDescent="0.25">
      <c r="A53" s="299">
        <v>45910.585322453699</v>
      </c>
      <c r="B53" s="299" t="s">
        <v>1080</v>
      </c>
      <c r="C53" s="268" t="s">
        <v>1081</v>
      </c>
      <c r="D53" s="268"/>
      <c r="E53" s="300"/>
      <c r="F53" s="268" t="s">
        <v>750</v>
      </c>
      <c r="G53" s="268">
        <v>51150000</v>
      </c>
      <c r="H53" s="268" t="s">
        <v>1082</v>
      </c>
      <c r="I53" s="301">
        <v>267500</v>
      </c>
      <c r="J53" s="268" t="s">
        <v>949</v>
      </c>
    </row>
    <row r="54" spans="1:10" s="131" customFormat="1" x14ac:dyDescent="0.25">
      <c r="A54" s="299">
        <v>45910.590281597222</v>
      </c>
      <c r="B54" s="299" t="s">
        <v>1083</v>
      </c>
      <c r="C54" s="268" t="s">
        <v>1084</v>
      </c>
      <c r="D54" s="268"/>
      <c r="E54" s="300"/>
      <c r="F54" s="268" t="s">
        <v>1085</v>
      </c>
      <c r="G54" s="268">
        <v>51100000</v>
      </c>
      <c r="H54" s="268" t="s">
        <v>1000</v>
      </c>
      <c r="I54" s="301">
        <v>120000</v>
      </c>
      <c r="J54" s="268" t="s">
        <v>949</v>
      </c>
    </row>
    <row r="55" spans="1:10" s="131" customFormat="1" x14ac:dyDescent="0.25">
      <c r="A55" s="299">
        <v>45910.627315590275</v>
      </c>
      <c r="B55" s="299" t="s">
        <v>1086</v>
      </c>
      <c r="C55" s="268" t="s">
        <v>1087</v>
      </c>
      <c r="D55" s="268"/>
      <c r="E55" s="300"/>
      <c r="F55" s="268" t="s">
        <v>1085</v>
      </c>
      <c r="G55" s="268">
        <v>51140000</v>
      </c>
      <c r="H55" s="268" t="s">
        <v>1053</v>
      </c>
      <c r="I55" s="301">
        <v>270000</v>
      </c>
      <c r="J55" s="268" t="s">
        <v>949</v>
      </c>
    </row>
    <row r="56" spans="1:10" s="131" customFormat="1" x14ac:dyDescent="0.25">
      <c r="A56" s="299">
        <v>45911.502534803236</v>
      </c>
      <c r="B56" s="299" t="s">
        <v>1088</v>
      </c>
      <c r="C56" s="268" t="s">
        <v>1089</v>
      </c>
      <c r="D56" s="268"/>
      <c r="E56" s="300"/>
      <c r="F56" s="268" t="s">
        <v>1090</v>
      </c>
      <c r="G56" s="268">
        <v>44120000</v>
      </c>
      <c r="H56" s="268" t="s">
        <v>1091</v>
      </c>
      <c r="I56" s="301">
        <v>270959</v>
      </c>
      <c r="J56" s="268" t="s">
        <v>949</v>
      </c>
    </row>
    <row r="57" spans="1:10" s="131" customFormat="1" x14ac:dyDescent="0.25">
      <c r="A57" s="299">
        <v>45911.542390474533</v>
      </c>
      <c r="B57" s="299" t="s">
        <v>1092</v>
      </c>
      <c r="C57" s="268" t="s">
        <v>1093</v>
      </c>
      <c r="D57" s="268"/>
      <c r="E57" s="300"/>
      <c r="F57" s="268" t="s">
        <v>1090</v>
      </c>
      <c r="G57" s="268">
        <v>73150000</v>
      </c>
      <c r="H57" s="268" t="s">
        <v>1007</v>
      </c>
      <c r="I57" s="301">
        <v>104028.8</v>
      </c>
      <c r="J57" s="268" t="s">
        <v>949</v>
      </c>
    </row>
    <row r="58" spans="1:10" s="131" customFormat="1" x14ac:dyDescent="0.25">
      <c r="A58" s="299">
        <v>45911.58420193287</v>
      </c>
      <c r="B58" s="299" t="s">
        <v>1094</v>
      </c>
      <c r="C58" s="268" t="s">
        <v>1095</v>
      </c>
      <c r="D58" s="268"/>
      <c r="E58" s="300"/>
      <c r="F58" s="268" t="s">
        <v>1063</v>
      </c>
      <c r="G58" s="268">
        <v>12140000</v>
      </c>
      <c r="H58" s="268" t="s">
        <v>1096</v>
      </c>
      <c r="I58" s="301">
        <v>69400</v>
      </c>
      <c r="J58" s="268" t="s">
        <v>949</v>
      </c>
    </row>
    <row r="59" spans="1:10" s="131" customFormat="1" x14ac:dyDescent="0.25">
      <c r="A59" s="299">
        <v>45912.395870138884</v>
      </c>
      <c r="B59" s="299" t="s">
        <v>1097</v>
      </c>
      <c r="C59" s="268" t="s">
        <v>1098</v>
      </c>
      <c r="D59" s="268"/>
      <c r="E59" s="300"/>
      <c r="F59" s="268" t="s">
        <v>750</v>
      </c>
      <c r="G59" s="268">
        <v>42310000</v>
      </c>
      <c r="H59" s="268" t="s">
        <v>1099</v>
      </c>
      <c r="I59" s="301">
        <v>208500</v>
      </c>
      <c r="J59" s="268" t="s">
        <v>949</v>
      </c>
    </row>
    <row r="60" spans="1:10" s="131" customFormat="1" x14ac:dyDescent="0.25">
      <c r="A60" s="299">
        <v>45912.459404710644</v>
      </c>
      <c r="B60" s="299" t="s">
        <v>1100</v>
      </c>
      <c r="C60" s="268" t="s">
        <v>1101</v>
      </c>
      <c r="D60" s="268"/>
      <c r="E60" s="300"/>
      <c r="F60" s="268" t="s">
        <v>1102</v>
      </c>
      <c r="G60" s="268">
        <v>41100000</v>
      </c>
      <c r="H60" s="268" t="s">
        <v>975</v>
      </c>
      <c r="I60" s="301">
        <v>255403.9</v>
      </c>
      <c r="J60" s="268" t="s">
        <v>949</v>
      </c>
    </row>
    <row r="61" spans="1:10" s="131" customFormat="1" x14ac:dyDescent="0.25">
      <c r="A61" s="299">
        <v>45912.468800347218</v>
      </c>
      <c r="B61" s="299" t="s">
        <v>1103</v>
      </c>
      <c r="C61" s="268" t="s">
        <v>1104</v>
      </c>
      <c r="D61" s="268"/>
      <c r="E61" s="300"/>
      <c r="F61" s="268" t="s">
        <v>765</v>
      </c>
      <c r="G61" s="268">
        <v>51140000</v>
      </c>
      <c r="H61" s="268" t="s">
        <v>1053</v>
      </c>
      <c r="I61" s="301">
        <v>199000</v>
      </c>
      <c r="J61" s="268" t="s">
        <v>949</v>
      </c>
    </row>
    <row r="62" spans="1:10" s="131" customFormat="1" x14ac:dyDescent="0.25">
      <c r="A62" s="299">
        <v>45912.503034837959</v>
      </c>
      <c r="B62" s="299" t="s">
        <v>1105</v>
      </c>
      <c r="C62" s="268" t="s">
        <v>1106</v>
      </c>
      <c r="D62" s="268"/>
      <c r="E62" s="300"/>
      <c r="F62" s="268" t="s">
        <v>969</v>
      </c>
      <c r="G62" s="268">
        <v>42290000</v>
      </c>
      <c r="H62" s="268" t="s">
        <v>970</v>
      </c>
      <c r="I62" s="301">
        <v>1899800</v>
      </c>
      <c r="J62" s="268" t="s">
        <v>949</v>
      </c>
    </row>
    <row r="63" spans="1:10" s="131" customFormat="1" x14ac:dyDescent="0.25">
      <c r="A63" s="299">
        <v>45912.503035034722</v>
      </c>
      <c r="B63" s="299" t="s">
        <v>1107</v>
      </c>
      <c r="C63" s="268" t="s">
        <v>1108</v>
      </c>
      <c r="D63" s="268"/>
      <c r="E63" s="300"/>
      <c r="F63" s="268" t="s">
        <v>761</v>
      </c>
      <c r="G63" s="268">
        <v>51140000</v>
      </c>
      <c r="H63" s="268" t="s">
        <v>1053</v>
      </c>
      <c r="I63" s="301">
        <v>23000</v>
      </c>
      <c r="J63" s="268" t="s">
        <v>949</v>
      </c>
    </row>
    <row r="64" spans="1:10" s="131" customFormat="1" x14ac:dyDescent="0.25">
      <c r="A64" s="299">
        <v>45912.507012233793</v>
      </c>
      <c r="B64" s="299" t="s">
        <v>1109</v>
      </c>
      <c r="C64" s="268" t="s">
        <v>1110</v>
      </c>
      <c r="D64" s="268"/>
      <c r="E64" s="300"/>
      <c r="F64" s="268" t="s">
        <v>778</v>
      </c>
      <c r="G64" s="268">
        <v>42130000</v>
      </c>
      <c r="H64" s="268" t="s">
        <v>1010</v>
      </c>
      <c r="I64" s="301">
        <v>200243</v>
      </c>
      <c r="J64" s="268" t="s">
        <v>949</v>
      </c>
    </row>
    <row r="65" spans="1:10" s="131" customFormat="1" x14ac:dyDescent="0.25">
      <c r="A65" s="299">
        <v>45912.542185879625</v>
      </c>
      <c r="B65" s="299" t="s">
        <v>1100</v>
      </c>
      <c r="C65" s="268" t="s">
        <v>1111</v>
      </c>
      <c r="D65" s="268"/>
      <c r="E65" s="300"/>
      <c r="F65" s="268" t="s">
        <v>753</v>
      </c>
      <c r="G65" s="268">
        <v>30170000</v>
      </c>
      <c r="H65" s="268" t="s">
        <v>1112</v>
      </c>
      <c r="I65" s="301">
        <v>716081.41</v>
      </c>
      <c r="J65" s="268" t="s">
        <v>949</v>
      </c>
    </row>
    <row r="66" spans="1:10" s="131" customFormat="1" x14ac:dyDescent="0.25">
      <c r="A66" s="299">
        <v>45915.41787665509</v>
      </c>
      <c r="B66" s="299" t="s">
        <v>1113</v>
      </c>
      <c r="C66" s="268" t="s">
        <v>1114</v>
      </c>
      <c r="D66" s="268"/>
      <c r="E66" s="300"/>
      <c r="F66" s="268" t="s">
        <v>764</v>
      </c>
      <c r="G66" s="268">
        <v>47130000</v>
      </c>
      <c r="H66" s="268" t="s">
        <v>982</v>
      </c>
      <c r="I66" s="301">
        <v>264674</v>
      </c>
      <c r="J66" s="268" t="s">
        <v>949</v>
      </c>
    </row>
    <row r="67" spans="1:10" s="131" customFormat="1" x14ac:dyDescent="0.25">
      <c r="A67" s="302">
        <v>45915.45929702546</v>
      </c>
      <c r="B67" s="302" t="s">
        <v>1115</v>
      </c>
      <c r="C67" s="303" t="s">
        <v>1116</v>
      </c>
      <c r="D67" s="303"/>
      <c r="E67" s="304"/>
      <c r="F67" s="303"/>
      <c r="G67" s="303">
        <v>50200000</v>
      </c>
      <c r="H67" s="303" t="s">
        <v>1117</v>
      </c>
      <c r="I67" s="305"/>
      <c r="J67" s="303" t="s">
        <v>1118</v>
      </c>
    </row>
    <row r="68" spans="1:10" s="131" customFormat="1" x14ac:dyDescent="0.25">
      <c r="A68" s="299">
        <v>45915.45946377315</v>
      </c>
      <c r="B68" s="299" t="s">
        <v>1119</v>
      </c>
      <c r="C68" s="268" t="s">
        <v>1120</v>
      </c>
      <c r="D68" s="268"/>
      <c r="E68" s="300"/>
      <c r="F68" s="268" t="s">
        <v>1006</v>
      </c>
      <c r="G68" s="268">
        <v>44120000</v>
      </c>
      <c r="H68" s="268" t="s">
        <v>1091</v>
      </c>
      <c r="I68" s="301">
        <v>271072</v>
      </c>
      <c r="J68" s="268" t="s">
        <v>949</v>
      </c>
    </row>
    <row r="69" spans="1:10" s="131" customFormat="1" x14ac:dyDescent="0.25">
      <c r="A69" s="299">
        <v>45915.502617511571</v>
      </c>
      <c r="B69" s="299" t="s">
        <v>1121</v>
      </c>
      <c r="C69" s="268" t="s">
        <v>1122</v>
      </c>
      <c r="D69" s="268"/>
      <c r="E69" s="300"/>
      <c r="F69" s="268" t="s">
        <v>1123</v>
      </c>
      <c r="G69" s="268">
        <v>42290000</v>
      </c>
      <c r="H69" s="268" t="s">
        <v>970</v>
      </c>
      <c r="I69" s="301">
        <v>206175</v>
      </c>
      <c r="J69" s="268" t="s">
        <v>949</v>
      </c>
    </row>
    <row r="70" spans="1:10" s="131" customFormat="1" x14ac:dyDescent="0.25">
      <c r="A70" s="299">
        <v>45916.419279548609</v>
      </c>
      <c r="B70" s="299" t="s">
        <v>1124</v>
      </c>
      <c r="C70" s="268" t="s">
        <v>1125</v>
      </c>
      <c r="D70" s="268"/>
      <c r="E70" s="300"/>
      <c r="F70" s="268" t="s">
        <v>764</v>
      </c>
      <c r="G70" s="268">
        <v>47130000</v>
      </c>
      <c r="H70" s="268" t="s">
        <v>982</v>
      </c>
      <c r="I70" s="301">
        <v>256532</v>
      </c>
      <c r="J70" s="268" t="s">
        <v>949</v>
      </c>
    </row>
    <row r="71" spans="1:10" s="131" customFormat="1" x14ac:dyDescent="0.25">
      <c r="A71" s="299">
        <v>45916.430586574075</v>
      </c>
      <c r="B71" s="299" t="s">
        <v>1126</v>
      </c>
      <c r="C71" s="268" t="s">
        <v>1127</v>
      </c>
      <c r="D71" s="268"/>
      <c r="E71" s="300"/>
      <c r="F71" s="268" t="s">
        <v>1128</v>
      </c>
      <c r="G71" s="268">
        <v>42180000</v>
      </c>
      <c r="H71" s="268" t="s">
        <v>1075</v>
      </c>
      <c r="I71" s="301">
        <v>27704</v>
      </c>
      <c r="J71" s="268" t="s">
        <v>949</v>
      </c>
    </row>
    <row r="72" spans="1:10" s="131" customFormat="1" x14ac:dyDescent="0.25">
      <c r="A72" s="299">
        <v>45916.502391168979</v>
      </c>
      <c r="B72" s="299" t="s">
        <v>1129</v>
      </c>
      <c r="C72" s="268" t="s">
        <v>1130</v>
      </c>
      <c r="D72" s="268"/>
      <c r="E72" s="300"/>
      <c r="F72" s="268" t="s">
        <v>1131</v>
      </c>
      <c r="G72" s="268">
        <v>24110000</v>
      </c>
      <c r="H72" s="268" t="s">
        <v>1132</v>
      </c>
      <c r="I72" s="301">
        <v>858450</v>
      </c>
      <c r="J72" s="268" t="s">
        <v>949</v>
      </c>
    </row>
    <row r="73" spans="1:10" s="131" customFormat="1" x14ac:dyDescent="0.25">
      <c r="A73" s="299">
        <v>45916.5425034375</v>
      </c>
      <c r="B73" s="299" t="s">
        <v>1133</v>
      </c>
      <c r="C73" s="268" t="s">
        <v>1134</v>
      </c>
      <c r="D73" s="268"/>
      <c r="E73" s="300"/>
      <c r="F73" s="268" t="s">
        <v>965</v>
      </c>
      <c r="G73" s="268">
        <v>51180000</v>
      </c>
      <c r="H73" s="268" t="s">
        <v>1135</v>
      </c>
      <c r="I73" s="301">
        <v>26900</v>
      </c>
      <c r="J73" s="268" t="s">
        <v>949</v>
      </c>
    </row>
    <row r="74" spans="1:10" s="131" customFormat="1" x14ac:dyDescent="0.25">
      <c r="A74" s="299">
        <v>45916.569458715276</v>
      </c>
      <c r="B74" s="299" t="s">
        <v>1136</v>
      </c>
      <c r="C74" s="268" t="s">
        <v>1137</v>
      </c>
      <c r="D74" s="268"/>
      <c r="E74" s="300"/>
      <c r="F74" s="268" t="s">
        <v>786</v>
      </c>
      <c r="G74" s="268">
        <v>51120000</v>
      </c>
      <c r="H74" s="268" t="s">
        <v>1138</v>
      </c>
      <c r="I74" s="301">
        <v>145220</v>
      </c>
      <c r="J74" s="268" t="s">
        <v>949</v>
      </c>
    </row>
    <row r="75" spans="1:10" s="131" customFormat="1" x14ac:dyDescent="0.25">
      <c r="A75" s="299">
        <v>45917.333684178237</v>
      </c>
      <c r="B75" s="299" t="s">
        <v>1139</v>
      </c>
      <c r="C75" s="268" t="s">
        <v>1140</v>
      </c>
      <c r="D75" s="268"/>
      <c r="E75" s="300"/>
      <c r="F75" s="268" t="s">
        <v>760</v>
      </c>
      <c r="G75" s="268">
        <v>51100000</v>
      </c>
      <c r="H75" s="268" t="s">
        <v>1000</v>
      </c>
      <c r="I75" s="301">
        <v>1200000</v>
      </c>
      <c r="J75" s="268" t="s">
        <v>949</v>
      </c>
    </row>
    <row r="76" spans="1:10" s="131" customFormat="1" x14ac:dyDescent="0.25">
      <c r="A76" s="299">
        <v>45917.423664467591</v>
      </c>
      <c r="B76" s="299" t="s">
        <v>1141</v>
      </c>
      <c r="C76" s="268" t="s">
        <v>1142</v>
      </c>
      <c r="D76" s="268"/>
      <c r="E76" s="300"/>
      <c r="F76" s="268" t="s">
        <v>785</v>
      </c>
      <c r="G76" s="268">
        <v>14110000</v>
      </c>
      <c r="H76" s="268" t="s">
        <v>1143</v>
      </c>
      <c r="I76" s="301">
        <v>28462</v>
      </c>
      <c r="J76" s="268" t="s">
        <v>949</v>
      </c>
    </row>
    <row r="77" spans="1:10" s="131" customFormat="1" x14ac:dyDescent="0.25">
      <c r="A77" s="299">
        <v>45917.468756631941</v>
      </c>
      <c r="B77" s="299" t="s">
        <v>1144</v>
      </c>
      <c r="C77" s="268" t="s">
        <v>1145</v>
      </c>
      <c r="D77" s="268"/>
      <c r="E77" s="300"/>
      <c r="F77" s="268" t="s">
        <v>777</v>
      </c>
      <c r="G77" s="268">
        <v>42240000</v>
      </c>
      <c r="H77" s="268" t="s">
        <v>1146</v>
      </c>
      <c r="I77" s="301">
        <v>212738</v>
      </c>
      <c r="J77" s="268" t="s">
        <v>949</v>
      </c>
    </row>
    <row r="78" spans="1:10" s="131" customFormat="1" x14ac:dyDescent="0.25">
      <c r="A78" s="299">
        <v>45917.50699494213</v>
      </c>
      <c r="B78" s="299" t="s">
        <v>1147</v>
      </c>
      <c r="C78" s="268" t="s">
        <v>1148</v>
      </c>
      <c r="D78" s="268"/>
      <c r="E78" s="300"/>
      <c r="F78" s="268" t="s">
        <v>898</v>
      </c>
      <c r="G78" s="268">
        <v>51100000</v>
      </c>
      <c r="H78" s="268" t="s">
        <v>1000</v>
      </c>
      <c r="I78" s="301">
        <v>225000</v>
      </c>
      <c r="J78" s="268" t="s">
        <v>949</v>
      </c>
    </row>
    <row r="79" spans="1:10" s="131" customFormat="1" x14ac:dyDescent="0.25">
      <c r="A79" s="299">
        <v>45917.584527581013</v>
      </c>
      <c r="B79" s="299" t="s">
        <v>1149</v>
      </c>
      <c r="C79" s="268" t="s">
        <v>1150</v>
      </c>
      <c r="D79" s="268"/>
      <c r="E79" s="300"/>
      <c r="F79" s="268" t="s">
        <v>769</v>
      </c>
      <c r="G79" s="268">
        <v>51150000</v>
      </c>
      <c r="H79" s="268" t="s">
        <v>1082</v>
      </c>
      <c r="I79" s="301">
        <v>144000</v>
      </c>
      <c r="J79" s="268" t="s">
        <v>949</v>
      </c>
    </row>
    <row r="80" spans="1:10" s="131" customFormat="1" x14ac:dyDescent="0.25">
      <c r="A80" s="299">
        <v>45918.458971724533</v>
      </c>
      <c r="B80" s="299" t="s">
        <v>1151</v>
      </c>
      <c r="C80" s="268" t="s">
        <v>1152</v>
      </c>
      <c r="D80" s="268"/>
      <c r="E80" s="300"/>
      <c r="F80" s="268" t="s">
        <v>1153</v>
      </c>
      <c r="G80" s="268">
        <v>51190000</v>
      </c>
      <c r="H80" s="268" t="s">
        <v>962</v>
      </c>
      <c r="I80" s="301">
        <v>221736</v>
      </c>
      <c r="J80" s="268" t="s">
        <v>949</v>
      </c>
    </row>
    <row r="81" spans="1:10" s="131" customFormat="1" x14ac:dyDescent="0.25">
      <c r="A81" s="299">
        <v>45918.459170289352</v>
      </c>
      <c r="B81" s="299" t="s">
        <v>1154</v>
      </c>
      <c r="C81" s="268" t="s">
        <v>1155</v>
      </c>
      <c r="D81" s="268"/>
      <c r="E81" s="300"/>
      <c r="F81" s="268" t="s">
        <v>1156</v>
      </c>
      <c r="G81" s="268">
        <v>51170000</v>
      </c>
      <c r="H81" s="268" t="s">
        <v>993</v>
      </c>
      <c r="I81" s="301">
        <v>114300</v>
      </c>
      <c r="J81" s="268" t="s">
        <v>949</v>
      </c>
    </row>
    <row r="82" spans="1:10" s="131" customFormat="1" x14ac:dyDescent="0.25">
      <c r="A82" s="299">
        <v>45918.502016701386</v>
      </c>
      <c r="B82" s="299" t="s">
        <v>1157</v>
      </c>
      <c r="C82" s="268" t="s">
        <v>1158</v>
      </c>
      <c r="D82" s="268"/>
      <c r="E82" s="300"/>
      <c r="F82" s="268" t="s">
        <v>755</v>
      </c>
      <c r="G82" s="268">
        <v>51100000</v>
      </c>
      <c r="H82" s="268" t="s">
        <v>1000</v>
      </c>
      <c r="I82" s="301">
        <v>203633</v>
      </c>
      <c r="J82" s="268" t="s">
        <v>949</v>
      </c>
    </row>
    <row r="83" spans="1:10" s="131" customFormat="1" x14ac:dyDescent="0.25">
      <c r="A83" s="299">
        <v>45918.510439432866</v>
      </c>
      <c r="B83" s="299" t="s">
        <v>1159</v>
      </c>
      <c r="C83" s="268" t="s">
        <v>1160</v>
      </c>
      <c r="D83" s="268"/>
      <c r="E83" s="300"/>
      <c r="F83" s="268" t="s">
        <v>1161</v>
      </c>
      <c r="G83" s="268">
        <v>42180000</v>
      </c>
      <c r="H83" s="268" t="s">
        <v>1075</v>
      </c>
      <c r="I83" s="301">
        <v>271872</v>
      </c>
      <c r="J83" s="268" t="s">
        <v>949</v>
      </c>
    </row>
    <row r="84" spans="1:10" s="131" customFormat="1" x14ac:dyDescent="0.25">
      <c r="A84" s="299">
        <v>45918.542666006942</v>
      </c>
      <c r="B84" s="299" t="s">
        <v>1162</v>
      </c>
      <c r="C84" s="268" t="s">
        <v>1163</v>
      </c>
      <c r="D84" s="268"/>
      <c r="E84" s="300"/>
      <c r="F84" s="268" t="s">
        <v>752</v>
      </c>
      <c r="G84" s="268">
        <v>52140000</v>
      </c>
      <c r="H84" s="268" t="s">
        <v>1060</v>
      </c>
      <c r="I84" s="301">
        <v>35303</v>
      </c>
      <c r="J84" s="268" t="s">
        <v>949</v>
      </c>
    </row>
    <row r="85" spans="1:10" s="131" customFormat="1" x14ac:dyDescent="0.25">
      <c r="A85" s="299">
        <v>45918.542666168978</v>
      </c>
      <c r="B85" s="299" t="s">
        <v>1164</v>
      </c>
      <c r="C85" s="268" t="s">
        <v>1165</v>
      </c>
      <c r="D85" s="268"/>
      <c r="E85" s="300"/>
      <c r="F85" s="268" t="s">
        <v>1102</v>
      </c>
      <c r="G85" s="268">
        <v>41110000</v>
      </c>
      <c r="H85" s="268" t="s">
        <v>1017</v>
      </c>
      <c r="I85" s="301">
        <v>239139</v>
      </c>
      <c r="J85" s="268" t="s">
        <v>949</v>
      </c>
    </row>
    <row r="86" spans="1:10" s="131" customFormat="1" x14ac:dyDescent="0.25">
      <c r="A86" s="299">
        <v>45918.584578553236</v>
      </c>
      <c r="B86" s="299" t="s">
        <v>1166</v>
      </c>
      <c r="C86" s="268" t="s">
        <v>1167</v>
      </c>
      <c r="D86" s="268"/>
      <c r="E86" s="300"/>
      <c r="F86" s="268" t="s">
        <v>1168</v>
      </c>
      <c r="G86" s="268">
        <v>72100000</v>
      </c>
      <c r="H86" s="268" t="s">
        <v>1003</v>
      </c>
      <c r="I86" s="301">
        <v>56640</v>
      </c>
      <c r="J86" s="268" t="s">
        <v>949</v>
      </c>
    </row>
    <row r="87" spans="1:10" s="131" customFormat="1" x14ac:dyDescent="0.25">
      <c r="A87" s="299">
        <v>45918.586856168979</v>
      </c>
      <c r="B87" s="299" t="s">
        <v>1169</v>
      </c>
      <c r="C87" s="268" t="s">
        <v>1170</v>
      </c>
      <c r="D87" s="268"/>
      <c r="E87" s="300"/>
      <c r="F87" s="268" t="s">
        <v>1161</v>
      </c>
      <c r="G87" s="268">
        <v>47120000</v>
      </c>
      <c r="H87" s="268" t="s">
        <v>1171</v>
      </c>
      <c r="I87" s="301">
        <v>271164</v>
      </c>
      <c r="J87" s="268" t="s">
        <v>949</v>
      </c>
    </row>
    <row r="88" spans="1:10" s="131" customFormat="1" x14ac:dyDescent="0.25">
      <c r="A88" s="299">
        <v>45918.677133877311</v>
      </c>
      <c r="B88" s="299" t="s">
        <v>1172</v>
      </c>
      <c r="C88" s="268" t="s">
        <v>1173</v>
      </c>
      <c r="D88" s="268"/>
      <c r="E88" s="300"/>
      <c r="F88" s="268" t="s">
        <v>1174</v>
      </c>
      <c r="G88" s="268">
        <v>26110000</v>
      </c>
      <c r="H88" s="268" t="s">
        <v>1021</v>
      </c>
      <c r="I88" s="301">
        <v>81562</v>
      </c>
      <c r="J88" s="268" t="s">
        <v>949</v>
      </c>
    </row>
    <row r="89" spans="1:10" s="131" customFormat="1" x14ac:dyDescent="0.25">
      <c r="A89" s="299">
        <v>45919.418594872681</v>
      </c>
      <c r="B89" s="299" t="s">
        <v>1175</v>
      </c>
      <c r="C89" s="268" t="s">
        <v>1176</v>
      </c>
      <c r="D89" s="268"/>
      <c r="E89" s="300"/>
      <c r="F89" s="268" t="s">
        <v>787</v>
      </c>
      <c r="G89" s="268">
        <v>85120000</v>
      </c>
      <c r="H89" s="268" t="s">
        <v>953</v>
      </c>
      <c r="I89" s="301">
        <v>322500</v>
      </c>
      <c r="J89" s="268" t="s">
        <v>949</v>
      </c>
    </row>
    <row r="90" spans="1:10" s="131" customFormat="1" x14ac:dyDescent="0.25">
      <c r="A90" s="299">
        <v>45919.584934756946</v>
      </c>
      <c r="B90" s="299" t="s">
        <v>1177</v>
      </c>
      <c r="C90" s="268" t="s">
        <v>1178</v>
      </c>
      <c r="D90" s="268"/>
      <c r="E90" s="300"/>
      <c r="F90" s="268" t="s">
        <v>1179</v>
      </c>
      <c r="G90" s="268">
        <v>50100000</v>
      </c>
      <c r="H90" s="268" t="s">
        <v>1180</v>
      </c>
      <c r="I90" s="301">
        <v>177340</v>
      </c>
      <c r="J90" s="268" t="s">
        <v>949</v>
      </c>
    </row>
    <row r="91" spans="1:10" s="131" customFormat="1" x14ac:dyDescent="0.25">
      <c r="A91" s="299">
        <v>45919.584935219907</v>
      </c>
      <c r="B91" s="299" t="s">
        <v>1181</v>
      </c>
      <c r="C91" s="268" t="s">
        <v>1182</v>
      </c>
      <c r="D91" s="268"/>
      <c r="E91" s="300"/>
      <c r="F91" s="268" t="s">
        <v>1183</v>
      </c>
      <c r="G91" s="268">
        <v>85120000</v>
      </c>
      <c r="H91" s="268" t="s">
        <v>953</v>
      </c>
      <c r="I91" s="301">
        <v>15000</v>
      </c>
      <c r="J91" s="268" t="s">
        <v>949</v>
      </c>
    </row>
    <row r="92" spans="1:10" s="131" customFormat="1" x14ac:dyDescent="0.25">
      <c r="A92" s="299">
        <v>45922.437555520832</v>
      </c>
      <c r="B92" s="299" t="s">
        <v>1184</v>
      </c>
      <c r="C92" s="268" t="s">
        <v>1185</v>
      </c>
      <c r="D92" s="268"/>
      <c r="E92" s="300"/>
      <c r="F92" s="268" t="s">
        <v>1186</v>
      </c>
      <c r="G92" s="268">
        <v>51150000</v>
      </c>
      <c r="H92" s="268" t="s">
        <v>1082</v>
      </c>
      <c r="I92" s="301">
        <v>195000</v>
      </c>
      <c r="J92" s="268" t="s">
        <v>949</v>
      </c>
    </row>
    <row r="93" spans="1:10" s="131" customFormat="1" x14ac:dyDescent="0.25">
      <c r="A93" s="299">
        <v>45922.459458680554</v>
      </c>
      <c r="B93" s="299" t="s">
        <v>1187</v>
      </c>
      <c r="C93" s="268" t="s">
        <v>1188</v>
      </c>
      <c r="D93" s="268"/>
      <c r="E93" s="300"/>
      <c r="F93" s="268" t="s">
        <v>1186</v>
      </c>
      <c r="G93" s="268">
        <v>51160000</v>
      </c>
      <c r="H93" s="268" t="s">
        <v>1189</v>
      </c>
      <c r="I93" s="301">
        <v>112000</v>
      </c>
      <c r="J93" s="268" t="s">
        <v>949</v>
      </c>
    </row>
    <row r="94" spans="1:10" s="131" customFormat="1" x14ac:dyDescent="0.25">
      <c r="A94" s="299">
        <v>45922.465296412032</v>
      </c>
      <c r="B94" s="299" t="s">
        <v>1190</v>
      </c>
      <c r="C94" s="268" t="s">
        <v>1191</v>
      </c>
      <c r="D94" s="268"/>
      <c r="E94" s="300"/>
      <c r="F94" s="268" t="s">
        <v>965</v>
      </c>
      <c r="G94" s="268">
        <v>51240000</v>
      </c>
      <c r="H94" s="268" t="s">
        <v>1192</v>
      </c>
      <c r="I94" s="301">
        <v>181294</v>
      </c>
      <c r="J94" s="268" t="s">
        <v>949</v>
      </c>
    </row>
    <row r="95" spans="1:10" s="131" customFormat="1" x14ac:dyDescent="0.25">
      <c r="A95" s="299">
        <v>45922.479177430556</v>
      </c>
      <c r="B95" s="299" t="s">
        <v>1193</v>
      </c>
      <c r="C95" s="268" t="s">
        <v>1194</v>
      </c>
      <c r="D95" s="268"/>
      <c r="E95" s="300"/>
      <c r="F95" s="268" t="s">
        <v>1195</v>
      </c>
      <c r="G95" s="268">
        <v>51140000</v>
      </c>
      <c r="H95" s="268" t="s">
        <v>1053</v>
      </c>
      <c r="I95" s="301">
        <v>34270</v>
      </c>
      <c r="J95" s="268" t="s">
        <v>949</v>
      </c>
    </row>
    <row r="96" spans="1:10" s="131" customFormat="1" x14ac:dyDescent="0.25">
      <c r="A96" s="299">
        <v>45922.502596064813</v>
      </c>
      <c r="B96" s="299" t="s">
        <v>1196</v>
      </c>
      <c r="C96" s="268" t="s">
        <v>1197</v>
      </c>
      <c r="D96" s="268"/>
      <c r="E96" s="300"/>
      <c r="F96" s="268" t="s">
        <v>1198</v>
      </c>
      <c r="G96" s="268">
        <v>51140000</v>
      </c>
      <c r="H96" s="268" t="s">
        <v>1053</v>
      </c>
      <c r="I96" s="301">
        <v>92700</v>
      </c>
      <c r="J96" s="268" t="s">
        <v>949</v>
      </c>
    </row>
    <row r="97" spans="1:10" s="131" customFormat="1" x14ac:dyDescent="0.25">
      <c r="A97" s="299">
        <v>45922.51391898148</v>
      </c>
      <c r="B97" s="299" t="s">
        <v>1199</v>
      </c>
      <c r="C97" s="268" t="s">
        <v>1200</v>
      </c>
      <c r="D97" s="268"/>
      <c r="E97" s="300"/>
      <c r="F97" s="268" t="s">
        <v>779</v>
      </c>
      <c r="G97" s="268">
        <v>47120000</v>
      </c>
      <c r="H97" s="268" t="s">
        <v>1171</v>
      </c>
      <c r="I97" s="301">
        <v>168003</v>
      </c>
      <c r="J97" s="268" t="s">
        <v>949</v>
      </c>
    </row>
    <row r="98" spans="1:10" s="131" customFormat="1" x14ac:dyDescent="0.25">
      <c r="A98" s="302">
        <v>45922.626083020834</v>
      </c>
      <c r="B98" s="302" t="s">
        <v>1115</v>
      </c>
      <c r="C98" s="303" t="s">
        <v>1201</v>
      </c>
      <c r="D98" s="303"/>
      <c r="E98" s="304"/>
      <c r="F98" s="303"/>
      <c r="G98" s="303">
        <v>50100000</v>
      </c>
      <c r="H98" s="303" t="s">
        <v>1180</v>
      </c>
      <c r="I98" s="305"/>
      <c r="J98" s="303" t="s">
        <v>1118</v>
      </c>
    </row>
    <row r="99" spans="1:10" s="131" customFormat="1" x14ac:dyDescent="0.25">
      <c r="A99" s="299">
        <v>45922.708340509256</v>
      </c>
      <c r="B99" s="299" t="s">
        <v>1202</v>
      </c>
      <c r="C99" s="268" t="s">
        <v>1203</v>
      </c>
      <c r="D99" s="268"/>
      <c r="E99" s="300"/>
      <c r="F99" s="268" t="s">
        <v>1204</v>
      </c>
      <c r="G99" s="268">
        <v>46190000</v>
      </c>
      <c r="H99" s="268" t="s">
        <v>1205</v>
      </c>
      <c r="I99" s="301">
        <v>135936</v>
      </c>
      <c r="J99" s="268" t="s">
        <v>949</v>
      </c>
    </row>
    <row r="100" spans="1:10" s="131" customFormat="1" x14ac:dyDescent="0.25">
      <c r="A100" s="302">
        <v>45923.419077199069</v>
      </c>
      <c r="B100" s="302" t="s">
        <v>1115</v>
      </c>
      <c r="C100" s="303" t="s">
        <v>1206</v>
      </c>
      <c r="D100" s="303"/>
      <c r="E100" s="304"/>
      <c r="F100" s="303"/>
      <c r="G100" s="303">
        <v>50110000</v>
      </c>
      <c r="H100" s="303" t="s">
        <v>948</v>
      </c>
      <c r="I100" s="305"/>
      <c r="J100" s="303" t="s">
        <v>1118</v>
      </c>
    </row>
    <row r="101" spans="1:10" s="131" customFormat="1" x14ac:dyDescent="0.25">
      <c r="A101" s="299">
        <v>45923.460528206015</v>
      </c>
      <c r="B101" s="299" t="s">
        <v>1207</v>
      </c>
      <c r="C101" s="268" t="s">
        <v>1208</v>
      </c>
      <c r="D101" s="268"/>
      <c r="E101" s="300"/>
      <c r="F101" s="268" t="s">
        <v>787</v>
      </c>
      <c r="G101" s="268">
        <v>42310000</v>
      </c>
      <c r="H101" s="268" t="s">
        <v>1099</v>
      </c>
      <c r="I101" s="301">
        <v>172643</v>
      </c>
      <c r="J101" s="268" t="s">
        <v>949</v>
      </c>
    </row>
    <row r="102" spans="1:10" s="131" customFormat="1" x14ac:dyDescent="0.25">
      <c r="A102" s="299">
        <v>45923.502415937495</v>
      </c>
      <c r="B102" s="299" t="s">
        <v>1209</v>
      </c>
      <c r="C102" s="268" t="s">
        <v>1210</v>
      </c>
      <c r="D102" s="268"/>
      <c r="E102" s="300"/>
      <c r="F102" s="268" t="s">
        <v>900</v>
      </c>
      <c r="G102" s="268">
        <v>42270000</v>
      </c>
      <c r="H102" s="268" t="s">
        <v>1211</v>
      </c>
      <c r="I102" s="301">
        <v>159300</v>
      </c>
      <c r="J102" s="268" t="s">
        <v>949</v>
      </c>
    </row>
    <row r="103" spans="1:10" s="131" customFormat="1" x14ac:dyDescent="0.25">
      <c r="A103" s="302">
        <v>45923.50259517361</v>
      </c>
      <c r="B103" s="302" t="s">
        <v>1115</v>
      </c>
      <c r="C103" s="303" t="s">
        <v>1212</v>
      </c>
      <c r="D103" s="303"/>
      <c r="E103" s="304"/>
      <c r="F103" s="303"/>
      <c r="G103" s="303">
        <v>50110000</v>
      </c>
      <c r="H103" s="303" t="s">
        <v>948</v>
      </c>
      <c r="I103" s="305"/>
      <c r="J103" s="303" t="s">
        <v>1118</v>
      </c>
    </row>
    <row r="104" spans="1:10" s="131" customFormat="1" x14ac:dyDescent="0.25">
      <c r="A104" s="299">
        <v>45923.502769328705</v>
      </c>
      <c r="B104" s="299" t="s">
        <v>1213</v>
      </c>
      <c r="C104" s="268" t="s">
        <v>1214</v>
      </c>
      <c r="D104" s="268"/>
      <c r="E104" s="300"/>
      <c r="F104" s="268" t="s">
        <v>900</v>
      </c>
      <c r="G104" s="268">
        <v>51190000</v>
      </c>
      <c r="H104" s="268" t="s">
        <v>962</v>
      </c>
      <c r="I104" s="301">
        <v>117000</v>
      </c>
      <c r="J104" s="268" t="s">
        <v>949</v>
      </c>
    </row>
    <row r="105" spans="1:10" s="131" customFormat="1" x14ac:dyDescent="0.25">
      <c r="A105" s="299">
        <v>45923.502769791667</v>
      </c>
      <c r="B105" s="299" t="s">
        <v>1215</v>
      </c>
      <c r="C105" s="268" t="s">
        <v>1216</v>
      </c>
      <c r="D105" s="268"/>
      <c r="E105" s="300"/>
      <c r="F105" s="268" t="s">
        <v>1123</v>
      </c>
      <c r="G105" s="268">
        <v>41110000</v>
      </c>
      <c r="H105" s="268" t="s">
        <v>1017</v>
      </c>
      <c r="I105" s="301">
        <v>272294</v>
      </c>
      <c r="J105" s="268" t="s">
        <v>949</v>
      </c>
    </row>
    <row r="106" spans="1:10" s="131" customFormat="1" x14ac:dyDescent="0.25">
      <c r="A106" s="299">
        <v>45925.438180983794</v>
      </c>
      <c r="B106" s="299" t="s">
        <v>1217</v>
      </c>
      <c r="C106" s="268" t="s">
        <v>1218</v>
      </c>
      <c r="D106" s="268"/>
      <c r="E106" s="300"/>
      <c r="F106" s="268" t="s">
        <v>901</v>
      </c>
      <c r="G106" s="268">
        <v>42270000</v>
      </c>
      <c r="H106" s="268" t="s">
        <v>1211</v>
      </c>
      <c r="I106" s="301">
        <v>272595</v>
      </c>
      <c r="J106" s="268" t="s">
        <v>949</v>
      </c>
    </row>
    <row r="107" spans="1:10" s="131" customFormat="1" x14ac:dyDescent="0.25">
      <c r="A107" s="302">
        <v>45925.479206249998</v>
      </c>
      <c r="B107" s="302" t="s">
        <v>1115</v>
      </c>
      <c r="C107" s="303" t="s">
        <v>1219</v>
      </c>
      <c r="D107" s="303"/>
      <c r="E107" s="304"/>
      <c r="F107" s="303"/>
      <c r="G107" s="303">
        <v>52130000</v>
      </c>
      <c r="H107" s="303" t="s">
        <v>1220</v>
      </c>
      <c r="I107" s="305"/>
      <c r="J107" s="303" t="s">
        <v>1221</v>
      </c>
    </row>
    <row r="108" spans="1:10" s="131" customFormat="1" x14ac:dyDescent="0.25">
      <c r="A108" s="299">
        <v>45925.502746064813</v>
      </c>
      <c r="B108" s="299" t="s">
        <v>1222</v>
      </c>
      <c r="C108" s="268" t="s">
        <v>1223</v>
      </c>
      <c r="D108" s="268"/>
      <c r="E108" s="300"/>
      <c r="F108" s="268" t="s">
        <v>764</v>
      </c>
      <c r="G108" s="268">
        <v>43210000</v>
      </c>
      <c r="H108" s="268" t="s">
        <v>989</v>
      </c>
      <c r="I108" s="301">
        <v>75520</v>
      </c>
      <c r="J108" s="268" t="s">
        <v>949</v>
      </c>
    </row>
    <row r="109" spans="1:10" s="131" customFormat="1" x14ac:dyDescent="0.25">
      <c r="A109" s="302">
        <v>45925.502746261569</v>
      </c>
      <c r="B109" s="302" t="s">
        <v>1115</v>
      </c>
      <c r="C109" s="303" t="s">
        <v>1224</v>
      </c>
      <c r="D109" s="303"/>
      <c r="E109" s="304"/>
      <c r="F109" s="303"/>
      <c r="G109" s="306">
        <v>50190000</v>
      </c>
      <c r="H109" s="303" t="s">
        <v>1225</v>
      </c>
      <c r="I109" s="305"/>
      <c r="J109" s="303" t="s">
        <v>1221</v>
      </c>
    </row>
    <row r="110" spans="1:10" s="131" customFormat="1" x14ac:dyDescent="0.25">
      <c r="A110" s="299">
        <v>45925.50695466435</v>
      </c>
      <c r="B110" s="299" t="s">
        <v>1226</v>
      </c>
      <c r="C110" s="268" t="s">
        <v>1227</v>
      </c>
      <c r="D110" s="268"/>
      <c r="E110" s="300"/>
      <c r="F110" s="268" t="s">
        <v>1228</v>
      </c>
      <c r="G110" s="268">
        <v>51100000</v>
      </c>
      <c r="H110" s="268" t="s">
        <v>1000</v>
      </c>
      <c r="I110" s="301">
        <v>119000</v>
      </c>
      <c r="J110" s="268" t="s">
        <v>949</v>
      </c>
    </row>
    <row r="111" spans="1:10" s="131" customFormat="1" x14ac:dyDescent="0.25">
      <c r="A111" s="302">
        <v>45925.542611076387</v>
      </c>
      <c r="B111" s="302" t="s">
        <v>1229</v>
      </c>
      <c r="C111" s="303" t="s">
        <v>1230</v>
      </c>
      <c r="D111" s="303"/>
      <c r="E111" s="304"/>
      <c r="F111" s="303"/>
      <c r="G111" s="303">
        <v>56100000</v>
      </c>
      <c r="H111" s="303" t="s">
        <v>1032</v>
      </c>
      <c r="I111" s="305"/>
      <c r="J111" s="303" t="s">
        <v>1231</v>
      </c>
    </row>
    <row r="112" spans="1:10" s="131" customFormat="1" x14ac:dyDescent="0.25">
      <c r="A112" s="299">
        <v>45925.542777743052</v>
      </c>
      <c r="B112" s="299" t="s">
        <v>1232</v>
      </c>
      <c r="C112" s="268" t="s">
        <v>1233</v>
      </c>
      <c r="D112" s="268"/>
      <c r="E112" s="300"/>
      <c r="F112" s="268" t="s">
        <v>1228</v>
      </c>
      <c r="G112" s="268">
        <v>42230000</v>
      </c>
      <c r="H112" s="268" t="s">
        <v>1234</v>
      </c>
      <c r="I112" s="301">
        <v>177885</v>
      </c>
      <c r="J112" s="268" t="s">
        <v>949</v>
      </c>
    </row>
    <row r="113" spans="1:10" s="131" customFormat="1" x14ac:dyDescent="0.25">
      <c r="A113" s="302">
        <v>45925.584676307866</v>
      </c>
      <c r="B113" s="302" t="s">
        <v>1115</v>
      </c>
      <c r="C113" s="303" t="s">
        <v>1235</v>
      </c>
      <c r="D113" s="303"/>
      <c r="E113" s="304"/>
      <c r="F113" s="303"/>
      <c r="G113" s="306">
        <v>27110000</v>
      </c>
      <c r="H113" s="303" t="s">
        <v>1236</v>
      </c>
      <c r="I113" s="305"/>
      <c r="J113" s="303" t="s">
        <v>1118</v>
      </c>
    </row>
    <row r="114" spans="1:10" s="131" customFormat="1" x14ac:dyDescent="0.25">
      <c r="A114" s="299">
        <v>45925.604376423609</v>
      </c>
      <c r="B114" s="299" t="s">
        <v>1237</v>
      </c>
      <c r="C114" s="268" t="s">
        <v>1238</v>
      </c>
      <c r="D114" s="268"/>
      <c r="E114" s="300"/>
      <c r="F114" s="268" t="s">
        <v>898</v>
      </c>
      <c r="G114" s="268">
        <v>51100000</v>
      </c>
      <c r="H114" s="268" t="s">
        <v>1000</v>
      </c>
      <c r="I114" s="301">
        <v>225000</v>
      </c>
      <c r="J114" s="268" t="s">
        <v>949</v>
      </c>
    </row>
    <row r="115" spans="1:10" s="131" customFormat="1" x14ac:dyDescent="0.25">
      <c r="A115" s="299">
        <v>45925.604377199073</v>
      </c>
      <c r="B115" s="299" t="s">
        <v>1239</v>
      </c>
      <c r="C115" s="268" t="s">
        <v>1240</v>
      </c>
      <c r="D115" s="268"/>
      <c r="E115" s="300"/>
      <c r="F115" s="268" t="s">
        <v>753</v>
      </c>
      <c r="G115" s="131">
        <v>56100000</v>
      </c>
      <c r="H115" s="268" t="s">
        <v>1032</v>
      </c>
      <c r="I115" s="301">
        <v>252409</v>
      </c>
      <c r="J115" s="268" t="s">
        <v>949</v>
      </c>
    </row>
    <row r="116" spans="1:10" s="131" customFormat="1" x14ac:dyDescent="0.25">
      <c r="A116" s="299">
        <v>45929.354225312498</v>
      </c>
      <c r="B116" s="299" t="s">
        <v>1241</v>
      </c>
      <c r="C116" s="268" t="s">
        <v>1242</v>
      </c>
      <c r="D116" s="268"/>
      <c r="E116" s="300"/>
      <c r="F116" s="268" t="s">
        <v>1179</v>
      </c>
      <c r="G116" s="268">
        <v>50100000</v>
      </c>
      <c r="H116" s="268" t="s">
        <v>1180</v>
      </c>
      <c r="I116" s="301">
        <v>138645</v>
      </c>
      <c r="J116" s="268" t="s">
        <v>949</v>
      </c>
    </row>
    <row r="117" spans="1:10" s="131" customFormat="1" x14ac:dyDescent="0.25">
      <c r="A117" s="299">
        <v>45929.39604039352</v>
      </c>
      <c r="B117" s="299" t="s">
        <v>1243</v>
      </c>
      <c r="C117" s="268" t="s">
        <v>1244</v>
      </c>
      <c r="D117" s="268"/>
      <c r="E117" s="300"/>
      <c r="F117" s="268" t="s">
        <v>1186</v>
      </c>
      <c r="G117" s="268">
        <v>51160000</v>
      </c>
      <c r="H117" s="268" t="s">
        <v>1189</v>
      </c>
      <c r="I117" s="307">
        <v>140000</v>
      </c>
      <c r="J117" s="268" t="s">
        <v>949</v>
      </c>
    </row>
    <row r="118" spans="1:10" s="131" customFormat="1" x14ac:dyDescent="0.25">
      <c r="A118" s="299">
        <v>45929.479203356481</v>
      </c>
      <c r="B118" s="299" t="s">
        <v>1245</v>
      </c>
      <c r="C118" s="268" t="s">
        <v>1246</v>
      </c>
      <c r="D118" s="268"/>
      <c r="E118" s="300"/>
      <c r="F118" s="268" t="s">
        <v>1020</v>
      </c>
      <c r="G118" s="268">
        <v>26110000</v>
      </c>
      <c r="H118" s="268" t="s">
        <v>1021</v>
      </c>
      <c r="I118" s="301">
        <v>125930</v>
      </c>
      <c r="J118" s="268" t="s">
        <v>949</v>
      </c>
    </row>
    <row r="119" spans="1:10" s="131" customFormat="1" x14ac:dyDescent="0.25">
      <c r="A119" s="299">
        <v>45929.502264201386</v>
      </c>
      <c r="B119" s="299" t="s">
        <v>1247</v>
      </c>
      <c r="C119" s="268" t="s">
        <v>1248</v>
      </c>
      <c r="D119" s="268"/>
      <c r="E119" s="300"/>
      <c r="F119" s="268" t="s">
        <v>777</v>
      </c>
      <c r="G119" s="268">
        <v>42190000</v>
      </c>
      <c r="H119" s="268" t="s">
        <v>1249</v>
      </c>
      <c r="I119" s="301">
        <v>229805</v>
      </c>
      <c r="J119" s="268" t="s">
        <v>949</v>
      </c>
    </row>
    <row r="120" spans="1:10" s="131" customFormat="1" x14ac:dyDescent="0.25">
      <c r="A120" s="302">
        <v>45929.625887465278</v>
      </c>
      <c r="B120" s="302" t="s">
        <v>1115</v>
      </c>
      <c r="C120" s="303" t="s">
        <v>1250</v>
      </c>
      <c r="D120" s="303"/>
      <c r="E120" s="304"/>
      <c r="F120" s="303"/>
      <c r="G120" s="303">
        <v>42220000</v>
      </c>
      <c r="H120" s="303" t="s">
        <v>959</v>
      </c>
      <c r="I120" s="305"/>
      <c r="J120" s="303" t="s">
        <v>1221</v>
      </c>
    </row>
    <row r="121" spans="1:10" s="308" customFormat="1" x14ac:dyDescent="0.25">
      <c r="A121" s="299">
        <v>45929.626036689813</v>
      </c>
      <c r="B121" s="299" t="s">
        <v>1115</v>
      </c>
      <c r="C121" s="268" t="s">
        <v>1251</v>
      </c>
      <c r="D121" s="268"/>
      <c r="E121" s="300"/>
      <c r="F121" s="268"/>
      <c r="G121" s="268">
        <v>51150000</v>
      </c>
      <c r="H121" s="268" t="s">
        <v>1082</v>
      </c>
      <c r="I121" s="301"/>
      <c r="J121" s="268" t="s">
        <v>1118</v>
      </c>
    </row>
    <row r="122" spans="1:10" ht="15.75" x14ac:dyDescent="0.25">
      <c r="A122" s="1"/>
      <c r="B122" s="1"/>
      <c r="C122" s="1"/>
      <c r="D122" s="309" t="s">
        <v>1252</v>
      </c>
      <c r="E122" s="1"/>
      <c r="F122" s="355" t="s">
        <v>450</v>
      </c>
      <c r="G122" s="356"/>
      <c r="H122" s="290"/>
      <c r="I122" s="184">
        <f>SUM(I9:I121)</f>
        <v>28785488.110000003</v>
      </c>
    </row>
    <row r="123" spans="1:10" x14ac:dyDescent="0.25">
      <c r="A123" s="139"/>
      <c r="B123" s="139"/>
    </row>
    <row r="124" spans="1:10" x14ac:dyDescent="0.25">
      <c r="A124" s="139"/>
      <c r="B124" s="139"/>
    </row>
    <row r="125" spans="1:10" ht="15.75" x14ac:dyDescent="0.25">
      <c r="A125" s="144" t="s">
        <v>449</v>
      </c>
      <c r="B125" s="144"/>
      <c r="C125" s="144"/>
      <c r="D125" s="140"/>
      <c r="F125" s="143" t="s">
        <v>448</v>
      </c>
    </row>
    <row r="126" spans="1:10" x14ac:dyDescent="0.25">
      <c r="D126" s="140"/>
    </row>
    <row r="127" spans="1:10" x14ac:dyDescent="0.25">
      <c r="A127" s="124" t="s">
        <v>447</v>
      </c>
      <c r="B127" s="124" t="s">
        <v>445</v>
      </c>
      <c r="C127" s="124" t="s">
        <v>444</v>
      </c>
      <c r="D127" s="140"/>
      <c r="F127" s="124" t="s">
        <v>446</v>
      </c>
      <c r="G127" s="124" t="s">
        <v>445</v>
      </c>
      <c r="H127" s="124" t="s">
        <v>444</v>
      </c>
    </row>
    <row r="128" spans="1:10" x14ac:dyDescent="0.25">
      <c r="A128" s="310"/>
      <c r="B128" s="2"/>
      <c r="C128" s="125"/>
      <c r="D128" s="140"/>
      <c r="F128" s="1" t="s">
        <v>443</v>
      </c>
      <c r="G128" s="1"/>
      <c r="H128" s="171"/>
    </row>
    <row r="129" spans="1:8" x14ac:dyDescent="0.25">
      <c r="A129" s="310"/>
      <c r="B129" s="2"/>
      <c r="C129" s="125"/>
      <c r="D129" s="140"/>
      <c r="F129" s="1" t="s">
        <v>442</v>
      </c>
      <c r="G129" s="1"/>
      <c r="H129" s="171"/>
    </row>
    <row r="130" spans="1:8" x14ac:dyDescent="0.25">
      <c r="A130" s="310"/>
      <c r="B130" s="2"/>
      <c r="C130" s="125"/>
      <c r="D130" s="140"/>
      <c r="F130" s="1" t="s">
        <v>441</v>
      </c>
      <c r="G130" s="1"/>
      <c r="H130" s="171"/>
    </row>
    <row r="131" spans="1:8" x14ac:dyDescent="0.25">
      <c r="A131" s="310"/>
      <c r="B131" s="2"/>
      <c r="C131" s="125"/>
      <c r="D131" s="140"/>
      <c r="F131" s="141" t="s">
        <v>439</v>
      </c>
      <c r="G131" s="1">
        <f>SUM(G128:G130)</f>
        <v>0</v>
      </c>
      <c r="H131" s="171">
        <f>+H123</f>
        <v>0</v>
      </c>
    </row>
    <row r="132" spans="1:8" x14ac:dyDescent="0.25">
      <c r="A132" s="310"/>
      <c r="B132" s="2"/>
      <c r="C132" s="125"/>
      <c r="D132" s="140"/>
    </row>
    <row r="133" spans="1:8" x14ac:dyDescent="0.25">
      <c r="A133" s="310"/>
      <c r="B133" s="2"/>
      <c r="C133" s="125"/>
      <c r="D133" s="140"/>
    </row>
    <row r="134" spans="1:8" x14ac:dyDescent="0.25">
      <c r="A134" s="310"/>
      <c r="B134" s="2"/>
      <c r="C134" s="125"/>
      <c r="D134" s="140"/>
    </row>
    <row r="135" spans="1:8" x14ac:dyDescent="0.25">
      <c r="A135" s="310"/>
      <c r="B135" s="2"/>
      <c r="C135" s="125"/>
      <c r="D135" s="140"/>
    </row>
    <row r="136" spans="1:8" x14ac:dyDescent="0.25">
      <c r="A136" s="310"/>
      <c r="B136" s="2"/>
      <c r="C136" s="125"/>
      <c r="D136" s="140"/>
    </row>
    <row r="137" spans="1:8" x14ac:dyDescent="0.25">
      <c r="A137" s="310"/>
      <c r="B137" s="2"/>
      <c r="C137" s="125"/>
      <c r="D137" s="140"/>
    </row>
    <row r="138" spans="1:8" x14ac:dyDescent="0.25">
      <c r="A138" s="310"/>
      <c r="B138" s="2"/>
      <c r="C138" s="125"/>
      <c r="D138" s="140"/>
    </row>
    <row r="139" spans="1:8" x14ac:dyDescent="0.25">
      <c r="A139" s="310"/>
      <c r="B139" s="2"/>
      <c r="C139" s="125"/>
      <c r="D139" s="140"/>
      <c r="E139" t="s">
        <v>438</v>
      </c>
    </row>
    <row r="140" spans="1:8" x14ac:dyDescent="0.25">
      <c r="A140" s="310"/>
      <c r="B140" s="2"/>
      <c r="C140" s="125"/>
      <c r="D140" s="140"/>
    </row>
    <row r="141" spans="1:8" x14ac:dyDescent="0.25">
      <c r="A141" s="310"/>
      <c r="B141" s="2"/>
      <c r="C141" s="125"/>
      <c r="D141" s="140"/>
      <c r="E141" t="s">
        <v>435</v>
      </c>
    </row>
    <row r="142" spans="1:8" x14ac:dyDescent="0.25">
      <c r="A142" s="310"/>
      <c r="B142" s="2"/>
      <c r="C142" s="125"/>
      <c r="E142" t="s">
        <v>436</v>
      </c>
    </row>
    <row r="143" spans="1:8" x14ac:dyDescent="0.25">
      <c r="A143" s="310"/>
      <c r="B143" s="2"/>
      <c r="C143" s="125"/>
    </row>
    <row r="144" spans="1:8" x14ac:dyDescent="0.25">
      <c r="A144" s="310"/>
      <c r="B144" s="2"/>
      <c r="C144" s="125"/>
      <c r="E144" t="s">
        <v>435</v>
      </c>
    </row>
    <row r="145" spans="1:5" x14ac:dyDescent="0.25">
      <c r="A145" s="310"/>
      <c r="B145" s="2"/>
      <c r="C145" s="125"/>
      <c r="E145" t="s">
        <v>434</v>
      </c>
    </row>
    <row r="146" spans="1:5" x14ac:dyDescent="0.25">
      <c r="A146" s="310"/>
      <c r="B146" s="2"/>
      <c r="C146" s="125"/>
    </row>
    <row r="147" spans="1:5" x14ac:dyDescent="0.25">
      <c r="A147" s="310"/>
      <c r="B147" s="2"/>
      <c r="C147" s="125"/>
    </row>
    <row r="148" spans="1:5" x14ac:dyDescent="0.25">
      <c r="A148" s="310"/>
      <c r="B148" s="2"/>
      <c r="C148" s="125"/>
      <c r="E148" t="s">
        <v>437</v>
      </c>
    </row>
    <row r="149" spans="1:5" x14ac:dyDescent="0.25">
      <c r="A149" s="310"/>
      <c r="B149" s="2"/>
      <c r="C149" s="125"/>
    </row>
    <row r="150" spans="1:5" x14ac:dyDescent="0.25">
      <c r="A150" s="310"/>
      <c r="B150" s="2"/>
      <c r="C150" s="125"/>
    </row>
    <row r="151" spans="1:5" x14ac:dyDescent="0.25">
      <c r="A151" s="310"/>
      <c r="B151" s="2"/>
      <c r="C151" s="125"/>
    </row>
    <row r="152" spans="1:5" x14ac:dyDescent="0.25">
      <c r="A152" s="310"/>
      <c r="B152" s="2"/>
      <c r="C152" s="125"/>
    </row>
    <row r="153" spans="1:5" x14ac:dyDescent="0.25">
      <c r="A153" s="310"/>
      <c r="B153" s="2"/>
      <c r="C153" s="125"/>
    </row>
    <row r="154" spans="1:5" x14ac:dyDescent="0.25">
      <c r="A154" s="310"/>
      <c r="B154" s="2"/>
      <c r="C154" s="125"/>
    </row>
    <row r="155" spans="1:5" x14ac:dyDescent="0.25">
      <c r="A155" s="310"/>
      <c r="B155" s="2"/>
      <c r="C155" s="125"/>
    </row>
    <row r="156" spans="1:5" x14ac:dyDescent="0.25">
      <c r="A156" s="310"/>
      <c r="B156" s="2"/>
      <c r="C156" s="125"/>
    </row>
    <row r="157" spans="1:5" x14ac:dyDescent="0.25">
      <c r="A157" s="310"/>
      <c r="B157" s="2"/>
      <c r="C157" s="125"/>
    </row>
    <row r="158" spans="1:5" x14ac:dyDescent="0.25">
      <c r="A158" s="310"/>
      <c r="B158" s="2"/>
      <c r="C158" s="125"/>
    </row>
    <row r="159" spans="1:5" x14ac:dyDescent="0.25">
      <c r="A159" s="310"/>
      <c r="B159" s="2"/>
      <c r="C159" s="125"/>
    </row>
    <row r="160" spans="1:5" x14ac:dyDescent="0.25">
      <c r="A160" s="310"/>
      <c r="B160" s="2"/>
      <c r="C160" s="125"/>
    </row>
    <row r="161" spans="1:3" x14ac:dyDescent="0.25">
      <c r="A161" s="310"/>
      <c r="B161" s="2"/>
      <c r="C161" s="125"/>
    </row>
    <row r="162" spans="1:3" x14ac:dyDescent="0.25">
      <c r="A162" s="310"/>
      <c r="B162" s="2"/>
      <c r="C162" s="125"/>
    </row>
    <row r="163" spans="1:3" x14ac:dyDescent="0.25">
      <c r="A163" s="310"/>
      <c r="B163" s="2"/>
      <c r="C163" s="125"/>
    </row>
    <row r="164" spans="1:3" x14ac:dyDescent="0.25">
      <c r="A164" s="310"/>
      <c r="B164" s="2"/>
      <c r="C164" s="125"/>
    </row>
    <row r="165" spans="1:3" x14ac:dyDescent="0.25">
      <c r="A165" s="310"/>
      <c r="B165" s="2"/>
      <c r="C165" s="125"/>
    </row>
    <row r="166" spans="1:3" x14ac:dyDescent="0.25">
      <c r="A166" s="310"/>
      <c r="B166" s="2"/>
      <c r="C166" s="125"/>
    </row>
    <row r="167" spans="1:3" x14ac:dyDescent="0.25">
      <c r="A167" s="310"/>
      <c r="B167" s="2"/>
      <c r="C167" s="125"/>
    </row>
    <row r="168" spans="1:3" x14ac:dyDescent="0.25">
      <c r="A168" s="310"/>
      <c r="B168" s="2"/>
      <c r="C168" s="125"/>
    </row>
    <row r="169" spans="1:3" x14ac:dyDescent="0.25">
      <c r="A169" s="124" t="s">
        <v>440</v>
      </c>
      <c r="B169" s="142"/>
      <c r="C169" s="155">
        <f>SUM(C128:C168)</f>
        <v>0</v>
      </c>
    </row>
  </sheetData>
  <mergeCells count="6">
    <mergeCell ref="F122:G122"/>
    <mergeCell ref="A3:I3"/>
    <mergeCell ref="A6:I6"/>
    <mergeCell ref="A7:I7"/>
    <mergeCell ref="A4:I4"/>
    <mergeCell ref="A5:I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1"/>
  <sheetViews>
    <sheetView topLeftCell="A3" zoomScale="90" zoomScaleNormal="90" workbookViewId="0">
      <selection activeCell="H25" sqref="H25"/>
    </sheetView>
  </sheetViews>
  <sheetFormatPr defaultColWidth="2.85546875" defaultRowHeight="12.75" x14ac:dyDescent="0.2"/>
  <cols>
    <col min="1" max="1" width="5.7109375" style="3" customWidth="1"/>
    <col min="2" max="2" width="13" style="3" customWidth="1"/>
    <col min="3" max="3" width="9.42578125" style="3" customWidth="1"/>
    <col min="4" max="4" width="11.28515625" style="3" customWidth="1"/>
    <col min="5" max="5" width="12.140625" style="3" customWidth="1"/>
    <col min="6" max="6" width="46.42578125" style="3" customWidth="1"/>
    <col min="7" max="8" width="17.140625" style="3" customWidth="1"/>
    <col min="9" max="9" width="18.7109375" style="3" bestFit="1" customWidth="1"/>
    <col min="10" max="10" width="24.42578125" style="3" customWidth="1"/>
    <col min="11" max="11" width="11.42578125" style="3" customWidth="1"/>
    <col min="12" max="12" width="14.5703125" style="3" bestFit="1" customWidth="1"/>
    <col min="13" max="13" width="15" style="3" bestFit="1" customWidth="1"/>
    <col min="14" max="15" width="14.5703125" style="3" bestFit="1" customWidth="1"/>
    <col min="16" max="252" width="11.42578125" style="3" customWidth="1"/>
    <col min="253" max="253" width="3.28515625" style="3" customWidth="1"/>
    <col min="254" max="254" width="4.140625" style="3" customWidth="1"/>
    <col min="255" max="16384" width="2.85546875" style="3"/>
  </cols>
  <sheetData>
    <row r="1" spans="1:14" ht="15" x14ac:dyDescent="0.25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25" x14ac:dyDescent="0.35">
      <c r="A2" s="370"/>
      <c r="B2" s="371"/>
      <c r="C2" s="371"/>
      <c r="D2" s="371"/>
      <c r="E2" s="371"/>
      <c r="F2" s="371"/>
      <c r="G2" s="371"/>
      <c r="H2" s="371"/>
      <c r="I2" s="90"/>
      <c r="J2" s="89"/>
    </row>
    <row r="3" spans="1:14" ht="26.25" x14ac:dyDescent="0.4">
      <c r="A3" s="372" t="s">
        <v>344</v>
      </c>
      <c r="B3" s="373"/>
      <c r="C3" s="373"/>
      <c r="D3" s="373"/>
      <c r="E3" s="373"/>
      <c r="F3" s="373"/>
      <c r="G3" s="373"/>
      <c r="H3" s="373"/>
      <c r="I3" s="373"/>
      <c r="J3" s="374"/>
    </row>
    <row r="4" spans="1:14" s="267" customFormat="1" ht="18.75" x14ac:dyDescent="0.3">
      <c r="A4" s="375" t="s">
        <v>420</v>
      </c>
      <c r="B4" s="376"/>
      <c r="C4" s="376"/>
      <c r="D4" s="376"/>
      <c r="E4" s="376"/>
      <c r="F4" s="376"/>
      <c r="G4" s="376"/>
      <c r="H4" s="376"/>
      <c r="I4" s="376"/>
      <c r="J4" s="377"/>
    </row>
    <row r="5" spans="1:14" ht="15" x14ac:dyDescent="0.25">
      <c r="A5" s="378" t="s">
        <v>343</v>
      </c>
      <c r="B5" s="379"/>
      <c r="C5" s="379"/>
      <c r="D5" s="379"/>
      <c r="E5" s="379"/>
      <c r="F5" s="379"/>
      <c r="G5" s="379"/>
      <c r="H5" s="379"/>
      <c r="I5" s="379"/>
      <c r="J5" s="380"/>
    </row>
    <row r="6" spans="1:14" ht="15.75" x14ac:dyDescent="0.25">
      <c r="A6" s="381" t="s">
        <v>688</v>
      </c>
      <c r="B6" s="382"/>
      <c r="C6" s="382"/>
      <c r="D6" s="382"/>
      <c r="E6" s="382"/>
      <c r="F6" s="382"/>
      <c r="G6" s="382"/>
      <c r="H6" s="382"/>
      <c r="I6" s="382"/>
      <c r="J6" s="383"/>
    </row>
    <row r="7" spans="1:14" ht="15.75" x14ac:dyDescent="0.25">
      <c r="A7" s="384" t="s">
        <v>687</v>
      </c>
      <c r="B7" s="385"/>
      <c r="C7" s="385"/>
      <c r="D7" s="385"/>
      <c r="E7" s="385"/>
      <c r="F7" s="385"/>
      <c r="G7" s="385"/>
      <c r="H7" s="385"/>
      <c r="I7" s="385"/>
      <c r="J7" s="386"/>
    </row>
    <row r="8" spans="1:14" ht="15.75" x14ac:dyDescent="0.25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75" x14ac:dyDescent="0.25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75" x14ac:dyDescent="0.25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75" x14ac:dyDescent="0.25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75" x14ac:dyDescent="0.25">
      <c r="A12" s="73"/>
      <c r="B12" s="72"/>
      <c r="C12" s="72"/>
      <c r="D12" s="72"/>
      <c r="E12" s="77" t="s">
        <v>333</v>
      </c>
      <c r="F12" s="60"/>
      <c r="G12" s="80">
        <v>209079.80999999307</v>
      </c>
      <c r="H12" s="79"/>
      <c r="I12" s="78"/>
      <c r="J12" s="59"/>
    </row>
    <row r="13" spans="1:14" ht="15.75" x14ac:dyDescent="0.25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75" x14ac:dyDescent="0.25">
      <c r="A14" s="73"/>
      <c r="B14" s="72"/>
      <c r="C14" s="72"/>
      <c r="D14" s="72"/>
      <c r="E14" s="77" t="s">
        <v>339</v>
      </c>
      <c r="F14" s="60"/>
      <c r="G14" s="74"/>
      <c r="H14" s="81" t="s">
        <v>338</v>
      </c>
      <c r="I14" s="74">
        <f>+'INGR SEGUN ORIGEN'!E38</f>
        <v>489300</v>
      </c>
      <c r="J14" s="59"/>
      <c r="L14" s="3" t="s">
        <v>337</v>
      </c>
      <c r="M14" s="3" t="s">
        <v>336</v>
      </c>
      <c r="N14" s="3" t="s">
        <v>335</v>
      </c>
    </row>
    <row r="15" spans="1:14" ht="15.75" x14ac:dyDescent="0.25">
      <c r="A15" s="73"/>
      <c r="B15" s="72"/>
      <c r="C15" s="72"/>
      <c r="D15" s="72"/>
      <c r="E15" s="77" t="s">
        <v>334</v>
      </c>
      <c r="F15" s="60"/>
      <c r="G15" s="80">
        <f>+'INGR SEGUN ORIGEN'!E12</f>
        <v>105741368.23999999</v>
      </c>
      <c r="H15" s="79" t="s">
        <v>325</v>
      </c>
      <c r="I15" s="74"/>
      <c r="J15" s="59"/>
      <c r="L15" s="3">
        <v>2.1</v>
      </c>
      <c r="M15" s="58">
        <f>G26</f>
        <v>71591503.879999995</v>
      </c>
      <c r="N15" s="58">
        <f>H26</f>
        <v>4413127.5500000007</v>
      </c>
    </row>
    <row r="16" spans="1:14" ht="15.75" x14ac:dyDescent="0.25">
      <c r="A16" s="73"/>
      <c r="B16" s="72"/>
      <c r="C16" s="72"/>
      <c r="D16" s="72"/>
      <c r="E16" s="77" t="s">
        <v>333</v>
      </c>
      <c r="F16" s="60"/>
      <c r="G16" s="80">
        <f>+'INGR SEGUN ORIGEN'!E30</f>
        <v>12277160.450000001</v>
      </c>
      <c r="H16" s="79"/>
      <c r="I16" s="78"/>
      <c r="J16" s="59"/>
      <c r="L16" s="3">
        <v>2.2000000000000002</v>
      </c>
      <c r="M16" s="58">
        <f>G87</f>
        <v>7782458.8300000001</v>
      </c>
      <c r="N16" s="58">
        <f>H87</f>
        <v>1557736.1899999997</v>
      </c>
    </row>
    <row r="17" spans="1:16" ht="15.75" x14ac:dyDescent="0.25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118716908.49999999</v>
      </c>
      <c r="J17" s="59"/>
      <c r="L17" s="3">
        <v>2.2999999999999998</v>
      </c>
      <c r="M17" s="58">
        <f>'CONS. FUENTES FINAN'!G212</f>
        <v>25141648.079999998</v>
      </c>
      <c r="N17" s="58">
        <f>'CONS. FUENTES FINAN'!H212</f>
        <v>3168875.6799999997</v>
      </c>
    </row>
    <row r="18" spans="1:16" ht="15.75" x14ac:dyDescent="0.25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21600</v>
      </c>
    </row>
    <row r="19" spans="1:16" ht="15.75" x14ac:dyDescent="0.25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5819603.3499999996</v>
      </c>
      <c r="N19" s="58">
        <f>H336</f>
        <v>2245366.02</v>
      </c>
    </row>
    <row r="20" spans="1:16" x14ac:dyDescent="0.2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 x14ac:dyDescent="0.2">
      <c r="A21" s="387">
        <v>1</v>
      </c>
      <c r="B21" s="387"/>
      <c r="C21" s="387"/>
      <c r="D21" s="387"/>
      <c r="E21" s="387"/>
      <c r="F21" s="57">
        <v>2</v>
      </c>
      <c r="G21" s="388">
        <v>3</v>
      </c>
      <c r="H21" s="389"/>
      <c r="I21" s="56">
        <v>4</v>
      </c>
      <c r="J21" s="56">
        <v>5</v>
      </c>
    </row>
    <row r="22" spans="1:16" x14ac:dyDescent="0.2">
      <c r="A22" s="390" t="s">
        <v>331</v>
      </c>
      <c r="B22" s="390"/>
      <c r="C22" s="390"/>
      <c r="D22" s="390"/>
      <c r="E22" s="390"/>
      <c r="F22" s="364" t="s">
        <v>330</v>
      </c>
      <c r="G22" s="367" t="s">
        <v>329</v>
      </c>
      <c r="H22" s="368"/>
      <c r="I22" s="359" t="s">
        <v>328</v>
      </c>
      <c r="J22" s="391" t="s">
        <v>72</v>
      </c>
    </row>
    <row r="23" spans="1:16" ht="29.25" customHeight="1" x14ac:dyDescent="0.2">
      <c r="A23" s="394" t="s">
        <v>76</v>
      </c>
      <c r="B23" s="394" t="s">
        <v>75</v>
      </c>
      <c r="C23" s="394" t="s">
        <v>74</v>
      </c>
      <c r="D23" s="394" t="s">
        <v>327</v>
      </c>
      <c r="E23" s="394" t="s">
        <v>73</v>
      </c>
      <c r="F23" s="365"/>
      <c r="G23" s="362" t="s">
        <v>423</v>
      </c>
      <c r="H23" s="362" t="s">
        <v>326</v>
      </c>
      <c r="I23" s="360"/>
      <c r="J23" s="392"/>
      <c r="L23" s="369"/>
      <c r="M23" s="369"/>
      <c r="N23" s="369"/>
      <c r="O23" s="369"/>
      <c r="P23" s="369"/>
    </row>
    <row r="24" spans="1:16" ht="18.75" customHeight="1" x14ac:dyDescent="0.2">
      <c r="A24" s="395"/>
      <c r="B24" s="395"/>
      <c r="C24" s="395"/>
      <c r="D24" s="395"/>
      <c r="E24" s="395"/>
      <c r="F24" s="366"/>
      <c r="G24" s="363"/>
      <c r="H24" s="363"/>
      <c r="I24" s="361"/>
      <c r="J24" s="393"/>
      <c r="L24" s="55"/>
      <c r="M24" s="55"/>
      <c r="N24" s="55"/>
      <c r="O24" s="55"/>
      <c r="P24" s="55"/>
    </row>
    <row r="25" spans="1:16" ht="13.5" thickBot="1" x14ac:dyDescent="0.25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110335214.13999999</v>
      </c>
      <c r="H25" s="51">
        <f>+H26+H87+H212+H330+H336+H463</f>
        <v>11406705.439999999</v>
      </c>
      <c r="I25" s="51">
        <f t="shared" ref="I25:I88" si="0">SUM(G25:H25)</f>
        <v>121741919.57999998</v>
      </c>
      <c r="J25" s="50">
        <f>+J26+J87+J212+J330+J336+J463</f>
        <v>1</v>
      </c>
    </row>
    <row r="26" spans="1:16" ht="13.5" thickTop="1" x14ac:dyDescent="0.2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71591503.879999995</v>
      </c>
      <c r="H26" s="46">
        <f>+H27+H51+H64+H71+H78</f>
        <v>4413127.5500000007</v>
      </c>
      <c r="I26" s="46">
        <f t="shared" si="0"/>
        <v>76004631.429999992</v>
      </c>
      <c r="J26" s="19">
        <f>I26/$I$25</f>
        <v>0.62430945472364796</v>
      </c>
    </row>
    <row r="27" spans="1:16" x14ac:dyDescent="0.2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59165424.859999999</v>
      </c>
      <c r="H27" s="20">
        <f>+H28+H35+H42+H44+H46</f>
        <v>0</v>
      </c>
      <c r="I27" s="20">
        <f t="shared" si="0"/>
        <v>59165424.859999999</v>
      </c>
      <c r="J27" s="19"/>
    </row>
    <row r="28" spans="1:16" x14ac:dyDescent="0.2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58052893.829999998</v>
      </c>
      <c r="H28" s="12">
        <f>SUM(H29:H34)</f>
        <v>0</v>
      </c>
      <c r="I28" s="12">
        <f t="shared" si="0"/>
        <v>58052893.829999998</v>
      </c>
      <c r="J28" s="11"/>
    </row>
    <row r="29" spans="1:16" x14ac:dyDescent="0.2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100'!A126</f>
        <v>58052893.829999998</v>
      </c>
      <c r="H29" s="7">
        <f>'CUENTA T VS'!A75</f>
        <v>0</v>
      </c>
      <c r="I29" s="7">
        <f t="shared" si="0"/>
        <v>58052893.829999998</v>
      </c>
      <c r="J29" s="6">
        <f t="shared" ref="J29:J34" si="1">I29/$I$25</f>
        <v>0.47685213137987231</v>
      </c>
    </row>
    <row r="30" spans="1:16" x14ac:dyDescent="0.2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100'!B126</f>
        <v>0</v>
      </c>
      <c r="H30" s="7">
        <f>'CUENTA T VS'!B75</f>
        <v>0</v>
      </c>
      <c r="I30" s="7">
        <f t="shared" si="0"/>
        <v>0</v>
      </c>
      <c r="J30" s="6">
        <f t="shared" si="1"/>
        <v>0</v>
      </c>
    </row>
    <row r="31" spans="1:16" x14ac:dyDescent="0.2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100'!C126</f>
        <v>0</v>
      </c>
      <c r="H31" s="7">
        <f>'CUENTA T VS'!C75</f>
        <v>0</v>
      </c>
      <c r="I31" s="7">
        <f t="shared" si="0"/>
        <v>0</v>
      </c>
      <c r="J31" s="6">
        <f t="shared" si="1"/>
        <v>0</v>
      </c>
    </row>
    <row r="32" spans="1:16" x14ac:dyDescent="0.2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100'!D126</f>
        <v>0</v>
      </c>
      <c r="H32" s="7">
        <f>'CUENTA T VS'!D75</f>
        <v>0</v>
      </c>
      <c r="I32" s="7">
        <f t="shared" si="0"/>
        <v>0</v>
      </c>
      <c r="J32" s="6">
        <f t="shared" si="1"/>
        <v>0</v>
      </c>
    </row>
    <row r="33" spans="1:10" x14ac:dyDescent="0.2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100'!E126</f>
        <v>0</v>
      </c>
      <c r="H33" s="7">
        <f>'CUENTA T VS'!E75</f>
        <v>0</v>
      </c>
      <c r="I33" s="7">
        <f t="shared" si="0"/>
        <v>0</v>
      </c>
      <c r="J33" s="6">
        <f t="shared" si="1"/>
        <v>0</v>
      </c>
    </row>
    <row r="34" spans="1:10" x14ac:dyDescent="0.2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100'!F126</f>
        <v>0</v>
      </c>
      <c r="H34" s="7">
        <f>'CUENTA T VS'!F75</f>
        <v>0</v>
      </c>
      <c r="I34" s="7">
        <f t="shared" si="0"/>
        <v>0</v>
      </c>
      <c r="J34" s="6">
        <f t="shared" si="1"/>
        <v>0</v>
      </c>
    </row>
    <row r="35" spans="1:10" x14ac:dyDescent="0.2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1112531.03</v>
      </c>
      <c r="H35" s="12">
        <f>SUM(H36:H41)</f>
        <v>0</v>
      </c>
      <c r="I35" s="12">
        <f t="shared" si="0"/>
        <v>1112531.03</v>
      </c>
      <c r="J35" s="11"/>
    </row>
    <row r="36" spans="1:10" x14ac:dyDescent="0.2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100'!G126</f>
        <v>0</v>
      </c>
      <c r="H36" s="7">
        <f>'CUENTA T VS'!G75</f>
        <v>0</v>
      </c>
      <c r="I36" s="7">
        <f t="shared" si="0"/>
        <v>0</v>
      </c>
      <c r="J36" s="6">
        <f t="shared" ref="J36:J41" si="2">I36/$I$25</f>
        <v>0</v>
      </c>
    </row>
    <row r="37" spans="1:10" x14ac:dyDescent="0.2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100'!H126</f>
        <v>0</v>
      </c>
      <c r="H37" s="7">
        <f>'CUENTA T VS'!H75</f>
        <v>0</v>
      </c>
      <c r="I37" s="7">
        <f t="shared" si="0"/>
        <v>0</v>
      </c>
      <c r="J37" s="6">
        <f t="shared" si="2"/>
        <v>0</v>
      </c>
    </row>
    <row r="38" spans="1:10" x14ac:dyDescent="0.2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100'!I126</f>
        <v>0</v>
      </c>
      <c r="H38" s="7">
        <f>'CUENTA T VS'!I75</f>
        <v>0</v>
      </c>
      <c r="I38" s="7">
        <f t="shared" si="0"/>
        <v>0</v>
      </c>
      <c r="J38" s="6">
        <f t="shared" si="2"/>
        <v>0</v>
      </c>
    </row>
    <row r="39" spans="1:10" x14ac:dyDescent="0.2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100'!J126</f>
        <v>1112531.03</v>
      </c>
      <c r="H39" s="7">
        <f>'CUENTA T VS'!J75</f>
        <v>0</v>
      </c>
      <c r="I39" s="7">
        <f t="shared" si="0"/>
        <v>1112531.03</v>
      </c>
      <c r="J39" s="6">
        <f t="shared" si="2"/>
        <v>9.1384383771682277E-3</v>
      </c>
    </row>
    <row r="40" spans="1:10" x14ac:dyDescent="0.2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100'!K126</f>
        <v>0</v>
      </c>
      <c r="H40" s="7">
        <f>'CUENTA T VS'!K75</f>
        <v>0</v>
      </c>
      <c r="I40" s="7">
        <f t="shared" si="0"/>
        <v>0</v>
      </c>
      <c r="J40" s="6">
        <f t="shared" si="2"/>
        <v>0</v>
      </c>
    </row>
    <row r="41" spans="1:10" x14ac:dyDescent="0.2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100'!L126</f>
        <v>0</v>
      </c>
      <c r="H41" s="7">
        <f>'CUENTA T VS'!L75</f>
        <v>0</v>
      </c>
      <c r="I41" s="7">
        <f t="shared" si="0"/>
        <v>0</v>
      </c>
      <c r="J41" s="6">
        <f t="shared" si="2"/>
        <v>0</v>
      </c>
    </row>
    <row r="42" spans="1:10" x14ac:dyDescent="0.2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 x14ac:dyDescent="0.2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100'!M126</f>
        <v>0</v>
      </c>
      <c r="H43" s="7">
        <f>'CUENTA T VS'!M75</f>
        <v>0</v>
      </c>
      <c r="I43" s="7">
        <f t="shared" si="0"/>
        <v>0</v>
      </c>
      <c r="J43" s="6">
        <f>I43/$I$25</f>
        <v>0</v>
      </c>
    </row>
    <row r="44" spans="1:10" x14ac:dyDescent="0.2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0</v>
      </c>
      <c r="H44" s="12">
        <f>SUM(H45)</f>
        <v>0</v>
      </c>
      <c r="I44" s="12">
        <f t="shared" si="0"/>
        <v>0</v>
      </c>
      <c r="J44" s="11"/>
    </row>
    <row r="45" spans="1:10" x14ac:dyDescent="0.2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100'!N126</f>
        <v>0</v>
      </c>
      <c r="H45" s="7">
        <f>'CUENTA T VS'!N75</f>
        <v>0</v>
      </c>
      <c r="I45" s="7">
        <f t="shared" si="0"/>
        <v>0</v>
      </c>
      <c r="J45" s="6">
        <f>I45/$I$25</f>
        <v>0</v>
      </c>
    </row>
    <row r="46" spans="1:10" x14ac:dyDescent="0.2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0</v>
      </c>
      <c r="H46" s="12">
        <f>SUM(H47:H50)</f>
        <v>0</v>
      </c>
      <c r="I46" s="12">
        <f t="shared" si="0"/>
        <v>0</v>
      </c>
      <c r="J46" s="11"/>
    </row>
    <row r="47" spans="1:10" x14ac:dyDescent="0.2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100'!O126</f>
        <v>0</v>
      </c>
      <c r="H47" s="7">
        <f>'CUENTA T VS'!O75</f>
        <v>0</v>
      </c>
      <c r="I47" s="7">
        <f t="shared" si="0"/>
        <v>0</v>
      </c>
      <c r="J47" s="6">
        <f>I47/$I$25</f>
        <v>0</v>
      </c>
    </row>
    <row r="48" spans="1:10" x14ac:dyDescent="0.2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100'!P126</f>
        <v>0</v>
      </c>
      <c r="H48" s="7">
        <f>'CUENTA T VS'!P75</f>
        <v>0</v>
      </c>
      <c r="I48" s="7">
        <f t="shared" si="0"/>
        <v>0</v>
      </c>
      <c r="J48" s="6">
        <f>I48/$I$25</f>
        <v>0</v>
      </c>
    </row>
    <row r="49" spans="1:10" x14ac:dyDescent="0.2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100'!Q126</f>
        <v>0</v>
      </c>
      <c r="H49" s="7">
        <f>'CUENTA T VS'!Q75</f>
        <v>0</v>
      </c>
      <c r="I49" s="7">
        <f t="shared" si="0"/>
        <v>0</v>
      </c>
      <c r="J49" s="6">
        <f>I49/$I$25</f>
        <v>0</v>
      </c>
    </row>
    <row r="50" spans="1:10" x14ac:dyDescent="0.2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100'!R126</f>
        <v>0</v>
      </c>
      <c r="H50" s="7">
        <f>'CUENTA T VS'!R75</f>
        <v>0</v>
      </c>
      <c r="I50" s="7">
        <f t="shared" si="0"/>
        <v>0</v>
      </c>
      <c r="J50" s="6">
        <f>I50/$I$25</f>
        <v>0</v>
      </c>
    </row>
    <row r="51" spans="1:10" x14ac:dyDescent="0.2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3321905.6100000003</v>
      </c>
      <c r="H51" s="20">
        <f>+H52+H54</f>
        <v>4413127.5500000007</v>
      </c>
      <c r="I51" s="20">
        <f t="shared" si="0"/>
        <v>7735033.1600000011</v>
      </c>
      <c r="J51" s="19"/>
    </row>
    <row r="52" spans="1:10" x14ac:dyDescent="0.2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2702311.62</v>
      </c>
      <c r="H52" s="12">
        <f>SUM(H53)</f>
        <v>0</v>
      </c>
      <c r="I52" s="12">
        <f t="shared" si="0"/>
        <v>2702311.62</v>
      </c>
      <c r="J52" s="11"/>
    </row>
    <row r="53" spans="1:10" x14ac:dyDescent="0.2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100'!S126</f>
        <v>2702311.62</v>
      </c>
      <c r="H53" s="7">
        <f>'CUENTA T VS'!S75</f>
        <v>0</v>
      </c>
      <c r="I53" s="7">
        <f t="shared" si="0"/>
        <v>2702311.62</v>
      </c>
      <c r="J53" s="6">
        <f>I53/$I$25</f>
        <v>2.2197051182721302E-2</v>
      </c>
    </row>
    <row r="54" spans="1:10" x14ac:dyDescent="0.2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619593.99</v>
      </c>
      <c r="H54" s="12">
        <f>SUM(H55:H63)</f>
        <v>4413127.5500000007</v>
      </c>
      <c r="I54" s="12">
        <f t="shared" si="0"/>
        <v>5032721.540000001</v>
      </c>
      <c r="J54" s="11"/>
    </row>
    <row r="55" spans="1:10" x14ac:dyDescent="0.2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100'!T126</f>
        <v>0</v>
      </c>
      <c r="H55" s="7">
        <f>'CUENTA T VS'!T75</f>
        <v>0</v>
      </c>
      <c r="I55" s="7">
        <f t="shared" si="0"/>
        <v>0</v>
      </c>
      <c r="J55" s="6">
        <f t="shared" ref="J55:J63" si="3">I55/$I$25</f>
        <v>0</v>
      </c>
    </row>
    <row r="56" spans="1:10" x14ac:dyDescent="0.2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100'!U126</f>
        <v>0</v>
      </c>
      <c r="H56" s="7">
        <f>'CUENTA T VS'!U75</f>
        <v>0</v>
      </c>
      <c r="I56" s="7">
        <f t="shared" si="0"/>
        <v>0</v>
      </c>
      <c r="J56" s="6">
        <f t="shared" si="3"/>
        <v>0</v>
      </c>
    </row>
    <row r="57" spans="1:10" x14ac:dyDescent="0.2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100'!V126</f>
        <v>0</v>
      </c>
      <c r="H57" s="7">
        <f>'CUENTA T VS'!V75</f>
        <v>0</v>
      </c>
      <c r="I57" s="7">
        <f t="shared" si="0"/>
        <v>0</v>
      </c>
      <c r="J57" s="6">
        <f t="shared" si="3"/>
        <v>0</v>
      </c>
    </row>
    <row r="58" spans="1:10" x14ac:dyDescent="0.2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100'!W126</f>
        <v>45000</v>
      </c>
      <c r="H58" s="7">
        <f>'CUENTA T VS'!W75</f>
        <v>0</v>
      </c>
      <c r="I58" s="7">
        <f t="shared" si="0"/>
        <v>45000</v>
      </c>
      <c r="J58" s="6">
        <f t="shared" si="3"/>
        <v>3.6963438851010769E-4</v>
      </c>
    </row>
    <row r="59" spans="1:10" x14ac:dyDescent="0.2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100'!X126</f>
        <v>0</v>
      </c>
      <c r="H59" s="7">
        <f>'CUENTA T VS'!X75</f>
        <v>4413127.5500000007</v>
      </c>
      <c r="I59" s="7">
        <f t="shared" si="0"/>
        <v>4413127.5500000007</v>
      </c>
      <c r="J59" s="6">
        <f t="shared" si="3"/>
        <v>3.6249860074696889E-2</v>
      </c>
    </row>
    <row r="60" spans="1:10" x14ac:dyDescent="0.2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100'!Y126</f>
        <v>0</v>
      </c>
      <c r="H60" s="7">
        <f>'CUENTA T VS'!Y75</f>
        <v>0</v>
      </c>
      <c r="I60" s="7">
        <f t="shared" si="0"/>
        <v>0</v>
      </c>
      <c r="J60" s="6">
        <f t="shared" si="3"/>
        <v>0</v>
      </c>
    </row>
    <row r="61" spans="1:10" x14ac:dyDescent="0.2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100'!Z126</f>
        <v>288000</v>
      </c>
      <c r="H61" s="7">
        <f>'CUENTA T VS'!Z75</f>
        <v>0</v>
      </c>
      <c r="I61" s="7">
        <f t="shared" si="0"/>
        <v>288000</v>
      </c>
      <c r="J61" s="6">
        <f t="shared" si="3"/>
        <v>2.365660086464689E-3</v>
      </c>
    </row>
    <row r="62" spans="1:10" x14ac:dyDescent="0.2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100'!AA126</f>
        <v>0</v>
      </c>
      <c r="H62" s="7">
        <f>'CUENTA T VS'!AA75</f>
        <v>0</v>
      </c>
      <c r="I62" s="7">
        <f t="shared" si="0"/>
        <v>0</v>
      </c>
      <c r="J62" s="6">
        <f t="shared" si="3"/>
        <v>0</v>
      </c>
    </row>
    <row r="63" spans="1:10" x14ac:dyDescent="0.2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100'!AB126</f>
        <v>286593.99</v>
      </c>
      <c r="H63" s="7">
        <f>'CUENTA T VS'!AB75</f>
        <v>0</v>
      </c>
      <c r="I63" s="7">
        <f t="shared" si="0"/>
        <v>286593.99</v>
      </c>
      <c r="J63" s="6">
        <f t="shared" si="3"/>
        <v>2.3541109832071537E-3</v>
      </c>
    </row>
    <row r="64" spans="1:10" x14ac:dyDescent="0.2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 x14ac:dyDescent="0.2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 x14ac:dyDescent="0.2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100'!AC126</f>
        <v>0</v>
      </c>
      <c r="H66" s="7">
        <f>'CUENTA T VS'!AC75</f>
        <v>0</v>
      </c>
      <c r="I66" s="7">
        <f t="shared" si="0"/>
        <v>0</v>
      </c>
      <c r="J66" s="6">
        <f>I66/$I$25</f>
        <v>0</v>
      </c>
    </row>
    <row r="67" spans="1:10" x14ac:dyDescent="0.2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100'!AD126</f>
        <v>0</v>
      </c>
      <c r="H67" s="7">
        <f>'CUENTA T VS'!AD75</f>
        <v>0</v>
      </c>
      <c r="I67" s="7">
        <f t="shared" si="0"/>
        <v>0</v>
      </c>
      <c r="J67" s="6">
        <f>I67/$I$25</f>
        <v>0</v>
      </c>
    </row>
    <row r="68" spans="1:10" x14ac:dyDescent="0.2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 x14ac:dyDescent="0.2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100'!AE126</f>
        <v>0</v>
      </c>
      <c r="H69" s="7">
        <f>'CUENTA T VS'!AE75</f>
        <v>0</v>
      </c>
      <c r="I69" s="7">
        <f t="shared" si="0"/>
        <v>0</v>
      </c>
      <c r="J69" s="6">
        <f>I69/$I$25</f>
        <v>0</v>
      </c>
    </row>
    <row r="70" spans="1:10" x14ac:dyDescent="0.2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100'!AF126</f>
        <v>0</v>
      </c>
      <c r="H70" s="7">
        <f>'CUENTA T VS'!AF75</f>
        <v>0</v>
      </c>
      <c r="I70" s="7">
        <f t="shared" si="0"/>
        <v>0</v>
      </c>
      <c r="J70" s="6">
        <f>I70/$I$25</f>
        <v>0</v>
      </c>
    </row>
    <row r="71" spans="1:10" x14ac:dyDescent="0.2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 x14ac:dyDescent="0.2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 x14ac:dyDescent="0.2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100'!AG126</f>
        <v>0</v>
      </c>
      <c r="H73" s="7">
        <f>'CUENTA T VS'!AG75</f>
        <v>0</v>
      </c>
      <c r="I73" s="7">
        <f t="shared" si="0"/>
        <v>0</v>
      </c>
      <c r="J73" s="6">
        <f>I73/$I$25</f>
        <v>0</v>
      </c>
    </row>
    <row r="74" spans="1:10" x14ac:dyDescent="0.2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 x14ac:dyDescent="0.2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100'!AH126</f>
        <v>0</v>
      </c>
      <c r="H75" s="7">
        <f>'CUENTA T VS'!AH75</f>
        <v>0</v>
      </c>
      <c r="I75" s="7">
        <f t="shared" si="0"/>
        <v>0</v>
      </c>
      <c r="J75" s="6">
        <f>I75/$I$25</f>
        <v>0</v>
      </c>
    </row>
    <row r="76" spans="1:10" x14ac:dyDescent="0.2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100'!AI126</f>
        <v>0</v>
      </c>
      <c r="H76" s="7">
        <f>'CUENTA T VS'!AI75</f>
        <v>0</v>
      </c>
      <c r="I76" s="7">
        <f t="shared" si="0"/>
        <v>0</v>
      </c>
      <c r="J76" s="6">
        <f>I76/$I$25</f>
        <v>0</v>
      </c>
    </row>
    <row r="77" spans="1:10" x14ac:dyDescent="0.2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100'!AJ126</f>
        <v>0</v>
      </c>
      <c r="H77" s="7">
        <f>'CUENTA T VS'!AJ75</f>
        <v>0</v>
      </c>
      <c r="I77" s="7">
        <f t="shared" si="0"/>
        <v>0</v>
      </c>
      <c r="J77" s="6">
        <f>I77/$I$25</f>
        <v>0</v>
      </c>
    </row>
    <row r="78" spans="1:10" x14ac:dyDescent="0.2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9104173.4100000001</v>
      </c>
      <c r="H78" s="20">
        <f>+H79+H81+H83+H85</f>
        <v>0</v>
      </c>
      <c r="I78" s="20">
        <f t="shared" si="0"/>
        <v>9104173.4100000001</v>
      </c>
      <c r="J78" s="19"/>
    </row>
    <row r="79" spans="1:10" x14ac:dyDescent="0.2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4194829.3899999997</v>
      </c>
      <c r="H79" s="12">
        <f>SUM(H80)</f>
        <v>0</v>
      </c>
      <c r="I79" s="12">
        <f t="shared" si="0"/>
        <v>4194829.3899999997</v>
      </c>
      <c r="J79" s="11"/>
    </row>
    <row r="80" spans="1:10" x14ac:dyDescent="0.2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100'!AK126</f>
        <v>4194829.3899999997</v>
      </c>
      <c r="H80" s="7">
        <f>'CUENTA T VS'!AK75</f>
        <v>0</v>
      </c>
      <c r="I80" s="7">
        <f t="shared" si="0"/>
        <v>4194829.3899999997</v>
      </c>
      <c r="J80" s="6">
        <f>I80/$I$25</f>
        <v>3.4456737699486178E-2</v>
      </c>
    </row>
    <row r="81" spans="1:10" x14ac:dyDescent="0.2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4200746.84</v>
      </c>
      <c r="H81" s="12">
        <f>SUM(H82)</f>
        <v>0</v>
      </c>
      <c r="I81" s="12">
        <f t="shared" si="0"/>
        <v>4200746.84</v>
      </c>
      <c r="J81" s="11"/>
    </row>
    <row r="82" spans="1:10" x14ac:dyDescent="0.2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100'!AL126</f>
        <v>4200746.84</v>
      </c>
      <c r="H82" s="7">
        <f>'CUENTA T VS'!AL75</f>
        <v>0</v>
      </c>
      <c r="I82" s="7">
        <f t="shared" si="0"/>
        <v>4200746.84</v>
      </c>
      <c r="J82" s="6">
        <f>I82/$I$25</f>
        <v>3.4505344210870384E-2</v>
      </c>
    </row>
    <row r="83" spans="1:10" x14ac:dyDescent="0.2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708597.18</v>
      </c>
      <c r="H83" s="12">
        <f>SUM(H84)</f>
        <v>0</v>
      </c>
      <c r="I83" s="12">
        <f t="shared" si="0"/>
        <v>708597.18</v>
      </c>
      <c r="J83" s="11"/>
    </row>
    <row r="84" spans="1:10" x14ac:dyDescent="0.2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100'!AM126</f>
        <v>708597.18</v>
      </c>
      <c r="H84" s="7">
        <f>'CUENTA T VS'!AM75</f>
        <v>0</v>
      </c>
      <c r="I84" s="7">
        <f t="shared" si="0"/>
        <v>708597.18</v>
      </c>
      <c r="J84" s="6">
        <f>I84/$I$25</f>
        <v>5.8204863406508163E-3</v>
      </c>
    </row>
    <row r="85" spans="1:10" x14ac:dyDescent="0.2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 x14ac:dyDescent="0.2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100'!AN126</f>
        <v>0</v>
      </c>
      <c r="H86" s="7">
        <f>'CUENTA T VS'!AN75</f>
        <v>0</v>
      </c>
      <c r="I86" s="7">
        <f t="shared" si="0"/>
        <v>0</v>
      </c>
      <c r="J86" s="6">
        <f>I86/$I$25</f>
        <v>0</v>
      </c>
    </row>
    <row r="87" spans="1:10" x14ac:dyDescent="0.2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7782458.8300000001</v>
      </c>
      <c r="H87" s="20">
        <f>H88+H106+H111+H116+H125+H148+H157+H179+H208</f>
        <v>1557736.1899999997</v>
      </c>
      <c r="I87" s="20">
        <f t="shared" si="0"/>
        <v>9340195.0199999996</v>
      </c>
      <c r="J87" s="19">
        <f>I87/$I$25</f>
        <v>7.6721272772952293E-2</v>
      </c>
    </row>
    <row r="88" spans="1:10" x14ac:dyDescent="0.2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60535</v>
      </c>
      <c r="H88" s="20">
        <f>+H89+H91+H93+H95+H97+H99+H102+H104</f>
        <v>161421.68</v>
      </c>
      <c r="I88" s="20">
        <f t="shared" si="0"/>
        <v>221956.68</v>
      </c>
      <c r="J88" s="19"/>
    </row>
    <row r="89" spans="1:10" x14ac:dyDescent="0.2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 x14ac:dyDescent="0.2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100'!AO126</f>
        <v>0</v>
      </c>
      <c r="H90" s="7">
        <f>'CUENTA T VS'!AO75</f>
        <v>0</v>
      </c>
      <c r="I90" s="7">
        <f t="shared" si="4"/>
        <v>0</v>
      </c>
      <c r="J90" s="6">
        <f>I90/$I$25</f>
        <v>0</v>
      </c>
    </row>
    <row r="91" spans="1:10" x14ac:dyDescent="0.2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 x14ac:dyDescent="0.2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100'!AP126</f>
        <v>0</v>
      </c>
      <c r="H92" s="7">
        <f>'CUENTA T VS'!AP75</f>
        <v>0</v>
      </c>
      <c r="I92" s="7">
        <f t="shared" si="4"/>
        <v>0</v>
      </c>
      <c r="J92" s="6">
        <f>I92/$I$25</f>
        <v>0</v>
      </c>
    </row>
    <row r="93" spans="1:10" x14ac:dyDescent="0.2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111421.68</v>
      </c>
      <c r="I93" s="12">
        <f t="shared" si="4"/>
        <v>111421.68</v>
      </c>
      <c r="J93" s="11"/>
    </row>
    <row r="94" spans="1:10" x14ac:dyDescent="0.2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100'!AQ126</f>
        <v>0</v>
      </c>
      <c r="H94" s="7">
        <f>'CUENTA T VS'!AQ75</f>
        <v>111421.68</v>
      </c>
      <c r="I94" s="7">
        <f t="shared" si="4"/>
        <v>111421.68</v>
      </c>
      <c r="J94" s="6">
        <f>I94/$I$25</f>
        <v>9.1522854563486425E-4</v>
      </c>
    </row>
    <row r="95" spans="1:10" x14ac:dyDescent="0.2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 x14ac:dyDescent="0.2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100'!AR126</f>
        <v>0</v>
      </c>
      <c r="H96" s="7">
        <f>'CUENTA T VS'!AR75</f>
        <v>0</v>
      </c>
      <c r="I96" s="7">
        <f t="shared" si="4"/>
        <v>0</v>
      </c>
      <c r="J96" s="6">
        <f>I96/$I$25</f>
        <v>0</v>
      </c>
    </row>
    <row r="97" spans="1:10" x14ac:dyDescent="0.2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0</v>
      </c>
      <c r="I97" s="12">
        <f t="shared" si="4"/>
        <v>0</v>
      </c>
      <c r="J97" s="11"/>
    </row>
    <row r="98" spans="1:10" x14ac:dyDescent="0.2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100'!AS126</f>
        <v>0</v>
      </c>
      <c r="H98" s="7">
        <f>'CUENTA T VS'!AS75</f>
        <v>0</v>
      </c>
      <c r="I98" s="7">
        <f t="shared" si="4"/>
        <v>0</v>
      </c>
      <c r="J98" s="6">
        <f>I98/$I$25</f>
        <v>0</v>
      </c>
    </row>
    <row r="99" spans="1:10" x14ac:dyDescent="0.2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 x14ac:dyDescent="0.2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100'!AT126</f>
        <v>0</v>
      </c>
      <c r="H100" s="7">
        <f>'CUENTA T VS'!AT75</f>
        <v>0</v>
      </c>
      <c r="I100" s="7">
        <f t="shared" si="4"/>
        <v>0</v>
      </c>
      <c r="J100" s="6">
        <f>I100/$I$25</f>
        <v>0</v>
      </c>
    </row>
    <row r="101" spans="1:10" x14ac:dyDescent="0.2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100'!AU126</f>
        <v>0</v>
      </c>
      <c r="H101" s="7">
        <f>'CUENTA T VS'!AU75</f>
        <v>0</v>
      </c>
      <c r="I101" s="7">
        <f t="shared" si="4"/>
        <v>0</v>
      </c>
      <c r="J101" s="6">
        <f>I101/$I$25</f>
        <v>0</v>
      </c>
    </row>
    <row r="102" spans="1:10" x14ac:dyDescent="0.2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60535</v>
      </c>
      <c r="H102" s="12">
        <f>SUM(H103)</f>
        <v>0</v>
      </c>
      <c r="I102" s="12">
        <f t="shared" si="4"/>
        <v>60535</v>
      </c>
      <c r="J102" s="11"/>
    </row>
    <row r="103" spans="1:10" x14ac:dyDescent="0.2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100'!AV126</f>
        <v>60535</v>
      </c>
      <c r="H103" s="7">
        <f>'CUENTA T VS'!AV75</f>
        <v>0</v>
      </c>
      <c r="I103" s="7">
        <f t="shared" si="4"/>
        <v>60535</v>
      </c>
      <c r="J103" s="6">
        <f>I103/$I$25</f>
        <v>4.9724039352131929E-4</v>
      </c>
    </row>
    <row r="104" spans="1:10" x14ac:dyDescent="0.2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50000</v>
      </c>
      <c r="I104" s="12">
        <f t="shared" si="4"/>
        <v>50000</v>
      </c>
      <c r="J104" s="11"/>
    </row>
    <row r="105" spans="1:10" x14ac:dyDescent="0.2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100'!AW126</f>
        <v>0</v>
      </c>
      <c r="H105" s="7">
        <f>'CUENTA T VS'!AW75</f>
        <v>50000</v>
      </c>
      <c r="I105" s="7">
        <f t="shared" si="4"/>
        <v>50000</v>
      </c>
      <c r="J105" s="6">
        <f>I105/$I$25</f>
        <v>4.107048761223419E-4</v>
      </c>
    </row>
    <row r="106" spans="1:10" x14ac:dyDescent="0.2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47633.3</v>
      </c>
      <c r="H106" s="20">
        <f>+H107+H109</f>
        <v>269720.57</v>
      </c>
      <c r="I106" s="20">
        <f t="shared" si="4"/>
        <v>317353.87</v>
      </c>
      <c r="J106" s="19"/>
    </row>
    <row r="107" spans="1:10" x14ac:dyDescent="0.2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0</v>
      </c>
      <c r="I107" s="12">
        <f t="shared" si="4"/>
        <v>0</v>
      </c>
      <c r="J107" s="11"/>
    </row>
    <row r="108" spans="1:10" x14ac:dyDescent="0.2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100'!AX126</f>
        <v>0</v>
      </c>
      <c r="H108" s="7">
        <f>'CUENTA T VS'!AX75</f>
        <v>0</v>
      </c>
      <c r="I108" s="7">
        <f t="shared" si="4"/>
        <v>0</v>
      </c>
      <c r="J108" s="6">
        <f>I108/$I$25</f>
        <v>0</v>
      </c>
    </row>
    <row r="109" spans="1:10" x14ac:dyDescent="0.2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47633.3</v>
      </c>
      <c r="H109" s="12">
        <f>SUM(H110)</f>
        <v>269720.57</v>
      </c>
      <c r="I109" s="12">
        <f t="shared" si="4"/>
        <v>317353.87</v>
      </c>
      <c r="J109" s="11"/>
    </row>
    <row r="110" spans="1:10" x14ac:dyDescent="0.2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100'!AY126</f>
        <v>47633.3</v>
      </c>
      <c r="H110" s="7">
        <f>'CUENTA T VS'!AY75</f>
        <v>269720.57</v>
      </c>
      <c r="I110" s="7">
        <f t="shared" si="4"/>
        <v>317353.87</v>
      </c>
      <c r="J110" s="6">
        <f>I110/$I$25</f>
        <v>2.6067756373059159E-3</v>
      </c>
    </row>
    <row r="111" spans="1:10" x14ac:dyDescent="0.2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 x14ac:dyDescent="0.2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 x14ac:dyDescent="0.2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100'!AZ126</f>
        <v>0</v>
      </c>
      <c r="H113" s="7">
        <f>'CUENTA T VS'!AZ75</f>
        <v>0</v>
      </c>
      <c r="I113" s="7">
        <f t="shared" si="4"/>
        <v>0</v>
      </c>
      <c r="J113" s="6">
        <f>I113/$I$25</f>
        <v>0</v>
      </c>
    </row>
    <row r="114" spans="1:10" x14ac:dyDescent="0.2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 x14ac:dyDescent="0.2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100'!BA126</f>
        <v>0</v>
      </c>
      <c r="H115" s="7">
        <f>'CUENTA T VS'!BA75</f>
        <v>0</v>
      </c>
      <c r="I115" s="7">
        <f t="shared" si="4"/>
        <v>0</v>
      </c>
      <c r="J115" s="6">
        <f>I115/$I$25</f>
        <v>0</v>
      </c>
    </row>
    <row r="116" spans="1:10" x14ac:dyDescent="0.2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68000</v>
      </c>
      <c r="I116" s="20">
        <f t="shared" si="4"/>
        <v>68000</v>
      </c>
      <c r="J116" s="19"/>
    </row>
    <row r="117" spans="1:10" x14ac:dyDescent="0.2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0</v>
      </c>
      <c r="I117" s="12">
        <f t="shared" si="4"/>
        <v>0</v>
      </c>
      <c r="J117" s="11"/>
    </row>
    <row r="118" spans="1:10" x14ac:dyDescent="0.2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100'!BB126</f>
        <v>0</v>
      </c>
      <c r="H118" s="7">
        <f>'CUENTA T VS'!BB75</f>
        <v>0</v>
      </c>
      <c r="I118" s="7">
        <f t="shared" si="4"/>
        <v>0</v>
      </c>
      <c r="J118" s="6">
        <f>I118/$I$25</f>
        <v>0</v>
      </c>
    </row>
    <row r="119" spans="1:10" x14ac:dyDescent="0.2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68000</v>
      </c>
      <c r="I119" s="12">
        <f t="shared" si="4"/>
        <v>68000</v>
      </c>
      <c r="J119" s="11"/>
    </row>
    <row r="120" spans="1:10" x14ac:dyDescent="0.2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100'!BC126</f>
        <v>0</v>
      </c>
      <c r="H120" s="7">
        <f>'CUENTA T VS'!BC75</f>
        <v>68000</v>
      </c>
      <c r="I120" s="7">
        <f t="shared" si="4"/>
        <v>68000</v>
      </c>
      <c r="J120" s="6">
        <f>I120/$I$25</f>
        <v>5.5855863152638491E-4</v>
      </c>
    </row>
    <row r="121" spans="1:10" x14ac:dyDescent="0.2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 x14ac:dyDescent="0.2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100'!BD126</f>
        <v>0</v>
      </c>
      <c r="H122" s="7">
        <f>'CUENTA T VS'!BD75</f>
        <v>0</v>
      </c>
      <c r="I122" s="7">
        <f t="shared" si="4"/>
        <v>0</v>
      </c>
      <c r="J122" s="6">
        <f>I122/$I$25</f>
        <v>0</v>
      </c>
    </row>
    <row r="123" spans="1:10" x14ac:dyDescent="0.2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 x14ac:dyDescent="0.2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100'!BE126</f>
        <v>0</v>
      </c>
      <c r="H124" s="7">
        <f>'CUENTA T VS'!BE75</f>
        <v>0</v>
      </c>
      <c r="I124" s="7">
        <f t="shared" si="4"/>
        <v>0</v>
      </c>
      <c r="J124" s="6">
        <f>I124/$I$25</f>
        <v>0</v>
      </c>
    </row>
    <row r="125" spans="1:10" x14ac:dyDescent="0.2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0</v>
      </c>
      <c r="H125" s="20">
        <f t="shared" ref="H125" si="5">+H126+H128+H130+H136+H138+H140+H142+H144+H146</f>
        <v>0</v>
      </c>
      <c r="I125" s="20">
        <f t="shared" si="4"/>
        <v>0</v>
      </c>
      <c r="J125" s="19"/>
    </row>
    <row r="126" spans="1:10" x14ac:dyDescent="0.2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 x14ac:dyDescent="0.2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100'!BF126</f>
        <v>0</v>
      </c>
      <c r="H127" s="7">
        <f>'CUENTA T VS'!BF75</f>
        <v>0</v>
      </c>
      <c r="I127" s="7">
        <f t="shared" si="4"/>
        <v>0</v>
      </c>
      <c r="J127" s="6">
        <f>I127/$I$25</f>
        <v>0</v>
      </c>
    </row>
    <row r="128" spans="1:10" x14ac:dyDescent="0.2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 x14ac:dyDescent="0.2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100'!BG126</f>
        <v>0</v>
      </c>
      <c r="H129" s="7">
        <f>'CUENTA T VS'!BG75</f>
        <v>0</v>
      </c>
      <c r="I129" s="7">
        <f t="shared" si="4"/>
        <v>0</v>
      </c>
      <c r="J129" s="6">
        <f>I129/$I$25</f>
        <v>0</v>
      </c>
    </row>
    <row r="130" spans="1:10" x14ac:dyDescent="0.2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0</v>
      </c>
      <c r="H130" s="12">
        <f>SUM(H131:H135)</f>
        <v>0</v>
      </c>
      <c r="I130" s="12">
        <f t="shared" si="4"/>
        <v>0</v>
      </c>
      <c r="J130" s="11"/>
    </row>
    <row r="131" spans="1:10" x14ac:dyDescent="0.2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100'!BH126</f>
        <v>0</v>
      </c>
      <c r="H131" s="7">
        <f>'CUENTA T VS'!BH75</f>
        <v>0</v>
      </c>
      <c r="I131" s="7">
        <f t="shared" si="4"/>
        <v>0</v>
      </c>
      <c r="J131" s="6">
        <f>I131/$I$25</f>
        <v>0</v>
      </c>
    </row>
    <row r="132" spans="1:10" x14ac:dyDescent="0.2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100'!BI126</f>
        <v>0</v>
      </c>
      <c r="H132" s="7">
        <f>'CUENTA T VS'!BI75</f>
        <v>0</v>
      </c>
      <c r="I132" s="7">
        <f t="shared" si="4"/>
        <v>0</v>
      </c>
      <c r="J132" s="6">
        <f>I132/$I$25</f>
        <v>0</v>
      </c>
    </row>
    <row r="133" spans="1:10" x14ac:dyDescent="0.2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100'!BJ126</f>
        <v>0</v>
      </c>
      <c r="H133" s="7">
        <f>'CUENTA T VS'!BJ75</f>
        <v>0</v>
      </c>
      <c r="I133" s="7">
        <f t="shared" si="4"/>
        <v>0</v>
      </c>
      <c r="J133" s="6">
        <f>I133/$I$25</f>
        <v>0</v>
      </c>
    </row>
    <row r="134" spans="1:10" x14ac:dyDescent="0.2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100'!BK126</f>
        <v>0</v>
      </c>
      <c r="H134" s="7">
        <f>'CUENTA T VS'!BK75</f>
        <v>0</v>
      </c>
      <c r="I134" s="7">
        <f t="shared" si="4"/>
        <v>0</v>
      </c>
      <c r="J134" s="6">
        <f>I134/$I$25</f>
        <v>0</v>
      </c>
    </row>
    <row r="135" spans="1:10" x14ac:dyDescent="0.2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100'!BL126</f>
        <v>0</v>
      </c>
      <c r="H135" s="7">
        <f>'CUENTA T VS'!BL75</f>
        <v>0</v>
      </c>
      <c r="I135" s="7">
        <f t="shared" si="4"/>
        <v>0</v>
      </c>
      <c r="J135" s="6">
        <f>I135/$I$25</f>
        <v>0</v>
      </c>
    </row>
    <row r="136" spans="1:10" x14ac:dyDescent="0.2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 x14ac:dyDescent="0.2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100'!BM126</f>
        <v>0</v>
      </c>
      <c r="H137" s="7">
        <f>'CUENTA T VS'!BM75</f>
        <v>0</v>
      </c>
      <c r="I137" s="7">
        <f t="shared" si="4"/>
        <v>0</v>
      </c>
      <c r="J137" s="6">
        <f>I137/$I$25</f>
        <v>0</v>
      </c>
    </row>
    <row r="138" spans="1:10" x14ac:dyDescent="0.2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 x14ac:dyDescent="0.2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100'!BN126</f>
        <v>0</v>
      </c>
      <c r="H139" s="7">
        <f>'CUENTA T VS'!BN75</f>
        <v>0</v>
      </c>
      <c r="I139" s="7">
        <f t="shared" si="4"/>
        <v>0</v>
      </c>
      <c r="J139" s="6">
        <f>I139/$I$25</f>
        <v>0</v>
      </c>
    </row>
    <row r="140" spans="1:10" x14ac:dyDescent="0.2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 x14ac:dyDescent="0.2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100'!BO126</f>
        <v>0</v>
      </c>
      <c r="H141" s="7">
        <f>'CUENTA T VS'!BO75</f>
        <v>0</v>
      </c>
      <c r="I141" s="7">
        <f t="shared" si="4"/>
        <v>0</v>
      </c>
      <c r="J141" s="6">
        <f>I141/$I$25</f>
        <v>0</v>
      </c>
    </row>
    <row r="142" spans="1:10" x14ac:dyDescent="0.2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 x14ac:dyDescent="0.2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100'!BP126</f>
        <v>0</v>
      </c>
      <c r="H143" s="7">
        <f>'CUENTA T VS'!BP75</f>
        <v>0</v>
      </c>
      <c r="I143" s="7">
        <f t="shared" si="4"/>
        <v>0</v>
      </c>
      <c r="J143" s="6">
        <f>I143/$I$25</f>
        <v>0</v>
      </c>
    </row>
    <row r="144" spans="1:10" x14ac:dyDescent="0.2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0</v>
      </c>
      <c r="I144" s="12">
        <f t="shared" si="4"/>
        <v>0</v>
      </c>
      <c r="J144" s="11"/>
    </row>
    <row r="145" spans="1:10" x14ac:dyDescent="0.2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100'!BQ126</f>
        <v>0</v>
      </c>
      <c r="H145" s="7">
        <f>'CUENTA T VS'!BQ75</f>
        <v>0</v>
      </c>
      <c r="I145" s="7">
        <f t="shared" si="4"/>
        <v>0</v>
      </c>
      <c r="J145" s="6">
        <f>I145/$I$25</f>
        <v>0</v>
      </c>
    </row>
    <row r="146" spans="1:10" x14ac:dyDescent="0.2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0</v>
      </c>
      <c r="H146" s="12">
        <f>SUM(H147)</f>
        <v>0</v>
      </c>
      <c r="I146" s="12">
        <f t="shared" si="4"/>
        <v>0</v>
      </c>
      <c r="J146" s="11"/>
    </row>
    <row r="147" spans="1:10" x14ac:dyDescent="0.2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100'!BR126</f>
        <v>0</v>
      </c>
      <c r="H147" s="7">
        <f>'CUENTA T VS'!BR75</f>
        <v>0</v>
      </c>
      <c r="I147" s="7">
        <f t="shared" si="4"/>
        <v>0</v>
      </c>
      <c r="J147" s="6">
        <f>I147/$I$25</f>
        <v>0</v>
      </c>
    </row>
    <row r="148" spans="1:10" x14ac:dyDescent="0.2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 x14ac:dyDescent="0.2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 x14ac:dyDescent="0.2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100'!BS126</f>
        <v>0</v>
      </c>
      <c r="H150" s="7">
        <f>'CUENTA T VS'!BS75</f>
        <v>0</v>
      </c>
      <c r="I150" s="7">
        <f t="shared" si="4"/>
        <v>0</v>
      </c>
      <c r="J150" s="6">
        <f>I150/$I$25</f>
        <v>0</v>
      </c>
    </row>
    <row r="151" spans="1:10" x14ac:dyDescent="0.2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 x14ac:dyDescent="0.2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100'!BT126</f>
        <v>0</v>
      </c>
      <c r="H152" s="7">
        <f>'CUENTA T VS'!BT75</f>
        <v>0</v>
      </c>
      <c r="I152" s="7">
        <f t="shared" si="4"/>
        <v>0</v>
      </c>
      <c r="J152" s="6">
        <f>I152/$I$25</f>
        <v>0</v>
      </c>
    </row>
    <row r="153" spans="1:10" x14ac:dyDescent="0.2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6">SUM(G153:H153)</f>
        <v>0</v>
      </c>
      <c r="J153" s="11"/>
    </row>
    <row r="154" spans="1:10" x14ac:dyDescent="0.2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100'!BU126</f>
        <v>0</v>
      </c>
      <c r="H154" s="7">
        <f>'CUENTA T VS'!BU75</f>
        <v>0</v>
      </c>
      <c r="I154" s="7">
        <f t="shared" si="6"/>
        <v>0</v>
      </c>
      <c r="J154" s="6">
        <f>I154/$I$25</f>
        <v>0</v>
      </c>
    </row>
    <row r="155" spans="1:10" x14ac:dyDescent="0.2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6"/>
        <v>0</v>
      </c>
      <c r="J155" s="11"/>
    </row>
    <row r="156" spans="1:10" x14ac:dyDescent="0.2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100'!BV126</f>
        <v>0</v>
      </c>
      <c r="H156" s="7">
        <f>'CUENTA T VS'!BV75</f>
        <v>0</v>
      </c>
      <c r="I156" s="7">
        <f t="shared" si="6"/>
        <v>0</v>
      </c>
      <c r="J156" s="6">
        <f>I156/$I$25</f>
        <v>0</v>
      </c>
    </row>
    <row r="157" spans="1:10" ht="25.5" x14ac:dyDescent="0.2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1580779.53</v>
      </c>
      <c r="H157" s="20">
        <f>+H158+H167+H177</f>
        <v>802020.25999999989</v>
      </c>
      <c r="I157" s="20">
        <f t="shared" si="6"/>
        <v>2382799.79</v>
      </c>
      <c r="J157" s="19"/>
    </row>
    <row r="158" spans="1:10" x14ac:dyDescent="0.2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1567740.53</v>
      </c>
      <c r="H158" s="12">
        <f>SUM(H159:H166)</f>
        <v>0</v>
      </c>
      <c r="I158" s="12">
        <f t="shared" si="6"/>
        <v>1567740.53</v>
      </c>
      <c r="J158" s="11"/>
    </row>
    <row r="159" spans="1:10" x14ac:dyDescent="0.2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100'!BW126</f>
        <v>1567740.53</v>
      </c>
      <c r="H159" s="7">
        <f>'CUENTA T VS'!BW75</f>
        <v>0</v>
      </c>
      <c r="I159" s="7">
        <f t="shared" si="6"/>
        <v>1567740.53</v>
      </c>
      <c r="J159" s="6">
        <f t="shared" ref="J159:J166" si="7">I159/$I$25</f>
        <v>1.2877573603312492E-2</v>
      </c>
    </row>
    <row r="160" spans="1:10" x14ac:dyDescent="0.2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100'!BX126</f>
        <v>0</v>
      </c>
      <c r="H160" s="7">
        <f>'CUENTA T VS'!BX75</f>
        <v>0</v>
      </c>
      <c r="I160" s="7">
        <f t="shared" si="6"/>
        <v>0</v>
      </c>
      <c r="J160" s="6">
        <f t="shared" si="7"/>
        <v>0</v>
      </c>
    </row>
    <row r="161" spans="1:10" x14ac:dyDescent="0.2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100'!BY126</f>
        <v>0</v>
      </c>
      <c r="H161" s="7">
        <f>'CUENTA T VS'!BY75</f>
        <v>0</v>
      </c>
      <c r="I161" s="7">
        <f t="shared" si="6"/>
        <v>0</v>
      </c>
      <c r="J161" s="6">
        <f t="shared" si="7"/>
        <v>0</v>
      </c>
    </row>
    <row r="162" spans="1:10" ht="25.5" x14ac:dyDescent="0.2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100'!BZ126</f>
        <v>0</v>
      </c>
      <c r="H162" s="7">
        <f>'CUENTA T VS'!BZ75</f>
        <v>0</v>
      </c>
      <c r="I162" s="7">
        <f t="shared" si="6"/>
        <v>0</v>
      </c>
      <c r="J162" s="6">
        <f t="shared" si="7"/>
        <v>0</v>
      </c>
    </row>
    <row r="163" spans="1:10" x14ac:dyDescent="0.2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100'!CA126</f>
        <v>0</v>
      </c>
      <c r="H163" s="7">
        <f>'CUENTA T VS'!CA75</f>
        <v>0</v>
      </c>
      <c r="I163" s="7">
        <f t="shared" si="6"/>
        <v>0</v>
      </c>
      <c r="J163" s="6">
        <f t="shared" si="7"/>
        <v>0</v>
      </c>
    </row>
    <row r="164" spans="1:10" x14ac:dyDescent="0.2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100'!CB126</f>
        <v>0</v>
      </c>
      <c r="H164" s="7">
        <f>'CUENTA T VS'!CB75</f>
        <v>0</v>
      </c>
      <c r="I164" s="7">
        <f t="shared" si="6"/>
        <v>0</v>
      </c>
      <c r="J164" s="6">
        <f t="shared" si="7"/>
        <v>0</v>
      </c>
    </row>
    <row r="165" spans="1:10" ht="25.5" x14ac:dyDescent="0.2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100'!CC126</f>
        <v>0</v>
      </c>
      <c r="H165" s="7">
        <f>'CUENTA T VS'!CC75</f>
        <v>0</v>
      </c>
      <c r="I165" s="7">
        <f t="shared" si="6"/>
        <v>0</v>
      </c>
      <c r="J165" s="6">
        <f t="shared" si="7"/>
        <v>0</v>
      </c>
    </row>
    <row r="166" spans="1:10" ht="25.5" x14ac:dyDescent="0.2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100'!CD126</f>
        <v>0</v>
      </c>
      <c r="H166" s="7">
        <f>'CUENTA T VS'!CD75</f>
        <v>0</v>
      </c>
      <c r="I166" s="7">
        <f t="shared" si="6"/>
        <v>0</v>
      </c>
      <c r="J166" s="6">
        <f t="shared" si="7"/>
        <v>0</v>
      </c>
    </row>
    <row r="167" spans="1:10" x14ac:dyDescent="0.2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13039</v>
      </c>
      <c r="H167" s="12">
        <f>SUM(H168:H176)</f>
        <v>802020.25999999989</v>
      </c>
      <c r="I167" s="12">
        <f t="shared" si="6"/>
        <v>815059.25999999989</v>
      </c>
      <c r="J167" s="11"/>
    </row>
    <row r="168" spans="1:10" ht="25.5" x14ac:dyDescent="0.2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100'!CE126</f>
        <v>0</v>
      </c>
      <c r="H168" s="7">
        <f>'CUENTA T VS'!CE75</f>
        <v>0</v>
      </c>
      <c r="I168" s="7">
        <f t="shared" si="6"/>
        <v>0</v>
      </c>
      <c r="J168" s="6">
        <f t="shared" ref="J168:J176" si="8">I168/$I$25</f>
        <v>0</v>
      </c>
    </row>
    <row r="169" spans="1:10" ht="25.5" x14ac:dyDescent="0.2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100'!CF126</f>
        <v>0</v>
      </c>
      <c r="H169" s="7">
        <f>'CUENTA T VS'!CF75</f>
        <v>0</v>
      </c>
      <c r="I169" s="7">
        <f t="shared" si="6"/>
        <v>0</v>
      </c>
      <c r="J169" s="6">
        <f t="shared" si="8"/>
        <v>0</v>
      </c>
    </row>
    <row r="170" spans="1:10" x14ac:dyDescent="0.2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100'!CG126</f>
        <v>0</v>
      </c>
      <c r="H170" s="7">
        <f>'CUENTA T VS'!CG75</f>
        <v>0</v>
      </c>
      <c r="I170" s="7">
        <f t="shared" si="6"/>
        <v>0</v>
      </c>
      <c r="J170" s="6">
        <f t="shared" si="8"/>
        <v>0</v>
      </c>
    </row>
    <row r="171" spans="1:10" ht="25.5" x14ac:dyDescent="0.2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100'!CH126</f>
        <v>13039</v>
      </c>
      <c r="H171" s="7">
        <f>'CUENTA T VS'!CH75</f>
        <v>132966.46</v>
      </c>
      <c r="I171" s="7">
        <f t="shared" si="6"/>
        <v>146005.46</v>
      </c>
      <c r="J171" s="6">
        <f t="shared" si="8"/>
        <v>1.1993030872497108E-3</v>
      </c>
    </row>
    <row r="172" spans="1:10" ht="25.5" x14ac:dyDescent="0.2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100'!CI126</f>
        <v>0</v>
      </c>
      <c r="H172" s="7">
        <f>'CUENTA T VS'!CI75</f>
        <v>0</v>
      </c>
      <c r="I172" s="7">
        <f t="shared" si="6"/>
        <v>0</v>
      </c>
      <c r="J172" s="6">
        <f t="shared" si="8"/>
        <v>0</v>
      </c>
    </row>
    <row r="173" spans="1:10" ht="25.5" x14ac:dyDescent="0.2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100'!CJ126</f>
        <v>0</v>
      </c>
      <c r="H173" s="7">
        <f>'CUENTA T VS'!CJ75</f>
        <v>33714.29</v>
      </c>
      <c r="I173" s="7">
        <f t="shared" si="6"/>
        <v>33714.29</v>
      </c>
      <c r="J173" s="6">
        <f t="shared" si="8"/>
        <v>2.769324659600542E-4</v>
      </c>
    </row>
    <row r="174" spans="1:10" ht="25.5" x14ac:dyDescent="0.2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100'!CK126</f>
        <v>0</v>
      </c>
      <c r="H174" s="7">
        <f>'CUENTA T VS'!CK75</f>
        <v>0</v>
      </c>
      <c r="I174" s="7">
        <f t="shared" si="6"/>
        <v>0</v>
      </c>
      <c r="J174" s="6">
        <f t="shared" si="8"/>
        <v>0</v>
      </c>
    </row>
    <row r="175" spans="1:10" x14ac:dyDescent="0.2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100'!CL126</f>
        <v>0</v>
      </c>
      <c r="H175" s="7">
        <f>'CUENTA T VS'!CL75</f>
        <v>635339.50999999989</v>
      </c>
      <c r="I175" s="7">
        <f t="shared" si="6"/>
        <v>635339.50999999989</v>
      </c>
      <c r="J175" s="6">
        <f t="shared" si="8"/>
        <v>5.2187406950035872E-3</v>
      </c>
    </row>
    <row r="176" spans="1:10" ht="25.5" x14ac:dyDescent="0.2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100'!CM126</f>
        <v>0</v>
      </c>
      <c r="H176" s="7">
        <f>'CUENTA T VS'!CM75</f>
        <v>0</v>
      </c>
      <c r="I176" s="7">
        <f t="shared" si="6"/>
        <v>0</v>
      </c>
      <c r="J176" s="6">
        <f t="shared" si="8"/>
        <v>0</v>
      </c>
    </row>
    <row r="177" spans="1:10" x14ac:dyDescent="0.2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6"/>
        <v>0</v>
      </c>
      <c r="J177" s="11"/>
    </row>
    <row r="178" spans="1:10" x14ac:dyDescent="0.2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100'!CN126</f>
        <v>0</v>
      </c>
      <c r="H178" s="7">
        <f>'CUENTA T VS'!CN75</f>
        <v>0</v>
      </c>
      <c r="I178" s="7">
        <f t="shared" si="6"/>
        <v>0</v>
      </c>
      <c r="J178" s="6">
        <f>I178/$I$25</f>
        <v>0</v>
      </c>
    </row>
    <row r="179" spans="1:10" x14ac:dyDescent="0.2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3779000</v>
      </c>
      <c r="H179" s="20">
        <f>+H180+H182+H184+H186+H188+H192+H197+H204</f>
        <v>166524.93</v>
      </c>
      <c r="I179" s="20">
        <f t="shared" si="6"/>
        <v>3945524.93</v>
      </c>
      <c r="J179" s="19"/>
    </row>
    <row r="180" spans="1:10" x14ac:dyDescent="0.2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6"/>
        <v>0</v>
      </c>
      <c r="J180" s="11"/>
    </row>
    <row r="181" spans="1:10" x14ac:dyDescent="0.2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100'!CO126</f>
        <v>0</v>
      </c>
      <c r="H181" s="7">
        <f>'CUENTA T VS'!CO75</f>
        <v>0</v>
      </c>
      <c r="I181" s="7">
        <f t="shared" si="6"/>
        <v>0</v>
      </c>
      <c r="J181" s="6">
        <f>I181/$I$25</f>
        <v>0</v>
      </c>
    </row>
    <row r="182" spans="1:10" x14ac:dyDescent="0.2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21179.93</v>
      </c>
      <c r="I182" s="12">
        <f t="shared" si="6"/>
        <v>21179.93</v>
      </c>
      <c r="J182" s="11"/>
    </row>
    <row r="183" spans="1:10" x14ac:dyDescent="0.2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100'!CP126</f>
        <v>0</v>
      </c>
      <c r="H183" s="7">
        <f>'CUENTA T VS'!CP75</f>
        <v>21179.93</v>
      </c>
      <c r="I183" s="7">
        <f t="shared" si="6"/>
        <v>21179.93</v>
      </c>
      <c r="J183" s="6">
        <f>I183/$I$25</f>
        <v>1.7397401053859745E-4</v>
      </c>
    </row>
    <row r="184" spans="1:10" x14ac:dyDescent="0.2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0</v>
      </c>
      <c r="H184" s="12">
        <f>SUM(H185)</f>
        <v>0</v>
      </c>
      <c r="I184" s="12">
        <f t="shared" si="6"/>
        <v>0</v>
      </c>
      <c r="J184" s="11"/>
    </row>
    <row r="185" spans="1:10" x14ac:dyDescent="0.2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100'!CQ126</f>
        <v>0</v>
      </c>
      <c r="H185" s="7">
        <f>'CUENTA T VS'!CQ75</f>
        <v>0</v>
      </c>
      <c r="I185" s="7">
        <f t="shared" si="6"/>
        <v>0</v>
      </c>
      <c r="J185" s="6">
        <f>I185/$I$25</f>
        <v>0</v>
      </c>
    </row>
    <row r="186" spans="1:10" x14ac:dyDescent="0.2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6"/>
        <v>0</v>
      </c>
      <c r="J186" s="11"/>
    </row>
    <row r="187" spans="1:10" x14ac:dyDescent="0.2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100'!CR126</f>
        <v>0</v>
      </c>
      <c r="H187" s="7">
        <f>'CUENTA T VS'!CR75</f>
        <v>0</v>
      </c>
      <c r="I187" s="7">
        <f t="shared" si="6"/>
        <v>0</v>
      </c>
      <c r="J187" s="6">
        <f>I187/$I$25</f>
        <v>0</v>
      </c>
    </row>
    <row r="188" spans="1:10" x14ac:dyDescent="0.2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0</v>
      </c>
      <c r="I188" s="12">
        <f t="shared" si="6"/>
        <v>0</v>
      </c>
      <c r="J188" s="11"/>
    </row>
    <row r="189" spans="1:10" x14ac:dyDescent="0.2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100'!CS126</f>
        <v>0</v>
      </c>
      <c r="H189" s="7">
        <f>'CUENTA T VS'!CS75</f>
        <v>0</v>
      </c>
      <c r="I189" s="7">
        <f t="shared" si="6"/>
        <v>0</v>
      </c>
      <c r="J189" s="6">
        <f>I189/$I$25</f>
        <v>0</v>
      </c>
    </row>
    <row r="190" spans="1:10" x14ac:dyDescent="0.2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100'!CT126</f>
        <v>0</v>
      </c>
      <c r="H190" s="7">
        <f>'CUENTA T VS'!CT75</f>
        <v>0</v>
      </c>
      <c r="I190" s="7">
        <f t="shared" si="6"/>
        <v>0</v>
      </c>
      <c r="J190" s="6">
        <f>I190/$I$25</f>
        <v>0</v>
      </c>
    </row>
    <row r="191" spans="1:10" x14ac:dyDescent="0.2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100'!CU126</f>
        <v>0</v>
      </c>
      <c r="H191" s="7">
        <f>'CUENTA T VS'!CU75</f>
        <v>0</v>
      </c>
      <c r="I191" s="7">
        <f t="shared" si="6"/>
        <v>0</v>
      </c>
      <c r="J191" s="6">
        <f>I191/$I$25</f>
        <v>0</v>
      </c>
    </row>
    <row r="192" spans="1:10" x14ac:dyDescent="0.2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0</v>
      </c>
      <c r="I192" s="12">
        <f t="shared" si="6"/>
        <v>0</v>
      </c>
      <c r="J192" s="11"/>
    </row>
    <row r="193" spans="1:10" x14ac:dyDescent="0.2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100'!CV126</f>
        <v>0</v>
      </c>
      <c r="H193" s="7">
        <f>'CUENTA T VS'!CV75</f>
        <v>0</v>
      </c>
      <c r="I193" s="7">
        <f t="shared" si="6"/>
        <v>0</v>
      </c>
      <c r="J193" s="6">
        <f>I193/$I$25</f>
        <v>0</v>
      </c>
    </row>
    <row r="194" spans="1:10" x14ac:dyDescent="0.2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100'!CW126</f>
        <v>0</v>
      </c>
      <c r="H194" s="7">
        <f>'CUENTA T VS'!CW75</f>
        <v>0</v>
      </c>
      <c r="I194" s="7">
        <f t="shared" si="6"/>
        <v>0</v>
      </c>
      <c r="J194" s="6">
        <f>I194/$I$25</f>
        <v>0</v>
      </c>
    </row>
    <row r="195" spans="1:10" x14ac:dyDescent="0.2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100'!CX126</f>
        <v>0</v>
      </c>
      <c r="H195" s="7">
        <f>'CUENTA T VS'!CX75</f>
        <v>0</v>
      </c>
      <c r="I195" s="7">
        <f t="shared" si="6"/>
        <v>0</v>
      </c>
      <c r="J195" s="6">
        <f>I195/$I$25</f>
        <v>0</v>
      </c>
    </row>
    <row r="196" spans="1:10" x14ac:dyDescent="0.2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100'!CY126</f>
        <v>0</v>
      </c>
      <c r="H196" s="7">
        <f>'CUENTA T VS'!CY75</f>
        <v>0</v>
      </c>
      <c r="I196" s="7">
        <f t="shared" si="6"/>
        <v>0</v>
      </c>
      <c r="J196" s="6">
        <f>I196/$I$25</f>
        <v>0</v>
      </c>
    </row>
    <row r="197" spans="1:10" x14ac:dyDescent="0.2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3779000</v>
      </c>
      <c r="H197" s="12">
        <f>SUM(H198:H203)</f>
        <v>145345</v>
      </c>
      <c r="I197" s="12">
        <f t="shared" si="6"/>
        <v>3924345</v>
      </c>
      <c r="J197" s="11"/>
    </row>
    <row r="198" spans="1:10" x14ac:dyDescent="0.2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100'!CZ126</f>
        <v>0</v>
      </c>
      <c r="H198" s="7">
        <f>'CUENTA T VS'!CZ75</f>
        <v>0</v>
      </c>
      <c r="I198" s="7">
        <f t="shared" si="6"/>
        <v>0</v>
      </c>
      <c r="J198" s="6">
        <f t="shared" ref="J198:J203" si="9">I198/$I$25</f>
        <v>0</v>
      </c>
    </row>
    <row r="199" spans="1:10" x14ac:dyDescent="0.2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100'!DA126</f>
        <v>0</v>
      </c>
      <c r="H199" s="7">
        <f>'CUENTA T VS'!DA75</f>
        <v>0</v>
      </c>
      <c r="I199" s="7">
        <f t="shared" si="6"/>
        <v>0</v>
      </c>
      <c r="J199" s="6">
        <f t="shared" si="9"/>
        <v>0</v>
      </c>
    </row>
    <row r="200" spans="1:10" x14ac:dyDescent="0.2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100'!DB126</f>
        <v>0</v>
      </c>
      <c r="H200" s="7">
        <f>'CUENTA T VS'!DB75</f>
        <v>0</v>
      </c>
      <c r="I200" s="7">
        <f t="shared" si="6"/>
        <v>0</v>
      </c>
      <c r="J200" s="6">
        <f t="shared" si="9"/>
        <v>0</v>
      </c>
    </row>
    <row r="201" spans="1:10" x14ac:dyDescent="0.2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100'!DC126</f>
        <v>0</v>
      </c>
      <c r="H201" s="7">
        <f>'CUENTA T VS'!DC75</f>
        <v>0</v>
      </c>
      <c r="I201" s="7">
        <f t="shared" si="6"/>
        <v>0</v>
      </c>
      <c r="J201" s="6">
        <f t="shared" si="9"/>
        <v>0</v>
      </c>
    </row>
    <row r="202" spans="1:10" x14ac:dyDescent="0.2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100'!DD126</f>
        <v>3779000</v>
      </c>
      <c r="H202" s="7">
        <f>'CUENTA T VS'!DD75</f>
        <v>0</v>
      </c>
      <c r="I202" s="7">
        <f t="shared" si="6"/>
        <v>3779000</v>
      </c>
      <c r="J202" s="6">
        <f t="shared" si="9"/>
        <v>3.1041074537326598E-2</v>
      </c>
    </row>
    <row r="203" spans="1:10" x14ac:dyDescent="0.2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100'!DE126</f>
        <v>0</v>
      </c>
      <c r="H203" s="7">
        <f>'CUENTA T VS'!DE75</f>
        <v>145345</v>
      </c>
      <c r="I203" s="7">
        <f t="shared" si="6"/>
        <v>145345</v>
      </c>
      <c r="J203" s="6">
        <f t="shared" si="9"/>
        <v>1.1938780044000357E-3</v>
      </c>
    </row>
    <row r="204" spans="1:10" x14ac:dyDescent="0.2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0</v>
      </c>
      <c r="I204" s="12">
        <f t="shared" si="6"/>
        <v>0</v>
      </c>
      <c r="J204" s="11"/>
    </row>
    <row r="205" spans="1:10" x14ac:dyDescent="0.2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100'!DF126</f>
        <v>0</v>
      </c>
      <c r="H205" s="7">
        <f>'CUENTA T VS'!DF75</f>
        <v>0</v>
      </c>
      <c r="I205" s="7">
        <f t="shared" si="6"/>
        <v>0</v>
      </c>
      <c r="J205" s="6">
        <f>I205/$I$25</f>
        <v>0</v>
      </c>
    </row>
    <row r="206" spans="1:10" x14ac:dyDescent="0.2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100'!DG126</f>
        <v>0</v>
      </c>
      <c r="H206" s="7">
        <f>'CUENTA T VS'!DG75</f>
        <v>0</v>
      </c>
      <c r="I206" s="7">
        <f t="shared" si="6"/>
        <v>0</v>
      </c>
      <c r="J206" s="6">
        <f>I206/$I$25</f>
        <v>0</v>
      </c>
    </row>
    <row r="207" spans="1:10" x14ac:dyDescent="0.2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100'!DH126</f>
        <v>0</v>
      </c>
      <c r="H207" s="7">
        <f>'CUENTA T VS'!DH75</f>
        <v>0</v>
      </c>
      <c r="I207" s="7">
        <f t="shared" si="6"/>
        <v>0</v>
      </c>
      <c r="J207" s="6">
        <f>I207/$I$25</f>
        <v>0</v>
      </c>
    </row>
    <row r="208" spans="1:10" x14ac:dyDescent="0.2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 t="shared" ref="G208:H208" si="10">+G209</f>
        <v>2314511</v>
      </c>
      <c r="H208" s="20">
        <f t="shared" si="10"/>
        <v>90048.75</v>
      </c>
      <c r="I208" s="20">
        <f t="shared" si="6"/>
        <v>2404559.75</v>
      </c>
      <c r="J208" s="19"/>
    </row>
    <row r="209" spans="1:10" x14ac:dyDescent="0.2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2314511</v>
      </c>
      <c r="H209" s="12">
        <f t="shared" ref="H209" si="11">H210+H211</f>
        <v>90048.75</v>
      </c>
      <c r="I209" s="12">
        <f t="shared" si="6"/>
        <v>2404559.75</v>
      </c>
      <c r="J209" s="11"/>
    </row>
    <row r="210" spans="1:10" x14ac:dyDescent="0.2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100'!DI126</f>
        <v>0</v>
      </c>
      <c r="H210" s="7">
        <f>'CUENTA T VS'!DI75</f>
        <v>90048.75</v>
      </c>
      <c r="I210" s="7">
        <f t="shared" si="6"/>
        <v>90048.75</v>
      </c>
      <c r="J210" s="6">
        <f>I210/$I$25</f>
        <v>7.3966921427443466E-4</v>
      </c>
    </row>
    <row r="211" spans="1:10" x14ac:dyDescent="0.2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100'!DJ126</f>
        <v>2314511</v>
      </c>
      <c r="H211" s="7">
        <f>'CUENTA T VS'!DJ75</f>
        <v>0</v>
      </c>
      <c r="I211" s="7">
        <f t="shared" si="6"/>
        <v>2314511</v>
      </c>
      <c r="J211" s="6">
        <f>I211/$I$25</f>
        <v>1.9011619070775952E-2</v>
      </c>
    </row>
    <row r="212" spans="1:10" x14ac:dyDescent="0.2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25141648.079999998</v>
      </c>
      <c r="H212" s="20">
        <f>H213+H225+H232+H245+H250+H261+H286+H303+H308</f>
        <v>3168875.6799999997</v>
      </c>
      <c r="I212" s="20">
        <f t="shared" si="6"/>
        <v>28310523.759999998</v>
      </c>
      <c r="J212" s="19">
        <f>I212/$I$25</f>
        <v>0.23254540307618832</v>
      </c>
    </row>
    <row r="213" spans="1:10" x14ac:dyDescent="0.2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2180362.58</v>
      </c>
      <c r="H213" s="20">
        <f>+H214+H217+H219+H223</f>
        <v>1046945.66</v>
      </c>
      <c r="I213" s="20">
        <f t="shared" si="6"/>
        <v>3227308.24</v>
      </c>
      <c r="J213" s="19"/>
    </row>
    <row r="214" spans="1:10" x14ac:dyDescent="0.2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2180362.58</v>
      </c>
      <c r="H214" s="12">
        <f>SUM(H215:H216)</f>
        <v>1046945.66</v>
      </c>
      <c r="I214" s="12">
        <f t="shared" si="6"/>
        <v>3227308.24</v>
      </c>
      <c r="J214" s="11"/>
    </row>
    <row r="215" spans="1:10" x14ac:dyDescent="0.2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100'!DK126</f>
        <v>2180362.58</v>
      </c>
      <c r="H215" s="7">
        <f>'CUENTA T VS'!DK75</f>
        <v>1046945.66</v>
      </c>
      <c r="I215" s="7">
        <f t="shared" si="6"/>
        <v>3227308.24</v>
      </c>
      <c r="J215" s="6">
        <f>I215/$I$25</f>
        <v>2.6509424618356266E-2</v>
      </c>
    </row>
    <row r="216" spans="1:10" x14ac:dyDescent="0.2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100'!DL126</f>
        <v>0</v>
      </c>
      <c r="H216" s="7">
        <f>'CUENTA T VS'!DL75</f>
        <v>0</v>
      </c>
      <c r="I216" s="7">
        <f t="shared" si="6"/>
        <v>0</v>
      </c>
      <c r="J216" s="6">
        <f>I216/$I$25</f>
        <v>0</v>
      </c>
    </row>
    <row r="217" spans="1:10" x14ac:dyDescent="0.2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12">SUM(G217:H217)</f>
        <v>0</v>
      </c>
      <c r="J217" s="11"/>
    </row>
    <row r="218" spans="1:10" x14ac:dyDescent="0.2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100'!DM126</f>
        <v>0</v>
      </c>
      <c r="H218" s="7">
        <f>'CUENTA T VS'!DM75</f>
        <v>0</v>
      </c>
      <c r="I218" s="7">
        <f t="shared" si="12"/>
        <v>0</v>
      </c>
      <c r="J218" s="6">
        <f>I218/$I$25</f>
        <v>0</v>
      </c>
    </row>
    <row r="219" spans="1:10" x14ac:dyDescent="0.2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12"/>
        <v>0</v>
      </c>
      <c r="J219" s="11"/>
    </row>
    <row r="220" spans="1:10" x14ac:dyDescent="0.2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100'!DN126</f>
        <v>0</v>
      </c>
      <c r="H220" s="7">
        <f>'CUENTA T VS'!DN75</f>
        <v>0</v>
      </c>
      <c r="I220" s="7">
        <f t="shared" si="12"/>
        <v>0</v>
      </c>
      <c r="J220" s="6">
        <f>I220/$I$25</f>
        <v>0</v>
      </c>
    </row>
    <row r="221" spans="1:10" x14ac:dyDescent="0.2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100'!DO126</f>
        <v>0</v>
      </c>
      <c r="H221" s="7">
        <f>'CUENTA T VS'!DO75</f>
        <v>0</v>
      </c>
      <c r="I221" s="7">
        <f t="shared" si="12"/>
        <v>0</v>
      </c>
      <c r="J221" s="6">
        <f>I221/$I$25</f>
        <v>0</v>
      </c>
    </row>
    <row r="222" spans="1:10" x14ac:dyDescent="0.2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100'!DP126</f>
        <v>0</v>
      </c>
      <c r="H222" s="7">
        <f>'CUENTA T VS'!DP75</f>
        <v>0</v>
      </c>
      <c r="I222" s="7">
        <f t="shared" si="12"/>
        <v>0</v>
      </c>
      <c r="J222" s="6">
        <f>I222/$I$25</f>
        <v>0</v>
      </c>
    </row>
    <row r="223" spans="1:10" x14ac:dyDescent="0.2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12"/>
        <v>0</v>
      </c>
      <c r="J223" s="11"/>
    </row>
    <row r="224" spans="1:10" x14ac:dyDescent="0.2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100'!DQ126</f>
        <v>0</v>
      </c>
      <c r="H224" s="7">
        <f>'CUENTA T VS'!DQ75</f>
        <v>0</v>
      </c>
      <c r="I224" s="7">
        <f t="shared" si="12"/>
        <v>0</v>
      </c>
      <c r="J224" s="6">
        <f>I224/$I$25</f>
        <v>0</v>
      </c>
    </row>
    <row r="225" spans="1:10" x14ac:dyDescent="0.2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1258116.06</v>
      </c>
      <c r="H225" s="20">
        <f>+H226+H228+H230</f>
        <v>0</v>
      </c>
      <c r="I225" s="20">
        <f t="shared" si="12"/>
        <v>1258116.06</v>
      </c>
      <c r="J225" s="19"/>
    </row>
    <row r="226" spans="1:10" x14ac:dyDescent="0.2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0</v>
      </c>
      <c r="H226" s="12">
        <f>SUM(H227)</f>
        <v>0</v>
      </c>
      <c r="I226" s="12">
        <f t="shared" si="12"/>
        <v>0</v>
      </c>
      <c r="J226" s="11"/>
    </row>
    <row r="227" spans="1:10" x14ac:dyDescent="0.2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100'!DR126</f>
        <v>0</v>
      </c>
      <c r="H227" s="7">
        <f>'CUENTA T VS'!DR75</f>
        <v>0</v>
      </c>
      <c r="I227" s="7">
        <f t="shared" si="12"/>
        <v>0</v>
      </c>
      <c r="J227" s="6">
        <f>I227/$I$25</f>
        <v>0</v>
      </c>
    </row>
    <row r="228" spans="1:10" x14ac:dyDescent="0.2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1258116.06</v>
      </c>
      <c r="H228" s="12">
        <f>SUM(H229)</f>
        <v>0</v>
      </c>
      <c r="I228" s="12">
        <f t="shared" si="12"/>
        <v>1258116.06</v>
      </c>
      <c r="J228" s="11"/>
    </row>
    <row r="229" spans="1:10" x14ac:dyDescent="0.2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100'!DS126</f>
        <v>1258116.06</v>
      </c>
      <c r="H229" s="7">
        <f>'CUENTA T VS'!DS75</f>
        <v>0</v>
      </c>
      <c r="I229" s="7">
        <f t="shared" si="12"/>
        <v>1258116.06</v>
      </c>
      <c r="J229" s="6">
        <f>I229/$I$25</f>
        <v>1.0334288011396577E-2</v>
      </c>
    </row>
    <row r="230" spans="1:10" x14ac:dyDescent="0.2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12"/>
        <v>0</v>
      </c>
      <c r="J230" s="11"/>
    </row>
    <row r="231" spans="1:10" x14ac:dyDescent="0.2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100'!DT126</f>
        <v>0</v>
      </c>
      <c r="H231" s="7">
        <f>'CUENTA T VS'!DT75</f>
        <v>0</v>
      </c>
      <c r="I231" s="7">
        <f t="shared" si="12"/>
        <v>0</v>
      </c>
      <c r="J231" s="6">
        <f>I231/$I$25</f>
        <v>0</v>
      </c>
    </row>
    <row r="232" spans="1:10" x14ac:dyDescent="0.2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366980</v>
      </c>
      <c r="H232" s="20">
        <f>+H233+H235+H237+H239+H241+H243</f>
        <v>17600.03</v>
      </c>
      <c r="I232" s="20">
        <f t="shared" si="12"/>
        <v>384580.03</v>
      </c>
      <c r="J232" s="19"/>
    </row>
    <row r="233" spans="1:10" x14ac:dyDescent="0.2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0</v>
      </c>
      <c r="H233" s="12">
        <f>SUM(H234)</f>
        <v>0</v>
      </c>
      <c r="I233" s="12">
        <f t="shared" si="12"/>
        <v>0</v>
      </c>
      <c r="J233" s="11"/>
    </row>
    <row r="234" spans="1:10" x14ac:dyDescent="0.2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100'!DU126</f>
        <v>0</v>
      </c>
      <c r="H234" s="7">
        <f>'CUENTA T VS'!DU75</f>
        <v>0</v>
      </c>
      <c r="I234" s="7">
        <f t="shared" si="12"/>
        <v>0</v>
      </c>
      <c r="J234" s="6">
        <f>I234/$I$25</f>
        <v>0</v>
      </c>
    </row>
    <row r="235" spans="1:10" x14ac:dyDescent="0.2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124608</v>
      </c>
      <c r="H235" s="12">
        <f>SUM(H236)</f>
        <v>17600.03</v>
      </c>
      <c r="I235" s="12">
        <f t="shared" si="12"/>
        <v>142208.03</v>
      </c>
      <c r="J235" s="11"/>
    </row>
    <row r="236" spans="1:10" x14ac:dyDescent="0.2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100'!DV126</f>
        <v>124608</v>
      </c>
      <c r="H236" s="7">
        <f>'CUENTA T VS'!DV75</f>
        <v>17600.03</v>
      </c>
      <c r="I236" s="7">
        <f t="shared" si="12"/>
        <v>142208.03</v>
      </c>
      <c r="J236" s="6">
        <f>I236/$I$25</f>
        <v>1.1681106268950456E-3</v>
      </c>
    </row>
    <row r="237" spans="1:10" x14ac:dyDescent="0.2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242372</v>
      </c>
      <c r="H237" s="12">
        <f>SUM(H238)</f>
        <v>0</v>
      </c>
      <c r="I237" s="12">
        <f t="shared" si="12"/>
        <v>242372</v>
      </c>
      <c r="J237" s="11"/>
    </row>
    <row r="238" spans="1:10" x14ac:dyDescent="0.2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100'!DW126</f>
        <v>242372</v>
      </c>
      <c r="H238" s="7">
        <f>'CUENTA T VS'!DW75</f>
        <v>0</v>
      </c>
      <c r="I238" s="7">
        <f t="shared" si="12"/>
        <v>242372</v>
      </c>
      <c r="J238" s="6">
        <f>I238/$I$25</f>
        <v>1.9908672447104848E-3</v>
      </c>
    </row>
    <row r="239" spans="1:10" x14ac:dyDescent="0.2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12"/>
        <v>0</v>
      </c>
      <c r="J239" s="11"/>
    </row>
    <row r="240" spans="1:10" x14ac:dyDescent="0.2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100'!DX126</f>
        <v>0</v>
      </c>
      <c r="H240" s="7">
        <f>'CUENTA T VS'!DX75</f>
        <v>0</v>
      </c>
      <c r="I240" s="7">
        <f t="shared" si="12"/>
        <v>0</v>
      </c>
      <c r="J240" s="6">
        <f>I240/$I$25</f>
        <v>0</v>
      </c>
    </row>
    <row r="241" spans="1:10" x14ac:dyDescent="0.2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12"/>
        <v>0</v>
      </c>
      <c r="J241" s="11"/>
    </row>
    <row r="242" spans="1:10" x14ac:dyDescent="0.2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100'!DY126</f>
        <v>0</v>
      </c>
      <c r="H242" s="7">
        <f>'CUENTA T VS'!DY75</f>
        <v>0</v>
      </c>
      <c r="I242" s="7">
        <f t="shared" si="12"/>
        <v>0</v>
      </c>
      <c r="J242" s="6">
        <f>I242/$I$25</f>
        <v>0</v>
      </c>
    </row>
    <row r="243" spans="1:10" x14ac:dyDescent="0.2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12"/>
        <v>0</v>
      </c>
      <c r="J243" s="11"/>
    </row>
    <row r="244" spans="1:10" x14ac:dyDescent="0.2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100'!DZ126</f>
        <v>0</v>
      </c>
      <c r="H244" s="7">
        <f>'CUENTA T VS'!DZ75</f>
        <v>0</v>
      </c>
      <c r="I244" s="7">
        <f t="shared" si="12"/>
        <v>0</v>
      </c>
      <c r="J244" s="6">
        <f>I244/$I$25</f>
        <v>0</v>
      </c>
    </row>
    <row r="245" spans="1:10" x14ac:dyDescent="0.2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9434300</v>
      </c>
      <c r="H245" s="20">
        <f>+H246+H248</f>
        <v>74000</v>
      </c>
      <c r="I245" s="20">
        <f t="shared" si="12"/>
        <v>9508300</v>
      </c>
      <c r="J245" s="19"/>
    </row>
    <row r="246" spans="1:10" x14ac:dyDescent="0.2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9434300</v>
      </c>
      <c r="H246" s="12">
        <f>SUM(H247)</f>
        <v>74000</v>
      </c>
      <c r="I246" s="12">
        <f t="shared" si="12"/>
        <v>9508300</v>
      </c>
      <c r="J246" s="11"/>
    </row>
    <row r="247" spans="1:10" x14ac:dyDescent="0.2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100'!EA126</f>
        <v>9434300</v>
      </c>
      <c r="H247" s="7">
        <f>'CUENTA T VS'!EA75</f>
        <v>74000</v>
      </c>
      <c r="I247" s="7">
        <f t="shared" si="12"/>
        <v>9508300</v>
      </c>
      <c r="J247" s="6">
        <f>I247/$I$25</f>
        <v>7.8102103472681261E-2</v>
      </c>
    </row>
    <row r="248" spans="1:10" x14ac:dyDescent="0.2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12"/>
        <v>0</v>
      </c>
      <c r="J248" s="11"/>
    </row>
    <row r="249" spans="1:10" x14ac:dyDescent="0.2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100'!EB126</f>
        <v>0</v>
      </c>
      <c r="H249" s="7">
        <f>'CUENTA T VS'!EB75</f>
        <v>0</v>
      </c>
      <c r="I249" s="7">
        <f t="shared" si="12"/>
        <v>0</v>
      </c>
      <c r="J249" s="6">
        <f>I249/$I$25</f>
        <v>0</v>
      </c>
    </row>
    <row r="250" spans="1:10" x14ac:dyDescent="0.2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0</v>
      </c>
      <c r="H250" s="20">
        <f>+H251+H253+H255+H257+H259</f>
        <v>0</v>
      </c>
      <c r="I250" s="20">
        <f t="shared" si="12"/>
        <v>0</v>
      </c>
      <c r="J250" s="19"/>
    </row>
    <row r="251" spans="1:10" x14ac:dyDescent="0.2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12"/>
        <v>0</v>
      </c>
      <c r="J251" s="11"/>
    </row>
    <row r="252" spans="1:10" x14ac:dyDescent="0.2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100'!EC126</f>
        <v>0</v>
      </c>
      <c r="H252" s="7">
        <f>'CUENTA T VS'!EC75</f>
        <v>0</v>
      </c>
      <c r="I252" s="7">
        <f t="shared" si="12"/>
        <v>0</v>
      </c>
      <c r="J252" s="6">
        <f>I252/$I$25</f>
        <v>0</v>
      </c>
    </row>
    <row r="253" spans="1:10" x14ac:dyDescent="0.2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12"/>
        <v>0</v>
      </c>
      <c r="J253" s="11"/>
    </row>
    <row r="254" spans="1:10" x14ac:dyDescent="0.2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100'!ED126</f>
        <v>0</v>
      </c>
      <c r="H254" s="7">
        <f>'CUENTA T VS'!ED75</f>
        <v>0</v>
      </c>
      <c r="I254" s="7">
        <f t="shared" si="12"/>
        <v>0</v>
      </c>
      <c r="J254" s="6">
        <f>I254/$I$25</f>
        <v>0</v>
      </c>
    </row>
    <row r="255" spans="1:10" x14ac:dyDescent="0.2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0</v>
      </c>
      <c r="I255" s="12">
        <f t="shared" si="12"/>
        <v>0</v>
      </c>
      <c r="J255" s="11"/>
    </row>
    <row r="256" spans="1:10" x14ac:dyDescent="0.2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100'!EE126</f>
        <v>0</v>
      </c>
      <c r="H256" s="7">
        <f>'CUENTA T VS'!EE75</f>
        <v>0</v>
      </c>
      <c r="I256" s="7">
        <f t="shared" si="12"/>
        <v>0</v>
      </c>
      <c r="J256" s="6">
        <f>I256/$I$25</f>
        <v>0</v>
      </c>
    </row>
    <row r="257" spans="1:10" x14ac:dyDescent="0.2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0</v>
      </c>
      <c r="H257" s="12">
        <f>SUM(H258)</f>
        <v>0</v>
      </c>
      <c r="I257" s="12">
        <f t="shared" si="12"/>
        <v>0</v>
      </c>
      <c r="J257" s="11"/>
    </row>
    <row r="258" spans="1:10" x14ac:dyDescent="0.2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100'!EF126</f>
        <v>0</v>
      </c>
      <c r="H258" s="7">
        <f>'CUENTA T VS'!EF75</f>
        <v>0</v>
      </c>
      <c r="I258" s="7">
        <f t="shared" si="12"/>
        <v>0</v>
      </c>
      <c r="J258" s="6">
        <f>I258/$I$25</f>
        <v>0</v>
      </c>
    </row>
    <row r="259" spans="1:10" x14ac:dyDescent="0.2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0</v>
      </c>
      <c r="H259" s="12">
        <f>SUM(H260)</f>
        <v>0</v>
      </c>
      <c r="I259" s="12">
        <f t="shared" si="12"/>
        <v>0</v>
      </c>
      <c r="J259" s="11"/>
    </row>
    <row r="260" spans="1:10" x14ac:dyDescent="0.2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100'!EG126</f>
        <v>0</v>
      </c>
      <c r="H260" s="7">
        <f>'CUENTA T VS'!EG75</f>
        <v>0</v>
      </c>
      <c r="I260" s="7">
        <f t="shared" si="12"/>
        <v>0</v>
      </c>
      <c r="J260" s="6">
        <f>I260/$I$25</f>
        <v>0</v>
      </c>
    </row>
    <row r="261" spans="1:10" x14ac:dyDescent="0.2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0</v>
      </c>
      <c r="H261" s="20">
        <f>+H262+H268+H272+H276+H284</f>
        <v>0</v>
      </c>
      <c r="I261" s="20">
        <f t="shared" si="12"/>
        <v>0</v>
      </c>
      <c r="J261" s="19"/>
    </row>
    <row r="262" spans="1:10" x14ac:dyDescent="0.2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0</v>
      </c>
      <c r="H262" s="12">
        <f>SUM(H263:H267)</f>
        <v>0</v>
      </c>
      <c r="I262" s="12">
        <f t="shared" si="12"/>
        <v>0</v>
      </c>
      <c r="J262" s="11"/>
    </row>
    <row r="263" spans="1:10" x14ac:dyDescent="0.2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100'!EH126</f>
        <v>0</v>
      </c>
      <c r="H263" s="7">
        <f>'CUENTA T VS'!EH75</f>
        <v>0</v>
      </c>
      <c r="I263" s="7">
        <f t="shared" si="12"/>
        <v>0</v>
      </c>
      <c r="J263" s="6">
        <f>I263/$I$25</f>
        <v>0</v>
      </c>
    </row>
    <row r="264" spans="1:10" x14ac:dyDescent="0.2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100'!EI126</f>
        <v>0</v>
      </c>
      <c r="H264" s="7">
        <f>'CUENTA T VS'!EI75</f>
        <v>0</v>
      </c>
      <c r="I264" s="7">
        <f t="shared" si="12"/>
        <v>0</v>
      </c>
      <c r="J264" s="6">
        <f>I264/$I$25</f>
        <v>0</v>
      </c>
    </row>
    <row r="265" spans="1:10" x14ac:dyDescent="0.2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100'!EJ126</f>
        <v>0</v>
      </c>
      <c r="H265" s="7">
        <f>'CUENTA T VS'!EJ75</f>
        <v>0</v>
      </c>
      <c r="I265" s="7">
        <f t="shared" si="12"/>
        <v>0</v>
      </c>
      <c r="J265" s="6">
        <f>I265/$I$25</f>
        <v>0</v>
      </c>
    </row>
    <row r="266" spans="1:10" x14ac:dyDescent="0.2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100'!EK126</f>
        <v>0</v>
      </c>
      <c r="H266" s="7">
        <f>'CUENTA T VS'!EK75</f>
        <v>0</v>
      </c>
      <c r="I266" s="7">
        <f t="shared" si="12"/>
        <v>0</v>
      </c>
      <c r="J266" s="6">
        <f>I266/$I$25</f>
        <v>0</v>
      </c>
    </row>
    <row r="267" spans="1:10" x14ac:dyDescent="0.2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100'!EL126</f>
        <v>0</v>
      </c>
      <c r="H267" s="7">
        <f>'CUENTA T VS'!EL75</f>
        <v>0</v>
      </c>
      <c r="I267" s="7">
        <f t="shared" si="12"/>
        <v>0</v>
      </c>
      <c r="J267" s="6">
        <f>I267/$I$25</f>
        <v>0</v>
      </c>
    </row>
    <row r="268" spans="1:10" x14ac:dyDescent="0.2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0</v>
      </c>
      <c r="H268" s="12">
        <f>SUM(H269:H271)</f>
        <v>0</v>
      </c>
      <c r="I268" s="12">
        <f t="shared" si="12"/>
        <v>0</v>
      </c>
      <c r="J268" s="11"/>
    </row>
    <row r="269" spans="1:10" x14ac:dyDescent="0.2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100'!EM126</f>
        <v>0</v>
      </c>
      <c r="H269" s="7">
        <f>'CUENTA T VS'!EM75</f>
        <v>0</v>
      </c>
      <c r="I269" s="7">
        <f t="shared" si="12"/>
        <v>0</v>
      </c>
      <c r="J269" s="6">
        <f>I269/$I$25</f>
        <v>0</v>
      </c>
    </row>
    <row r="270" spans="1:10" x14ac:dyDescent="0.2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100'!EN126</f>
        <v>0</v>
      </c>
      <c r="H270" s="7">
        <f>'CUENTA T VS'!EN75</f>
        <v>0</v>
      </c>
      <c r="I270" s="7">
        <f t="shared" si="12"/>
        <v>0</v>
      </c>
      <c r="J270" s="6">
        <f>I270/$I$25</f>
        <v>0</v>
      </c>
    </row>
    <row r="271" spans="1:10" x14ac:dyDescent="0.2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100'!EO126</f>
        <v>0</v>
      </c>
      <c r="H271" s="7">
        <f>'CUENTA T VS'!EO75</f>
        <v>0</v>
      </c>
      <c r="I271" s="7">
        <f t="shared" si="12"/>
        <v>0</v>
      </c>
      <c r="J271" s="6">
        <f>I271/$I$25</f>
        <v>0</v>
      </c>
    </row>
    <row r="272" spans="1:10" x14ac:dyDescent="0.2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0</v>
      </c>
      <c r="H272" s="12">
        <f>SUM(H273:H275)</f>
        <v>0</v>
      </c>
      <c r="I272" s="12">
        <f t="shared" si="12"/>
        <v>0</v>
      </c>
      <c r="J272" s="11"/>
    </row>
    <row r="273" spans="1:10" x14ac:dyDescent="0.2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100'!EP126</f>
        <v>0</v>
      </c>
      <c r="H273" s="7">
        <f>'CUENTA T VS'!EP75</f>
        <v>0</v>
      </c>
      <c r="I273" s="7">
        <f t="shared" si="12"/>
        <v>0</v>
      </c>
      <c r="J273" s="6">
        <f>I273/$I$25</f>
        <v>0</v>
      </c>
    </row>
    <row r="274" spans="1:10" x14ac:dyDescent="0.2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100'!EQ126</f>
        <v>0</v>
      </c>
      <c r="H274" s="7">
        <f>'CUENTA T VS'!EQ75</f>
        <v>0</v>
      </c>
      <c r="I274" s="7">
        <f t="shared" si="12"/>
        <v>0</v>
      </c>
      <c r="J274" s="6">
        <f>I274/$I$25</f>
        <v>0</v>
      </c>
    </row>
    <row r="275" spans="1:10" x14ac:dyDescent="0.2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100'!ER126</f>
        <v>0</v>
      </c>
      <c r="H275" s="7">
        <f>'CUENTA T VS'!ER75</f>
        <v>0</v>
      </c>
      <c r="I275" s="7">
        <f t="shared" si="12"/>
        <v>0</v>
      </c>
      <c r="J275" s="6">
        <f>I275/$I$25</f>
        <v>0</v>
      </c>
    </row>
    <row r="276" spans="1:10" x14ac:dyDescent="0.2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12"/>
        <v>0</v>
      </c>
      <c r="J276" s="11"/>
    </row>
    <row r="277" spans="1:10" x14ac:dyDescent="0.2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100'!ES126</f>
        <v>0</v>
      </c>
      <c r="H277" s="7">
        <f>'CUENTA T VS'!ES75</f>
        <v>0</v>
      </c>
      <c r="I277" s="7">
        <f t="shared" si="12"/>
        <v>0</v>
      </c>
      <c r="J277" s="6">
        <f t="shared" ref="J277:J283" si="13">I277/$I$25</f>
        <v>0</v>
      </c>
    </row>
    <row r="278" spans="1:10" x14ac:dyDescent="0.2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100'!ET126</f>
        <v>0</v>
      </c>
      <c r="H278" s="7">
        <f>'CUENTA T VS'!ET75</f>
        <v>0</v>
      </c>
      <c r="I278" s="7">
        <f t="shared" si="12"/>
        <v>0</v>
      </c>
      <c r="J278" s="6">
        <f t="shared" si="13"/>
        <v>0</v>
      </c>
    </row>
    <row r="279" spans="1:10" x14ac:dyDescent="0.2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100'!EU126</f>
        <v>0</v>
      </c>
      <c r="H279" s="7">
        <f>'CUENTA T VS'!EU75</f>
        <v>0</v>
      </c>
      <c r="I279" s="7">
        <f t="shared" si="12"/>
        <v>0</v>
      </c>
      <c r="J279" s="6">
        <f t="shared" si="13"/>
        <v>0</v>
      </c>
    </row>
    <row r="280" spans="1:10" x14ac:dyDescent="0.2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100'!EV126</f>
        <v>0</v>
      </c>
      <c r="H280" s="7">
        <f>'CUENTA T VS'!EV75</f>
        <v>0</v>
      </c>
      <c r="I280" s="7">
        <f t="shared" si="12"/>
        <v>0</v>
      </c>
      <c r="J280" s="6">
        <f t="shared" si="13"/>
        <v>0</v>
      </c>
    </row>
    <row r="281" spans="1:10" x14ac:dyDescent="0.2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100'!EW126</f>
        <v>0</v>
      </c>
      <c r="H281" s="7">
        <f>'CUENTA T VS'!EW75</f>
        <v>0</v>
      </c>
      <c r="I281" s="7">
        <f t="shared" ref="I281:I344" si="14">SUM(G281:H281)</f>
        <v>0</v>
      </c>
      <c r="J281" s="6">
        <f t="shared" si="13"/>
        <v>0</v>
      </c>
    </row>
    <row r="282" spans="1:10" x14ac:dyDescent="0.2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100'!EX126</f>
        <v>0</v>
      </c>
      <c r="H282" s="7">
        <f>'CUENTA T VS'!EX75</f>
        <v>0</v>
      </c>
      <c r="I282" s="7">
        <f t="shared" si="14"/>
        <v>0</v>
      </c>
      <c r="J282" s="6">
        <f t="shared" si="13"/>
        <v>0</v>
      </c>
    </row>
    <row r="283" spans="1:10" x14ac:dyDescent="0.2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100'!EY126</f>
        <v>0</v>
      </c>
      <c r="H283" s="7">
        <f>'CUENTA T VS'!EY75</f>
        <v>0</v>
      </c>
      <c r="I283" s="7">
        <f t="shared" si="14"/>
        <v>0</v>
      </c>
      <c r="J283" s="6">
        <f t="shared" si="13"/>
        <v>0</v>
      </c>
    </row>
    <row r="284" spans="1:10" x14ac:dyDescent="0.2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0</v>
      </c>
      <c r="I284" s="12">
        <f t="shared" si="14"/>
        <v>0</v>
      </c>
      <c r="J284" s="11"/>
    </row>
    <row r="285" spans="1:10" x14ac:dyDescent="0.2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100'!EZ126</f>
        <v>0</v>
      </c>
      <c r="H285" s="7">
        <f>'CUENTA T VS'!EZ75</f>
        <v>0</v>
      </c>
      <c r="I285" s="7">
        <f t="shared" si="14"/>
        <v>0</v>
      </c>
      <c r="J285" s="6">
        <f>I285/$I$25</f>
        <v>0</v>
      </c>
    </row>
    <row r="286" spans="1:10" ht="25.5" x14ac:dyDescent="0.2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5003060.22</v>
      </c>
      <c r="H286" s="20">
        <f>H287+H295</f>
        <v>1029096</v>
      </c>
      <c r="I286" s="20">
        <f t="shared" si="14"/>
        <v>6032156.2199999997</v>
      </c>
      <c r="J286" s="19"/>
    </row>
    <row r="287" spans="1:10" x14ac:dyDescent="0.2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337200</v>
      </c>
      <c r="H287" s="12">
        <f>SUM(H288:H294)</f>
        <v>194638</v>
      </c>
      <c r="I287" s="12">
        <f t="shared" si="14"/>
        <v>531838</v>
      </c>
      <c r="J287" s="11"/>
    </row>
    <row r="288" spans="1:10" x14ac:dyDescent="0.2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100'!FA126</f>
        <v>0</v>
      </c>
      <c r="H288" s="7">
        <f>'CUENTA T VS'!FA75</f>
        <v>172000</v>
      </c>
      <c r="I288" s="7">
        <f t="shared" si="14"/>
        <v>172000</v>
      </c>
      <c r="J288" s="6">
        <f t="shared" ref="J288:J294" si="15">I288/$I$25</f>
        <v>1.4128247738608561E-3</v>
      </c>
    </row>
    <row r="289" spans="1:10" x14ac:dyDescent="0.2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100'!FB126</f>
        <v>337200</v>
      </c>
      <c r="H289" s="7">
        <f>'CUENTA T VS'!FB75</f>
        <v>0</v>
      </c>
      <c r="I289" s="7">
        <f t="shared" si="14"/>
        <v>337200</v>
      </c>
      <c r="J289" s="6">
        <f t="shared" si="15"/>
        <v>2.7697936845690737E-3</v>
      </c>
    </row>
    <row r="290" spans="1:10" x14ac:dyDescent="0.2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100'!FC126</f>
        <v>0</v>
      </c>
      <c r="H290" s="7">
        <f>'CUENTA T VS'!FC75</f>
        <v>0</v>
      </c>
      <c r="I290" s="7">
        <f t="shared" si="14"/>
        <v>0</v>
      </c>
      <c r="J290" s="6">
        <f t="shared" si="15"/>
        <v>0</v>
      </c>
    </row>
    <row r="291" spans="1:10" x14ac:dyDescent="0.2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100'!FD126</f>
        <v>0</v>
      </c>
      <c r="H291" s="7">
        <f>'CUENTA T VS'!FD75</f>
        <v>22638</v>
      </c>
      <c r="I291" s="7">
        <f t="shared" si="14"/>
        <v>22638</v>
      </c>
      <c r="J291" s="6">
        <f t="shared" si="15"/>
        <v>1.8595073971315151E-4</v>
      </c>
    </row>
    <row r="292" spans="1:10" x14ac:dyDescent="0.2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100'!FE126</f>
        <v>0</v>
      </c>
      <c r="H292" s="7">
        <f>'CUENTA T VS'!FE75</f>
        <v>0</v>
      </c>
      <c r="I292" s="7">
        <f t="shared" si="14"/>
        <v>0</v>
      </c>
      <c r="J292" s="6">
        <f t="shared" si="15"/>
        <v>0</v>
      </c>
    </row>
    <row r="293" spans="1:10" x14ac:dyDescent="0.2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100'!FF126</f>
        <v>0</v>
      </c>
      <c r="H293" s="7">
        <f>'CUENTA T VS'!FF75</f>
        <v>0</v>
      </c>
      <c r="I293" s="7">
        <f t="shared" si="14"/>
        <v>0</v>
      </c>
      <c r="J293" s="6">
        <f t="shared" si="15"/>
        <v>0</v>
      </c>
    </row>
    <row r="294" spans="1:10" x14ac:dyDescent="0.2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100'!FG126</f>
        <v>0</v>
      </c>
      <c r="H294" s="7">
        <f>'CUENTA T VS'!FG75</f>
        <v>0</v>
      </c>
      <c r="I294" s="7">
        <f t="shared" si="14"/>
        <v>0</v>
      </c>
      <c r="J294" s="6">
        <f t="shared" si="15"/>
        <v>0</v>
      </c>
    </row>
    <row r="295" spans="1:10" x14ac:dyDescent="0.2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4665860.22</v>
      </c>
      <c r="H295" s="12">
        <f>SUM(H296:H302)</f>
        <v>834458</v>
      </c>
      <c r="I295" s="12">
        <f t="shared" si="14"/>
        <v>5500318.2199999997</v>
      </c>
      <c r="J295" s="11"/>
    </row>
    <row r="296" spans="1:10" x14ac:dyDescent="0.2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100'!FH126</f>
        <v>0</v>
      </c>
      <c r="H296" s="7">
        <f>'CUENTA T VS'!FH75</f>
        <v>0</v>
      </c>
      <c r="I296" s="7">
        <f t="shared" si="14"/>
        <v>0</v>
      </c>
      <c r="J296" s="6">
        <f t="shared" ref="J296:J302" si="16">I296/$I$25</f>
        <v>0</v>
      </c>
    </row>
    <row r="297" spans="1:10" x14ac:dyDescent="0.2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100'!FI126</f>
        <v>0</v>
      </c>
      <c r="H297" s="7">
        <f>'CUENTA T VS'!FI75</f>
        <v>0</v>
      </c>
      <c r="I297" s="7">
        <f t="shared" si="14"/>
        <v>0</v>
      </c>
      <c r="J297" s="6">
        <f t="shared" si="16"/>
        <v>0</v>
      </c>
    </row>
    <row r="298" spans="1:10" x14ac:dyDescent="0.2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100'!FJ126</f>
        <v>4665860.22</v>
      </c>
      <c r="H298" s="7">
        <f>'CUENTA T VS'!FJ75</f>
        <v>4800</v>
      </c>
      <c r="I298" s="7">
        <f t="shared" si="14"/>
        <v>4670660.22</v>
      </c>
      <c r="J298" s="6">
        <f t="shared" si="16"/>
        <v>3.8365258541292996E-2</v>
      </c>
    </row>
    <row r="299" spans="1:10" x14ac:dyDescent="0.2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100'!FK126</f>
        <v>0</v>
      </c>
      <c r="H299" s="7">
        <f>'CUENTA T VS'!FK75</f>
        <v>0</v>
      </c>
      <c r="I299" s="7">
        <f t="shared" si="14"/>
        <v>0</v>
      </c>
      <c r="J299" s="6">
        <f t="shared" si="16"/>
        <v>0</v>
      </c>
    </row>
    <row r="300" spans="1:10" x14ac:dyDescent="0.2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100'!FL126</f>
        <v>0</v>
      </c>
      <c r="H300" s="7">
        <f>'CUENTA T VS'!FL75</f>
        <v>0</v>
      </c>
      <c r="I300" s="7">
        <f t="shared" si="14"/>
        <v>0</v>
      </c>
      <c r="J300" s="6">
        <f t="shared" si="16"/>
        <v>0</v>
      </c>
    </row>
    <row r="301" spans="1:10" ht="25.5" x14ac:dyDescent="0.2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100'!FM126</f>
        <v>0</v>
      </c>
      <c r="H301" s="7">
        <f>'CUENTA T VS'!FM75</f>
        <v>0</v>
      </c>
      <c r="I301" s="7">
        <f t="shared" si="14"/>
        <v>0</v>
      </c>
      <c r="J301" s="6">
        <f t="shared" si="16"/>
        <v>0</v>
      </c>
    </row>
    <row r="302" spans="1:10" x14ac:dyDescent="0.2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100'!FN126</f>
        <v>0</v>
      </c>
      <c r="H302" s="7">
        <f>'CUENTA T VS'!FN75</f>
        <v>829658</v>
      </c>
      <c r="I302" s="7">
        <f t="shared" si="14"/>
        <v>829658</v>
      </c>
      <c r="J302" s="6">
        <f t="shared" si="16"/>
        <v>6.8148917222781982E-3</v>
      </c>
    </row>
    <row r="303" spans="1:10" ht="25.5" x14ac:dyDescent="0.2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4"/>
        <v>0</v>
      </c>
      <c r="J303" s="19"/>
    </row>
    <row r="304" spans="1:10" x14ac:dyDescent="0.2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4"/>
        <v>0</v>
      </c>
      <c r="J304" s="11"/>
    </row>
    <row r="305" spans="1:10" x14ac:dyDescent="0.2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100'!FO126</f>
        <v>0</v>
      </c>
      <c r="H305" s="7">
        <f>'CUENTA T VS'!FO75</f>
        <v>0</v>
      </c>
      <c r="I305" s="7">
        <f t="shared" si="14"/>
        <v>0</v>
      </c>
      <c r="J305" s="6">
        <f>I305/$I$25</f>
        <v>0</v>
      </c>
    </row>
    <row r="306" spans="1:10" ht="25.5" x14ac:dyDescent="0.2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4"/>
        <v>0</v>
      </c>
      <c r="J306" s="11"/>
    </row>
    <row r="307" spans="1:10" ht="25.5" x14ac:dyDescent="0.2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100'!FP126</f>
        <v>0</v>
      </c>
      <c r="H307" s="7">
        <f>'CUENTA T VS'!FP75</f>
        <v>0</v>
      </c>
      <c r="I307" s="7">
        <f t="shared" si="14"/>
        <v>0</v>
      </c>
      <c r="J307" s="6">
        <f>I307/$I$25</f>
        <v>0</v>
      </c>
    </row>
    <row r="308" spans="1:10" x14ac:dyDescent="0.2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6898829.2199999997</v>
      </c>
      <c r="H308" s="20">
        <f>+H309+H312+H314+H316+H318+H320+H322+H324+H327</f>
        <v>1001233.99</v>
      </c>
      <c r="I308" s="20">
        <f t="shared" si="14"/>
        <v>7900063.21</v>
      </c>
      <c r="J308" s="19"/>
    </row>
    <row r="309" spans="1:10" x14ac:dyDescent="0.2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599529.09</v>
      </c>
      <c r="H309" s="12">
        <f>SUM(H310:H311)</f>
        <v>0</v>
      </c>
      <c r="I309" s="12">
        <f t="shared" si="14"/>
        <v>599529.09</v>
      </c>
      <c r="J309" s="11"/>
    </row>
    <row r="310" spans="1:10" x14ac:dyDescent="0.2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100'!FQ126</f>
        <v>599529.09</v>
      </c>
      <c r="H310" s="7">
        <f>'CUENTA T VS'!FQ75</f>
        <v>0</v>
      </c>
      <c r="I310" s="7">
        <f t="shared" si="14"/>
        <v>599529.09</v>
      </c>
      <c r="J310" s="6">
        <f>I310/$I$25</f>
        <v>4.9245904128038072E-3</v>
      </c>
    </row>
    <row r="311" spans="1:10" x14ac:dyDescent="0.2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100'!FR126</f>
        <v>0</v>
      </c>
      <c r="H311" s="7">
        <f>'CUENTA T VS'!FR75</f>
        <v>0</v>
      </c>
      <c r="I311" s="7">
        <f t="shared" si="14"/>
        <v>0</v>
      </c>
      <c r="J311" s="6">
        <f>I311/$I$25</f>
        <v>0</v>
      </c>
    </row>
    <row r="312" spans="1:10" x14ac:dyDescent="0.2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271071.5</v>
      </c>
      <c r="H312" s="12">
        <f>SUM(H313)</f>
        <v>0</v>
      </c>
      <c r="I312" s="12">
        <f t="shared" si="14"/>
        <v>271071.5</v>
      </c>
      <c r="J312" s="11"/>
    </row>
    <row r="313" spans="1:10" x14ac:dyDescent="0.2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100'!FS126</f>
        <v>271071.5</v>
      </c>
      <c r="H313" s="7">
        <f>'CUENTA T VS'!FS75</f>
        <v>0</v>
      </c>
      <c r="I313" s="7">
        <f t="shared" si="14"/>
        <v>271071.5</v>
      </c>
      <c r="J313" s="6">
        <f>I313/$I$25</f>
        <v>2.226607736555948E-3</v>
      </c>
    </row>
    <row r="314" spans="1:10" x14ac:dyDescent="0.2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5921554.2699999996</v>
      </c>
      <c r="H314" s="12">
        <f>SUM(H315)</f>
        <v>27704.04</v>
      </c>
      <c r="I314" s="12">
        <f t="shared" si="14"/>
        <v>5949258.3099999996</v>
      </c>
      <c r="J314" s="11"/>
    </row>
    <row r="315" spans="1:10" x14ac:dyDescent="0.2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100'!FT126</f>
        <v>5921554.2699999996</v>
      </c>
      <c r="H315" s="7">
        <f>'CUENTA T VS'!FT75</f>
        <v>27704.04</v>
      </c>
      <c r="I315" s="7">
        <f t="shared" si="14"/>
        <v>5949258.3099999996</v>
      </c>
      <c r="J315" s="6">
        <f>I315/$I$25</f>
        <v>4.8867787944567254E-2</v>
      </c>
    </row>
    <row r="316" spans="1:10" x14ac:dyDescent="0.2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0</v>
      </c>
      <c r="I316" s="12">
        <f t="shared" si="14"/>
        <v>0</v>
      </c>
      <c r="J316" s="11"/>
    </row>
    <row r="317" spans="1:10" x14ac:dyDescent="0.2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100'!FU126</f>
        <v>0</v>
      </c>
      <c r="H317" s="7">
        <f>'CUENTA T VS'!FU75</f>
        <v>0</v>
      </c>
      <c r="I317" s="7">
        <f t="shared" si="14"/>
        <v>0</v>
      </c>
      <c r="J317" s="6">
        <f>I317/$I$25</f>
        <v>0</v>
      </c>
    </row>
    <row r="318" spans="1:10" x14ac:dyDescent="0.2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0</v>
      </c>
      <c r="H318" s="12">
        <f>SUM(H319)</f>
        <v>861440</v>
      </c>
      <c r="I318" s="12">
        <f t="shared" si="14"/>
        <v>861440</v>
      </c>
      <c r="J318" s="11"/>
    </row>
    <row r="319" spans="1:10" x14ac:dyDescent="0.2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100'!FV126</f>
        <v>0</v>
      </c>
      <c r="H319" s="7">
        <f>'CUENTA T VS'!FV75</f>
        <v>861440</v>
      </c>
      <c r="I319" s="7">
        <f t="shared" si="14"/>
        <v>861440</v>
      </c>
      <c r="J319" s="6">
        <f>I319/$I$25</f>
        <v>7.075952169736604E-3</v>
      </c>
    </row>
    <row r="320" spans="1:10" x14ac:dyDescent="0.2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0</v>
      </c>
      <c r="H320" s="12">
        <f>SUM(H321)</f>
        <v>0</v>
      </c>
      <c r="I320" s="12">
        <f t="shared" si="14"/>
        <v>0</v>
      </c>
      <c r="J320" s="11"/>
    </row>
    <row r="321" spans="1:10" x14ac:dyDescent="0.2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100'!FW126</f>
        <v>0</v>
      </c>
      <c r="H321" s="7">
        <f>'CUENTA T VS'!FW75</f>
        <v>0</v>
      </c>
      <c r="I321" s="7">
        <f t="shared" si="14"/>
        <v>0</v>
      </c>
      <c r="J321" s="6">
        <f>I321/$I$25</f>
        <v>0</v>
      </c>
    </row>
    <row r="322" spans="1:10" x14ac:dyDescent="0.2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4"/>
        <v>0</v>
      </c>
      <c r="J322" s="11"/>
    </row>
    <row r="323" spans="1:10" x14ac:dyDescent="0.2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100'!FX126</f>
        <v>0</v>
      </c>
      <c r="H323" s="7">
        <f>'CUENTA T VS'!FX75</f>
        <v>0</v>
      </c>
      <c r="I323" s="7">
        <f t="shared" si="14"/>
        <v>0</v>
      </c>
      <c r="J323" s="6">
        <f>I323/$I$25</f>
        <v>0</v>
      </c>
    </row>
    <row r="324" spans="1:10" x14ac:dyDescent="0.2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106674.36</v>
      </c>
      <c r="H324" s="12">
        <f>SUM(H325:H326)</f>
        <v>0</v>
      </c>
      <c r="I324" s="12">
        <f t="shared" si="14"/>
        <v>106674.36</v>
      </c>
      <c r="J324" s="11"/>
    </row>
    <row r="325" spans="1:10" x14ac:dyDescent="0.2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100'!FY126</f>
        <v>106674.36</v>
      </c>
      <c r="H325" s="7">
        <f>'CUENTA T VS'!FY75</f>
        <v>0</v>
      </c>
      <c r="I325" s="7">
        <f t="shared" si="14"/>
        <v>106674.36</v>
      </c>
      <c r="J325" s="6">
        <f>I325/$I$25</f>
        <v>8.7623359618460204E-4</v>
      </c>
    </row>
    <row r="326" spans="1:10" x14ac:dyDescent="0.2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100'!FZ126</f>
        <v>0</v>
      </c>
      <c r="H326" s="7">
        <f>'CUENTA T VS'!FZ75</f>
        <v>0</v>
      </c>
      <c r="I326" s="7">
        <f t="shared" si="14"/>
        <v>0</v>
      </c>
      <c r="J326" s="6">
        <f>I326/$I$25</f>
        <v>0</v>
      </c>
    </row>
    <row r="327" spans="1:10" x14ac:dyDescent="0.2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0</v>
      </c>
      <c r="H327" s="12">
        <f>SUM(H328:H329)</f>
        <v>112089.95000000001</v>
      </c>
      <c r="I327" s="12">
        <f t="shared" si="14"/>
        <v>112089.95000000001</v>
      </c>
      <c r="J327" s="11"/>
    </row>
    <row r="328" spans="1:10" x14ac:dyDescent="0.2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100'!GA126</f>
        <v>0</v>
      </c>
      <c r="H328" s="7">
        <f>'CUENTA T VS'!GA75</f>
        <v>112089.95000000001</v>
      </c>
      <c r="I328" s="7">
        <f t="shared" si="14"/>
        <v>112089.95000000001</v>
      </c>
      <c r="J328" s="6">
        <f>I328/$I$25</f>
        <v>9.2071778058619002E-4</v>
      </c>
    </row>
    <row r="329" spans="1:10" x14ac:dyDescent="0.2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100'!GB126</f>
        <v>0</v>
      </c>
      <c r="H329" s="7">
        <f>'CUENTA T VS'!GB75</f>
        <v>0</v>
      </c>
      <c r="I329" s="7">
        <f t="shared" si="14"/>
        <v>0</v>
      </c>
      <c r="J329" s="6">
        <f>I329/$I$25</f>
        <v>0</v>
      </c>
    </row>
    <row r="330" spans="1:10" x14ac:dyDescent="0.2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21600</v>
      </c>
      <c r="I330" s="20">
        <f t="shared" si="14"/>
        <v>21600</v>
      </c>
      <c r="J330" s="19">
        <f>+I330/I25</f>
        <v>1.774245064848517E-4</v>
      </c>
    </row>
    <row r="331" spans="1:10" x14ac:dyDescent="0.2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100'!GC126</f>
        <v>0</v>
      </c>
      <c r="H331" s="7">
        <f>'CUENTA T VS'!GC75</f>
        <v>21600</v>
      </c>
      <c r="I331" s="7">
        <f t="shared" si="14"/>
        <v>21600</v>
      </c>
      <c r="J331" s="6">
        <f t="shared" ref="J331:J336" si="17">I331/$I$25</f>
        <v>1.774245064848517E-4</v>
      </c>
    </row>
    <row r="332" spans="1:10" x14ac:dyDescent="0.2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100'!GD126</f>
        <v>0</v>
      </c>
      <c r="H332" s="7">
        <f>'CUENTA T VS'!GD75</f>
        <v>0</v>
      </c>
      <c r="I332" s="7">
        <f t="shared" si="14"/>
        <v>0</v>
      </c>
      <c r="J332" s="6">
        <f t="shared" si="17"/>
        <v>0</v>
      </c>
    </row>
    <row r="333" spans="1:10" x14ac:dyDescent="0.2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100'!GE126</f>
        <v>0</v>
      </c>
      <c r="H333" s="7">
        <f>'CUENTA T VS'!GE75</f>
        <v>0</v>
      </c>
      <c r="I333" s="7">
        <f t="shared" si="14"/>
        <v>0</v>
      </c>
      <c r="J333" s="6">
        <f t="shared" si="17"/>
        <v>0</v>
      </c>
    </row>
    <row r="334" spans="1:10" x14ac:dyDescent="0.2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100'!GF126</f>
        <v>0</v>
      </c>
      <c r="H334" s="7">
        <f>'CUENTA T VS'!GF75</f>
        <v>0</v>
      </c>
      <c r="I334" s="7">
        <f t="shared" si="14"/>
        <v>0</v>
      </c>
      <c r="J334" s="6">
        <f t="shared" si="17"/>
        <v>0</v>
      </c>
    </row>
    <row r="335" spans="1:10" x14ac:dyDescent="0.2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100'!GG126</f>
        <v>0</v>
      </c>
      <c r="H335" s="7">
        <f>'CUENTA T VS'!GG75</f>
        <v>0</v>
      </c>
      <c r="I335" s="7">
        <f t="shared" si="14"/>
        <v>0</v>
      </c>
      <c r="J335" s="6">
        <f t="shared" si="17"/>
        <v>0</v>
      </c>
    </row>
    <row r="336" spans="1:10" x14ac:dyDescent="0.2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5819603.3499999996</v>
      </c>
      <c r="H336" s="20">
        <f>H337+H348+H357+H366+H383+H400+H405+H424+H446</f>
        <v>2245366.02</v>
      </c>
      <c r="I336" s="20">
        <f t="shared" si="14"/>
        <v>8064969.3699999992</v>
      </c>
      <c r="J336" s="19">
        <f t="shared" si="17"/>
        <v>6.6246444920726621E-2</v>
      </c>
    </row>
    <row r="337" spans="1:10" x14ac:dyDescent="0.2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1146269.97</v>
      </c>
      <c r="H337" s="20">
        <f>+H338+H340+H342+H344+H346</f>
        <v>2245366.02</v>
      </c>
      <c r="I337" s="20">
        <f t="shared" si="14"/>
        <v>3391635.99</v>
      </c>
      <c r="J337" s="19"/>
    </row>
    <row r="338" spans="1:10" x14ac:dyDescent="0.2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566354.13</v>
      </c>
      <c r="H338" s="12">
        <f>SUM(H339)</f>
        <v>162142.87</v>
      </c>
      <c r="I338" s="12">
        <f t="shared" si="14"/>
        <v>728497</v>
      </c>
      <c r="J338" s="11"/>
    </row>
    <row r="339" spans="1:10" x14ac:dyDescent="0.2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100'!GH126</f>
        <v>566354.13</v>
      </c>
      <c r="H339" s="7">
        <f>'CUENTA T VS'!GH75</f>
        <v>162142.87</v>
      </c>
      <c r="I339" s="7">
        <f t="shared" si="14"/>
        <v>728497</v>
      </c>
      <c r="J339" s="6">
        <f>I339/$I$25</f>
        <v>5.9839454028099539E-3</v>
      </c>
    </row>
    <row r="340" spans="1:10" ht="25.5" x14ac:dyDescent="0.2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0</v>
      </c>
      <c r="I340" s="12">
        <f t="shared" si="14"/>
        <v>0</v>
      </c>
      <c r="J340" s="11"/>
    </row>
    <row r="341" spans="1:10" ht="25.5" x14ac:dyDescent="0.2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100'!GI126</f>
        <v>0</v>
      </c>
      <c r="H341" s="7">
        <f>'CUENTA T VS'!GI75</f>
        <v>0</v>
      </c>
      <c r="I341" s="7">
        <f t="shared" si="14"/>
        <v>0</v>
      </c>
      <c r="J341" s="6">
        <f>I341/$I$25</f>
        <v>0</v>
      </c>
    </row>
    <row r="342" spans="1:10" ht="25.5" x14ac:dyDescent="0.2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468405.84</v>
      </c>
      <c r="H342" s="12">
        <f>SUM(H343)</f>
        <v>1819265</v>
      </c>
      <c r="I342" s="12">
        <f t="shared" si="14"/>
        <v>2287670.84</v>
      </c>
      <c r="J342" s="11"/>
    </row>
    <row r="343" spans="1:10" ht="25.5" x14ac:dyDescent="0.2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100'!GJ126</f>
        <v>468405.84</v>
      </c>
      <c r="H343" s="7">
        <f>'CUENTA T VS'!GJ75</f>
        <v>1819265</v>
      </c>
      <c r="I343" s="7">
        <f t="shared" si="14"/>
        <v>2287670.84</v>
      </c>
      <c r="J343" s="6">
        <f>I343/$I$25</f>
        <v>1.8791151379017875E-2</v>
      </c>
    </row>
    <row r="344" spans="1:10" x14ac:dyDescent="0.2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111510</v>
      </c>
      <c r="H344" s="12">
        <f>SUM(H345)</f>
        <v>26658.16</v>
      </c>
      <c r="I344" s="12">
        <f t="shared" si="14"/>
        <v>138168.16</v>
      </c>
      <c r="J344" s="11"/>
    </row>
    <row r="345" spans="1:10" x14ac:dyDescent="0.2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100'!GK126</f>
        <v>111510</v>
      </c>
      <c r="H345" s="7">
        <f>'CUENTA T VS'!GK75</f>
        <v>26658.16</v>
      </c>
      <c r="I345" s="7">
        <f t="shared" ref="I345:I408" si="18">SUM(G345:H345)</f>
        <v>138168.16</v>
      </c>
      <c r="J345" s="6">
        <f>I345/$I$25</f>
        <v>1.1349267407370382E-3</v>
      </c>
    </row>
    <row r="346" spans="1:10" ht="25.5" x14ac:dyDescent="0.2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0</v>
      </c>
      <c r="H346" s="12">
        <f>SUM(H347)</f>
        <v>237299.99</v>
      </c>
      <c r="I346" s="12">
        <f t="shared" si="18"/>
        <v>237299.99</v>
      </c>
      <c r="J346" s="11"/>
    </row>
    <row r="347" spans="1:10" ht="25.5" x14ac:dyDescent="0.2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100'!GL126</f>
        <v>0</v>
      </c>
      <c r="H347" s="7">
        <f>'CUENTA T VS'!GL75</f>
        <v>237299.99</v>
      </c>
      <c r="I347" s="7">
        <f t="shared" si="18"/>
        <v>237299.99</v>
      </c>
      <c r="J347" s="6">
        <f>I347/$I$25</f>
        <v>1.9492052599356592E-3</v>
      </c>
    </row>
    <row r="348" spans="1:10" x14ac:dyDescent="0.2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0</v>
      </c>
      <c r="H348" s="20">
        <f>+H349+H351+H353+H355</f>
        <v>0</v>
      </c>
      <c r="I348" s="20">
        <f t="shared" si="18"/>
        <v>0</v>
      </c>
      <c r="J348" s="19"/>
    </row>
    <row r="349" spans="1:10" x14ac:dyDescent="0.2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0</v>
      </c>
      <c r="H349" s="12">
        <f>SUM(H350)</f>
        <v>0</v>
      </c>
      <c r="I349" s="12">
        <f t="shared" si="18"/>
        <v>0</v>
      </c>
      <c r="J349" s="11"/>
    </row>
    <row r="350" spans="1:10" x14ac:dyDescent="0.2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100'!GM126</f>
        <v>0</v>
      </c>
      <c r="H350" s="7">
        <f>'CUENTA T VS'!GM75</f>
        <v>0</v>
      </c>
      <c r="I350" s="7">
        <f t="shared" si="18"/>
        <v>0</v>
      </c>
      <c r="J350" s="6">
        <f>I350/$I$25</f>
        <v>0</v>
      </c>
    </row>
    <row r="351" spans="1:10" x14ac:dyDescent="0.2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8"/>
        <v>0</v>
      </c>
      <c r="J351" s="11"/>
    </row>
    <row r="352" spans="1:10" x14ac:dyDescent="0.2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100'!GN126</f>
        <v>0</v>
      </c>
      <c r="H352" s="7">
        <f>'CUENTA T VS'!GN75</f>
        <v>0</v>
      </c>
      <c r="I352" s="7">
        <f t="shared" si="18"/>
        <v>0</v>
      </c>
      <c r="J352" s="6">
        <f>I352/$I$25</f>
        <v>0</v>
      </c>
    </row>
    <row r="353" spans="1:10" x14ac:dyDescent="0.2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8"/>
        <v>0</v>
      </c>
      <c r="J353" s="11"/>
    </row>
    <row r="354" spans="1:10" x14ac:dyDescent="0.2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100'!GO126</f>
        <v>0</v>
      </c>
      <c r="H354" s="7">
        <f>'CUENTA T VS'!GO75</f>
        <v>0</v>
      </c>
      <c r="I354" s="7">
        <f t="shared" si="18"/>
        <v>0</v>
      </c>
      <c r="J354" s="6">
        <f>I354/$I$25</f>
        <v>0</v>
      </c>
    </row>
    <row r="355" spans="1:10" x14ac:dyDescent="0.2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0</v>
      </c>
      <c r="H355" s="12">
        <f>SUM(H356)</f>
        <v>0</v>
      </c>
      <c r="I355" s="12">
        <f t="shared" si="18"/>
        <v>0</v>
      </c>
      <c r="J355" s="11"/>
    </row>
    <row r="356" spans="1:10" x14ac:dyDescent="0.2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100'!GP126</f>
        <v>0</v>
      </c>
      <c r="H356" s="7">
        <f>'CUENTA T VS'!GP75</f>
        <v>0</v>
      </c>
      <c r="I356" s="7">
        <f t="shared" si="18"/>
        <v>0</v>
      </c>
      <c r="J356" s="6">
        <f>I356/$I$25</f>
        <v>0</v>
      </c>
    </row>
    <row r="357" spans="1:10" x14ac:dyDescent="0.2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4197628.18</v>
      </c>
      <c r="H357" s="20">
        <f>+H358+H360+H362+H364</f>
        <v>0</v>
      </c>
      <c r="I357" s="20">
        <f t="shared" si="18"/>
        <v>4197628.18</v>
      </c>
      <c r="J357" s="19"/>
    </row>
    <row r="358" spans="1:10" x14ac:dyDescent="0.2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4197628.18</v>
      </c>
      <c r="H358" s="12">
        <f>SUM(H359)</f>
        <v>0</v>
      </c>
      <c r="I358" s="12">
        <f t="shared" si="18"/>
        <v>4197628.18</v>
      </c>
      <c r="J358" s="11"/>
    </row>
    <row r="359" spans="1:10" x14ac:dyDescent="0.2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100'!GQ126</f>
        <v>4197628.18</v>
      </c>
      <c r="H359" s="7">
        <f>'CUENTA T VS'!GQ75</f>
        <v>0</v>
      </c>
      <c r="I359" s="7">
        <f t="shared" si="18"/>
        <v>4197628.18</v>
      </c>
      <c r="J359" s="6">
        <f>I359/$I$25</f>
        <v>3.4479727233491027E-2</v>
      </c>
    </row>
    <row r="360" spans="1:10" x14ac:dyDescent="0.2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0</v>
      </c>
      <c r="H360" s="12">
        <f>SUM(H361)</f>
        <v>0</v>
      </c>
      <c r="I360" s="12">
        <f t="shared" si="18"/>
        <v>0</v>
      </c>
      <c r="J360" s="11"/>
    </row>
    <row r="361" spans="1:10" x14ac:dyDescent="0.2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100'!GR126</f>
        <v>0</v>
      </c>
      <c r="H361" s="7">
        <f>'CUENTA T VS'!GR75</f>
        <v>0</v>
      </c>
      <c r="I361" s="7">
        <f t="shared" si="18"/>
        <v>0</v>
      </c>
      <c r="J361" s="6">
        <f>I361/$I$25</f>
        <v>0</v>
      </c>
    </row>
    <row r="362" spans="1:10" x14ac:dyDescent="0.2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8"/>
        <v>0</v>
      </c>
      <c r="J362" s="11"/>
    </row>
    <row r="363" spans="1:10" x14ac:dyDescent="0.2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100'!GS126</f>
        <v>0</v>
      </c>
      <c r="H363" s="7">
        <f>'CUENTA T VS'!GS75</f>
        <v>0</v>
      </c>
      <c r="I363" s="7">
        <f t="shared" si="18"/>
        <v>0</v>
      </c>
      <c r="J363" s="6">
        <f>I363/$I$25</f>
        <v>0</v>
      </c>
    </row>
    <row r="364" spans="1:10" x14ac:dyDescent="0.2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0</v>
      </c>
      <c r="H364" s="12">
        <f>+H365</f>
        <v>0</v>
      </c>
      <c r="I364" s="12">
        <f t="shared" si="18"/>
        <v>0</v>
      </c>
      <c r="J364" s="11"/>
    </row>
    <row r="365" spans="1:10" x14ac:dyDescent="0.2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100'!GT126</f>
        <v>0</v>
      </c>
      <c r="H365" s="7">
        <f>'CUENTA T VS'!GT75</f>
        <v>0</v>
      </c>
      <c r="I365" s="7">
        <f t="shared" si="18"/>
        <v>0</v>
      </c>
      <c r="J365" s="6">
        <f>I365/$I$25</f>
        <v>0</v>
      </c>
    </row>
    <row r="366" spans="1:10" x14ac:dyDescent="0.2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0</v>
      </c>
      <c r="I366" s="20">
        <f t="shared" si="18"/>
        <v>0</v>
      </c>
      <c r="J366" s="19"/>
    </row>
    <row r="367" spans="1:10" x14ac:dyDescent="0.2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8"/>
        <v>0</v>
      </c>
      <c r="J367" s="11"/>
    </row>
    <row r="368" spans="1:10" x14ac:dyDescent="0.2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100'!GU126</f>
        <v>0</v>
      </c>
      <c r="H368" s="7">
        <f>'CUENTA T VS'!GU75</f>
        <v>0</v>
      </c>
      <c r="I368" s="7">
        <f t="shared" si="18"/>
        <v>0</v>
      </c>
      <c r="J368" s="6">
        <f>I368/$I$25</f>
        <v>0</v>
      </c>
    </row>
    <row r="369" spans="1:10" x14ac:dyDescent="0.2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8"/>
        <v>0</v>
      </c>
      <c r="J369" s="11"/>
    </row>
    <row r="370" spans="1:10" x14ac:dyDescent="0.2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100'!GV126</f>
        <v>0</v>
      </c>
      <c r="H370" s="7">
        <f>'CUENTA T VS'!GV75</f>
        <v>0</v>
      </c>
      <c r="I370" s="7">
        <f t="shared" si="18"/>
        <v>0</v>
      </c>
      <c r="J370" s="6">
        <f>I370/$I$25</f>
        <v>0</v>
      </c>
    </row>
    <row r="371" spans="1:10" x14ac:dyDescent="0.2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8"/>
        <v>0</v>
      </c>
      <c r="J371" s="11"/>
    </row>
    <row r="372" spans="1:10" x14ac:dyDescent="0.2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100'!GW126</f>
        <v>0</v>
      </c>
      <c r="H372" s="7">
        <f>'CUENTA T VS'!GX75</f>
        <v>0</v>
      </c>
      <c r="I372" s="7">
        <f t="shared" si="18"/>
        <v>0</v>
      </c>
      <c r="J372" s="6">
        <f>I372/$I$25</f>
        <v>0</v>
      </c>
    </row>
    <row r="373" spans="1:10" x14ac:dyDescent="0.2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8"/>
        <v>0</v>
      </c>
      <c r="J373" s="11"/>
    </row>
    <row r="374" spans="1:10" x14ac:dyDescent="0.2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100'!GX126</f>
        <v>0</v>
      </c>
      <c r="H374" s="7">
        <f>'CUENTA T VS'!GX75</f>
        <v>0</v>
      </c>
      <c r="I374" s="7">
        <f t="shared" si="18"/>
        <v>0</v>
      </c>
      <c r="J374" s="6">
        <f>I374/$I$25</f>
        <v>0</v>
      </c>
    </row>
    <row r="375" spans="1:10" x14ac:dyDescent="0.2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8"/>
        <v>0</v>
      </c>
      <c r="J375" s="11"/>
    </row>
    <row r="376" spans="1:10" x14ac:dyDescent="0.2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100'!GY126</f>
        <v>0</v>
      </c>
      <c r="H376" s="7">
        <f>'CUENTA T VS'!GY75</f>
        <v>0</v>
      </c>
      <c r="I376" s="7">
        <f t="shared" si="18"/>
        <v>0</v>
      </c>
      <c r="J376" s="6">
        <f>I376/$I$25</f>
        <v>0</v>
      </c>
    </row>
    <row r="377" spans="1:10" x14ac:dyDescent="0.2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0</v>
      </c>
      <c r="I377" s="12">
        <f t="shared" si="18"/>
        <v>0</v>
      </c>
      <c r="J377" s="11"/>
    </row>
    <row r="378" spans="1:10" x14ac:dyDescent="0.2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100'!GZ126</f>
        <v>0</v>
      </c>
      <c r="H378" s="7">
        <f>'CUENTA T VS'!GZ75</f>
        <v>0</v>
      </c>
      <c r="I378" s="7">
        <f t="shared" si="18"/>
        <v>0</v>
      </c>
      <c r="J378" s="6">
        <f>I378/$I$25</f>
        <v>0</v>
      </c>
    </row>
    <row r="379" spans="1:10" x14ac:dyDescent="0.2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8"/>
        <v>0</v>
      </c>
      <c r="J379" s="11"/>
    </row>
    <row r="380" spans="1:10" x14ac:dyDescent="0.2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100'!HA126</f>
        <v>0</v>
      </c>
      <c r="H380" s="7">
        <f>'CUENTA T VS'!HA75</f>
        <v>0</v>
      </c>
      <c r="I380" s="7">
        <f t="shared" si="18"/>
        <v>0</v>
      </c>
      <c r="J380" s="6">
        <f>I380/$I$25</f>
        <v>0</v>
      </c>
    </row>
    <row r="381" spans="1:10" x14ac:dyDescent="0.2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8"/>
        <v>0</v>
      </c>
      <c r="J381" s="11"/>
    </row>
    <row r="382" spans="1:10" x14ac:dyDescent="0.2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100'!HB126</f>
        <v>0</v>
      </c>
      <c r="H382" s="7">
        <f>'CUENTA T VS'!HB75</f>
        <v>0</v>
      </c>
      <c r="I382" s="7">
        <f t="shared" si="18"/>
        <v>0</v>
      </c>
      <c r="J382" s="6">
        <f>I382/$I$25</f>
        <v>0</v>
      </c>
    </row>
    <row r="383" spans="1:10" x14ac:dyDescent="0.2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409625.2</v>
      </c>
      <c r="H383" s="20">
        <f>+H384+H386+H388+H390+H392+H394+H396+H398</f>
        <v>0</v>
      </c>
      <c r="I383" s="20">
        <f t="shared" si="18"/>
        <v>409625.2</v>
      </c>
      <c r="J383" s="19"/>
    </row>
    <row r="384" spans="1:10" x14ac:dyDescent="0.2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8"/>
        <v>0</v>
      </c>
      <c r="J384" s="11"/>
    </row>
    <row r="385" spans="1:10" x14ac:dyDescent="0.2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100'!HC126</f>
        <v>0</v>
      </c>
      <c r="H385" s="7">
        <f>'CUENTA T VS'!HC75</f>
        <v>0</v>
      </c>
      <c r="I385" s="7">
        <f t="shared" si="18"/>
        <v>0</v>
      </c>
      <c r="J385" s="6">
        <f>I385/$I$25</f>
        <v>0</v>
      </c>
    </row>
    <row r="386" spans="1:10" x14ac:dyDescent="0.2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0</v>
      </c>
      <c r="H386" s="12">
        <f>SUM(H387)</f>
        <v>0</v>
      </c>
      <c r="I386" s="12">
        <f t="shared" si="18"/>
        <v>0</v>
      </c>
      <c r="J386" s="11"/>
    </row>
    <row r="387" spans="1:10" x14ac:dyDescent="0.2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100'!HD126</f>
        <v>0</v>
      </c>
      <c r="H387" s="7">
        <f>'CUENTA T VS'!HD75</f>
        <v>0</v>
      </c>
      <c r="I387" s="7">
        <f t="shared" si="18"/>
        <v>0</v>
      </c>
      <c r="J387" s="6">
        <f>I387/$I$25</f>
        <v>0</v>
      </c>
    </row>
    <row r="388" spans="1:10" x14ac:dyDescent="0.2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8"/>
        <v>0</v>
      </c>
      <c r="J388" s="11"/>
    </row>
    <row r="389" spans="1:10" x14ac:dyDescent="0.2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100'!HE126</f>
        <v>0</v>
      </c>
      <c r="H389" s="7">
        <f>'CUENTA T VS'!HE75</f>
        <v>0</v>
      </c>
      <c r="I389" s="7">
        <f t="shared" si="18"/>
        <v>0</v>
      </c>
      <c r="J389" s="6">
        <f>I389/$I$25</f>
        <v>0</v>
      </c>
    </row>
    <row r="390" spans="1:10" x14ac:dyDescent="0.2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0</v>
      </c>
      <c r="H390" s="12">
        <f>SUM(H391)</f>
        <v>0</v>
      </c>
      <c r="I390" s="12">
        <f t="shared" si="18"/>
        <v>0</v>
      </c>
      <c r="J390" s="11"/>
    </row>
    <row r="391" spans="1:10" x14ac:dyDescent="0.2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100'!HF126</f>
        <v>0</v>
      </c>
      <c r="H391" s="7">
        <f>'CUENTA T VS'!HF75</f>
        <v>0</v>
      </c>
      <c r="I391" s="7">
        <f t="shared" si="18"/>
        <v>0</v>
      </c>
      <c r="J391" s="6">
        <f>I391/$I$25</f>
        <v>0</v>
      </c>
    </row>
    <row r="392" spans="1:10" ht="25.5" x14ac:dyDescent="0.2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8"/>
        <v>0</v>
      </c>
      <c r="J392" s="11"/>
    </row>
    <row r="393" spans="1:10" ht="25.5" x14ac:dyDescent="0.2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100'!HG126</f>
        <v>0</v>
      </c>
      <c r="H393" s="7">
        <f>'CUENTA T VS'!HG75</f>
        <v>0</v>
      </c>
      <c r="I393" s="7">
        <f t="shared" si="18"/>
        <v>0</v>
      </c>
      <c r="J393" s="6">
        <f>I393/$I$25</f>
        <v>0</v>
      </c>
    </row>
    <row r="394" spans="1:10" x14ac:dyDescent="0.2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277701.2</v>
      </c>
      <c r="H394" s="12">
        <f>SUM(H395)</f>
        <v>0</v>
      </c>
      <c r="I394" s="12">
        <f t="shared" si="18"/>
        <v>277701.2</v>
      </c>
      <c r="J394" s="11"/>
    </row>
    <row r="395" spans="1:10" x14ac:dyDescent="0.2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100'!HH126</f>
        <v>277701.2</v>
      </c>
      <c r="H395" s="7">
        <f>'CUENTA T VS'!HH75</f>
        <v>0</v>
      </c>
      <c r="I395" s="7">
        <f t="shared" si="18"/>
        <v>277701.2</v>
      </c>
      <c r="J395" s="6">
        <f>I395/$I$25</f>
        <v>2.2810647389005139E-3</v>
      </c>
    </row>
    <row r="396" spans="1:10" x14ac:dyDescent="0.2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0</v>
      </c>
      <c r="H396" s="12">
        <f>SUM(H397)</f>
        <v>0</v>
      </c>
      <c r="I396" s="12">
        <f t="shared" si="18"/>
        <v>0</v>
      </c>
      <c r="J396" s="11"/>
    </row>
    <row r="397" spans="1:10" x14ac:dyDescent="0.2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100'!HI126</f>
        <v>0</v>
      </c>
      <c r="H397" s="7">
        <f>'CUENTA T VS'!HI75</f>
        <v>0</v>
      </c>
      <c r="I397" s="7">
        <f t="shared" si="18"/>
        <v>0</v>
      </c>
      <c r="J397" s="6">
        <f>I397/$I$25</f>
        <v>0</v>
      </c>
    </row>
    <row r="398" spans="1:10" x14ac:dyDescent="0.2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131924</v>
      </c>
      <c r="H398" s="12">
        <f>SUM(H399)</f>
        <v>0</v>
      </c>
      <c r="I398" s="12">
        <f t="shared" si="18"/>
        <v>131924</v>
      </c>
      <c r="J398" s="11"/>
    </row>
    <row r="399" spans="1:10" x14ac:dyDescent="0.2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100'!HJ126</f>
        <v>131924</v>
      </c>
      <c r="H399" s="7">
        <f>'CUENTA T VS'!HJ75</f>
        <v>0</v>
      </c>
      <c r="I399" s="7">
        <f t="shared" si="18"/>
        <v>131924</v>
      </c>
      <c r="J399" s="6">
        <f>I399/$I$25</f>
        <v>1.0836366015512767E-3</v>
      </c>
    </row>
    <row r="400" spans="1:10" x14ac:dyDescent="0.2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66080</v>
      </c>
      <c r="H400" s="20">
        <f>+H401+H403</f>
        <v>0</v>
      </c>
      <c r="I400" s="20">
        <f t="shared" si="18"/>
        <v>66080</v>
      </c>
      <c r="J400" s="19">
        <f>I400/$I$25</f>
        <v>5.4278756428328707E-4</v>
      </c>
    </row>
    <row r="401" spans="1:10" x14ac:dyDescent="0.2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8"/>
        <v>0</v>
      </c>
      <c r="J401" s="11"/>
    </row>
    <row r="402" spans="1:10" x14ac:dyDescent="0.2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100'!HK126</f>
        <v>0</v>
      </c>
      <c r="H402" s="7">
        <f>'CUENTA T VS'!HK75</f>
        <v>0</v>
      </c>
      <c r="I402" s="7">
        <f t="shared" si="18"/>
        <v>0</v>
      </c>
      <c r="J402" s="6">
        <f>I402/$I$25</f>
        <v>0</v>
      </c>
    </row>
    <row r="403" spans="1:10" x14ac:dyDescent="0.2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66080</v>
      </c>
      <c r="H403" s="12">
        <f>+H404</f>
        <v>0</v>
      </c>
      <c r="I403" s="12">
        <f t="shared" si="18"/>
        <v>66080</v>
      </c>
      <c r="J403" s="11"/>
    </row>
    <row r="404" spans="1:10" x14ac:dyDescent="0.2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100'!HL126</f>
        <v>66080</v>
      </c>
      <c r="H404" s="7">
        <f>'CUENTA T VS'!HL75</f>
        <v>0</v>
      </c>
      <c r="I404" s="7">
        <f t="shared" si="18"/>
        <v>66080</v>
      </c>
      <c r="J404" s="6">
        <f>I404/$I$25</f>
        <v>5.4278756428328707E-4</v>
      </c>
    </row>
    <row r="405" spans="1:10" x14ac:dyDescent="0.2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8"/>
        <v>0</v>
      </c>
      <c r="J405" s="19"/>
    </row>
    <row r="406" spans="1:10" x14ac:dyDescent="0.2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8"/>
        <v>0</v>
      </c>
      <c r="J406" s="11"/>
    </row>
    <row r="407" spans="1:10" x14ac:dyDescent="0.2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100'!HM126</f>
        <v>0</v>
      </c>
      <c r="H407" s="7">
        <f>'CUENTA T VS'!HM75</f>
        <v>0</v>
      </c>
      <c r="I407" s="7">
        <f t="shared" si="18"/>
        <v>0</v>
      </c>
      <c r="J407" s="6">
        <f>I407/$I$25</f>
        <v>0</v>
      </c>
    </row>
    <row r="408" spans="1:10" x14ac:dyDescent="0.2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8"/>
        <v>0</v>
      </c>
      <c r="J408" s="11"/>
    </row>
    <row r="409" spans="1:10" x14ac:dyDescent="0.2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100'!HN126</f>
        <v>0</v>
      </c>
      <c r="H409" s="7">
        <f>'CUENTA T VS'!HN75</f>
        <v>0</v>
      </c>
      <c r="I409" s="7">
        <f t="shared" ref="I409:I472" si="19">SUM(G409:H409)</f>
        <v>0</v>
      </c>
      <c r="J409" s="6">
        <f>I409/$I$25</f>
        <v>0</v>
      </c>
    </row>
    <row r="410" spans="1:10" x14ac:dyDescent="0.2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9"/>
        <v>0</v>
      </c>
      <c r="J410" s="11"/>
    </row>
    <row r="411" spans="1:10" x14ac:dyDescent="0.2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100'!HO126</f>
        <v>0</v>
      </c>
      <c r="H411" s="7">
        <f>'CUENTA T VS'!HO75</f>
        <v>0</v>
      </c>
      <c r="I411" s="7">
        <f t="shared" si="19"/>
        <v>0</v>
      </c>
      <c r="J411" s="6">
        <f>I411/$I$25</f>
        <v>0</v>
      </c>
    </row>
    <row r="412" spans="1:10" x14ac:dyDescent="0.2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9"/>
        <v>0</v>
      </c>
      <c r="J412" s="11"/>
    </row>
    <row r="413" spans="1:10" x14ac:dyDescent="0.2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100'!HP126</f>
        <v>0</v>
      </c>
      <c r="H413" s="7">
        <f>'CUENTA T VS'!HP75</f>
        <v>0</v>
      </c>
      <c r="I413" s="7">
        <f t="shared" si="19"/>
        <v>0</v>
      </c>
      <c r="J413" s="6">
        <f>I413/$I$25</f>
        <v>0</v>
      </c>
    </row>
    <row r="414" spans="1:10" x14ac:dyDescent="0.2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9"/>
        <v>0</v>
      </c>
      <c r="J414" s="11"/>
    </row>
    <row r="415" spans="1:10" x14ac:dyDescent="0.2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100'!HQ126</f>
        <v>0</v>
      </c>
      <c r="H415" s="7">
        <f>'CUENTA T VS'!HQ75</f>
        <v>0</v>
      </c>
      <c r="I415" s="7">
        <f t="shared" si="19"/>
        <v>0</v>
      </c>
      <c r="J415" s="6">
        <f>I415/$I$25</f>
        <v>0</v>
      </c>
    </row>
    <row r="416" spans="1:10" x14ac:dyDescent="0.2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9"/>
        <v>0</v>
      </c>
      <c r="J416" s="11"/>
    </row>
    <row r="417" spans="1:10" x14ac:dyDescent="0.2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100'!HR126</f>
        <v>0</v>
      </c>
      <c r="H417" s="7">
        <f>'CUENTA T VS'!HR75</f>
        <v>0</v>
      </c>
      <c r="I417" s="7">
        <f t="shared" si="19"/>
        <v>0</v>
      </c>
      <c r="J417" s="6">
        <f>I417/$I$25</f>
        <v>0</v>
      </c>
    </row>
    <row r="418" spans="1:10" x14ac:dyDescent="0.2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9"/>
        <v>0</v>
      </c>
      <c r="J418" s="11"/>
    </row>
    <row r="419" spans="1:10" x14ac:dyDescent="0.2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100'!HS126</f>
        <v>0</v>
      </c>
      <c r="H419" s="7">
        <f>'CUENTA T VS'!HS75</f>
        <v>0</v>
      </c>
      <c r="I419" s="7">
        <f t="shared" si="19"/>
        <v>0</v>
      </c>
      <c r="J419" s="6">
        <f>I419/$I$25</f>
        <v>0</v>
      </c>
    </row>
    <row r="420" spans="1:10" x14ac:dyDescent="0.2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9"/>
        <v>0</v>
      </c>
      <c r="J420" s="11"/>
    </row>
    <row r="421" spans="1:10" x14ac:dyDescent="0.2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100'!HT126</f>
        <v>0</v>
      </c>
      <c r="H421" s="7">
        <f>'CUENTA T VS'!HT75</f>
        <v>0</v>
      </c>
      <c r="I421" s="7">
        <f t="shared" si="19"/>
        <v>0</v>
      </c>
      <c r="J421" s="6">
        <f>I421/$I$25</f>
        <v>0</v>
      </c>
    </row>
    <row r="422" spans="1:10" ht="25.5" x14ac:dyDescent="0.2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9"/>
        <v>0</v>
      </c>
      <c r="J422" s="11"/>
    </row>
    <row r="423" spans="1:10" ht="25.5" x14ac:dyDescent="0.2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100'!HU126</f>
        <v>0</v>
      </c>
      <c r="H423" s="7">
        <f>'CUENTA T VS'!HU75</f>
        <v>0</v>
      </c>
      <c r="I423" s="7">
        <f t="shared" si="19"/>
        <v>0</v>
      </c>
      <c r="J423" s="6">
        <f>I423/$I$25</f>
        <v>0</v>
      </c>
    </row>
    <row r="424" spans="1:10" x14ac:dyDescent="0.2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9"/>
        <v>0</v>
      </c>
      <c r="J424" s="19"/>
    </row>
    <row r="425" spans="1:10" x14ac:dyDescent="0.2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9"/>
        <v>0</v>
      </c>
      <c r="J425" s="11"/>
    </row>
    <row r="426" spans="1:10" x14ac:dyDescent="0.2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100'!HV126</f>
        <v>0</v>
      </c>
      <c r="H426" s="7">
        <f>'CUENTA T VS'!HV75</f>
        <v>0</v>
      </c>
      <c r="I426" s="7">
        <f t="shared" si="19"/>
        <v>0</v>
      </c>
      <c r="J426" s="6">
        <f>I426/$I$25</f>
        <v>0</v>
      </c>
    </row>
    <row r="427" spans="1:10" x14ac:dyDescent="0.2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9"/>
        <v>0</v>
      </c>
      <c r="J427" s="11"/>
    </row>
    <row r="428" spans="1:10" x14ac:dyDescent="0.2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100'!HW126</f>
        <v>0</v>
      </c>
      <c r="H428" s="7">
        <f>'CUENTA T VS'!HW75</f>
        <v>0</v>
      </c>
      <c r="I428" s="7">
        <f t="shared" si="19"/>
        <v>0</v>
      </c>
      <c r="J428" s="6">
        <f>I428/$I$25</f>
        <v>0</v>
      </c>
    </row>
    <row r="429" spans="1:10" x14ac:dyDescent="0.2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9"/>
        <v>0</v>
      </c>
      <c r="J429" s="11"/>
    </row>
    <row r="430" spans="1:10" x14ac:dyDescent="0.2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100'!HX126</f>
        <v>0</v>
      </c>
      <c r="H430" s="7">
        <f>'CUENTA T VS'!HX75</f>
        <v>0</v>
      </c>
      <c r="I430" s="7">
        <f t="shared" si="19"/>
        <v>0</v>
      </c>
      <c r="J430" s="6">
        <f>I430/$I$25</f>
        <v>0</v>
      </c>
    </row>
    <row r="431" spans="1:10" x14ac:dyDescent="0.2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100'!HY126</f>
        <v>0</v>
      </c>
      <c r="H431" s="7">
        <f>'CUENTA T VS'!HY75</f>
        <v>0</v>
      </c>
      <c r="I431" s="7">
        <f t="shared" si="19"/>
        <v>0</v>
      </c>
      <c r="J431" s="6">
        <f>I431/$I$25</f>
        <v>0</v>
      </c>
    </row>
    <row r="432" spans="1:10" x14ac:dyDescent="0.2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9"/>
        <v>0</v>
      </c>
      <c r="J432" s="11"/>
    </row>
    <row r="433" spans="1:10" x14ac:dyDescent="0.2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100'!HZ126</f>
        <v>0</v>
      </c>
      <c r="H433" s="7">
        <f>'CUENTA T VS'!HZ75</f>
        <v>0</v>
      </c>
      <c r="I433" s="7">
        <f t="shared" si="19"/>
        <v>0</v>
      </c>
      <c r="J433" s="6">
        <f>I433/$I$25</f>
        <v>0</v>
      </c>
    </row>
    <row r="434" spans="1:10" x14ac:dyDescent="0.2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9"/>
        <v>0</v>
      </c>
      <c r="J434" s="11"/>
    </row>
    <row r="435" spans="1:10" x14ac:dyDescent="0.2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100'!IA126</f>
        <v>0</v>
      </c>
      <c r="H435" s="7">
        <f>'CUENTA T VS'!IA75</f>
        <v>0</v>
      </c>
      <c r="I435" s="7">
        <f t="shared" si="19"/>
        <v>0</v>
      </c>
      <c r="J435" s="6">
        <f>I435/$I$25</f>
        <v>0</v>
      </c>
    </row>
    <row r="436" spans="1:10" x14ac:dyDescent="0.2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9"/>
        <v>0</v>
      </c>
      <c r="J436" s="11"/>
    </row>
    <row r="437" spans="1:10" x14ac:dyDescent="0.2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100'!IB126</f>
        <v>0</v>
      </c>
      <c r="H437" s="7">
        <f>'CUENTA T VS'!IB75</f>
        <v>0</v>
      </c>
      <c r="I437" s="7">
        <f t="shared" si="19"/>
        <v>0</v>
      </c>
      <c r="J437" s="6">
        <f>I437/$I$25</f>
        <v>0</v>
      </c>
    </row>
    <row r="438" spans="1:10" x14ac:dyDescent="0.2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9"/>
        <v>0</v>
      </c>
      <c r="J438" s="11"/>
    </row>
    <row r="439" spans="1:10" x14ac:dyDescent="0.2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100'!IC126</f>
        <v>0</v>
      </c>
      <c r="H439" s="7">
        <f>'CUENTA T VS'!IC75</f>
        <v>0</v>
      </c>
      <c r="I439" s="7">
        <f t="shared" si="19"/>
        <v>0</v>
      </c>
      <c r="J439" s="6">
        <f>I439/$I$25</f>
        <v>0</v>
      </c>
    </row>
    <row r="440" spans="1:10" x14ac:dyDescent="0.2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9"/>
        <v>0</v>
      </c>
      <c r="J440" s="11"/>
    </row>
    <row r="441" spans="1:10" x14ac:dyDescent="0.2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100'!ID126</f>
        <v>0</v>
      </c>
      <c r="H441" s="7">
        <f>'CUENTA T VS'!ID75</f>
        <v>0</v>
      </c>
      <c r="I441" s="7">
        <f t="shared" si="19"/>
        <v>0</v>
      </c>
      <c r="J441" s="6">
        <f>I441/$I$25</f>
        <v>0</v>
      </c>
    </row>
    <row r="442" spans="1:10" x14ac:dyDescent="0.2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100'!IE126</f>
        <v>0</v>
      </c>
      <c r="H442" s="7">
        <f>'CUENTA T VS'!IE75</f>
        <v>0</v>
      </c>
      <c r="I442" s="7">
        <f t="shared" si="19"/>
        <v>0</v>
      </c>
      <c r="J442" s="6">
        <f>I442/$I$25</f>
        <v>0</v>
      </c>
    </row>
    <row r="443" spans="1:10" x14ac:dyDescent="0.2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100'!IF126</f>
        <v>0</v>
      </c>
      <c r="H443" s="7">
        <f>'CUENTA T VS'!IF75</f>
        <v>0</v>
      </c>
      <c r="I443" s="7">
        <f t="shared" si="19"/>
        <v>0</v>
      </c>
      <c r="J443" s="6">
        <f>I443/$I$25</f>
        <v>0</v>
      </c>
    </row>
    <row r="444" spans="1:10" x14ac:dyDescent="0.2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9"/>
        <v>0</v>
      </c>
      <c r="J444" s="11"/>
    </row>
    <row r="445" spans="1:10" x14ac:dyDescent="0.2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100'!IG126</f>
        <v>0</v>
      </c>
      <c r="H445" s="7">
        <f>'CUENTA T VS'!IG75</f>
        <v>0</v>
      </c>
      <c r="I445" s="7">
        <f t="shared" si="19"/>
        <v>0</v>
      </c>
      <c r="J445" s="6">
        <f>I445/$I$25</f>
        <v>0</v>
      </c>
    </row>
    <row r="446" spans="1:10" x14ac:dyDescent="0.2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0</v>
      </c>
      <c r="H446" s="20">
        <f>+H447+H450+H453+H455+H457+H461</f>
        <v>0</v>
      </c>
      <c r="I446" s="20">
        <f t="shared" si="19"/>
        <v>0</v>
      </c>
      <c r="J446" s="19"/>
    </row>
    <row r="447" spans="1:10" x14ac:dyDescent="0.2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 t="shared" ref="H447" si="20">+H448+H449</f>
        <v>0</v>
      </c>
      <c r="I447" s="12">
        <f t="shared" si="19"/>
        <v>0</v>
      </c>
      <c r="J447" s="12"/>
    </row>
    <row r="448" spans="1:10" x14ac:dyDescent="0.2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100'!IH126</f>
        <v>0</v>
      </c>
      <c r="H448" s="25">
        <f>'CUENTA T VS'!IH75</f>
        <v>0</v>
      </c>
      <c r="I448" s="25">
        <f t="shared" si="19"/>
        <v>0</v>
      </c>
      <c r="J448" s="6">
        <f>I448/$I$25</f>
        <v>0</v>
      </c>
    </row>
    <row r="449" spans="1:10" x14ac:dyDescent="0.2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100'!II126</f>
        <v>0</v>
      </c>
      <c r="H449" s="25">
        <f>'CUENTA T VS'!II75</f>
        <v>0</v>
      </c>
      <c r="I449" s="25">
        <f t="shared" si="19"/>
        <v>0</v>
      </c>
      <c r="J449" s="6">
        <f>I449/$I$25</f>
        <v>0</v>
      </c>
    </row>
    <row r="450" spans="1:10" x14ac:dyDescent="0.2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 t="shared" ref="H450" si="21">SUM(H451:H452)</f>
        <v>0</v>
      </c>
      <c r="I450" s="12">
        <f t="shared" si="19"/>
        <v>0</v>
      </c>
      <c r="J450" s="11"/>
    </row>
    <row r="451" spans="1:10" x14ac:dyDescent="0.2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100'!IJ126</f>
        <v>0</v>
      </c>
      <c r="H451" s="7">
        <f>'CUENTA T VS'!IJ75</f>
        <v>0</v>
      </c>
      <c r="I451" s="7">
        <f t="shared" si="19"/>
        <v>0</v>
      </c>
      <c r="J451" s="6">
        <f>I451/$I$25</f>
        <v>0</v>
      </c>
    </row>
    <row r="452" spans="1:10" x14ac:dyDescent="0.2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100'!IK126</f>
        <v>0</v>
      </c>
      <c r="H452" s="7">
        <f>'CUENTA T VS'!IK75</f>
        <v>0</v>
      </c>
      <c r="I452" s="7">
        <f t="shared" si="19"/>
        <v>0</v>
      </c>
      <c r="J452" s="6">
        <f>I452/$I$25</f>
        <v>0</v>
      </c>
    </row>
    <row r="453" spans="1:10" x14ac:dyDescent="0.2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9"/>
        <v>0</v>
      </c>
      <c r="J453" s="12"/>
    </row>
    <row r="454" spans="1:10" x14ac:dyDescent="0.2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100'!IL126</f>
        <v>0</v>
      </c>
      <c r="H454" s="7">
        <f>'CUENTA T VS'!IL75</f>
        <v>0</v>
      </c>
      <c r="I454" s="7">
        <f t="shared" si="19"/>
        <v>0</v>
      </c>
      <c r="J454" s="6">
        <f>I454/$I$25</f>
        <v>0</v>
      </c>
    </row>
    <row r="455" spans="1:10" x14ac:dyDescent="0.2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9"/>
        <v>0</v>
      </c>
      <c r="J455" s="11"/>
    </row>
    <row r="456" spans="1:10" x14ac:dyDescent="0.2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100'!IM126</f>
        <v>0</v>
      </c>
      <c r="H456" s="7">
        <f>'CUENTA T VS'!IM75</f>
        <v>0</v>
      </c>
      <c r="I456" s="7">
        <f t="shared" si="19"/>
        <v>0</v>
      </c>
      <c r="J456" s="6">
        <f>I456/$I$25</f>
        <v>0</v>
      </c>
    </row>
    <row r="457" spans="1:10" x14ac:dyDescent="0.2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0</v>
      </c>
      <c r="H457" s="12">
        <f>SUM(H458:H460)</f>
        <v>0</v>
      </c>
      <c r="I457" s="12">
        <f t="shared" si="19"/>
        <v>0</v>
      </c>
      <c r="J457" s="11"/>
    </row>
    <row r="458" spans="1:10" x14ac:dyDescent="0.2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100'!IN126</f>
        <v>0</v>
      </c>
      <c r="H458" s="7">
        <f>'CUENTA T VS'!IN75</f>
        <v>0</v>
      </c>
      <c r="I458" s="7">
        <f t="shared" si="19"/>
        <v>0</v>
      </c>
      <c r="J458" s="6">
        <f>I458/$I$25</f>
        <v>0</v>
      </c>
    </row>
    <row r="459" spans="1:10" x14ac:dyDescent="0.2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100'!IO126</f>
        <v>0</v>
      </c>
      <c r="H459" s="7">
        <f>'CUENTA T VS'!IO75</f>
        <v>0</v>
      </c>
      <c r="I459" s="7">
        <f t="shared" si="19"/>
        <v>0</v>
      </c>
      <c r="J459" s="6">
        <f>I459/$I$25</f>
        <v>0</v>
      </c>
    </row>
    <row r="460" spans="1:10" x14ac:dyDescent="0.2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100'!IP126</f>
        <v>0</v>
      </c>
      <c r="H460" s="7">
        <f>'CUENTA T VS'!IP75</f>
        <v>0</v>
      </c>
      <c r="I460" s="7">
        <f t="shared" si="19"/>
        <v>0</v>
      </c>
      <c r="J460" s="6">
        <f>I460/$I$25</f>
        <v>0</v>
      </c>
    </row>
    <row r="461" spans="1:10" x14ac:dyDescent="0.2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9"/>
        <v>0</v>
      </c>
      <c r="J461" s="11"/>
    </row>
    <row r="462" spans="1:10" x14ac:dyDescent="0.2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100'!IQ126</f>
        <v>0</v>
      </c>
      <c r="H462" s="7">
        <f>'CUENTA T VS'!IQ75</f>
        <v>0</v>
      </c>
      <c r="I462" s="7">
        <f t="shared" si="19"/>
        <v>0</v>
      </c>
      <c r="J462" s="6">
        <f>I462/$I$25</f>
        <v>0</v>
      </c>
    </row>
    <row r="463" spans="1:10" x14ac:dyDescent="0.2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9"/>
        <v>0</v>
      </c>
      <c r="J463" s="19">
        <f>I463/$I$25</f>
        <v>0</v>
      </c>
    </row>
    <row r="464" spans="1:10" x14ac:dyDescent="0.2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9"/>
        <v>0</v>
      </c>
      <c r="J464" s="19"/>
    </row>
    <row r="465" spans="1:10" x14ac:dyDescent="0.2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9"/>
        <v>0</v>
      </c>
      <c r="J465" s="11"/>
    </row>
    <row r="466" spans="1:10" x14ac:dyDescent="0.2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100'!IR126</f>
        <v>0</v>
      </c>
      <c r="H466" s="7">
        <f>'CUENTA T VS'!IR75</f>
        <v>0</v>
      </c>
      <c r="I466" s="7">
        <f t="shared" si="19"/>
        <v>0</v>
      </c>
      <c r="J466" s="6">
        <f>I466/$I$25</f>
        <v>0</v>
      </c>
    </row>
    <row r="467" spans="1:10" x14ac:dyDescent="0.2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9"/>
        <v>0</v>
      </c>
      <c r="J467" s="11"/>
    </row>
    <row r="468" spans="1:10" x14ac:dyDescent="0.2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100'!IS126</f>
        <v>0</v>
      </c>
      <c r="H468" s="7">
        <f>'CUENTA T VS'!IS75</f>
        <v>0</v>
      </c>
      <c r="I468" s="7">
        <f t="shared" si="19"/>
        <v>0</v>
      </c>
      <c r="J468" s="6">
        <f>I468/$I$25</f>
        <v>0</v>
      </c>
    </row>
    <row r="469" spans="1:10" x14ac:dyDescent="0.2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9"/>
        <v>0</v>
      </c>
      <c r="J469" s="11"/>
    </row>
    <row r="470" spans="1:10" x14ac:dyDescent="0.2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100'!IT126</f>
        <v>0</v>
      </c>
      <c r="H470" s="7">
        <f>'CUENTA T VS'!IT75</f>
        <v>0</v>
      </c>
      <c r="I470" s="7">
        <f t="shared" si="19"/>
        <v>0</v>
      </c>
      <c r="J470" s="6">
        <f>I470/$I$25</f>
        <v>0</v>
      </c>
    </row>
    <row r="471" spans="1:10" x14ac:dyDescent="0.2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9"/>
        <v>0</v>
      </c>
      <c r="J471" s="11"/>
    </row>
    <row r="472" spans="1:10" x14ac:dyDescent="0.2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100'!IU126</f>
        <v>0</v>
      </c>
      <c r="H472" s="7">
        <f>'CUENTA T VS'!IU75</f>
        <v>0</v>
      </c>
      <c r="I472" s="7">
        <f t="shared" si="19"/>
        <v>0</v>
      </c>
      <c r="J472" s="6">
        <f>I472/$I$25</f>
        <v>0</v>
      </c>
    </row>
    <row r="473" spans="1:10" x14ac:dyDescent="0.2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22">SUM(G473:H473)</f>
        <v>0</v>
      </c>
      <c r="J473" s="19"/>
    </row>
    <row r="474" spans="1:10" x14ac:dyDescent="0.2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22"/>
        <v>0</v>
      </c>
      <c r="J474" s="11"/>
    </row>
    <row r="475" spans="1:10" x14ac:dyDescent="0.2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100'!IV126</f>
        <v>0</v>
      </c>
      <c r="H475" s="7">
        <f>'CUENTA T VS'!IV75</f>
        <v>0</v>
      </c>
      <c r="I475" s="7">
        <f t="shared" si="22"/>
        <v>0</v>
      </c>
      <c r="J475" s="6">
        <f>I475/$I$25</f>
        <v>0</v>
      </c>
    </row>
    <row r="476" spans="1:10" x14ac:dyDescent="0.2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22"/>
        <v>0</v>
      </c>
      <c r="J476" s="11"/>
    </row>
    <row r="477" spans="1:10" x14ac:dyDescent="0.2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100'!IW126</f>
        <v>0</v>
      </c>
      <c r="H477" s="7">
        <f>'CUENTA T VS'!IW75</f>
        <v>0</v>
      </c>
      <c r="I477" s="7">
        <f t="shared" si="22"/>
        <v>0</v>
      </c>
      <c r="J477" s="6">
        <f>I477/$I$25</f>
        <v>0</v>
      </c>
    </row>
    <row r="478" spans="1:10" x14ac:dyDescent="0.2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22"/>
        <v>0</v>
      </c>
      <c r="J478" s="11"/>
    </row>
    <row r="479" spans="1:10" x14ac:dyDescent="0.2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100'!IX126</f>
        <v>0</v>
      </c>
      <c r="H479" s="7">
        <f>'CUENTA T VS'!IX75</f>
        <v>0</v>
      </c>
      <c r="I479" s="7">
        <f t="shared" si="22"/>
        <v>0</v>
      </c>
      <c r="J479" s="6">
        <f>I479/$I$25</f>
        <v>0</v>
      </c>
    </row>
    <row r="480" spans="1:10" x14ac:dyDescent="0.2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22"/>
        <v>0</v>
      </c>
      <c r="J480" s="11"/>
    </row>
    <row r="481" spans="1:10" x14ac:dyDescent="0.2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100'!IY126</f>
        <v>0</v>
      </c>
      <c r="H481" s="7">
        <f>'CUENTA T VS'!IY75</f>
        <v>0</v>
      </c>
      <c r="I481" s="7">
        <f t="shared" si="22"/>
        <v>0</v>
      </c>
      <c r="J481" s="6">
        <f>I481/$I$25</f>
        <v>0</v>
      </c>
    </row>
    <row r="482" spans="1:10" x14ac:dyDescent="0.2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22"/>
        <v>0</v>
      </c>
      <c r="J482" s="11"/>
    </row>
    <row r="483" spans="1:10" x14ac:dyDescent="0.2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100'!IZ126</f>
        <v>0</v>
      </c>
      <c r="H483" s="7">
        <f>'CUENTA T VS'!IZ75</f>
        <v>0</v>
      </c>
      <c r="I483" s="7">
        <f t="shared" si="22"/>
        <v>0</v>
      </c>
      <c r="J483" s="6">
        <f>I483/$I$25</f>
        <v>0</v>
      </c>
    </row>
    <row r="484" spans="1:10" x14ac:dyDescent="0.2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22"/>
        <v>0</v>
      </c>
      <c r="J484" s="11"/>
    </row>
    <row r="485" spans="1:10" x14ac:dyDescent="0.2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100'!JA126</f>
        <v>0</v>
      </c>
      <c r="H485" s="7">
        <f>'CUENTA T VS'!JA75</f>
        <v>0</v>
      </c>
      <c r="I485" s="7">
        <f t="shared" si="22"/>
        <v>0</v>
      </c>
      <c r="J485" s="6">
        <f>I485/$I$25</f>
        <v>0</v>
      </c>
    </row>
    <row r="486" spans="1:10" x14ac:dyDescent="0.2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22"/>
        <v>0</v>
      </c>
      <c r="J486" s="11"/>
    </row>
    <row r="487" spans="1:10" x14ac:dyDescent="0.2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100'!JB126</f>
        <v>0</v>
      </c>
      <c r="H487" s="7">
        <f>'CUENTA T VS'!JB75</f>
        <v>0</v>
      </c>
      <c r="I487" s="7">
        <f t="shared" si="22"/>
        <v>0</v>
      </c>
      <c r="J487" s="6">
        <f>I487/$I$25</f>
        <v>0</v>
      </c>
    </row>
    <row r="488" spans="1:10" x14ac:dyDescent="0.2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22"/>
        <v>0</v>
      </c>
      <c r="J488" s="11"/>
    </row>
    <row r="489" spans="1:10" x14ac:dyDescent="0.2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100'!JC126</f>
        <v>0</v>
      </c>
      <c r="H489" s="7">
        <f>'CUENTA T VS'!JC75</f>
        <v>0</v>
      </c>
      <c r="I489" s="7">
        <f t="shared" si="22"/>
        <v>0</v>
      </c>
      <c r="J489" s="6">
        <f>I489/$I$25</f>
        <v>0</v>
      </c>
    </row>
    <row r="490" spans="1:10" x14ac:dyDescent="0.2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22"/>
        <v>0</v>
      </c>
      <c r="J490" s="11"/>
    </row>
    <row r="491" spans="1:10" x14ac:dyDescent="0.2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100'!JD126</f>
        <v>0</v>
      </c>
      <c r="H491" s="7">
        <f>'CUENTA T VS'!JD75</f>
        <v>0</v>
      </c>
      <c r="I491" s="7">
        <f t="shared" si="22"/>
        <v>0</v>
      </c>
      <c r="J491" s="6">
        <f>I491/$I$25</f>
        <v>0</v>
      </c>
    </row>
    <row r="492" spans="1:10" x14ac:dyDescent="0.2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22"/>
        <v>0</v>
      </c>
      <c r="J492" s="19"/>
    </row>
    <row r="493" spans="1:10" ht="25.5" x14ac:dyDescent="0.2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22"/>
        <v>0</v>
      </c>
      <c r="J493" s="11"/>
    </row>
    <row r="494" spans="1:10" ht="25.5" x14ac:dyDescent="0.2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100'!JE126</f>
        <v>0</v>
      </c>
      <c r="H494" s="7">
        <f>'CUENTA T VS'!JE75</f>
        <v>0</v>
      </c>
      <c r="I494" s="7">
        <f t="shared" si="22"/>
        <v>0</v>
      </c>
      <c r="J494" s="6">
        <f>I494/$I$25</f>
        <v>0</v>
      </c>
    </row>
    <row r="495" spans="1:10" ht="25.5" x14ac:dyDescent="0.2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22"/>
        <v>0</v>
      </c>
      <c r="J495" s="11"/>
    </row>
    <row r="496" spans="1:10" ht="25.5" x14ac:dyDescent="0.2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100'!JF126</f>
        <v>0</v>
      </c>
      <c r="H496" s="7">
        <f>'CUENTA T VS'!JF75</f>
        <v>0</v>
      </c>
      <c r="I496" s="7">
        <f t="shared" si="22"/>
        <v>0</v>
      </c>
      <c r="J496" s="6">
        <f>I496/$I$25</f>
        <v>0</v>
      </c>
    </row>
    <row r="497" spans="1:10" ht="25.5" x14ac:dyDescent="0.2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22"/>
        <v>0</v>
      </c>
      <c r="J497" s="19"/>
    </row>
    <row r="498" spans="1:10" x14ac:dyDescent="0.2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22"/>
        <v>0</v>
      </c>
      <c r="J498" s="11"/>
    </row>
    <row r="499" spans="1:10" x14ac:dyDescent="0.2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100'!JG126</f>
        <v>0</v>
      </c>
      <c r="H499" s="7">
        <f>'CUENTA T VS'!JG75</f>
        <v>0</v>
      </c>
      <c r="I499" s="7">
        <f t="shared" si="22"/>
        <v>0</v>
      </c>
      <c r="J499" s="6">
        <f>I499/$I$25</f>
        <v>0</v>
      </c>
    </row>
    <row r="500" spans="1:10" ht="25.5" x14ac:dyDescent="0.2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22"/>
        <v>0</v>
      </c>
      <c r="J500" s="11"/>
    </row>
    <row r="501" spans="1:10" ht="25.5" x14ac:dyDescent="0.2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100'!JH126</f>
        <v>0</v>
      </c>
      <c r="H501" s="7">
        <f>'CUENTA T VS'!JH75</f>
        <v>0</v>
      </c>
      <c r="I501" s="7">
        <f t="shared" si="22"/>
        <v>0</v>
      </c>
      <c r="J501" s="6">
        <f>I501/$I$25</f>
        <v>0</v>
      </c>
    </row>
    <row r="502" spans="1:10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I6:J7 A9:J18 A6:H7" name="Rango1"/>
  </protectedRanges>
  <mergeCells count="21"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  <mergeCell ref="I22:I24"/>
    <mergeCell ref="G23:G24"/>
    <mergeCell ref="H23:H24"/>
    <mergeCell ref="F22:F24"/>
    <mergeCell ref="G22:H22"/>
  </mergeCells>
  <phoneticPr fontId="44" type="noConversion"/>
  <printOptions horizontalCentered="1"/>
  <pageMargins left="0.70866141732283472" right="0.70866141732283472" top="0.15748031496062992" bottom="0" header="0.11811023622047245" footer="0"/>
  <pageSetup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W126"/>
  <sheetViews>
    <sheetView topLeftCell="IW1" zoomScale="90" zoomScaleNormal="90" workbookViewId="0">
      <pane ySplit="2" topLeftCell="A87" activePane="bottomLeft" state="frozen"/>
      <selection activeCell="DR1" sqref="DR1"/>
      <selection pane="bottomLeft" activeCell="JL97" sqref="JL97"/>
    </sheetView>
  </sheetViews>
  <sheetFormatPr defaultColWidth="11.42578125" defaultRowHeight="15" x14ac:dyDescent="0.25"/>
  <cols>
    <col min="1" max="1" width="15" bestFit="1" customWidth="1"/>
    <col min="2" max="9" width="7.85546875" bestFit="1" customWidth="1"/>
    <col min="10" max="10" width="13.85546875" bestFit="1" customWidth="1"/>
    <col min="11" max="18" width="7.85546875" bestFit="1" customWidth="1"/>
    <col min="19" max="19" width="13.85546875" bestFit="1" customWidth="1"/>
    <col min="20" max="22" width="7.85546875" bestFit="1" customWidth="1"/>
    <col min="23" max="23" width="11.140625" bestFit="1" customWidth="1"/>
    <col min="24" max="25" width="7.85546875" bestFit="1" customWidth="1"/>
    <col min="26" max="26" width="12.140625" bestFit="1" customWidth="1"/>
    <col min="27" max="27" width="7.85546875" bestFit="1" customWidth="1"/>
    <col min="28" max="28" width="12.140625" bestFit="1" customWidth="1"/>
    <col min="29" max="36" width="7.85546875" bestFit="1" customWidth="1"/>
    <col min="37" max="38" width="13.85546875" bestFit="1" customWidth="1"/>
    <col min="39" max="39" width="12.140625" bestFit="1" customWidth="1"/>
    <col min="40" max="47" width="7.85546875" bestFit="1" customWidth="1"/>
    <col min="48" max="48" width="11.140625" bestFit="1" customWidth="1"/>
    <col min="49" max="50" width="7.85546875" bestFit="1" customWidth="1"/>
    <col min="51" max="51" width="11.140625" bestFit="1" customWidth="1"/>
    <col min="52" max="74" width="7.85546875" bestFit="1" customWidth="1"/>
    <col min="75" max="75" width="13.85546875" bestFit="1" customWidth="1"/>
    <col min="76" max="85" width="7.85546875" bestFit="1" customWidth="1"/>
    <col min="86" max="86" width="11.140625" bestFit="1" customWidth="1"/>
    <col min="87" max="107" width="7.85546875" bestFit="1" customWidth="1"/>
    <col min="108" max="108" width="13.85546875" bestFit="1" customWidth="1"/>
    <col min="109" max="113" width="7.85546875" bestFit="1" customWidth="1"/>
    <col min="114" max="115" width="13.85546875" bestFit="1" customWidth="1"/>
    <col min="116" max="122" width="7.85546875" bestFit="1" customWidth="1"/>
    <col min="123" max="123" width="13.85546875" bestFit="1" customWidth="1"/>
    <col min="124" max="125" width="7.85546875" bestFit="1" customWidth="1"/>
    <col min="126" max="127" width="12.140625" bestFit="1" customWidth="1"/>
    <col min="128" max="130" width="7.85546875" bestFit="1" customWidth="1"/>
    <col min="131" max="131" width="13.85546875" bestFit="1" customWidth="1"/>
    <col min="132" max="157" width="7.85546875" bestFit="1" customWidth="1"/>
    <col min="158" max="158" width="12.140625" bestFit="1" customWidth="1"/>
    <col min="159" max="165" width="7.85546875" bestFit="1" customWidth="1"/>
    <col min="166" max="166" width="13.85546875" bestFit="1" customWidth="1"/>
    <col min="167" max="172" width="7.85546875" bestFit="1" customWidth="1"/>
    <col min="173" max="173" width="12.140625" bestFit="1" customWidth="1"/>
    <col min="174" max="174" width="7.85546875" bestFit="1" customWidth="1"/>
    <col min="175" max="175" width="12.140625" bestFit="1" customWidth="1"/>
    <col min="176" max="176" width="13.85546875" bestFit="1" customWidth="1"/>
    <col min="177" max="180" width="7.85546875" bestFit="1" customWidth="1"/>
    <col min="181" max="181" width="12.140625" bestFit="1" customWidth="1"/>
    <col min="182" max="189" width="7.85546875" bestFit="1" customWidth="1"/>
    <col min="190" max="190" width="12.140625" bestFit="1" customWidth="1"/>
    <col min="191" max="191" width="7.85546875" bestFit="1" customWidth="1"/>
    <col min="192" max="193" width="12.140625" bestFit="1" customWidth="1"/>
    <col min="194" max="198" width="7.85546875" bestFit="1" customWidth="1"/>
    <col min="199" max="199" width="13.85546875" bestFit="1" customWidth="1"/>
    <col min="200" max="215" width="7.85546875" bestFit="1" customWidth="1"/>
    <col min="216" max="216" width="12.140625" bestFit="1" customWidth="1"/>
    <col min="217" max="217" width="7.85546875" bestFit="1" customWidth="1"/>
    <col min="218" max="218" width="12.140625" bestFit="1" customWidth="1"/>
    <col min="219" max="219" width="7.85546875" bestFit="1" customWidth="1"/>
    <col min="220" max="220" width="11.140625" bestFit="1" customWidth="1"/>
    <col min="221" max="250" width="7.85546875" bestFit="1" customWidth="1"/>
    <col min="251" max="251" width="9" bestFit="1" customWidth="1"/>
    <col min="252" max="268" width="7.85546875" bestFit="1" customWidth="1"/>
    <col min="269" max="269" width="16.140625" bestFit="1" customWidth="1"/>
    <col min="270" max="270" width="11.7109375" bestFit="1" customWidth="1"/>
    <col min="271" max="271" width="7.140625" bestFit="1" customWidth="1"/>
    <col min="272" max="272" width="11.140625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 x14ac:dyDescent="0.35">
      <c r="A1" s="396" t="s">
        <v>78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  <c r="AQ1" s="396"/>
      <c r="AR1" s="396"/>
      <c r="AS1" s="396"/>
      <c r="AT1" s="396"/>
      <c r="AU1" s="396"/>
      <c r="AV1" s="396"/>
      <c r="AW1" s="396"/>
      <c r="AX1" s="396"/>
      <c r="AY1" s="396"/>
      <c r="AZ1" s="396"/>
      <c r="BA1" s="396"/>
      <c r="BB1" s="396"/>
      <c r="BC1" s="396"/>
      <c r="BD1" s="396"/>
      <c r="BE1" s="396"/>
      <c r="BF1" s="396"/>
      <c r="BG1" s="396"/>
      <c r="BH1" s="396"/>
      <c r="BI1" s="396"/>
      <c r="BJ1" s="396"/>
      <c r="BK1" s="396"/>
      <c r="BL1" s="396"/>
      <c r="BM1" s="396"/>
      <c r="BN1" s="396"/>
      <c r="BO1" s="396"/>
      <c r="BP1" s="396"/>
      <c r="BQ1" s="396"/>
      <c r="BR1" s="396"/>
      <c r="BS1" s="396"/>
      <c r="BT1" s="396"/>
      <c r="BU1" s="396"/>
      <c r="BV1" s="396"/>
      <c r="BW1" s="396"/>
      <c r="BX1" s="396"/>
      <c r="BY1" s="396"/>
      <c r="BZ1" s="396"/>
      <c r="CA1" s="396"/>
      <c r="CB1" s="396"/>
      <c r="CC1" s="396"/>
      <c r="CD1" s="396"/>
      <c r="CE1" s="396"/>
      <c r="CF1" s="396"/>
      <c r="CG1" s="396"/>
      <c r="CH1" s="396"/>
      <c r="CI1" s="396"/>
      <c r="CJ1" s="396"/>
      <c r="CK1" s="396"/>
      <c r="CL1" s="396"/>
      <c r="CM1" s="396"/>
      <c r="CN1" s="396"/>
      <c r="CO1" s="396"/>
      <c r="CP1" s="396"/>
      <c r="CQ1" s="396"/>
      <c r="CR1" s="396"/>
      <c r="CS1" s="396"/>
      <c r="CT1" s="396"/>
      <c r="CU1" s="396"/>
      <c r="CV1" s="396"/>
      <c r="CW1" s="396"/>
      <c r="CX1" s="396"/>
      <c r="CY1" s="396"/>
      <c r="CZ1" s="396"/>
      <c r="DA1" s="396"/>
      <c r="DB1" s="396"/>
      <c r="DC1" s="396"/>
      <c r="DD1" s="396"/>
      <c r="DE1" s="396"/>
      <c r="DF1" s="396"/>
      <c r="DG1" s="396"/>
      <c r="DH1" s="396"/>
      <c r="DI1" s="396"/>
      <c r="DJ1" s="396"/>
      <c r="DK1" s="396"/>
      <c r="DL1" s="396"/>
      <c r="DM1" s="396"/>
      <c r="DN1" s="396"/>
      <c r="DO1" s="396"/>
      <c r="DP1" s="396"/>
      <c r="DQ1" s="396"/>
      <c r="DR1" s="396"/>
      <c r="DS1" s="396"/>
      <c r="DT1" s="396"/>
      <c r="DU1" s="396"/>
      <c r="DV1" s="396"/>
      <c r="DW1" s="396"/>
      <c r="DX1" s="396"/>
      <c r="DY1" s="396"/>
      <c r="DZ1" s="396"/>
      <c r="EA1" s="396"/>
      <c r="EB1" s="396"/>
      <c r="EC1" s="396"/>
      <c r="ED1" s="396"/>
      <c r="EE1" s="396"/>
      <c r="EF1" s="396"/>
      <c r="EG1" s="396"/>
      <c r="EH1" s="396"/>
      <c r="EI1" s="396"/>
      <c r="EJ1" s="396"/>
      <c r="EK1" s="396"/>
      <c r="EL1" s="396"/>
      <c r="EM1" s="396"/>
      <c r="EN1" s="396"/>
      <c r="EO1" s="396"/>
      <c r="EP1" s="396"/>
      <c r="EQ1" s="396"/>
      <c r="ER1" s="396"/>
      <c r="ES1" s="396"/>
      <c r="ET1" s="396"/>
      <c r="EU1" s="396"/>
      <c r="EV1" s="396"/>
      <c r="EW1" s="396"/>
      <c r="EX1" s="396"/>
      <c r="EY1" s="396"/>
      <c r="EZ1" s="396"/>
      <c r="FA1" s="396"/>
      <c r="FB1" s="396"/>
      <c r="FC1" s="396"/>
      <c r="FD1" s="396"/>
      <c r="FE1" s="396"/>
      <c r="FF1" s="396"/>
      <c r="FG1" s="396"/>
      <c r="FH1" s="396"/>
      <c r="FI1" s="396"/>
      <c r="FJ1" s="396"/>
      <c r="FK1" s="396"/>
      <c r="FL1" s="396"/>
      <c r="FM1" s="396"/>
      <c r="FN1" s="396"/>
      <c r="FO1" s="396"/>
      <c r="FP1" s="396"/>
      <c r="FQ1" s="396"/>
      <c r="FR1" s="396"/>
      <c r="FS1" s="396"/>
      <c r="FT1" s="396"/>
      <c r="FU1" s="396"/>
      <c r="FV1" s="396"/>
      <c r="FW1" s="396"/>
      <c r="FX1" s="396"/>
      <c r="FY1" s="396"/>
      <c r="FZ1" s="396"/>
      <c r="GA1" s="396"/>
      <c r="GB1" s="396"/>
      <c r="GC1" s="396"/>
      <c r="GD1" s="396"/>
      <c r="GE1" s="396"/>
      <c r="GF1" s="396"/>
      <c r="GG1" s="396"/>
      <c r="GH1" s="396"/>
      <c r="GI1" s="396"/>
      <c r="GJ1" s="396"/>
      <c r="GK1" s="396"/>
      <c r="GL1" s="396"/>
      <c r="GM1" s="396"/>
      <c r="GN1" s="396"/>
      <c r="GO1" s="396"/>
      <c r="GP1" s="396"/>
      <c r="GQ1" s="396"/>
      <c r="GR1" s="396"/>
      <c r="GS1" s="396"/>
      <c r="GT1" s="396"/>
      <c r="GU1" s="396"/>
      <c r="GV1" s="396"/>
      <c r="GW1" s="396"/>
      <c r="GX1" s="396"/>
      <c r="GY1" s="396"/>
      <c r="GZ1" s="396"/>
      <c r="HA1" s="396"/>
      <c r="HB1" s="396"/>
      <c r="HC1" s="396"/>
      <c r="HD1" s="396"/>
      <c r="HE1" s="396"/>
      <c r="HF1" s="396"/>
      <c r="HG1" s="396"/>
      <c r="HH1" s="396"/>
      <c r="HI1" s="396"/>
      <c r="HJ1" s="396"/>
      <c r="HK1" s="396"/>
      <c r="HL1" s="396"/>
      <c r="HM1" s="396"/>
      <c r="HN1" s="396"/>
      <c r="HO1" s="396"/>
      <c r="HP1" s="396"/>
      <c r="HQ1" s="396"/>
      <c r="HR1" s="396"/>
      <c r="HS1" s="396"/>
      <c r="HT1" s="396"/>
      <c r="HU1" s="396"/>
      <c r="HV1" s="396"/>
      <c r="HW1" s="396"/>
      <c r="HX1" s="396"/>
      <c r="HY1" s="396"/>
      <c r="HZ1" s="396"/>
      <c r="IA1" s="396"/>
      <c r="IB1" s="396"/>
      <c r="IC1" s="396"/>
      <c r="ID1" s="396"/>
      <c r="IE1" s="396"/>
      <c r="IF1" s="396"/>
      <c r="IG1" s="396"/>
      <c r="IH1" s="396"/>
      <c r="II1" s="396"/>
      <c r="IJ1" s="396"/>
      <c r="IK1" s="396"/>
      <c r="IL1" s="396"/>
      <c r="IM1" s="396"/>
      <c r="IN1" s="396"/>
      <c r="IO1" s="396"/>
      <c r="IP1" s="396"/>
      <c r="IQ1" s="396"/>
      <c r="IR1" s="396"/>
      <c r="IS1" s="396"/>
      <c r="IT1" s="396"/>
      <c r="IU1" s="396"/>
      <c r="IV1" s="396"/>
      <c r="IW1" s="396"/>
      <c r="IX1" s="396"/>
      <c r="IY1" s="396"/>
      <c r="IZ1" s="396"/>
      <c r="JA1" s="396"/>
      <c r="JB1" s="396"/>
      <c r="JC1" s="396"/>
      <c r="JD1" s="396"/>
      <c r="JE1" s="396"/>
      <c r="JF1" s="396"/>
      <c r="JG1" s="396"/>
      <c r="JH1" s="396"/>
    </row>
    <row r="2" spans="1:276" ht="18.75" x14ac:dyDescent="0.3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>
        <v>1945820</v>
      </c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1945820</v>
      </c>
      <c r="JJ3" s="2">
        <v>3911</v>
      </c>
      <c r="JK3" s="122"/>
      <c r="JL3" s="125"/>
      <c r="JM3" s="125"/>
      <c r="JN3" s="125"/>
      <c r="JO3" s="125">
        <f>+JM3+JN3</f>
        <v>0</v>
      </c>
      <c r="JP3" s="125"/>
    </row>
    <row r="4" spans="1:276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>
        <v>271000</v>
      </c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7" si="0">SUM(A4:JH4)</f>
        <v>271000</v>
      </c>
      <c r="JJ4" s="2">
        <v>3915</v>
      </c>
      <c r="JK4" s="122"/>
      <c r="JL4" s="125"/>
      <c r="JM4" s="125"/>
      <c r="JN4" s="125"/>
      <c r="JO4" s="125"/>
      <c r="JP4" s="125"/>
    </row>
    <row r="5" spans="1:27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>
        <v>260780</v>
      </c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260780</v>
      </c>
      <c r="JJ5" s="2">
        <v>3919</v>
      </c>
      <c r="JK5" s="122"/>
      <c r="JL5" s="125"/>
      <c r="JM5" s="125"/>
      <c r="JN5" s="125"/>
      <c r="JO5" s="125"/>
      <c r="JP5" s="125"/>
    </row>
    <row r="6" spans="1:276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>
        <v>337200</v>
      </c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337200</v>
      </c>
      <c r="JJ6" s="2">
        <v>3923</v>
      </c>
      <c r="JK6" s="122"/>
      <c r="JL6" s="125"/>
      <c r="JM6" s="125"/>
      <c r="JN6" s="125"/>
      <c r="JO6" s="125"/>
      <c r="JP6" s="125"/>
    </row>
    <row r="7" spans="1:27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>
        <v>260443.67</v>
      </c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260443.67</v>
      </c>
      <c r="JJ7" s="2">
        <v>3927</v>
      </c>
      <c r="JK7" s="122"/>
      <c r="JL7" s="125"/>
      <c r="JM7" s="125"/>
      <c r="JN7" s="125"/>
      <c r="JO7" s="125"/>
      <c r="JP7" s="125"/>
    </row>
    <row r="8" spans="1:27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>
        <v>45366.46</v>
      </c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45366.46</v>
      </c>
      <c r="JJ8" s="2">
        <v>3932</v>
      </c>
      <c r="JK8" s="122"/>
      <c r="JL8" s="125"/>
      <c r="JM8" s="125"/>
      <c r="JN8" s="125"/>
      <c r="JO8" s="125"/>
      <c r="JP8" s="125"/>
    </row>
    <row r="9" spans="1:276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>
        <v>242313</v>
      </c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242313</v>
      </c>
      <c r="JJ9" s="2">
        <v>3936</v>
      </c>
      <c r="JK9" s="122"/>
      <c r="JL9" s="125"/>
      <c r="JM9" s="125"/>
      <c r="JN9" s="125"/>
      <c r="JO9" s="125"/>
      <c r="JP9" s="125"/>
    </row>
    <row r="10" spans="1:27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>
        <v>120000</v>
      </c>
      <c r="FK10" s="122"/>
      <c r="FL10" s="122"/>
      <c r="FM10" s="122"/>
      <c r="FN10" s="122"/>
      <c r="FO10" s="122"/>
      <c r="FP10" s="122"/>
      <c r="FQ10" s="122"/>
      <c r="FR10" s="122"/>
      <c r="FS10" s="122"/>
      <c r="FT10" s="122">
        <v>43477.94</v>
      </c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163477.94</v>
      </c>
      <c r="JJ10" s="2">
        <v>3940</v>
      </c>
      <c r="JK10" s="122"/>
      <c r="JL10" s="125"/>
      <c r="JM10" s="125"/>
      <c r="JN10" s="125"/>
      <c r="JO10" s="125"/>
      <c r="JP10" s="125"/>
    </row>
    <row r="11" spans="1:276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>
        <v>75000</v>
      </c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75000</v>
      </c>
      <c r="JJ11" s="2">
        <v>3944</v>
      </c>
      <c r="JK11" s="122"/>
      <c r="JL11" s="125"/>
      <c r="JM11" s="125"/>
      <c r="JN11" s="125"/>
      <c r="JO11" s="125"/>
      <c r="JP11" s="125"/>
    </row>
    <row r="12" spans="1:27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>
        <v>259328</v>
      </c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259328</v>
      </c>
      <c r="JJ12" s="2">
        <v>3948</v>
      </c>
      <c r="JK12" s="122"/>
      <c r="JL12" s="125"/>
      <c r="JM12" s="125"/>
      <c r="JN12" s="125"/>
      <c r="JO12" s="125"/>
      <c r="JP12" s="125"/>
    </row>
    <row r="13" spans="1:27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>
        <v>271700</v>
      </c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271700</v>
      </c>
      <c r="JJ13" s="2">
        <v>3952</v>
      </c>
      <c r="JK13" s="122"/>
      <c r="JL13" s="125"/>
      <c r="JM13" s="125"/>
      <c r="JN13" s="125"/>
      <c r="JO13" s="125"/>
      <c r="JP13" s="125"/>
    </row>
    <row r="14" spans="1:27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>
        <v>180000</v>
      </c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180000</v>
      </c>
      <c r="JJ14" s="2">
        <v>3963</v>
      </c>
      <c r="JK14" s="122"/>
      <c r="JL14" s="125"/>
      <c r="JM14" s="125"/>
      <c r="JN14" s="125"/>
      <c r="JO14" s="125"/>
      <c r="JP14" s="125"/>
    </row>
    <row r="15" spans="1:27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>
        <v>177000</v>
      </c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177000</v>
      </c>
      <c r="JJ15" s="2">
        <v>4016</v>
      </c>
      <c r="JK15" s="122"/>
      <c r="JL15" s="125"/>
      <c r="JM15" s="125"/>
      <c r="JN15" s="125"/>
      <c r="JO15" s="125"/>
      <c r="JP15" s="125"/>
    </row>
    <row r="16" spans="1:276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>
        <v>78000</v>
      </c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78000</v>
      </c>
      <c r="JJ16" s="2">
        <v>4020</v>
      </c>
      <c r="JK16" s="122"/>
      <c r="JL16" s="125"/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>
        <v>166220</v>
      </c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166220</v>
      </c>
      <c r="JJ17" s="2">
        <v>4029</v>
      </c>
      <c r="JK17" s="122"/>
      <c r="JL17" s="125"/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>
        <v>144019</v>
      </c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144019</v>
      </c>
      <c r="JJ18" s="2">
        <v>4033</v>
      </c>
      <c r="JK18" s="122"/>
      <c r="JL18" s="125"/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>
        <v>188800</v>
      </c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188800</v>
      </c>
      <c r="JJ19" s="2">
        <v>4037</v>
      </c>
      <c r="JK19" s="122"/>
      <c r="JL19" s="125"/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>
        <v>230000</v>
      </c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230000</v>
      </c>
      <c r="JJ20" s="2">
        <v>4044</v>
      </c>
      <c r="JK20" s="122"/>
      <c r="JL20" s="125"/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>
        <v>193640</v>
      </c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>
        <v>39936</v>
      </c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233576</v>
      </c>
      <c r="JJ21" s="2">
        <v>4045</v>
      </c>
      <c r="JK21" s="122"/>
      <c r="JL21" s="125"/>
      <c r="JM21" s="125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>
        <v>259234.2</v>
      </c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259234.2</v>
      </c>
      <c r="JJ22" s="2">
        <v>4049</v>
      </c>
      <c r="JK22" s="122"/>
      <c r="JL22" s="125"/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>
        <v>92500</v>
      </c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92500</v>
      </c>
      <c r="JJ23" s="2">
        <v>4056</v>
      </c>
      <c r="JK23" s="122"/>
      <c r="JL23" s="125"/>
      <c r="JM23" s="125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>
        <v>60535</v>
      </c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60535</v>
      </c>
      <c r="JJ24" s="2">
        <v>4060</v>
      </c>
      <c r="JK24" s="122"/>
      <c r="JL24" s="125"/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>
        <v>45000</v>
      </c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45000</v>
      </c>
      <c r="JJ25" s="2">
        <v>4067</v>
      </c>
      <c r="JK25" s="122"/>
      <c r="JL25" s="125"/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>
        <v>1112531.03</v>
      </c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>
        <v>78878.45</v>
      </c>
      <c r="AL26" s="122">
        <v>78989.7</v>
      </c>
      <c r="AM26" s="122">
        <v>13250.76</v>
      </c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1283649.94</v>
      </c>
      <c r="JJ26" s="2">
        <v>4069</v>
      </c>
      <c r="JK26" s="122"/>
      <c r="JL26" s="125"/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>
        <v>112690</v>
      </c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112690</v>
      </c>
      <c r="JJ27" s="2">
        <v>4074</v>
      </c>
      <c r="JK27" s="122"/>
      <c r="JL27" s="125"/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>
        <v>247800</v>
      </c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247800</v>
      </c>
      <c r="JJ28" s="2">
        <v>4078</v>
      </c>
      <c r="JK28" s="122"/>
      <c r="JL28" s="125"/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>
        <v>79600</v>
      </c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79600</v>
      </c>
      <c r="JJ29" s="2">
        <v>4083</v>
      </c>
      <c r="JK29" s="122"/>
      <c r="JL29" s="125"/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>
        <v>13039</v>
      </c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13039</v>
      </c>
      <c r="JJ30" s="2">
        <v>4095</v>
      </c>
      <c r="JK30" s="122"/>
      <c r="JL30" s="125"/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368160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368160</v>
      </c>
      <c r="JJ31" s="2">
        <v>4099</v>
      </c>
      <c r="JK31" s="122"/>
      <c r="JL31" s="125"/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>
        <v>735000</v>
      </c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735000</v>
      </c>
      <c r="JJ32" s="2">
        <v>4104</v>
      </c>
      <c r="JK32" s="122"/>
      <c r="JL32" s="125"/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>
        <v>1875000</v>
      </c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1875000</v>
      </c>
      <c r="JJ33" s="2">
        <v>4108</v>
      </c>
      <c r="JK33" s="122"/>
      <c r="JL33" s="125"/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>
        <v>1095158</v>
      </c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1095158</v>
      </c>
      <c r="JJ34" s="2">
        <v>4115</v>
      </c>
      <c r="JK34" s="122"/>
      <c r="JL34" s="125"/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>
        <v>1144423</v>
      </c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1144423</v>
      </c>
      <c r="JJ35" s="2">
        <v>4119</v>
      </c>
      <c r="JK35" s="122"/>
      <c r="JL35" s="125"/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>
        <v>111510</v>
      </c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111510</v>
      </c>
      <c r="JJ36" s="2">
        <v>4126</v>
      </c>
      <c r="JK36" s="122"/>
      <c r="JL36" s="125"/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>
        <v>97940</v>
      </c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97940</v>
      </c>
      <c r="JJ37" s="2">
        <v>4132</v>
      </c>
      <c r="JK37" s="122"/>
      <c r="JL37" s="125"/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>
        <v>99049.2</v>
      </c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99049.2</v>
      </c>
      <c r="JJ38" s="2">
        <v>4133</v>
      </c>
      <c r="JK38" s="122"/>
      <c r="JL38" s="125"/>
      <c r="JM38" s="125"/>
      <c r="JN38" s="125"/>
      <c r="JO38" s="125"/>
      <c r="JP38" s="125"/>
    </row>
    <row r="39" spans="1:276" x14ac:dyDescent="0.25">
      <c r="A39" s="122">
        <v>58052893.829999998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>
        <v>2702311.62</v>
      </c>
      <c r="T39" s="122"/>
      <c r="U39" s="122"/>
      <c r="V39" s="122"/>
      <c r="W39" s="122"/>
      <c r="X39" s="122"/>
      <c r="Y39" s="122"/>
      <c r="Z39" s="122">
        <v>288000</v>
      </c>
      <c r="AA39" s="122"/>
      <c r="AB39" s="122">
        <f>101150.82+185443.17</f>
        <v>286593.99</v>
      </c>
      <c r="AC39" s="122"/>
      <c r="AD39" s="122"/>
      <c r="AE39" s="122"/>
      <c r="AF39" s="122"/>
      <c r="AG39" s="122"/>
      <c r="AH39" s="122"/>
      <c r="AI39" s="122"/>
      <c r="AJ39" s="122"/>
      <c r="AK39" s="122">
        <v>4115950.94</v>
      </c>
      <c r="AL39" s="122">
        <v>4121757.14</v>
      </c>
      <c r="AM39" s="122">
        <v>695346.42</v>
      </c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70262853.939999998</v>
      </c>
      <c r="JJ39" s="2">
        <v>4135</v>
      </c>
      <c r="JK39" s="122"/>
      <c r="JL39" s="125"/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>
        <v>80124.36</v>
      </c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80124.36</v>
      </c>
      <c r="JJ40" s="2">
        <v>4139</v>
      </c>
      <c r="JK40" s="122"/>
      <c r="JL40" s="125"/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>
        <v>140999.99</v>
      </c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140999.99</v>
      </c>
      <c r="JJ41" s="2">
        <v>4143</v>
      </c>
      <c r="JK41" s="122"/>
      <c r="JL41" s="125"/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>
        <v>49560</v>
      </c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>
        <v>66080</v>
      </c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115640</v>
      </c>
      <c r="JJ42" s="2">
        <v>4147</v>
      </c>
      <c r="JK42" s="122"/>
      <c r="JL42" s="125"/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>
        <v>1325000</v>
      </c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1325000</v>
      </c>
      <c r="JJ43" s="2">
        <v>4151</v>
      </c>
      <c r="JK43" s="122"/>
      <c r="JL43" s="125"/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>
        <v>295000</v>
      </c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295000</v>
      </c>
      <c r="JJ44" s="2">
        <v>4155</v>
      </c>
      <c r="JK44" s="122"/>
      <c r="JL44" s="125"/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>
        <v>271253.68</v>
      </c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271253.68</v>
      </c>
      <c r="JJ45" s="2">
        <v>4159</v>
      </c>
      <c r="JK45" s="122"/>
      <c r="JL45" s="125"/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>
        <v>442500</v>
      </c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442500</v>
      </c>
      <c r="JJ46" s="2">
        <v>4163</v>
      </c>
      <c r="JK46" s="122"/>
      <c r="JL46" s="125"/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>
        <v>120000</v>
      </c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>
        <v>147500</v>
      </c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267500</v>
      </c>
      <c r="JJ47" s="2">
        <v>4171</v>
      </c>
      <c r="JK47" s="122"/>
      <c r="JL47" s="125"/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>
        <v>735773.58</v>
      </c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>
        <v>26668</v>
      </c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762441.58</v>
      </c>
      <c r="JJ48" s="2">
        <v>4176</v>
      </c>
      <c r="JK48" s="122"/>
      <c r="JL48" s="125"/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>
        <v>628550</v>
      </c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628550</v>
      </c>
      <c r="JJ49" s="2">
        <v>4180</v>
      </c>
      <c r="JK49" s="122"/>
      <c r="JL49" s="125"/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>
        <v>788476.06</v>
      </c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788476.06</v>
      </c>
      <c r="JJ50" s="2">
        <v>4186</v>
      </c>
      <c r="JK50" s="122"/>
      <c r="JL50" s="125"/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>
        <v>407506</v>
      </c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407506</v>
      </c>
      <c r="JJ51" s="2">
        <v>4190</v>
      </c>
      <c r="JK51" s="122"/>
      <c r="JL51" s="125"/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>
        <v>692448.19</v>
      </c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692448.19</v>
      </c>
      <c r="JJ52" s="2">
        <v>4195</v>
      </c>
      <c r="JK52" s="122"/>
      <c r="JL52" s="125"/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>
        <v>30444</v>
      </c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30444</v>
      </c>
      <c r="JJ53" s="2">
        <v>4205</v>
      </c>
      <c r="JK53" s="122"/>
      <c r="JL53" s="125"/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>
        <v>60000</v>
      </c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>
        <v>140243</v>
      </c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200243</v>
      </c>
      <c r="JJ54" s="2">
        <v>4209</v>
      </c>
      <c r="JK54" s="122"/>
      <c r="JL54" s="125"/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>
        <v>199000</v>
      </c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199000</v>
      </c>
      <c r="JJ55" s="2">
        <v>4213</v>
      </c>
      <c r="JK55" s="122"/>
      <c r="JL55" s="125"/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>
        <v>208500</v>
      </c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208500</v>
      </c>
      <c r="JJ56" s="2">
        <v>4217</v>
      </c>
      <c r="JK56" s="122"/>
      <c r="JL56" s="125"/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>
        <v>269040</v>
      </c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269040</v>
      </c>
      <c r="JJ57" s="2">
        <v>4223</v>
      </c>
      <c r="JK57" s="122"/>
      <c r="JL57" s="125"/>
      <c r="JM57" s="125"/>
      <c r="JN57" s="125"/>
      <c r="JO57" s="125"/>
      <c r="JP57" s="125"/>
    </row>
    <row r="58" spans="1:276" x14ac:dyDescent="0.25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>
        <v>101480</v>
      </c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101480</v>
      </c>
      <c r="JJ58" s="2">
        <v>4231</v>
      </c>
      <c r="JK58" s="122"/>
      <c r="JL58" s="125"/>
      <c r="JM58" s="125"/>
      <c r="JN58" s="125"/>
      <c r="JO58" s="125"/>
      <c r="JP58" s="125"/>
    </row>
    <row r="59" spans="1:276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>
        <v>47200</v>
      </c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47200</v>
      </c>
      <c r="JJ59" s="2">
        <v>4232</v>
      </c>
      <c r="JK59" s="122"/>
      <c r="JL59" s="125"/>
      <c r="JM59" s="125"/>
      <c r="JN59" s="125"/>
      <c r="JO59" s="125"/>
      <c r="JP59" s="125"/>
    </row>
    <row r="60" spans="1:276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>
        <v>271400</v>
      </c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271400</v>
      </c>
      <c r="JJ60" s="2">
        <v>4237</v>
      </c>
      <c r="JK60" s="122"/>
      <c r="JL60" s="125"/>
      <c r="JM60" s="125"/>
      <c r="JN60" s="125"/>
      <c r="JO60" s="125"/>
      <c r="JP60" s="125"/>
    </row>
    <row r="61" spans="1:276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>
        <v>74356.639999999999</v>
      </c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74356.639999999999</v>
      </c>
      <c r="JJ61" s="2">
        <v>4241</v>
      </c>
      <c r="JK61" s="122"/>
      <c r="JL61" s="125"/>
      <c r="JM61" s="125"/>
      <c r="JN61" s="125"/>
      <c r="JO61" s="125"/>
      <c r="JP61" s="125"/>
    </row>
    <row r="62" spans="1:276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>
        <v>47633.3</v>
      </c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47633.3</v>
      </c>
      <c r="JJ62" s="2">
        <v>4245</v>
      </c>
      <c r="JK62" s="122"/>
      <c r="JL62" s="125"/>
      <c r="JM62" s="125"/>
      <c r="JN62" s="125"/>
      <c r="JO62" s="125"/>
      <c r="JP62" s="125"/>
    </row>
    <row r="63" spans="1:276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>
        <v>23000</v>
      </c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23000</v>
      </c>
      <c r="JJ63" s="2">
        <v>4260</v>
      </c>
      <c r="JK63" s="122"/>
      <c r="JL63" s="125"/>
      <c r="JM63" s="125"/>
      <c r="JN63" s="125"/>
      <c r="JO63" s="125"/>
      <c r="JP63" s="125"/>
    </row>
    <row r="64" spans="1:276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>
        <v>26550</v>
      </c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26550</v>
      </c>
      <c r="JJ64" s="2">
        <v>4264</v>
      </c>
      <c r="JK64" s="122"/>
      <c r="JL64" s="125"/>
      <c r="JM64" s="125"/>
      <c r="JN64" s="125"/>
      <c r="JO64" s="125"/>
      <c r="JP64" s="125"/>
    </row>
    <row r="65" spans="1:276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>
        <v>1829000</v>
      </c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1829000</v>
      </c>
      <c r="JJ65" s="2">
        <v>4271</v>
      </c>
      <c r="JK65" s="122"/>
      <c r="JL65" s="125"/>
      <c r="JM65" s="125"/>
      <c r="JN65" s="125"/>
      <c r="JO65" s="125"/>
      <c r="JP65" s="125"/>
    </row>
    <row r="66" spans="1:276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>
        <v>1099760</v>
      </c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1099760</v>
      </c>
      <c r="JJ66" s="2">
        <v>4272</v>
      </c>
      <c r="JK66" s="122"/>
      <c r="JL66" s="125"/>
      <c r="JM66" s="125"/>
      <c r="JN66" s="125"/>
      <c r="JO66" s="125"/>
      <c r="JP66" s="125"/>
    </row>
    <row r="67" spans="1:276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>
        <v>140000</v>
      </c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0"/>
        <v>140000</v>
      </c>
      <c r="JJ67" s="2">
        <v>4276</v>
      </c>
      <c r="JK67" s="122"/>
      <c r="JL67" s="125"/>
      <c r="JM67" s="125"/>
      <c r="JN67" s="125"/>
      <c r="JO67" s="125"/>
      <c r="JP67" s="125"/>
    </row>
    <row r="68" spans="1:276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>
        <v>277701.2</v>
      </c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ref="JI68:JI106" si="1">SUM(A68:JH68)</f>
        <v>277701.2</v>
      </c>
      <c r="JJ68" s="2">
        <v>4280</v>
      </c>
      <c r="JK68" s="122"/>
      <c r="JL68" s="125"/>
      <c r="JM68" s="125"/>
      <c r="JN68" s="125"/>
      <c r="JO68" s="125"/>
      <c r="JP68" s="125"/>
    </row>
    <row r="69" spans="1:276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>
        <v>240000</v>
      </c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1"/>
        <v>240000</v>
      </c>
      <c r="JJ69" s="2">
        <v>4284</v>
      </c>
      <c r="JK69" s="122"/>
      <c r="JL69" s="125"/>
      <c r="JM69" s="125"/>
      <c r="JN69" s="125"/>
      <c r="JO69" s="125"/>
      <c r="JP69" s="125"/>
    </row>
    <row r="70" spans="1:276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>
        <v>197768</v>
      </c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1"/>
        <v>197768</v>
      </c>
      <c r="JJ70" s="2">
        <v>4288</v>
      </c>
      <c r="JK70" s="122"/>
      <c r="JL70" s="125"/>
      <c r="JM70" s="125"/>
      <c r="JN70" s="125"/>
      <c r="JO70" s="125"/>
      <c r="JP70" s="125"/>
    </row>
    <row r="71" spans="1:276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>
        <v>216825</v>
      </c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1"/>
        <v>216825</v>
      </c>
      <c r="JJ71" s="2">
        <v>4292</v>
      </c>
      <c r="JK71" s="122"/>
      <c r="JL71" s="125"/>
      <c r="JM71" s="125"/>
      <c r="JN71" s="125"/>
      <c r="JO71" s="125"/>
      <c r="JP71" s="125"/>
    </row>
    <row r="72" spans="1:276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>
        <v>588545.72</v>
      </c>
      <c r="FK72" s="122"/>
      <c r="FL72" s="122"/>
      <c r="FM72" s="122"/>
      <c r="FN72" s="122"/>
      <c r="FO72" s="122"/>
      <c r="FP72" s="122"/>
      <c r="FQ72" s="122">
        <v>73419.600000000006</v>
      </c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1"/>
        <v>661965.31999999995</v>
      </c>
      <c r="JJ72" s="2">
        <v>4296</v>
      </c>
      <c r="JK72" s="122"/>
      <c r="JL72" s="125"/>
      <c r="JM72" s="125"/>
      <c r="JN72" s="125"/>
      <c r="JO72" s="125"/>
      <c r="JP72" s="125"/>
    </row>
    <row r="73" spans="1:276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>
        <v>637538.02</v>
      </c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1"/>
        <v>637538.02</v>
      </c>
      <c r="JJ73" s="2">
        <v>4300</v>
      </c>
      <c r="JK73" s="122"/>
      <c r="JL73" s="125"/>
      <c r="JM73" s="125"/>
      <c r="JN73" s="125"/>
      <c r="JO73" s="125"/>
      <c r="JP73" s="125"/>
    </row>
    <row r="74" spans="1:276" x14ac:dyDescent="0.25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>
        <v>242372</v>
      </c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 t="shared" si="1"/>
        <v>242372</v>
      </c>
      <c r="JJ74" s="2">
        <v>4305</v>
      </c>
      <c r="JK74" s="122"/>
      <c r="JL74" s="125"/>
      <c r="JM74" s="125"/>
      <c r="JN74" s="125"/>
      <c r="JO74" s="125"/>
      <c r="JP74" s="125"/>
    </row>
    <row r="75" spans="1:276" x14ac:dyDescent="0.2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>
        <v>148680</v>
      </c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si="1"/>
        <v>148680</v>
      </c>
      <c r="JJ75" s="2">
        <v>4309</v>
      </c>
      <c r="JK75" s="122"/>
      <c r="JL75" s="125"/>
      <c r="JM75" s="125"/>
      <c r="JN75" s="125"/>
      <c r="JO75" s="125"/>
      <c r="JP75" s="125"/>
    </row>
    <row r="76" spans="1:276" x14ac:dyDescent="0.25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>
        <v>212400</v>
      </c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1"/>
        <v>212400</v>
      </c>
      <c r="JJ76" s="1">
        <v>4313</v>
      </c>
      <c r="JK76" s="122"/>
      <c r="JL76" s="125"/>
      <c r="JM76" s="125"/>
      <c r="JN76" s="125"/>
      <c r="JO76" s="125"/>
      <c r="JP76" s="125"/>
    </row>
    <row r="77" spans="1:276" x14ac:dyDescent="0.25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>
        <v>62304</v>
      </c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1"/>
        <v>62304</v>
      </c>
      <c r="JJ77" s="1">
        <v>4317</v>
      </c>
      <c r="JK77" s="122"/>
      <c r="JL77" s="125"/>
      <c r="JM77" s="125"/>
      <c r="JN77" s="125"/>
      <c r="JO77" s="125"/>
      <c r="JP77" s="125"/>
    </row>
    <row r="78" spans="1:276" x14ac:dyDescent="0.25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>
        <v>211210</v>
      </c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1"/>
        <v>211210</v>
      </c>
      <c r="JJ78" s="1">
        <v>4321</v>
      </c>
      <c r="JK78" s="122"/>
      <c r="JL78" s="125"/>
      <c r="JM78" s="125"/>
      <c r="JN78" s="125"/>
      <c r="JO78" s="125"/>
      <c r="JP78" s="125"/>
    </row>
    <row r="79" spans="1:276" x14ac:dyDescent="0.25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>
        <v>1950000</v>
      </c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/>
      <c r="FU79" s="122"/>
      <c r="FV79" s="122"/>
      <c r="FW79" s="122"/>
      <c r="FX79" s="122"/>
      <c r="FY79" s="122"/>
      <c r="FZ79" s="122"/>
      <c r="GA79" s="122"/>
      <c r="GB79" s="122"/>
      <c r="GC79" s="122"/>
      <c r="GD79" s="122"/>
      <c r="GE79" s="122"/>
      <c r="GF79" s="122"/>
      <c r="GG79" s="122"/>
      <c r="GH79" s="122"/>
      <c r="GI79" s="122"/>
      <c r="GJ79" s="122"/>
      <c r="GK79" s="122"/>
      <c r="GL79" s="122"/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19">
        <f t="shared" si="1"/>
        <v>1950000</v>
      </c>
      <c r="JJ79" s="1">
        <v>4326</v>
      </c>
      <c r="JK79" s="122"/>
      <c r="JL79" s="125"/>
      <c r="JM79" s="125"/>
      <c r="JN79" s="125"/>
      <c r="JO79" s="125"/>
      <c r="JP79" s="125"/>
    </row>
    <row r="80" spans="1:276" x14ac:dyDescent="0.25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  <c r="BU80" s="122"/>
      <c r="BV80" s="122"/>
      <c r="BW80" s="122">
        <v>1567740.53</v>
      </c>
      <c r="BX80" s="122"/>
      <c r="BY80" s="122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/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/>
      <c r="FE80" s="122"/>
      <c r="FF80" s="122"/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/>
      <c r="FU80" s="122"/>
      <c r="FV80" s="122"/>
      <c r="FW80" s="122"/>
      <c r="FX80" s="122"/>
      <c r="FY80" s="122"/>
      <c r="FZ80" s="122"/>
      <c r="GA80" s="122"/>
      <c r="GB80" s="122"/>
      <c r="GC80" s="122"/>
      <c r="GD80" s="122"/>
      <c r="GE80" s="122"/>
      <c r="GF80" s="122"/>
      <c r="GG80" s="122"/>
      <c r="GH80" s="122"/>
      <c r="GI80" s="122"/>
      <c r="GJ80" s="122"/>
      <c r="GK80" s="122"/>
      <c r="GL80" s="122"/>
      <c r="GM80" s="122"/>
      <c r="GN80" s="122"/>
      <c r="GO80" s="122"/>
      <c r="GP80" s="122"/>
      <c r="GQ80" s="122"/>
      <c r="GR80" s="122"/>
      <c r="GS80" s="122"/>
      <c r="GT80" s="122"/>
      <c r="GU80" s="122"/>
      <c r="GV80" s="122"/>
      <c r="GW80" s="122"/>
      <c r="GX80" s="122"/>
      <c r="GY80" s="122"/>
      <c r="GZ80" s="122"/>
      <c r="HA80" s="122"/>
      <c r="HB80" s="122"/>
      <c r="HC80" s="122"/>
      <c r="HD80" s="122"/>
      <c r="HE80" s="122"/>
      <c r="HF80" s="122"/>
      <c r="HG80" s="122"/>
      <c r="HH80" s="122"/>
      <c r="HI80" s="122"/>
      <c r="HJ80" s="122"/>
      <c r="HK80" s="122"/>
      <c r="HL80" s="122"/>
      <c r="HM80" s="122"/>
      <c r="HN80" s="122"/>
      <c r="HO80" s="122"/>
      <c r="HP80" s="122"/>
      <c r="HQ80" s="122"/>
      <c r="HR80" s="122"/>
      <c r="HS80" s="122"/>
      <c r="HT80" s="122"/>
      <c r="HU80" s="122"/>
      <c r="HV80" s="122"/>
      <c r="HW80" s="122"/>
      <c r="HX80" s="122"/>
      <c r="HY80" s="122"/>
      <c r="HZ80" s="122"/>
      <c r="IA80" s="122"/>
      <c r="IB80" s="122"/>
      <c r="IC80" s="122"/>
      <c r="ID80" s="122"/>
      <c r="IE80" s="122"/>
      <c r="IF80" s="122"/>
      <c r="IG80" s="122"/>
      <c r="IH80" s="122"/>
      <c r="II80" s="122"/>
      <c r="IJ80" s="122"/>
      <c r="IK80" s="122"/>
      <c r="IL80" s="122"/>
      <c r="IM80" s="122"/>
      <c r="IN80" s="122"/>
      <c r="IO80" s="122"/>
      <c r="IP80" s="122"/>
      <c r="IQ80" s="122"/>
      <c r="IR80" s="122"/>
      <c r="IS80" s="122"/>
      <c r="IT80" s="122"/>
      <c r="IU80" s="122"/>
      <c r="IV80" s="122"/>
      <c r="IW80" s="122"/>
      <c r="IX80" s="122"/>
      <c r="IY80" s="122"/>
      <c r="IZ80" s="122"/>
      <c r="JA80" s="122"/>
      <c r="JB80" s="122"/>
      <c r="JC80" s="122"/>
      <c r="JD80" s="122"/>
      <c r="JE80" s="122"/>
      <c r="JF80" s="122"/>
      <c r="JG80" s="122"/>
      <c r="JH80" s="122"/>
      <c r="JI80" s="119">
        <f t="shared" si="1"/>
        <v>1567740.53</v>
      </c>
      <c r="JJ80" s="1">
        <v>4330</v>
      </c>
      <c r="JK80" s="122"/>
      <c r="JL80" s="125"/>
      <c r="JM80" s="125"/>
      <c r="JN80" s="125"/>
      <c r="JO80" s="125"/>
      <c r="JP80" s="125"/>
    </row>
    <row r="81" spans="1:276" x14ac:dyDescent="0.25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  <c r="BU81" s="122"/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>
        <v>469640</v>
      </c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  <c r="GJ81" s="122"/>
      <c r="GK81" s="122"/>
      <c r="GL81" s="122"/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/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19">
        <f t="shared" si="1"/>
        <v>469640</v>
      </c>
      <c r="JJ81" s="1">
        <v>4334</v>
      </c>
      <c r="JK81" s="122"/>
      <c r="JL81" s="125"/>
      <c r="JM81" s="125"/>
      <c r="JN81" s="125"/>
      <c r="JO81" s="125"/>
      <c r="JP81" s="125"/>
    </row>
    <row r="82" spans="1:276" x14ac:dyDescent="0.25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>
        <v>4101.09</v>
      </c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 t="shared" si="1"/>
        <v>4101.09</v>
      </c>
      <c r="JJ82" s="1">
        <v>4339</v>
      </c>
      <c r="JK82" s="122"/>
      <c r="JL82" s="125"/>
      <c r="JM82" s="125"/>
      <c r="JN82" s="125"/>
      <c r="JO82" s="125"/>
      <c r="JP82" s="125"/>
    </row>
    <row r="83" spans="1:276" x14ac:dyDescent="0.25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>
        <v>8673</v>
      </c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si="1"/>
        <v>8673</v>
      </c>
      <c r="JJ83" s="1">
        <v>4346</v>
      </c>
      <c r="JK83" s="122"/>
      <c r="JL83" s="125"/>
      <c r="JM83" s="125"/>
      <c r="JN83" s="125"/>
      <c r="JO83" s="125"/>
      <c r="JP83" s="125"/>
    </row>
    <row r="84" spans="1:276" x14ac:dyDescent="0.25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>
        <v>28461.599999999999</v>
      </c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1"/>
        <v>28461.599999999999</v>
      </c>
      <c r="JJ84" s="1">
        <v>4352</v>
      </c>
      <c r="JK84" s="122"/>
      <c r="JL84" s="125"/>
      <c r="JM84" s="125"/>
      <c r="JN84" s="125"/>
      <c r="JO84" s="125"/>
      <c r="JP84" s="125"/>
    </row>
    <row r="85" spans="1:276" x14ac:dyDescent="0.2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>
        <v>145220</v>
      </c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1"/>
        <v>145220</v>
      </c>
      <c r="JJ85" s="1">
        <v>4356</v>
      </c>
      <c r="JK85" s="122"/>
      <c r="JL85" s="125"/>
      <c r="JM85" s="125"/>
      <c r="JN85" s="125"/>
      <c r="JO85" s="125"/>
      <c r="JP85" s="125"/>
    </row>
    <row r="86" spans="1:276" x14ac:dyDescent="0.25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>
        <v>271071.5</v>
      </c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1"/>
        <v>271071.5</v>
      </c>
      <c r="JJ86" s="1">
        <v>4360</v>
      </c>
      <c r="JK86" s="122"/>
      <c r="JL86" s="125"/>
      <c r="JM86" s="125"/>
      <c r="JN86" s="125"/>
      <c r="JO86" s="125"/>
      <c r="JP86" s="125"/>
    </row>
    <row r="87" spans="1:276" x14ac:dyDescent="0.25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>
        <v>144000</v>
      </c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1"/>
        <v>144000</v>
      </c>
      <c r="JJ87" s="1">
        <v>4364</v>
      </c>
      <c r="JK87" s="122"/>
      <c r="JL87" s="125"/>
      <c r="JM87" s="125"/>
      <c r="JN87" s="125"/>
      <c r="JO87" s="125"/>
      <c r="JP87" s="125"/>
    </row>
    <row r="88" spans="1:276" x14ac:dyDescent="0.25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>
        <v>172642.97</v>
      </c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>
        <f t="shared" si="1"/>
        <v>172642.97</v>
      </c>
      <c r="JJ88" s="1">
        <v>4368</v>
      </c>
      <c r="JK88" s="122"/>
      <c r="JL88" s="125"/>
      <c r="JM88" s="125"/>
      <c r="JN88" s="125"/>
      <c r="JO88" s="125"/>
      <c r="JP88" s="125"/>
    </row>
    <row r="89" spans="1:276" x14ac:dyDescent="0.25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>
        <v>195000</v>
      </c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19">
        <f t="shared" si="1"/>
        <v>195000</v>
      </c>
      <c r="JJ89" s="1">
        <v>4390</v>
      </c>
      <c r="JK89" s="122"/>
      <c r="JL89" s="125"/>
      <c r="JM89" s="125"/>
      <c r="JN89" s="125"/>
      <c r="JO89" s="125"/>
      <c r="JP89" s="125"/>
    </row>
    <row r="90" spans="1:276" x14ac:dyDescent="0.25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>
        <v>74930</v>
      </c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19">
        <f t="shared" si="1"/>
        <v>74930</v>
      </c>
      <c r="JJ90" s="1">
        <v>4396</v>
      </c>
      <c r="JK90" s="122"/>
      <c r="JL90" s="125"/>
      <c r="JM90" s="125"/>
      <c r="JN90" s="125"/>
      <c r="JO90" s="125"/>
      <c r="JP90" s="125"/>
    </row>
    <row r="91" spans="1:276" x14ac:dyDescent="0.25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>
        <v>112000</v>
      </c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>
        <f t="shared" si="1"/>
        <v>112000</v>
      </c>
      <c r="JJ91" s="1">
        <v>4399</v>
      </c>
      <c r="JK91" s="122"/>
      <c r="JL91" s="125"/>
      <c r="JM91" s="125"/>
      <c r="JN91" s="125"/>
      <c r="JO91" s="125"/>
      <c r="JP91" s="125"/>
    </row>
    <row r="92" spans="1:276" x14ac:dyDescent="0.25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>
        <v>313804</v>
      </c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si="1"/>
        <v>313804</v>
      </c>
      <c r="JJ92" s="1">
        <v>4403</v>
      </c>
      <c r="JK92" s="122"/>
      <c r="JL92" s="125"/>
      <c r="JM92" s="125"/>
      <c r="JN92" s="125"/>
      <c r="JO92" s="125"/>
      <c r="JP92" s="125"/>
    </row>
    <row r="93" spans="1:276" x14ac:dyDescent="0.25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>
        <v>1612500</v>
      </c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1"/>
        <v>1612500</v>
      </c>
      <c r="JJ93" s="1">
        <v>4406</v>
      </c>
      <c r="JK93" s="122"/>
      <c r="JL93" s="125"/>
      <c r="JM93" s="125"/>
      <c r="JN93" s="125"/>
      <c r="JO93" s="125"/>
      <c r="JP93" s="125"/>
    </row>
    <row r="94" spans="1:276" x14ac:dyDescent="0.25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>
        <v>605972.47999999998</v>
      </c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1"/>
        <v>605972.47999999998</v>
      </c>
      <c r="JJ94" s="1">
        <v>4411</v>
      </c>
      <c r="JK94" s="122"/>
      <c r="JL94" s="125"/>
      <c r="JM94" s="125"/>
      <c r="JN94" s="125"/>
      <c r="JO94" s="125"/>
      <c r="JP94" s="125"/>
    </row>
    <row r="95" spans="1:276" x14ac:dyDescent="0.2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>
        <v>196918.39999999999</v>
      </c>
      <c r="FR95" s="122"/>
      <c r="FS95" s="122"/>
      <c r="FT95" s="122"/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  <c r="GJ95" s="122"/>
      <c r="GK95" s="122"/>
      <c r="GL95" s="122"/>
      <c r="GM95" s="122"/>
      <c r="GN95" s="122"/>
      <c r="GO95" s="122"/>
      <c r="GP95" s="122"/>
      <c r="GQ95" s="122"/>
      <c r="GR95" s="122"/>
      <c r="GS95" s="122"/>
      <c r="GT95" s="122"/>
      <c r="GU95" s="122"/>
      <c r="GV95" s="122"/>
      <c r="GW95" s="122"/>
      <c r="GX95" s="122"/>
      <c r="GY95" s="122"/>
      <c r="GZ95" s="122"/>
      <c r="HA95" s="122"/>
      <c r="HB95" s="122"/>
      <c r="HC95" s="122"/>
      <c r="HD95" s="122"/>
      <c r="HE95" s="122"/>
      <c r="HF95" s="122"/>
      <c r="HG95" s="122"/>
      <c r="HH95" s="122"/>
      <c r="HI95" s="122"/>
      <c r="HJ95" s="122"/>
      <c r="HK95" s="122"/>
      <c r="HL95" s="122"/>
      <c r="HM95" s="122"/>
      <c r="HN95" s="122"/>
      <c r="HO95" s="122"/>
      <c r="HP95" s="122"/>
      <c r="HQ95" s="122"/>
      <c r="HR95" s="122"/>
      <c r="HS95" s="122"/>
      <c r="HT95" s="122"/>
      <c r="HU95" s="122"/>
      <c r="HV95" s="122"/>
      <c r="HW95" s="122"/>
      <c r="HX95" s="122"/>
      <c r="HY95" s="122"/>
      <c r="HZ95" s="122"/>
      <c r="IA95" s="122"/>
      <c r="IB95" s="122"/>
      <c r="IC95" s="122"/>
      <c r="ID95" s="122"/>
      <c r="IE95" s="122"/>
      <c r="IF95" s="122"/>
      <c r="IG95" s="122"/>
      <c r="IH95" s="122"/>
      <c r="II95" s="122"/>
      <c r="IJ95" s="122"/>
      <c r="IK95" s="122"/>
      <c r="IL95" s="122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122"/>
      <c r="JB95" s="122"/>
      <c r="JC95" s="122"/>
      <c r="JD95" s="122"/>
      <c r="JE95" s="122"/>
      <c r="JF95" s="122"/>
      <c r="JG95" s="122"/>
      <c r="JH95" s="122"/>
      <c r="JI95" s="119">
        <f t="shared" si="1"/>
        <v>196918.39999999999</v>
      </c>
      <c r="JJ95" s="1">
        <v>4415</v>
      </c>
      <c r="JK95" s="122"/>
      <c r="JL95" s="125"/>
      <c r="JM95" s="125"/>
      <c r="JN95" s="125"/>
      <c r="JO95" s="125"/>
      <c r="JP95" s="125"/>
    </row>
    <row r="96" spans="1:276" x14ac:dyDescent="0.25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22"/>
      <c r="CA96" s="122"/>
      <c r="CB96" s="122"/>
      <c r="CC96" s="122"/>
      <c r="CD96" s="122"/>
      <c r="CE96" s="122"/>
      <c r="CF96" s="122"/>
      <c r="CG96" s="122"/>
      <c r="CH96" s="122"/>
      <c r="CI96" s="122"/>
      <c r="CJ96" s="122"/>
      <c r="CK96" s="122"/>
      <c r="CL96" s="122"/>
      <c r="CM96" s="122"/>
      <c r="CN96" s="122"/>
      <c r="CO96" s="122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22"/>
      <c r="EK96" s="122"/>
      <c r="EL96" s="122"/>
      <c r="EM96" s="122"/>
      <c r="EN96" s="122"/>
      <c r="EO96" s="122"/>
      <c r="EP96" s="122"/>
      <c r="EQ96" s="122"/>
      <c r="ER96" s="122"/>
      <c r="ES96" s="122"/>
      <c r="ET96" s="122"/>
      <c r="EU96" s="122"/>
      <c r="EV96" s="122"/>
      <c r="EW96" s="122"/>
      <c r="EX96" s="122"/>
      <c r="EY96" s="122"/>
      <c r="EZ96" s="122"/>
      <c r="FA96" s="122"/>
      <c r="FB96" s="122"/>
      <c r="FC96" s="122"/>
      <c r="FD96" s="122"/>
      <c r="FE96" s="122"/>
      <c r="FF96" s="122"/>
      <c r="FG96" s="122"/>
      <c r="FH96" s="122"/>
      <c r="FI96" s="122"/>
      <c r="FJ96" s="122">
        <v>1800000</v>
      </c>
      <c r="FK96" s="122"/>
      <c r="FL96" s="122"/>
      <c r="FM96" s="122"/>
      <c r="FN96" s="122"/>
      <c r="FO96" s="122"/>
      <c r="FP96" s="122"/>
      <c r="FQ96" s="122"/>
      <c r="FR96" s="122"/>
      <c r="FS96" s="122"/>
      <c r="FT96" s="122"/>
      <c r="FU96" s="122"/>
      <c r="FV96" s="122"/>
      <c r="FW96" s="122"/>
      <c r="FX96" s="122"/>
      <c r="FY96" s="122"/>
      <c r="FZ96" s="122"/>
      <c r="GA96" s="122"/>
      <c r="GB96" s="122"/>
      <c r="GC96" s="122"/>
      <c r="GD96" s="122"/>
      <c r="GE96" s="122"/>
      <c r="GF96" s="122"/>
      <c r="GG96" s="122"/>
      <c r="GH96" s="122"/>
      <c r="GI96" s="122"/>
      <c r="GJ96" s="122"/>
      <c r="GK96" s="122"/>
      <c r="GL96" s="122"/>
      <c r="GM96" s="122"/>
      <c r="GN96" s="122"/>
      <c r="GO96" s="122"/>
      <c r="GP96" s="122"/>
      <c r="GQ96" s="122"/>
      <c r="GR96" s="122"/>
      <c r="GS96" s="122"/>
      <c r="GT96" s="122"/>
      <c r="GU96" s="122"/>
      <c r="GV96" s="122"/>
      <c r="GW96" s="122"/>
      <c r="GX96" s="122"/>
      <c r="GY96" s="122"/>
      <c r="GZ96" s="122"/>
      <c r="HA96" s="122"/>
      <c r="HB96" s="122"/>
      <c r="HC96" s="122"/>
      <c r="HD96" s="122"/>
      <c r="HE96" s="122"/>
      <c r="HF96" s="122"/>
      <c r="HG96" s="122"/>
      <c r="HH96" s="122"/>
      <c r="HI96" s="122"/>
      <c r="HJ96" s="122"/>
      <c r="HK96" s="122"/>
      <c r="HL96" s="122"/>
      <c r="HM96" s="122"/>
      <c r="HN96" s="122"/>
      <c r="HO96" s="122"/>
      <c r="HP96" s="122"/>
      <c r="HQ96" s="122"/>
      <c r="HR96" s="122"/>
      <c r="HS96" s="122"/>
      <c r="HT96" s="122"/>
      <c r="HU96" s="122"/>
      <c r="HV96" s="122"/>
      <c r="HW96" s="122"/>
      <c r="HX96" s="122"/>
      <c r="HY96" s="122"/>
      <c r="HZ96" s="122"/>
      <c r="IA96" s="122"/>
      <c r="IB96" s="122"/>
      <c r="IC96" s="122"/>
      <c r="ID96" s="122"/>
      <c r="IE96" s="122"/>
      <c r="IF96" s="122"/>
      <c r="IG96" s="122"/>
      <c r="IH96" s="122"/>
      <c r="II96" s="122"/>
      <c r="IJ96" s="122"/>
      <c r="IK96" s="122"/>
      <c r="IL96" s="122"/>
      <c r="IM96" s="122"/>
      <c r="IN96" s="122"/>
      <c r="IO96" s="122"/>
      <c r="IP96" s="122"/>
      <c r="IQ96" s="122"/>
      <c r="IR96" s="122"/>
      <c r="IS96" s="122"/>
      <c r="IT96" s="122"/>
      <c r="IU96" s="122"/>
      <c r="IV96" s="122"/>
      <c r="IW96" s="122"/>
      <c r="IX96" s="122"/>
      <c r="IY96" s="122"/>
      <c r="IZ96" s="122"/>
      <c r="JA96" s="122"/>
      <c r="JB96" s="122"/>
      <c r="JC96" s="122"/>
      <c r="JD96" s="122"/>
      <c r="JE96" s="122"/>
      <c r="JF96" s="122"/>
      <c r="JG96" s="122"/>
      <c r="JH96" s="122"/>
      <c r="JI96" s="119">
        <f t="shared" si="1"/>
        <v>1800000</v>
      </c>
      <c r="JJ96" s="1">
        <v>4419</v>
      </c>
      <c r="JK96" s="122"/>
      <c r="JL96" s="125"/>
      <c r="JM96" s="125"/>
      <c r="JN96" s="125"/>
      <c r="JO96" s="125"/>
      <c r="JP96" s="125"/>
    </row>
    <row r="97" spans="1:276" x14ac:dyDescent="0.25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22"/>
      <c r="CA97" s="122"/>
      <c r="CB97" s="122"/>
      <c r="CC97" s="122"/>
      <c r="CD97" s="122"/>
      <c r="CE97" s="122"/>
      <c r="CF97" s="122"/>
      <c r="CG97" s="122"/>
      <c r="CH97" s="122"/>
      <c r="CI97" s="122"/>
      <c r="CJ97" s="122"/>
      <c r="CK97" s="122"/>
      <c r="CL97" s="122"/>
      <c r="CM97" s="122"/>
      <c r="CN97" s="122"/>
      <c r="CO97" s="122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>
        <v>48580</v>
      </c>
      <c r="EB97" s="122"/>
      <c r="EC97" s="122"/>
      <c r="ED97" s="122"/>
      <c r="EE97" s="122"/>
      <c r="EF97" s="122"/>
      <c r="EG97" s="122"/>
      <c r="EH97" s="122"/>
      <c r="EI97" s="122"/>
      <c r="EJ97" s="122"/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22"/>
      <c r="FD97" s="122"/>
      <c r="FE97" s="122"/>
      <c r="FF97" s="122"/>
      <c r="FG97" s="122"/>
      <c r="FH97" s="122"/>
      <c r="FI97" s="122"/>
      <c r="FJ97" s="122"/>
      <c r="FK97" s="122"/>
      <c r="FL97" s="122"/>
      <c r="FM97" s="122"/>
      <c r="FN97" s="122"/>
      <c r="FO97" s="122"/>
      <c r="FP97" s="122"/>
      <c r="FQ97" s="122"/>
      <c r="FR97" s="122"/>
      <c r="FS97" s="122"/>
      <c r="FT97" s="122">
        <v>155053.12</v>
      </c>
      <c r="FU97" s="122"/>
      <c r="FV97" s="122"/>
      <c r="FW97" s="122"/>
      <c r="FX97" s="122"/>
      <c r="FY97" s="122"/>
      <c r="FZ97" s="122"/>
      <c r="GA97" s="122"/>
      <c r="GB97" s="122"/>
      <c r="GC97" s="122"/>
      <c r="GD97" s="122"/>
      <c r="GE97" s="122"/>
      <c r="GF97" s="122"/>
      <c r="GG97" s="122"/>
      <c r="GH97" s="122"/>
      <c r="GI97" s="122"/>
      <c r="GJ97" s="122"/>
      <c r="GK97" s="122"/>
      <c r="GL97" s="122"/>
      <c r="GM97" s="122"/>
      <c r="GN97" s="122"/>
      <c r="GO97" s="122"/>
      <c r="GP97" s="122"/>
      <c r="GQ97" s="122"/>
      <c r="GR97" s="122"/>
      <c r="GS97" s="122"/>
      <c r="GT97" s="122"/>
      <c r="GU97" s="122"/>
      <c r="GV97" s="122"/>
      <c r="GW97" s="122"/>
      <c r="GX97" s="122"/>
      <c r="GY97" s="122"/>
      <c r="GZ97" s="122"/>
      <c r="HA97" s="122"/>
      <c r="HB97" s="122"/>
      <c r="HC97" s="122"/>
      <c r="HD97" s="122"/>
      <c r="HE97" s="122"/>
      <c r="HF97" s="122"/>
      <c r="HG97" s="122"/>
      <c r="HH97" s="122"/>
      <c r="HI97" s="122"/>
      <c r="HJ97" s="122"/>
      <c r="HK97" s="122"/>
      <c r="HL97" s="122"/>
      <c r="HM97" s="122"/>
      <c r="HN97" s="122"/>
      <c r="HO97" s="122"/>
      <c r="HP97" s="122"/>
      <c r="HQ97" s="122"/>
      <c r="HR97" s="122"/>
      <c r="HS97" s="122"/>
      <c r="HT97" s="122"/>
      <c r="HU97" s="122"/>
      <c r="HV97" s="122"/>
      <c r="HW97" s="122"/>
      <c r="HX97" s="122"/>
      <c r="HY97" s="122"/>
      <c r="HZ97" s="122"/>
      <c r="IA97" s="122"/>
      <c r="IB97" s="122"/>
      <c r="IC97" s="122"/>
      <c r="ID97" s="122"/>
      <c r="IE97" s="122"/>
      <c r="IF97" s="122"/>
      <c r="IG97" s="122"/>
      <c r="IH97" s="122"/>
      <c r="II97" s="122"/>
      <c r="IJ97" s="122"/>
      <c r="IK97" s="122"/>
      <c r="IL97" s="122"/>
      <c r="IM97" s="122"/>
      <c r="IN97" s="122"/>
      <c r="IO97" s="122"/>
      <c r="IP97" s="122"/>
      <c r="IQ97" s="122"/>
      <c r="IR97" s="122"/>
      <c r="IS97" s="122"/>
      <c r="IT97" s="122"/>
      <c r="IU97" s="122"/>
      <c r="IV97" s="122"/>
      <c r="IW97" s="122"/>
      <c r="IX97" s="122"/>
      <c r="IY97" s="122"/>
      <c r="IZ97" s="122"/>
      <c r="JA97" s="122"/>
      <c r="JB97" s="122"/>
      <c r="JC97" s="122"/>
      <c r="JD97" s="122"/>
      <c r="JE97" s="122"/>
      <c r="JF97" s="122"/>
      <c r="JG97" s="122"/>
      <c r="JH97" s="122"/>
      <c r="JI97" s="119">
        <f t="shared" si="1"/>
        <v>203633.12</v>
      </c>
      <c r="JJ97" s="1">
        <v>4425</v>
      </c>
      <c r="JK97" s="122"/>
      <c r="JL97" s="125"/>
      <c r="JM97" s="125"/>
      <c r="JN97" s="125"/>
      <c r="JO97" s="125"/>
      <c r="JP97" s="125"/>
    </row>
    <row r="98" spans="1:276" x14ac:dyDescent="0.25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22"/>
      <c r="CA98" s="122"/>
      <c r="CB98" s="122"/>
      <c r="CC98" s="122"/>
      <c r="CD98" s="122"/>
      <c r="CE98" s="122"/>
      <c r="CF98" s="122"/>
      <c r="CG98" s="122"/>
      <c r="CH98" s="122"/>
      <c r="CI98" s="122"/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>
        <v>225000</v>
      </c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22"/>
      <c r="FD98" s="122"/>
      <c r="FE98" s="122"/>
      <c r="FF98" s="122"/>
      <c r="FG98" s="122"/>
      <c r="FH98" s="122"/>
      <c r="FI98" s="122"/>
      <c r="FJ98" s="122"/>
      <c r="FK98" s="122"/>
      <c r="FL98" s="122"/>
      <c r="FM98" s="122"/>
      <c r="FN98" s="122"/>
      <c r="FO98" s="122"/>
      <c r="FP98" s="122"/>
      <c r="FQ98" s="122"/>
      <c r="FR98" s="122"/>
      <c r="FS98" s="122"/>
      <c r="FT98" s="122"/>
      <c r="FU98" s="122"/>
      <c r="FV98" s="122"/>
      <c r="FW98" s="122"/>
      <c r="FX98" s="122"/>
      <c r="FY98" s="122"/>
      <c r="FZ98" s="122"/>
      <c r="GA98" s="122"/>
      <c r="GB98" s="122"/>
      <c r="GC98" s="122"/>
      <c r="GD98" s="122"/>
      <c r="GE98" s="122"/>
      <c r="GF98" s="122"/>
      <c r="GG98" s="122"/>
      <c r="GH98" s="122"/>
      <c r="GI98" s="122"/>
      <c r="GJ98" s="122"/>
      <c r="GK98" s="122"/>
      <c r="GL98" s="122"/>
      <c r="GM98" s="122"/>
      <c r="GN98" s="122"/>
      <c r="GO98" s="122"/>
      <c r="GP98" s="122"/>
      <c r="GQ98" s="122"/>
      <c r="GR98" s="122"/>
      <c r="GS98" s="122"/>
      <c r="GT98" s="122"/>
      <c r="GU98" s="122"/>
      <c r="GV98" s="122"/>
      <c r="GW98" s="122"/>
      <c r="GX98" s="122"/>
      <c r="GY98" s="122"/>
      <c r="GZ98" s="122"/>
      <c r="HA98" s="122"/>
      <c r="HB98" s="122"/>
      <c r="HC98" s="122"/>
      <c r="HD98" s="122"/>
      <c r="HE98" s="122"/>
      <c r="HF98" s="122"/>
      <c r="HG98" s="122"/>
      <c r="HH98" s="122"/>
      <c r="HI98" s="122"/>
      <c r="HJ98" s="122"/>
      <c r="HK98" s="122"/>
      <c r="HL98" s="122"/>
      <c r="HM98" s="122"/>
      <c r="HN98" s="122"/>
      <c r="HO98" s="122"/>
      <c r="HP98" s="122"/>
      <c r="HQ98" s="122"/>
      <c r="HR98" s="122"/>
      <c r="HS98" s="122"/>
      <c r="HT98" s="122"/>
      <c r="HU98" s="122"/>
      <c r="HV98" s="122"/>
      <c r="HW98" s="122"/>
      <c r="HX98" s="122"/>
      <c r="HY98" s="122"/>
      <c r="HZ98" s="122"/>
      <c r="IA98" s="122"/>
      <c r="IB98" s="122"/>
      <c r="IC98" s="122"/>
      <c r="ID98" s="122"/>
      <c r="IE98" s="122"/>
      <c r="IF98" s="122"/>
      <c r="IG98" s="122"/>
      <c r="IH98" s="122"/>
      <c r="II98" s="122"/>
      <c r="IJ98" s="122"/>
      <c r="IK98" s="122"/>
      <c r="IL98" s="122"/>
      <c r="IM98" s="122"/>
      <c r="IN98" s="122"/>
      <c r="IO98" s="122"/>
      <c r="IP98" s="122"/>
      <c r="IQ98" s="122"/>
      <c r="IR98" s="122"/>
      <c r="IS98" s="122"/>
      <c r="IT98" s="122"/>
      <c r="IU98" s="122"/>
      <c r="IV98" s="122"/>
      <c r="IW98" s="122"/>
      <c r="IX98" s="122"/>
      <c r="IY98" s="122"/>
      <c r="IZ98" s="122"/>
      <c r="JA98" s="122"/>
      <c r="JB98" s="122"/>
      <c r="JC98" s="122"/>
      <c r="JD98" s="122"/>
      <c r="JE98" s="122"/>
      <c r="JF98" s="122"/>
      <c r="JG98" s="122"/>
      <c r="JH98" s="122"/>
      <c r="JI98" s="119">
        <f t="shared" si="1"/>
        <v>225000</v>
      </c>
      <c r="JJ98" s="1">
        <v>4431</v>
      </c>
      <c r="JK98" s="122"/>
      <c r="JL98" s="125"/>
      <c r="JM98" s="125"/>
      <c r="JN98" s="125"/>
      <c r="JO98" s="125"/>
      <c r="JP98" s="125"/>
    </row>
    <row r="99" spans="1:276" x14ac:dyDescent="0.25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/>
      <c r="BT99" s="122"/>
      <c r="BU99" s="122"/>
      <c r="BV99" s="122"/>
      <c r="BW99" s="122"/>
      <c r="BX99" s="122"/>
      <c r="BY99" s="122"/>
      <c r="BZ99" s="122"/>
      <c r="CA99" s="122"/>
      <c r="CB99" s="122"/>
      <c r="CC99" s="122"/>
      <c r="CD99" s="122"/>
      <c r="CE99" s="122"/>
      <c r="CF99" s="122"/>
      <c r="CG99" s="122"/>
      <c r="CH99" s="122"/>
      <c r="CI99" s="122"/>
      <c r="CJ99" s="122"/>
      <c r="CK99" s="122"/>
      <c r="CL99" s="122"/>
      <c r="CM99" s="122"/>
      <c r="CN99" s="122"/>
      <c r="CO99" s="122"/>
      <c r="CP99" s="122"/>
      <c r="CQ99" s="122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22"/>
      <c r="FD99" s="122"/>
      <c r="FE99" s="122"/>
      <c r="FF99" s="122"/>
      <c r="FG99" s="122"/>
      <c r="FH99" s="122"/>
      <c r="FI99" s="122"/>
      <c r="FJ99" s="122"/>
      <c r="FK99" s="122"/>
      <c r="FL99" s="122"/>
      <c r="FM99" s="122"/>
      <c r="FN99" s="122"/>
      <c r="FO99" s="122"/>
      <c r="FP99" s="122"/>
      <c r="FQ99" s="122"/>
      <c r="FR99" s="122"/>
      <c r="FS99" s="122"/>
      <c r="FT99" s="122">
        <v>1050992.96</v>
      </c>
      <c r="FU99" s="122"/>
      <c r="FV99" s="122"/>
      <c r="FW99" s="122"/>
      <c r="FX99" s="122"/>
      <c r="FY99" s="122"/>
      <c r="FZ99" s="122"/>
      <c r="GA99" s="122"/>
      <c r="GB99" s="122"/>
      <c r="GC99" s="122"/>
      <c r="GD99" s="122"/>
      <c r="GE99" s="122"/>
      <c r="GF99" s="122"/>
      <c r="GG99" s="122"/>
      <c r="GH99" s="122"/>
      <c r="GI99" s="122"/>
      <c r="GJ99" s="122"/>
      <c r="GK99" s="122"/>
      <c r="GL99" s="122"/>
      <c r="GM99" s="122"/>
      <c r="GN99" s="122"/>
      <c r="GO99" s="122"/>
      <c r="GP99" s="122"/>
      <c r="GQ99" s="122"/>
      <c r="GR99" s="122"/>
      <c r="GS99" s="122"/>
      <c r="GT99" s="122"/>
      <c r="GU99" s="122"/>
      <c r="GV99" s="122"/>
      <c r="GW99" s="122"/>
      <c r="GX99" s="122"/>
      <c r="GY99" s="122"/>
      <c r="GZ99" s="122"/>
      <c r="HA99" s="122"/>
      <c r="HB99" s="122"/>
      <c r="HC99" s="122"/>
      <c r="HD99" s="122"/>
      <c r="HE99" s="122"/>
      <c r="HF99" s="122"/>
      <c r="HG99" s="122"/>
      <c r="HH99" s="122"/>
      <c r="HI99" s="122"/>
      <c r="HJ99" s="122"/>
      <c r="HK99" s="122"/>
      <c r="HL99" s="122"/>
      <c r="HM99" s="122"/>
      <c r="HN99" s="122"/>
      <c r="HO99" s="122"/>
      <c r="HP99" s="122"/>
      <c r="HQ99" s="122"/>
      <c r="HR99" s="122"/>
      <c r="HS99" s="122"/>
      <c r="HT99" s="122"/>
      <c r="HU99" s="122"/>
      <c r="HV99" s="122"/>
      <c r="HW99" s="122"/>
      <c r="HX99" s="122"/>
      <c r="HY99" s="122"/>
      <c r="HZ99" s="122"/>
      <c r="IA99" s="122"/>
      <c r="IB99" s="122"/>
      <c r="IC99" s="122"/>
      <c r="ID99" s="122"/>
      <c r="IE99" s="122"/>
      <c r="IF99" s="122"/>
      <c r="IG99" s="122"/>
      <c r="IH99" s="122"/>
      <c r="II99" s="122"/>
      <c r="IJ99" s="122"/>
      <c r="IK99" s="122"/>
      <c r="IL99" s="122"/>
      <c r="IM99" s="122"/>
      <c r="IN99" s="122"/>
      <c r="IO99" s="122"/>
      <c r="IP99" s="122"/>
      <c r="IQ99" s="122"/>
      <c r="IR99" s="122"/>
      <c r="IS99" s="122"/>
      <c r="IT99" s="122"/>
      <c r="IU99" s="122"/>
      <c r="IV99" s="122"/>
      <c r="IW99" s="122"/>
      <c r="IX99" s="122"/>
      <c r="IY99" s="122"/>
      <c r="IZ99" s="122"/>
      <c r="JA99" s="122"/>
      <c r="JB99" s="122"/>
      <c r="JC99" s="122"/>
      <c r="JD99" s="122"/>
      <c r="JE99" s="122"/>
      <c r="JF99" s="122"/>
      <c r="JG99" s="122"/>
      <c r="JH99" s="122"/>
      <c r="JI99" s="119">
        <f t="shared" si="1"/>
        <v>1050992.96</v>
      </c>
      <c r="JJ99" s="1">
        <v>4432</v>
      </c>
      <c r="JK99" s="122"/>
      <c r="JL99" s="125"/>
      <c r="JM99" s="125"/>
      <c r="JN99" s="125"/>
      <c r="JO99" s="125"/>
      <c r="JP99" s="125"/>
    </row>
    <row r="100" spans="1:276" x14ac:dyDescent="0.25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2"/>
      <c r="BT100" s="122"/>
      <c r="BU100" s="122"/>
      <c r="BV100" s="122"/>
      <c r="BW100" s="122"/>
      <c r="BX100" s="122"/>
      <c r="BY100" s="122"/>
      <c r="BZ100" s="122"/>
      <c r="CA100" s="122"/>
      <c r="CB100" s="122"/>
      <c r="CC100" s="122"/>
      <c r="CD100" s="122"/>
      <c r="CE100" s="122"/>
      <c r="CF100" s="122"/>
      <c r="CG100" s="122"/>
      <c r="CH100" s="122"/>
      <c r="CI100" s="122"/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>
        <v>117000</v>
      </c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/>
      <c r="FG100" s="122"/>
      <c r="FH100" s="122"/>
      <c r="FI100" s="122"/>
      <c r="FJ100" s="122"/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/>
      <c r="GC100" s="122"/>
      <c r="GD100" s="122"/>
      <c r="GE100" s="122"/>
      <c r="GF100" s="122"/>
      <c r="GG100" s="122"/>
      <c r="GH100" s="122"/>
      <c r="GI100" s="122"/>
      <c r="GJ100" s="122"/>
      <c r="GK100" s="122"/>
      <c r="GL100" s="122"/>
      <c r="GM100" s="122"/>
      <c r="GN100" s="122"/>
      <c r="GO100" s="122"/>
      <c r="GP100" s="122"/>
      <c r="GQ100" s="122"/>
      <c r="GR100" s="122"/>
      <c r="GS100" s="122"/>
      <c r="GT100" s="122"/>
      <c r="GU100" s="122"/>
      <c r="GV100" s="122"/>
      <c r="GW100" s="122"/>
      <c r="GX100" s="122"/>
      <c r="GY100" s="122"/>
      <c r="GZ100" s="122"/>
      <c r="HA100" s="122"/>
      <c r="HB100" s="122"/>
      <c r="HC100" s="122"/>
      <c r="HD100" s="122"/>
      <c r="HE100" s="122"/>
      <c r="HF100" s="122"/>
      <c r="HG100" s="122"/>
      <c r="HH100" s="122"/>
      <c r="HI100" s="122"/>
      <c r="HJ100" s="122"/>
      <c r="HK100" s="122"/>
      <c r="HL100" s="122"/>
      <c r="HM100" s="122"/>
      <c r="HN100" s="122"/>
      <c r="HO100" s="122"/>
      <c r="HP100" s="122"/>
      <c r="HQ100" s="122"/>
      <c r="HR100" s="122"/>
      <c r="HS100" s="122"/>
      <c r="HT100" s="122"/>
      <c r="HU100" s="122"/>
      <c r="HV100" s="122"/>
      <c r="HW100" s="122"/>
      <c r="HX100" s="122"/>
      <c r="HY100" s="122"/>
      <c r="HZ100" s="122"/>
      <c r="IA100" s="122"/>
      <c r="IB100" s="122"/>
      <c r="IC100" s="122"/>
      <c r="ID100" s="122"/>
      <c r="IE100" s="122"/>
      <c r="IF100" s="122"/>
      <c r="IG100" s="122"/>
      <c r="IH100" s="122"/>
      <c r="II100" s="122"/>
      <c r="IJ100" s="122"/>
      <c r="IK100" s="122"/>
      <c r="IL100" s="122"/>
      <c r="IM100" s="122"/>
      <c r="IN100" s="122"/>
      <c r="IO100" s="122"/>
      <c r="IP100" s="122"/>
      <c r="IQ100" s="122"/>
      <c r="IR100" s="122"/>
      <c r="IS100" s="122"/>
      <c r="IT100" s="122"/>
      <c r="IU100" s="122"/>
      <c r="IV100" s="122"/>
      <c r="IW100" s="122"/>
      <c r="IX100" s="122"/>
      <c r="IY100" s="122"/>
      <c r="IZ100" s="122"/>
      <c r="JA100" s="122"/>
      <c r="JB100" s="122"/>
      <c r="JC100" s="122"/>
      <c r="JD100" s="122"/>
      <c r="JE100" s="122"/>
      <c r="JF100" s="122"/>
      <c r="JG100" s="122"/>
      <c r="JH100" s="122"/>
      <c r="JI100" s="119">
        <f t="shared" si="1"/>
        <v>117000</v>
      </c>
      <c r="JJ100" s="1">
        <v>4436</v>
      </c>
      <c r="JK100" s="122"/>
      <c r="JL100" s="125"/>
      <c r="JM100" s="125"/>
      <c r="JN100" s="125"/>
      <c r="JO100" s="125"/>
      <c r="JP100" s="125"/>
    </row>
    <row r="101" spans="1:276" x14ac:dyDescent="0.25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>
        <v>600000</v>
      </c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 t="shared" si="1"/>
        <v>600000</v>
      </c>
      <c r="JJ101" s="1">
        <v>4443</v>
      </c>
      <c r="JK101" s="122"/>
      <c r="JL101" s="125"/>
      <c r="JM101" s="125"/>
      <c r="JN101" s="125"/>
      <c r="JO101" s="125"/>
      <c r="JP101" s="125"/>
    </row>
    <row r="102" spans="1:276" x14ac:dyDescent="0.25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>
        <v>133060</v>
      </c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>
        <v>139535</v>
      </c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>
        <f t="shared" si="1"/>
        <v>272595</v>
      </c>
      <c r="JJ102" s="1">
        <v>4444</v>
      </c>
      <c r="JK102" s="122"/>
      <c r="JL102" s="125"/>
      <c r="JM102" s="125"/>
      <c r="JN102" s="125"/>
      <c r="JO102" s="125"/>
      <c r="JP102" s="125"/>
    </row>
    <row r="103" spans="1:276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>
        <v>150000</v>
      </c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>
        <f t="shared" si="1"/>
        <v>150000</v>
      </c>
      <c r="JJ103" s="1">
        <v>4448</v>
      </c>
      <c r="JK103" s="122"/>
      <c r="JL103" s="125"/>
      <c r="JM103" s="125"/>
      <c r="JN103" s="125"/>
      <c r="JO103" s="125"/>
      <c r="JP103" s="125"/>
    </row>
    <row r="104" spans="1:276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>
        <v>255284.8</v>
      </c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>
        <f t="shared" si="1"/>
        <v>255284.8</v>
      </c>
      <c r="JJ104" s="1">
        <v>4455</v>
      </c>
      <c r="JK104" s="122"/>
      <c r="JL104" s="125"/>
      <c r="JM104" s="125"/>
      <c r="JN104" s="125"/>
      <c r="JO104" s="125"/>
      <c r="JP104" s="125"/>
    </row>
    <row r="105" spans="1:276" x14ac:dyDescent="0.2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>
        <v>159300</v>
      </c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19">
        <f t="shared" si="1"/>
        <v>159300</v>
      </c>
      <c r="JJ105" s="1">
        <v>4459</v>
      </c>
      <c r="JK105" s="122"/>
      <c r="JL105" s="125"/>
      <c r="JM105" s="125"/>
      <c r="JN105" s="125"/>
      <c r="JO105" s="125"/>
      <c r="JP105" s="125"/>
    </row>
    <row r="106" spans="1:276" x14ac:dyDescent="0.25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>
        <v>192000</v>
      </c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>
        <v>29736</v>
      </c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19">
        <f t="shared" si="1"/>
        <v>221736</v>
      </c>
      <c r="JJ106" s="1">
        <v>4463</v>
      </c>
      <c r="JK106" s="122"/>
      <c r="JL106" s="125"/>
      <c r="JM106" s="125"/>
      <c r="JN106" s="125"/>
      <c r="JO106" s="125"/>
      <c r="JP106" s="125"/>
    </row>
    <row r="107" spans="1:276" x14ac:dyDescent="0.25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/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/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19"/>
      <c r="JJ107" s="2"/>
      <c r="JK107" s="122"/>
      <c r="JL107" s="125"/>
      <c r="JM107" s="125"/>
      <c r="JN107" s="125"/>
      <c r="JO107" s="125"/>
      <c r="JP107" s="125"/>
    </row>
    <row r="108" spans="1:276" x14ac:dyDescent="0.25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/>
      <c r="FC108" s="122"/>
      <c r="FD108" s="122"/>
      <c r="FE108" s="122"/>
      <c r="FF108" s="122"/>
      <c r="FG108" s="122"/>
      <c r="FH108" s="122"/>
      <c r="FI108" s="122"/>
      <c r="FJ108" s="122"/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/>
      <c r="FU108" s="122"/>
      <c r="FV108" s="122"/>
      <c r="FW108" s="122"/>
      <c r="FX108" s="122"/>
      <c r="FY108" s="122"/>
      <c r="FZ108" s="122"/>
      <c r="GA108" s="122"/>
      <c r="GB108" s="122"/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19"/>
      <c r="JJ108" s="2"/>
      <c r="JK108" s="122"/>
      <c r="JL108" s="125"/>
      <c r="JM108" s="125"/>
      <c r="JN108" s="125"/>
      <c r="JO108" s="125"/>
      <c r="JP108" s="125"/>
    </row>
    <row r="109" spans="1:276" x14ac:dyDescent="0.25">
      <c r="A109" s="119">
        <f t="shared" ref="A109:BL109" si="2">SUM(A3:A107)</f>
        <v>58052893.829999998</v>
      </c>
      <c r="B109" s="119">
        <f t="shared" si="2"/>
        <v>0</v>
      </c>
      <c r="C109" s="119">
        <f t="shared" si="2"/>
        <v>0</v>
      </c>
      <c r="D109" s="119">
        <f t="shared" si="2"/>
        <v>0</v>
      </c>
      <c r="E109" s="119">
        <f t="shared" si="2"/>
        <v>0</v>
      </c>
      <c r="F109" s="119">
        <f t="shared" si="2"/>
        <v>0</v>
      </c>
      <c r="G109" s="119">
        <f t="shared" si="2"/>
        <v>0</v>
      </c>
      <c r="H109" s="119">
        <f t="shared" si="2"/>
        <v>0</v>
      </c>
      <c r="I109" s="119">
        <f t="shared" si="2"/>
        <v>0</v>
      </c>
      <c r="J109" s="119">
        <f t="shared" si="2"/>
        <v>1112531.03</v>
      </c>
      <c r="K109" s="119">
        <f t="shared" si="2"/>
        <v>0</v>
      </c>
      <c r="L109" s="119">
        <f t="shared" si="2"/>
        <v>0</v>
      </c>
      <c r="M109" s="119">
        <f t="shared" si="2"/>
        <v>0</v>
      </c>
      <c r="N109" s="119">
        <f t="shared" si="2"/>
        <v>0</v>
      </c>
      <c r="O109" s="119">
        <f t="shared" si="2"/>
        <v>0</v>
      </c>
      <c r="P109" s="119">
        <f t="shared" si="2"/>
        <v>0</v>
      </c>
      <c r="Q109" s="119">
        <f t="shared" si="2"/>
        <v>0</v>
      </c>
      <c r="R109" s="119">
        <f t="shared" si="2"/>
        <v>0</v>
      </c>
      <c r="S109" s="119">
        <f t="shared" si="2"/>
        <v>2702311.62</v>
      </c>
      <c r="T109" s="119">
        <f t="shared" si="2"/>
        <v>0</v>
      </c>
      <c r="U109" s="119">
        <f t="shared" si="2"/>
        <v>0</v>
      </c>
      <c r="V109" s="119">
        <f t="shared" si="2"/>
        <v>0</v>
      </c>
      <c r="W109" s="119">
        <f t="shared" si="2"/>
        <v>45000</v>
      </c>
      <c r="X109" s="119">
        <f t="shared" si="2"/>
        <v>0</v>
      </c>
      <c r="Y109" s="119">
        <f t="shared" si="2"/>
        <v>0</v>
      </c>
      <c r="Z109" s="119">
        <f t="shared" si="2"/>
        <v>288000</v>
      </c>
      <c r="AA109" s="119">
        <f t="shared" si="2"/>
        <v>0</v>
      </c>
      <c r="AB109" s="119">
        <f t="shared" si="2"/>
        <v>286593.99</v>
      </c>
      <c r="AC109" s="119">
        <f t="shared" si="2"/>
        <v>0</v>
      </c>
      <c r="AD109" s="119">
        <f t="shared" si="2"/>
        <v>0</v>
      </c>
      <c r="AE109" s="119">
        <f t="shared" si="2"/>
        <v>0</v>
      </c>
      <c r="AF109" s="119">
        <f t="shared" si="2"/>
        <v>0</v>
      </c>
      <c r="AG109" s="119">
        <f t="shared" si="2"/>
        <v>0</v>
      </c>
      <c r="AH109" s="119">
        <f t="shared" si="2"/>
        <v>0</v>
      </c>
      <c r="AI109" s="119">
        <f t="shared" si="2"/>
        <v>0</v>
      </c>
      <c r="AJ109" s="119">
        <f t="shared" si="2"/>
        <v>0</v>
      </c>
      <c r="AK109" s="119">
        <f t="shared" si="2"/>
        <v>4194829.3899999997</v>
      </c>
      <c r="AL109" s="119">
        <f t="shared" si="2"/>
        <v>4200746.84</v>
      </c>
      <c r="AM109" s="119">
        <f t="shared" si="2"/>
        <v>708597.18</v>
      </c>
      <c r="AN109" s="119">
        <f t="shared" si="2"/>
        <v>0</v>
      </c>
      <c r="AO109" s="119">
        <f t="shared" si="2"/>
        <v>0</v>
      </c>
      <c r="AP109" s="119">
        <f t="shared" si="2"/>
        <v>0</v>
      </c>
      <c r="AQ109" s="119">
        <f t="shared" si="2"/>
        <v>0</v>
      </c>
      <c r="AR109" s="119">
        <f t="shared" si="2"/>
        <v>0</v>
      </c>
      <c r="AS109" s="119">
        <f t="shared" si="2"/>
        <v>0</v>
      </c>
      <c r="AT109" s="119">
        <f t="shared" si="2"/>
        <v>0</v>
      </c>
      <c r="AU109" s="119">
        <f t="shared" si="2"/>
        <v>0</v>
      </c>
      <c r="AV109" s="119">
        <f t="shared" si="2"/>
        <v>60535</v>
      </c>
      <c r="AW109" s="119">
        <f t="shared" si="2"/>
        <v>0</v>
      </c>
      <c r="AX109" s="119">
        <f t="shared" si="2"/>
        <v>0</v>
      </c>
      <c r="AY109" s="119">
        <f t="shared" si="2"/>
        <v>47633.3</v>
      </c>
      <c r="AZ109" s="119">
        <f t="shared" si="2"/>
        <v>0</v>
      </c>
      <c r="BA109" s="119">
        <f t="shared" si="2"/>
        <v>0</v>
      </c>
      <c r="BB109" s="119">
        <f t="shared" si="2"/>
        <v>0</v>
      </c>
      <c r="BC109" s="119">
        <f t="shared" si="2"/>
        <v>0</v>
      </c>
      <c r="BD109" s="119">
        <f t="shared" si="2"/>
        <v>0</v>
      </c>
      <c r="BE109" s="119">
        <f t="shared" si="2"/>
        <v>0</v>
      </c>
      <c r="BF109" s="119">
        <f t="shared" si="2"/>
        <v>0</v>
      </c>
      <c r="BG109" s="119">
        <f t="shared" si="2"/>
        <v>0</v>
      </c>
      <c r="BH109" s="119">
        <f t="shared" si="2"/>
        <v>0</v>
      </c>
      <c r="BI109" s="119">
        <f t="shared" si="2"/>
        <v>0</v>
      </c>
      <c r="BJ109" s="119">
        <f t="shared" si="2"/>
        <v>0</v>
      </c>
      <c r="BK109" s="119">
        <f t="shared" si="2"/>
        <v>0</v>
      </c>
      <c r="BL109" s="119">
        <f t="shared" si="2"/>
        <v>0</v>
      </c>
      <c r="BM109" s="119">
        <f t="shared" ref="BM109:DX109" si="3">SUM(BM3:BM107)</f>
        <v>0</v>
      </c>
      <c r="BN109" s="119">
        <f t="shared" si="3"/>
        <v>0</v>
      </c>
      <c r="BO109" s="119">
        <f t="shared" si="3"/>
        <v>0</v>
      </c>
      <c r="BP109" s="119">
        <f t="shared" si="3"/>
        <v>0</v>
      </c>
      <c r="BQ109" s="119">
        <f t="shared" si="3"/>
        <v>0</v>
      </c>
      <c r="BR109" s="119">
        <f t="shared" si="3"/>
        <v>0</v>
      </c>
      <c r="BS109" s="119">
        <f t="shared" si="3"/>
        <v>0</v>
      </c>
      <c r="BT109" s="119">
        <f t="shared" si="3"/>
        <v>0</v>
      </c>
      <c r="BU109" s="119">
        <f t="shared" si="3"/>
        <v>0</v>
      </c>
      <c r="BV109" s="119">
        <f t="shared" si="3"/>
        <v>0</v>
      </c>
      <c r="BW109" s="119">
        <f t="shared" si="3"/>
        <v>1567740.53</v>
      </c>
      <c r="BX109" s="119">
        <f t="shared" si="3"/>
        <v>0</v>
      </c>
      <c r="BY109" s="119">
        <f t="shared" si="3"/>
        <v>0</v>
      </c>
      <c r="BZ109" s="119">
        <f t="shared" si="3"/>
        <v>0</v>
      </c>
      <c r="CA109" s="119">
        <f t="shared" si="3"/>
        <v>0</v>
      </c>
      <c r="CB109" s="119">
        <f t="shared" si="3"/>
        <v>0</v>
      </c>
      <c r="CC109" s="119">
        <f t="shared" si="3"/>
        <v>0</v>
      </c>
      <c r="CD109" s="119">
        <f t="shared" si="3"/>
        <v>0</v>
      </c>
      <c r="CE109" s="119">
        <f t="shared" si="3"/>
        <v>0</v>
      </c>
      <c r="CF109" s="119">
        <f t="shared" si="3"/>
        <v>0</v>
      </c>
      <c r="CG109" s="119">
        <f t="shared" si="3"/>
        <v>0</v>
      </c>
      <c r="CH109" s="119">
        <f t="shared" si="3"/>
        <v>13039</v>
      </c>
      <c r="CI109" s="119">
        <f t="shared" si="3"/>
        <v>0</v>
      </c>
      <c r="CJ109" s="119">
        <f t="shared" si="3"/>
        <v>0</v>
      </c>
      <c r="CK109" s="119">
        <f t="shared" si="3"/>
        <v>0</v>
      </c>
      <c r="CL109" s="119">
        <f t="shared" si="3"/>
        <v>0</v>
      </c>
      <c r="CM109" s="119">
        <f t="shared" si="3"/>
        <v>0</v>
      </c>
      <c r="CN109" s="119">
        <f t="shared" si="3"/>
        <v>0</v>
      </c>
      <c r="CO109" s="119">
        <f t="shared" si="3"/>
        <v>0</v>
      </c>
      <c r="CP109" s="119">
        <f t="shared" si="3"/>
        <v>0</v>
      </c>
      <c r="CQ109" s="119">
        <f t="shared" si="3"/>
        <v>0</v>
      </c>
      <c r="CR109" s="119">
        <f t="shared" si="3"/>
        <v>0</v>
      </c>
      <c r="CS109" s="119">
        <f t="shared" si="3"/>
        <v>0</v>
      </c>
      <c r="CT109" s="119">
        <f t="shared" si="3"/>
        <v>0</v>
      </c>
      <c r="CU109" s="119">
        <f t="shared" si="3"/>
        <v>0</v>
      </c>
      <c r="CV109" s="119">
        <f t="shared" si="3"/>
        <v>0</v>
      </c>
      <c r="CW109" s="119">
        <f t="shared" si="3"/>
        <v>0</v>
      </c>
      <c r="CX109" s="119">
        <f t="shared" si="3"/>
        <v>0</v>
      </c>
      <c r="CY109" s="119">
        <f t="shared" si="3"/>
        <v>0</v>
      </c>
      <c r="CZ109" s="119">
        <f t="shared" si="3"/>
        <v>0</v>
      </c>
      <c r="DA109" s="119">
        <f t="shared" si="3"/>
        <v>0</v>
      </c>
      <c r="DB109" s="119">
        <f t="shared" si="3"/>
        <v>0</v>
      </c>
      <c r="DC109" s="119">
        <f t="shared" si="3"/>
        <v>0</v>
      </c>
      <c r="DD109" s="119">
        <f t="shared" si="3"/>
        <v>3779000</v>
      </c>
      <c r="DE109" s="119">
        <f t="shared" si="3"/>
        <v>0</v>
      </c>
      <c r="DF109" s="119">
        <f t="shared" si="3"/>
        <v>0</v>
      </c>
      <c r="DG109" s="119">
        <f t="shared" si="3"/>
        <v>0</v>
      </c>
      <c r="DH109" s="119">
        <f t="shared" si="3"/>
        <v>0</v>
      </c>
      <c r="DI109" s="119">
        <f t="shared" si="3"/>
        <v>0</v>
      </c>
      <c r="DJ109" s="119">
        <f t="shared" si="3"/>
        <v>2314511</v>
      </c>
      <c r="DK109" s="119">
        <f t="shared" si="3"/>
        <v>2180362.58</v>
      </c>
      <c r="DL109" s="119">
        <f t="shared" si="3"/>
        <v>0</v>
      </c>
      <c r="DM109" s="119">
        <f t="shared" si="3"/>
        <v>0</v>
      </c>
      <c r="DN109" s="119">
        <f t="shared" si="3"/>
        <v>0</v>
      </c>
      <c r="DO109" s="119">
        <f t="shared" si="3"/>
        <v>0</v>
      </c>
      <c r="DP109" s="119">
        <f t="shared" si="3"/>
        <v>0</v>
      </c>
      <c r="DQ109" s="119">
        <f t="shared" si="3"/>
        <v>0</v>
      </c>
      <c r="DR109" s="119">
        <f t="shared" si="3"/>
        <v>0</v>
      </c>
      <c r="DS109" s="119">
        <f t="shared" si="3"/>
        <v>1258116.06</v>
      </c>
      <c r="DT109" s="119">
        <f t="shared" si="3"/>
        <v>0</v>
      </c>
      <c r="DU109" s="119">
        <f t="shared" si="3"/>
        <v>0</v>
      </c>
      <c r="DV109" s="119">
        <f t="shared" si="3"/>
        <v>124608</v>
      </c>
      <c r="DW109" s="119">
        <f t="shared" si="3"/>
        <v>242372</v>
      </c>
      <c r="DX109" s="119">
        <f t="shared" si="3"/>
        <v>0</v>
      </c>
      <c r="DY109" s="119">
        <f t="shared" ref="DY109:GJ109" si="4">SUM(DY3:DY107)</f>
        <v>0</v>
      </c>
      <c r="DZ109" s="119">
        <f t="shared" si="4"/>
        <v>0</v>
      </c>
      <c r="EA109" s="119">
        <f t="shared" si="4"/>
        <v>9434300</v>
      </c>
      <c r="EB109" s="119">
        <f t="shared" si="4"/>
        <v>0</v>
      </c>
      <c r="EC109" s="119">
        <f t="shared" si="4"/>
        <v>0</v>
      </c>
      <c r="ED109" s="119">
        <f t="shared" si="4"/>
        <v>0</v>
      </c>
      <c r="EE109" s="119">
        <f t="shared" si="4"/>
        <v>0</v>
      </c>
      <c r="EF109" s="119">
        <f t="shared" si="4"/>
        <v>0</v>
      </c>
      <c r="EG109" s="119">
        <f t="shared" si="4"/>
        <v>0</v>
      </c>
      <c r="EH109" s="119">
        <f t="shared" si="4"/>
        <v>0</v>
      </c>
      <c r="EI109" s="119">
        <f t="shared" si="4"/>
        <v>0</v>
      </c>
      <c r="EJ109" s="119">
        <f t="shared" si="4"/>
        <v>0</v>
      </c>
      <c r="EK109" s="119">
        <f t="shared" si="4"/>
        <v>0</v>
      </c>
      <c r="EL109" s="119">
        <f t="shared" si="4"/>
        <v>0</v>
      </c>
      <c r="EM109" s="119">
        <f t="shared" si="4"/>
        <v>0</v>
      </c>
      <c r="EN109" s="119">
        <f t="shared" si="4"/>
        <v>0</v>
      </c>
      <c r="EO109" s="119">
        <f t="shared" si="4"/>
        <v>0</v>
      </c>
      <c r="EP109" s="119">
        <f t="shared" si="4"/>
        <v>0</v>
      </c>
      <c r="EQ109" s="119">
        <f t="shared" si="4"/>
        <v>0</v>
      </c>
      <c r="ER109" s="119">
        <f t="shared" si="4"/>
        <v>0</v>
      </c>
      <c r="ES109" s="119">
        <f t="shared" si="4"/>
        <v>0</v>
      </c>
      <c r="ET109" s="119">
        <f t="shared" si="4"/>
        <v>0</v>
      </c>
      <c r="EU109" s="119">
        <f t="shared" si="4"/>
        <v>0</v>
      </c>
      <c r="EV109" s="119">
        <f t="shared" si="4"/>
        <v>0</v>
      </c>
      <c r="EW109" s="119">
        <f t="shared" si="4"/>
        <v>0</v>
      </c>
      <c r="EX109" s="119">
        <f t="shared" si="4"/>
        <v>0</v>
      </c>
      <c r="EY109" s="119">
        <f t="shared" si="4"/>
        <v>0</v>
      </c>
      <c r="EZ109" s="119">
        <f t="shared" si="4"/>
        <v>0</v>
      </c>
      <c r="FA109" s="119">
        <f t="shared" si="4"/>
        <v>0</v>
      </c>
      <c r="FB109" s="119">
        <f t="shared" si="4"/>
        <v>337200</v>
      </c>
      <c r="FC109" s="119">
        <f t="shared" si="4"/>
        <v>0</v>
      </c>
      <c r="FD109" s="119">
        <f t="shared" si="4"/>
        <v>0</v>
      </c>
      <c r="FE109" s="119">
        <f t="shared" si="4"/>
        <v>0</v>
      </c>
      <c r="FF109" s="119">
        <f t="shared" si="4"/>
        <v>0</v>
      </c>
      <c r="FG109" s="119">
        <f t="shared" si="4"/>
        <v>0</v>
      </c>
      <c r="FH109" s="119">
        <f t="shared" si="4"/>
        <v>0</v>
      </c>
      <c r="FI109" s="119">
        <f t="shared" si="4"/>
        <v>0</v>
      </c>
      <c r="FJ109" s="119">
        <f t="shared" si="4"/>
        <v>4665860.22</v>
      </c>
      <c r="FK109" s="119">
        <f t="shared" si="4"/>
        <v>0</v>
      </c>
      <c r="FL109" s="119">
        <f t="shared" si="4"/>
        <v>0</v>
      </c>
      <c r="FM109" s="119">
        <f t="shared" si="4"/>
        <v>0</v>
      </c>
      <c r="FN109" s="119">
        <f t="shared" si="4"/>
        <v>0</v>
      </c>
      <c r="FO109" s="119">
        <f t="shared" si="4"/>
        <v>0</v>
      </c>
      <c r="FP109" s="119">
        <f t="shared" si="4"/>
        <v>0</v>
      </c>
      <c r="FQ109" s="119">
        <f t="shared" si="4"/>
        <v>599529.09</v>
      </c>
      <c r="FR109" s="119">
        <f t="shared" si="4"/>
        <v>0</v>
      </c>
      <c r="FS109" s="119">
        <f t="shared" si="4"/>
        <v>271071.5</v>
      </c>
      <c r="FT109" s="119">
        <f t="shared" si="4"/>
        <v>5921554.2699999996</v>
      </c>
      <c r="FU109" s="119">
        <f t="shared" si="4"/>
        <v>0</v>
      </c>
      <c r="FV109" s="119">
        <f t="shared" si="4"/>
        <v>0</v>
      </c>
      <c r="FW109" s="119">
        <f t="shared" si="4"/>
        <v>0</v>
      </c>
      <c r="FX109" s="119">
        <f t="shared" si="4"/>
        <v>0</v>
      </c>
      <c r="FY109" s="119">
        <f t="shared" si="4"/>
        <v>106674.36</v>
      </c>
      <c r="FZ109" s="119">
        <f t="shared" si="4"/>
        <v>0</v>
      </c>
      <c r="GA109" s="119">
        <f t="shared" si="4"/>
        <v>0</v>
      </c>
      <c r="GB109" s="119">
        <f t="shared" si="4"/>
        <v>0</v>
      </c>
      <c r="GC109" s="119">
        <f t="shared" si="4"/>
        <v>0</v>
      </c>
      <c r="GD109" s="119">
        <f t="shared" si="4"/>
        <v>0</v>
      </c>
      <c r="GE109" s="119">
        <f t="shared" si="4"/>
        <v>0</v>
      </c>
      <c r="GF109" s="119">
        <f t="shared" si="4"/>
        <v>0</v>
      </c>
      <c r="GG109" s="119">
        <f t="shared" si="4"/>
        <v>0</v>
      </c>
      <c r="GH109" s="119">
        <f t="shared" si="4"/>
        <v>566354.13</v>
      </c>
      <c r="GI109" s="119">
        <f t="shared" si="4"/>
        <v>0</v>
      </c>
      <c r="GJ109" s="119">
        <f t="shared" si="4"/>
        <v>468405.84</v>
      </c>
      <c r="GK109" s="119">
        <f t="shared" ref="GK109:IV109" si="5">SUM(GK3:GK107)</f>
        <v>111510</v>
      </c>
      <c r="GL109" s="119">
        <f t="shared" si="5"/>
        <v>0</v>
      </c>
      <c r="GM109" s="119">
        <f t="shared" si="5"/>
        <v>0</v>
      </c>
      <c r="GN109" s="119">
        <f t="shared" si="5"/>
        <v>0</v>
      </c>
      <c r="GO109" s="119">
        <f t="shared" si="5"/>
        <v>0</v>
      </c>
      <c r="GP109" s="119">
        <f t="shared" si="5"/>
        <v>0</v>
      </c>
      <c r="GQ109" s="119">
        <f t="shared" si="5"/>
        <v>4197628.18</v>
      </c>
      <c r="GR109" s="119">
        <f t="shared" si="5"/>
        <v>0</v>
      </c>
      <c r="GS109" s="119">
        <f t="shared" si="5"/>
        <v>0</v>
      </c>
      <c r="GT109" s="119">
        <f t="shared" si="5"/>
        <v>0</v>
      </c>
      <c r="GU109" s="119">
        <f t="shared" si="5"/>
        <v>0</v>
      </c>
      <c r="GV109" s="119">
        <f t="shared" si="5"/>
        <v>0</v>
      </c>
      <c r="GW109" s="119">
        <f t="shared" si="5"/>
        <v>0</v>
      </c>
      <c r="GX109" s="119">
        <f t="shared" si="5"/>
        <v>0</v>
      </c>
      <c r="GY109" s="119">
        <f t="shared" si="5"/>
        <v>0</v>
      </c>
      <c r="GZ109" s="119">
        <f t="shared" si="5"/>
        <v>0</v>
      </c>
      <c r="HA109" s="119">
        <f t="shared" si="5"/>
        <v>0</v>
      </c>
      <c r="HB109" s="119">
        <f t="shared" si="5"/>
        <v>0</v>
      </c>
      <c r="HC109" s="119">
        <f t="shared" si="5"/>
        <v>0</v>
      </c>
      <c r="HD109" s="119">
        <f t="shared" si="5"/>
        <v>0</v>
      </c>
      <c r="HE109" s="119">
        <f t="shared" si="5"/>
        <v>0</v>
      </c>
      <c r="HF109" s="119">
        <f t="shared" si="5"/>
        <v>0</v>
      </c>
      <c r="HG109" s="119">
        <f t="shared" si="5"/>
        <v>0</v>
      </c>
      <c r="HH109" s="119">
        <f t="shared" si="5"/>
        <v>277701.2</v>
      </c>
      <c r="HI109" s="119">
        <f t="shared" si="5"/>
        <v>0</v>
      </c>
      <c r="HJ109" s="119">
        <f t="shared" si="5"/>
        <v>131924</v>
      </c>
      <c r="HK109" s="119">
        <f t="shared" si="5"/>
        <v>0</v>
      </c>
      <c r="HL109" s="119">
        <f t="shared" si="5"/>
        <v>66080</v>
      </c>
      <c r="HM109" s="119">
        <f t="shared" si="5"/>
        <v>0</v>
      </c>
      <c r="HN109" s="119">
        <f t="shared" si="5"/>
        <v>0</v>
      </c>
      <c r="HO109" s="119">
        <f t="shared" si="5"/>
        <v>0</v>
      </c>
      <c r="HP109" s="119">
        <f t="shared" si="5"/>
        <v>0</v>
      </c>
      <c r="HQ109" s="119">
        <f t="shared" si="5"/>
        <v>0</v>
      </c>
      <c r="HR109" s="119">
        <f t="shared" si="5"/>
        <v>0</v>
      </c>
      <c r="HS109" s="119">
        <f t="shared" si="5"/>
        <v>0</v>
      </c>
      <c r="HT109" s="119">
        <f t="shared" si="5"/>
        <v>0</v>
      </c>
      <c r="HU109" s="119">
        <f t="shared" si="5"/>
        <v>0</v>
      </c>
      <c r="HV109" s="119">
        <f t="shared" si="5"/>
        <v>0</v>
      </c>
      <c r="HW109" s="119">
        <f t="shared" si="5"/>
        <v>0</v>
      </c>
      <c r="HX109" s="119">
        <f t="shared" si="5"/>
        <v>0</v>
      </c>
      <c r="HY109" s="119">
        <f t="shared" si="5"/>
        <v>0</v>
      </c>
      <c r="HZ109" s="119">
        <f t="shared" si="5"/>
        <v>0</v>
      </c>
      <c r="IA109" s="119">
        <f t="shared" si="5"/>
        <v>0</v>
      </c>
      <c r="IB109" s="119">
        <f t="shared" si="5"/>
        <v>0</v>
      </c>
      <c r="IC109" s="119">
        <f t="shared" si="5"/>
        <v>0</v>
      </c>
      <c r="ID109" s="119">
        <f t="shared" si="5"/>
        <v>0</v>
      </c>
      <c r="IE109" s="119">
        <f t="shared" si="5"/>
        <v>0</v>
      </c>
      <c r="IF109" s="119">
        <f t="shared" si="5"/>
        <v>0</v>
      </c>
      <c r="IG109" s="119">
        <f t="shared" si="5"/>
        <v>0</v>
      </c>
      <c r="IH109" s="119">
        <f t="shared" si="5"/>
        <v>0</v>
      </c>
      <c r="II109" s="119">
        <f t="shared" si="5"/>
        <v>0</v>
      </c>
      <c r="IJ109" s="119">
        <f t="shared" si="5"/>
        <v>0</v>
      </c>
      <c r="IK109" s="119">
        <f t="shared" si="5"/>
        <v>0</v>
      </c>
      <c r="IL109" s="119">
        <f t="shared" si="5"/>
        <v>0</v>
      </c>
      <c r="IM109" s="119">
        <f t="shared" si="5"/>
        <v>0</v>
      </c>
      <c r="IN109" s="119">
        <f t="shared" si="5"/>
        <v>0</v>
      </c>
      <c r="IO109" s="119">
        <f t="shared" si="5"/>
        <v>0</v>
      </c>
      <c r="IP109" s="119">
        <f t="shared" si="5"/>
        <v>0</v>
      </c>
      <c r="IQ109" s="119">
        <f t="shared" si="5"/>
        <v>0</v>
      </c>
      <c r="IR109" s="119">
        <f t="shared" si="5"/>
        <v>0</v>
      </c>
      <c r="IS109" s="119">
        <f t="shared" si="5"/>
        <v>0</v>
      </c>
      <c r="IT109" s="119">
        <f t="shared" si="5"/>
        <v>0</v>
      </c>
      <c r="IU109" s="119">
        <f t="shared" si="5"/>
        <v>0</v>
      </c>
      <c r="IV109" s="119">
        <f t="shared" si="5"/>
        <v>0</v>
      </c>
      <c r="IW109" s="119">
        <f t="shared" ref="IW109:JH109" si="6">SUM(IW3:IW107)</f>
        <v>0</v>
      </c>
      <c r="IX109" s="119">
        <f t="shared" si="6"/>
        <v>0</v>
      </c>
      <c r="IY109" s="119">
        <f t="shared" si="6"/>
        <v>0</v>
      </c>
      <c r="IZ109" s="119">
        <f t="shared" si="6"/>
        <v>0</v>
      </c>
      <c r="JA109" s="119">
        <f t="shared" si="6"/>
        <v>0</v>
      </c>
      <c r="JB109" s="119">
        <f t="shared" si="6"/>
        <v>0</v>
      </c>
      <c r="JC109" s="119">
        <f t="shared" si="6"/>
        <v>0</v>
      </c>
      <c r="JD109" s="119">
        <f t="shared" si="6"/>
        <v>0</v>
      </c>
      <c r="JE109" s="119">
        <f t="shared" si="6"/>
        <v>0</v>
      </c>
      <c r="JF109" s="119">
        <f t="shared" si="6"/>
        <v>0</v>
      </c>
      <c r="JG109" s="119">
        <f t="shared" si="6"/>
        <v>0</v>
      </c>
      <c r="JH109" s="119">
        <f t="shared" si="6"/>
        <v>0</v>
      </c>
      <c r="JI109" s="119">
        <f>SUM(JI3:JI107)</f>
        <v>110335214.13999999</v>
      </c>
      <c r="JJ109" s="1"/>
      <c r="JK109" s="122">
        <f>SUM(JK3:JK57)</f>
        <v>0</v>
      </c>
      <c r="JL109" s="122">
        <f t="shared" ref="JL109:JP109" si="7">SUM(JL3:JL57)</f>
        <v>0</v>
      </c>
      <c r="JM109" s="122">
        <f t="shared" si="7"/>
        <v>0</v>
      </c>
      <c r="JN109" s="122">
        <f t="shared" si="7"/>
        <v>0</v>
      </c>
      <c r="JO109" s="122">
        <f t="shared" si="7"/>
        <v>0</v>
      </c>
      <c r="JP109" s="122">
        <f t="shared" si="7"/>
        <v>0</v>
      </c>
    </row>
    <row r="110" spans="1:276" ht="18.75" x14ac:dyDescent="0.3">
      <c r="A110" s="118">
        <v>211101</v>
      </c>
      <c r="B110" s="118">
        <v>211102</v>
      </c>
      <c r="C110" s="118">
        <v>211103</v>
      </c>
      <c r="D110" s="118">
        <v>211104</v>
      </c>
      <c r="E110" s="118">
        <v>211105</v>
      </c>
      <c r="F110" s="118">
        <v>211106</v>
      </c>
      <c r="G110" s="118">
        <v>211203</v>
      </c>
      <c r="H110" s="118">
        <v>211205</v>
      </c>
      <c r="I110" s="118">
        <v>211206</v>
      </c>
      <c r="J110" s="118">
        <v>211208</v>
      </c>
      <c r="K110" s="118">
        <v>211209</v>
      </c>
      <c r="L110" s="118">
        <v>211211</v>
      </c>
      <c r="M110" s="118">
        <v>211301</v>
      </c>
      <c r="N110" s="118">
        <v>211401</v>
      </c>
      <c r="O110" s="118">
        <v>211501</v>
      </c>
      <c r="P110" s="118">
        <v>211502</v>
      </c>
      <c r="Q110" s="118">
        <v>211503</v>
      </c>
      <c r="R110" s="118">
        <v>211504</v>
      </c>
      <c r="S110" s="118">
        <v>212101</v>
      </c>
      <c r="T110" s="118">
        <v>212201</v>
      </c>
      <c r="U110" s="118">
        <v>212203</v>
      </c>
      <c r="V110" s="118">
        <v>212204</v>
      </c>
      <c r="W110" s="118">
        <v>212205</v>
      </c>
      <c r="X110" s="118">
        <v>212206</v>
      </c>
      <c r="Y110" s="118">
        <v>212207</v>
      </c>
      <c r="Z110" s="118">
        <v>212208</v>
      </c>
      <c r="AA110" s="118">
        <v>212209</v>
      </c>
      <c r="AB110" s="118">
        <v>212210</v>
      </c>
      <c r="AC110" s="118">
        <v>213101</v>
      </c>
      <c r="AD110" s="118">
        <v>213102</v>
      </c>
      <c r="AE110" s="118">
        <v>213201</v>
      </c>
      <c r="AF110" s="118">
        <v>213202</v>
      </c>
      <c r="AG110" s="118">
        <v>214101</v>
      </c>
      <c r="AH110" s="118">
        <v>214201</v>
      </c>
      <c r="AI110" s="118">
        <v>214202</v>
      </c>
      <c r="AJ110" s="118">
        <v>214203</v>
      </c>
      <c r="AK110" s="118">
        <v>215101</v>
      </c>
      <c r="AL110" s="118">
        <v>215201</v>
      </c>
      <c r="AM110" s="118">
        <v>215301</v>
      </c>
      <c r="AN110" s="118">
        <v>215401</v>
      </c>
      <c r="AO110" s="118">
        <v>221101</v>
      </c>
      <c r="AP110" s="118">
        <v>221201</v>
      </c>
      <c r="AQ110" s="118">
        <v>221301</v>
      </c>
      <c r="AR110" s="118">
        <v>221401</v>
      </c>
      <c r="AS110" s="118">
        <v>221501</v>
      </c>
      <c r="AT110" s="118">
        <v>221601</v>
      </c>
      <c r="AU110" s="118">
        <v>221602</v>
      </c>
      <c r="AV110" s="118">
        <v>221701</v>
      </c>
      <c r="AW110" s="118">
        <v>221801</v>
      </c>
      <c r="AX110" s="118">
        <v>222101</v>
      </c>
      <c r="AY110" s="118">
        <v>222201</v>
      </c>
      <c r="AZ110" s="118">
        <v>223101</v>
      </c>
      <c r="BA110" s="118">
        <v>223201</v>
      </c>
      <c r="BB110" s="118">
        <v>224101</v>
      </c>
      <c r="BC110" s="118">
        <v>224201</v>
      </c>
      <c r="BD110" s="118">
        <v>224301</v>
      </c>
      <c r="BE110" s="118">
        <v>224401</v>
      </c>
      <c r="BF110" s="118">
        <v>225101</v>
      </c>
      <c r="BG110" s="118">
        <v>225201</v>
      </c>
      <c r="BH110" s="118">
        <v>225301</v>
      </c>
      <c r="BI110" s="118">
        <v>225302</v>
      </c>
      <c r="BJ110" s="118">
        <v>225303</v>
      </c>
      <c r="BK110" s="118">
        <v>225304</v>
      </c>
      <c r="BL110" s="118">
        <v>225305</v>
      </c>
      <c r="BM110" s="118">
        <v>225401</v>
      </c>
      <c r="BN110" s="118">
        <v>225501</v>
      </c>
      <c r="BO110" s="118">
        <v>225601</v>
      </c>
      <c r="BP110" s="118">
        <v>225701</v>
      </c>
      <c r="BQ110" s="118">
        <v>225801</v>
      </c>
      <c r="BR110" s="118">
        <v>225901</v>
      </c>
      <c r="BS110" s="118">
        <v>226101</v>
      </c>
      <c r="BT110" s="118">
        <v>226201</v>
      </c>
      <c r="BU110" s="118">
        <v>226301</v>
      </c>
      <c r="BV110" s="118">
        <v>226401</v>
      </c>
      <c r="BW110" s="118">
        <v>227101</v>
      </c>
      <c r="BX110" s="118">
        <v>227102</v>
      </c>
      <c r="BY110" s="118">
        <v>227103</v>
      </c>
      <c r="BZ110" s="118">
        <v>227104</v>
      </c>
      <c r="CA110" s="118">
        <v>227105</v>
      </c>
      <c r="CB110" s="118">
        <v>227106</v>
      </c>
      <c r="CC110" s="118">
        <v>227107</v>
      </c>
      <c r="CD110" s="118">
        <v>227199</v>
      </c>
      <c r="CE110" s="118">
        <v>227201</v>
      </c>
      <c r="CF110" s="118">
        <v>227202</v>
      </c>
      <c r="CG110" s="118">
        <v>227203</v>
      </c>
      <c r="CH110" s="118">
        <v>227204</v>
      </c>
      <c r="CI110" s="118">
        <v>227205</v>
      </c>
      <c r="CJ110" s="118">
        <v>227206</v>
      </c>
      <c r="CK110" s="118">
        <v>227207</v>
      </c>
      <c r="CL110" s="118">
        <v>227208</v>
      </c>
      <c r="CM110" s="118">
        <v>227299</v>
      </c>
      <c r="CN110" s="118">
        <v>227301</v>
      </c>
      <c r="CO110" s="118">
        <v>228101</v>
      </c>
      <c r="CP110" s="118">
        <v>228201</v>
      </c>
      <c r="CQ110" s="118">
        <v>228301</v>
      </c>
      <c r="CR110" s="118">
        <v>228401</v>
      </c>
      <c r="CS110" s="118">
        <v>228501</v>
      </c>
      <c r="CT110" s="118">
        <v>228502</v>
      </c>
      <c r="CU110" s="118">
        <v>228503</v>
      </c>
      <c r="CV110" s="118">
        <v>228601</v>
      </c>
      <c r="CW110" s="118">
        <v>228602</v>
      </c>
      <c r="CX110" s="118">
        <v>228603</v>
      </c>
      <c r="CY110" s="118">
        <v>228604</v>
      </c>
      <c r="CZ110" s="118">
        <v>228701</v>
      </c>
      <c r="DA110" s="118">
        <v>228702</v>
      </c>
      <c r="DB110" s="118">
        <v>228703</v>
      </c>
      <c r="DC110" s="118">
        <v>228704</v>
      </c>
      <c r="DD110" s="118">
        <v>228705</v>
      </c>
      <c r="DE110" s="118">
        <v>228706</v>
      </c>
      <c r="DF110" s="118">
        <v>228801</v>
      </c>
      <c r="DG110" s="118">
        <v>228802</v>
      </c>
      <c r="DH110" s="118">
        <v>228803</v>
      </c>
      <c r="DI110" s="118">
        <v>229201</v>
      </c>
      <c r="DJ110" s="118">
        <v>229203</v>
      </c>
      <c r="DK110" s="118">
        <v>231101</v>
      </c>
      <c r="DL110" s="118">
        <v>231102</v>
      </c>
      <c r="DM110" s="118">
        <v>231201</v>
      </c>
      <c r="DN110" s="118">
        <v>231301</v>
      </c>
      <c r="DO110" s="118">
        <v>231302</v>
      </c>
      <c r="DP110" s="118">
        <v>231303</v>
      </c>
      <c r="DQ110" s="118">
        <v>231401</v>
      </c>
      <c r="DR110" s="118">
        <v>232101</v>
      </c>
      <c r="DS110" s="118">
        <v>232201</v>
      </c>
      <c r="DT110" s="118">
        <v>232301</v>
      </c>
      <c r="DU110" s="118">
        <v>233101</v>
      </c>
      <c r="DV110" s="118">
        <v>233201</v>
      </c>
      <c r="DW110" s="118">
        <v>233301</v>
      </c>
      <c r="DX110" s="118">
        <v>233401</v>
      </c>
      <c r="DY110" s="118">
        <v>233501</v>
      </c>
      <c r="DZ110" s="118">
        <v>233601</v>
      </c>
      <c r="EA110" s="118">
        <v>234101</v>
      </c>
      <c r="EB110" s="118">
        <v>234201</v>
      </c>
      <c r="EC110" s="118">
        <v>235101</v>
      </c>
      <c r="ED110" s="118">
        <v>235201</v>
      </c>
      <c r="EE110" s="118">
        <v>235301</v>
      </c>
      <c r="EF110" s="118">
        <v>235401</v>
      </c>
      <c r="EG110" s="118">
        <v>235501</v>
      </c>
      <c r="EH110" s="118">
        <v>236101</v>
      </c>
      <c r="EI110" s="118">
        <v>236102</v>
      </c>
      <c r="EJ110" s="118">
        <v>236103</v>
      </c>
      <c r="EK110" s="118">
        <v>236104</v>
      </c>
      <c r="EL110" s="118">
        <v>236105</v>
      </c>
      <c r="EM110" s="118">
        <v>236201</v>
      </c>
      <c r="EN110" s="118">
        <v>236202</v>
      </c>
      <c r="EO110" s="118">
        <v>236203</v>
      </c>
      <c r="EP110" s="118">
        <v>236304</v>
      </c>
      <c r="EQ110" s="118">
        <v>236305</v>
      </c>
      <c r="ER110" s="118">
        <v>236306</v>
      </c>
      <c r="ES110" s="118">
        <v>236401</v>
      </c>
      <c r="ET110" s="118">
        <v>236402</v>
      </c>
      <c r="EU110" s="118">
        <v>236403</v>
      </c>
      <c r="EV110" s="118">
        <v>236404</v>
      </c>
      <c r="EW110" s="118">
        <v>236405</v>
      </c>
      <c r="EX110" s="118">
        <v>236406</v>
      </c>
      <c r="EY110" s="118">
        <v>236407</v>
      </c>
      <c r="EZ110" s="118">
        <v>236901</v>
      </c>
      <c r="FA110" s="118">
        <v>237101</v>
      </c>
      <c r="FB110" s="118">
        <v>237102</v>
      </c>
      <c r="FC110" s="118">
        <v>237103</v>
      </c>
      <c r="FD110" s="118">
        <v>237104</v>
      </c>
      <c r="FE110" s="118">
        <v>237105</v>
      </c>
      <c r="FF110" s="118">
        <v>237106</v>
      </c>
      <c r="FG110" s="118">
        <v>237107</v>
      </c>
      <c r="FH110" s="118">
        <v>237201</v>
      </c>
      <c r="FI110" s="118">
        <v>237202</v>
      </c>
      <c r="FJ110" s="118">
        <v>237203</v>
      </c>
      <c r="FK110" s="118">
        <v>237204</v>
      </c>
      <c r="FL110" s="118">
        <v>237205</v>
      </c>
      <c r="FM110" s="118">
        <v>237206</v>
      </c>
      <c r="FN110" s="118">
        <v>237299</v>
      </c>
      <c r="FO110" s="118">
        <v>238101</v>
      </c>
      <c r="FP110" s="118">
        <v>238201</v>
      </c>
      <c r="FQ110" s="118">
        <v>239101</v>
      </c>
      <c r="FR110" s="118">
        <v>239102</v>
      </c>
      <c r="FS110" s="118">
        <v>239201</v>
      </c>
      <c r="FT110" s="118">
        <v>239301</v>
      </c>
      <c r="FU110" s="118">
        <v>239401</v>
      </c>
      <c r="FV110" s="118">
        <v>239501</v>
      </c>
      <c r="FW110" s="118">
        <v>239601</v>
      </c>
      <c r="FX110" s="118">
        <v>239701</v>
      </c>
      <c r="FY110" s="118">
        <v>239801</v>
      </c>
      <c r="FZ110" s="118">
        <v>239802</v>
      </c>
      <c r="GA110" s="118">
        <v>239901</v>
      </c>
      <c r="GB110" s="118">
        <v>239904</v>
      </c>
      <c r="GC110" s="118">
        <v>241201</v>
      </c>
      <c r="GD110" s="118">
        <v>241202</v>
      </c>
      <c r="GE110" s="118">
        <v>241203</v>
      </c>
      <c r="GF110" s="118">
        <v>241204</v>
      </c>
      <c r="GG110" s="118">
        <v>241205</v>
      </c>
      <c r="GH110" s="118">
        <v>261101</v>
      </c>
      <c r="GI110" s="118">
        <v>261201</v>
      </c>
      <c r="GJ110" s="118">
        <v>261301</v>
      </c>
      <c r="GK110" s="118">
        <v>261401</v>
      </c>
      <c r="GL110" s="118">
        <v>261901</v>
      </c>
      <c r="GM110" s="118">
        <v>262101</v>
      </c>
      <c r="GN110" s="118">
        <v>262201</v>
      </c>
      <c r="GO110" s="118">
        <v>262301</v>
      </c>
      <c r="GP110" s="118">
        <v>262401</v>
      </c>
      <c r="GQ110" s="118">
        <v>263101</v>
      </c>
      <c r="GR110" s="118">
        <v>263201</v>
      </c>
      <c r="GS110" s="118">
        <v>263301</v>
      </c>
      <c r="GT110" s="118">
        <v>263401</v>
      </c>
      <c r="GU110" s="118">
        <v>264101</v>
      </c>
      <c r="GV110" s="118">
        <v>264201</v>
      </c>
      <c r="GW110" s="118">
        <v>264301</v>
      </c>
      <c r="GX110" s="118">
        <v>264401</v>
      </c>
      <c r="GY110" s="118">
        <v>264501</v>
      </c>
      <c r="GZ110" s="118">
        <v>264601</v>
      </c>
      <c r="HA110" s="118">
        <v>264701</v>
      </c>
      <c r="HB110" s="118">
        <v>264801</v>
      </c>
      <c r="HC110" s="118">
        <v>265101</v>
      </c>
      <c r="HD110" s="118">
        <v>265201</v>
      </c>
      <c r="HE110" s="118">
        <v>265301</v>
      </c>
      <c r="HF110" s="118">
        <v>265401</v>
      </c>
      <c r="HG110" s="118">
        <v>265501</v>
      </c>
      <c r="HH110" s="118">
        <v>265601</v>
      </c>
      <c r="HI110" s="118">
        <v>265701</v>
      </c>
      <c r="HJ110" s="118">
        <v>265801</v>
      </c>
      <c r="HK110" s="118">
        <v>266101</v>
      </c>
      <c r="HL110" s="118">
        <v>266201</v>
      </c>
      <c r="HM110" s="118">
        <v>267101</v>
      </c>
      <c r="HN110" s="118">
        <v>267201</v>
      </c>
      <c r="HO110" s="118">
        <v>267301</v>
      </c>
      <c r="HP110" s="118">
        <v>267401</v>
      </c>
      <c r="HQ110" s="118">
        <v>267501</v>
      </c>
      <c r="HR110" s="118">
        <v>267601</v>
      </c>
      <c r="HS110" s="118">
        <v>267701</v>
      </c>
      <c r="HT110" s="118">
        <v>267801</v>
      </c>
      <c r="HU110" s="118">
        <v>267901</v>
      </c>
      <c r="HV110" s="118">
        <v>268101</v>
      </c>
      <c r="HW110" s="118">
        <v>268201</v>
      </c>
      <c r="HX110" s="118">
        <v>268301</v>
      </c>
      <c r="HY110" s="118">
        <v>268302</v>
      </c>
      <c r="HZ110" s="118">
        <v>268401</v>
      </c>
      <c r="IA110" s="118">
        <v>268501</v>
      </c>
      <c r="IB110" s="118">
        <v>268601</v>
      </c>
      <c r="IC110" s="118">
        <v>268701</v>
      </c>
      <c r="ID110" s="118">
        <v>268802</v>
      </c>
      <c r="IE110" s="118">
        <v>268803</v>
      </c>
      <c r="IF110" s="118">
        <v>268804</v>
      </c>
      <c r="IG110" s="118">
        <v>268901</v>
      </c>
      <c r="IH110" s="118">
        <v>269101</v>
      </c>
      <c r="II110" s="118">
        <v>269102</v>
      </c>
      <c r="IJ110" s="118">
        <v>269201</v>
      </c>
      <c r="IK110" s="118">
        <v>269202</v>
      </c>
      <c r="IL110" s="118">
        <v>269301</v>
      </c>
      <c r="IM110" s="118">
        <v>269401</v>
      </c>
      <c r="IN110" s="118">
        <v>269501</v>
      </c>
      <c r="IO110" s="118">
        <v>269502</v>
      </c>
      <c r="IP110" s="118">
        <v>269503</v>
      </c>
      <c r="IQ110" s="118">
        <v>2269901</v>
      </c>
      <c r="IR110" s="118">
        <v>271101</v>
      </c>
      <c r="IS110" s="118">
        <v>271201</v>
      </c>
      <c r="IT110" s="118">
        <v>271301</v>
      </c>
      <c r="IU110" s="118">
        <v>271401</v>
      </c>
      <c r="IV110" s="118">
        <v>272101</v>
      </c>
      <c r="IW110" s="118">
        <v>272201</v>
      </c>
      <c r="IX110" s="118">
        <v>272301</v>
      </c>
      <c r="IY110" s="118">
        <v>272401</v>
      </c>
      <c r="IZ110" s="118">
        <v>272501</v>
      </c>
      <c r="JA110" s="118">
        <v>272601</v>
      </c>
      <c r="JB110" s="118">
        <v>272701</v>
      </c>
      <c r="JC110" s="118">
        <v>272801</v>
      </c>
      <c r="JD110" s="118">
        <v>272901</v>
      </c>
      <c r="JE110" s="118">
        <v>273101</v>
      </c>
      <c r="JF110" s="118">
        <v>273201</v>
      </c>
      <c r="JG110" s="118">
        <v>274101</v>
      </c>
      <c r="JH110" s="118">
        <v>274201</v>
      </c>
      <c r="JI110" s="120" t="s">
        <v>0</v>
      </c>
      <c r="JJ110" s="1"/>
      <c r="JK110" s="2"/>
      <c r="JL110" s="1"/>
      <c r="JM110" s="1"/>
      <c r="JN110" s="1"/>
      <c r="JO110" s="1"/>
      <c r="JP110" s="1"/>
    </row>
    <row r="111" spans="1:276" x14ac:dyDescent="0.25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19">
        <f>SUM(A111:JH111)</f>
        <v>0</v>
      </c>
      <c r="JJ111" s="1"/>
      <c r="JK111" s="2"/>
      <c r="JL111" s="1"/>
      <c r="JM111" s="1"/>
      <c r="JN111" s="1"/>
      <c r="JO111" s="1"/>
      <c r="JP111" s="1"/>
    </row>
    <row r="112" spans="1:276" x14ac:dyDescent="0.25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19">
        <f t="shared" ref="JI112:JI124" si="8">SUM(A112:JH112)</f>
        <v>0</v>
      </c>
      <c r="JJ112" s="1"/>
      <c r="JK112" s="2"/>
      <c r="JL112" s="1"/>
      <c r="JM112" s="1"/>
      <c r="JN112" s="1"/>
      <c r="JO112" s="1"/>
      <c r="JP112" s="1"/>
    </row>
    <row r="113" spans="1:276" x14ac:dyDescent="0.25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19">
        <f t="shared" si="8"/>
        <v>0</v>
      </c>
      <c r="JJ113" s="1"/>
      <c r="JK113" s="2"/>
      <c r="JL113" s="1"/>
      <c r="JM113" s="1"/>
      <c r="JN113" s="1"/>
      <c r="JO113" s="1"/>
      <c r="JP113" s="1"/>
    </row>
    <row r="114" spans="1:276" x14ac:dyDescent="0.25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19">
        <f t="shared" si="8"/>
        <v>0</v>
      </c>
      <c r="JJ114" s="1"/>
      <c r="JK114" s="2"/>
      <c r="JL114" s="1"/>
      <c r="JM114" s="1"/>
      <c r="JN114" s="1"/>
      <c r="JO114" s="1"/>
      <c r="JP114" s="1"/>
    </row>
    <row r="115" spans="1:276" x14ac:dyDescent="0.2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S115" s="122"/>
      <c r="GT115" s="122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T115" s="122"/>
      <c r="HU115" s="122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U115" s="122"/>
      <c r="IV115" s="122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19">
        <f t="shared" si="8"/>
        <v>0</v>
      </c>
      <c r="JJ115" s="1"/>
      <c r="JK115" s="2"/>
      <c r="JL115" s="1"/>
      <c r="JM115" s="1"/>
      <c r="JN115" s="1"/>
      <c r="JO115" s="1"/>
      <c r="JP115" s="1"/>
    </row>
    <row r="116" spans="1:276" x14ac:dyDescent="0.25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S116" s="122"/>
      <c r="GT116" s="122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T116" s="122"/>
      <c r="HU116" s="122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U116" s="122"/>
      <c r="IV116" s="122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19">
        <f t="shared" si="8"/>
        <v>0</v>
      </c>
      <c r="JJ116" s="1"/>
      <c r="JK116" s="2"/>
      <c r="JL116" s="1"/>
      <c r="JM116" s="1"/>
      <c r="JN116" s="1"/>
      <c r="JO116" s="1"/>
      <c r="JP116" s="1"/>
    </row>
    <row r="117" spans="1:276" x14ac:dyDescent="0.25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S117" s="122"/>
      <c r="GT117" s="122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T117" s="122"/>
      <c r="HU117" s="122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U117" s="122"/>
      <c r="IV117" s="122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19">
        <f t="shared" si="8"/>
        <v>0</v>
      </c>
      <c r="JJ117" s="1"/>
      <c r="JK117" s="2"/>
      <c r="JL117" s="1"/>
      <c r="JM117" s="1"/>
      <c r="JN117" s="1"/>
      <c r="JO117" s="1"/>
      <c r="JP117" s="1"/>
    </row>
    <row r="118" spans="1:276" x14ac:dyDescent="0.25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  <c r="GJ118" s="122"/>
      <c r="GK118" s="122"/>
      <c r="GL118" s="122"/>
      <c r="GM118" s="122"/>
      <c r="GN118" s="122"/>
      <c r="GO118" s="122"/>
      <c r="GP118" s="122"/>
      <c r="GQ118" s="122"/>
      <c r="GR118" s="122"/>
      <c r="GS118" s="122"/>
      <c r="GT118" s="122"/>
      <c r="GU118" s="122"/>
      <c r="GV118" s="122"/>
      <c r="GW118" s="122"/>
      <c r="GX118" s="122"/>
      <c r="GY118" s="122"/>
      <c r="GZ118" s="122"/>
      <c r="HA118" s="122"/>
      <c r="HB118" s="122"/>
      <c r="HC118" s="122"/>
      <c r="HD118" s="122"/>
      <c r="HE118" s="122"/>
      <c r="HF118" s="122"/>
      <c r="HG118" s="122"/>
      <c r="HH118" s="122"/>
      <c r="HI118" s="122"/>
      <c r="HJ118" s="122"/>
      <c r="HK118" s="122"/>
      <c r="HL118" s="122"/>
      <c r="HM118" s="122"/>
      <c r="HN118" s="122"/>
      <c r="HO118" s="122"/>
      <c r="HP118" s="122"/>
      <c r="HQ118" s="122"/>
      <c r="HR118" s="122"/>
      <c r="HS118" s="122"/>
      <c r="HT118" s="122"/>
      <c r="HU118" s="122"/>
      <c r="HV118" s="122"/>
      <c r="HW118" s="122"/>
      <c r="HX118" s="122"/>
      <c r="HY118" s="122"/>
      <c r="HZ118" s="122"/>
      <c r="IA118" s="122"/>
      <c r="IB118" s="122"/>
      <c r="IC118" s="122"/>
      <c r="ID118" s="122"/>
      <c r="IE118" s="122"/>
      <c r="IF118" s="122"/>
      <c r="IG118" s="122"/>
      <c r="IH118" s="122"/>
      <c r="II118" s="122"/>
      <c r="IJ118" s="122"/>
      <c r="IK118" s="122"/>
      <c r="IL118" s="122"/>
      <c r="IM118" s="122"/>
      <c r="IN118" s="122"/>
      <c r="IO118" s="122"/>
      <c r="IP118" s="122"/>
      <c r="IQ118" s="122"/>
      <c r="IR118" s="122"/>
      <c r="IS118" s="122"/>
      <c r="IT118" s="122"/>
      <c r="IU118" s="122"/>
      <c r="IV118" s="122"/>
      <c r="IW118" s="122"/>
      <c r="IX118" s="122"/>
      <c r="IY118" s="122"/>
      <c r="IZ118" s="122"/>
      <c r="JA118" s="122"/>
      <c r="JB118" s="122"/>
      <c r="JC118" s="122"/>
      <c r="JD118" s="122"/>
      <c r="JE118" s="122"/>
      <c r="JF118" s="122"/>
      <c r="JG118" s="122"/>
      <c r="JH118" s="122"/>
      <c r="JI118" s="119">
        <f t="shared" si="8"/>
        <v>0</v>
      </c>
      <c r="JJ118" s="1"/>
      <c r="JK118" s="2"/>
      <c r="JL118" s="1"/>
      <c r="JM118" s="1"/>
      <c r="JN118" s="1"/>
      <c r="JO118" s="1"/>
      <c r="JP118" s="1"/>
    </row>
    <row r="119" spans="1:276" x14ac:dyDescent="0.25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  <c r="GJ119" s="122"/>
      <c r="GK119" s="122"/>
      <c r="GL119" s="122"/>
      <c r="GM119" s="122"/>
      <c r="GN119" s="122"/>
      <c r="GO119" s="122"/>
      <c r="GP119" s="122"/>
      <c r="GQ119" s="122"/>
      <c r="GR119" s="122"/>
      <c r="GS119" s="122"/>
      <c r="GT119" s="122"/>
      <c r="GU119" s="122"/>
      <c r="GV119" s="122"/>
      <c r="GW119" s="122"/>
      <c r="GX119" s="122"/>
      <c r="GY119" s="122"/>
      <c r="GZ119" s="122"/>
      <c r="HA119" s="122"/>
      <c r="HB119" s="122"/>
      <c r="HC119" s="122"/>
      <c r="HD119" s="122"/>
      <c r="HE119" s="122"/>
      <c r="HF119" s="122"/>
      <c r="HG119" s="122"/>
      <c r="HH119" s="122"/>
      <c r="HI119" s="122"/>
      <c r="HJ119" s="122"/>
      <c r="HK119" s="122"/>
      <c r="HL119" s="122"/>
      <c r="HM119" s="122"/>
      <c r="HN119" s="122"/>
      <c r="HO119" s="122"/>
      <c r="HP119" s="122"/>
      <c r="HQ119" s="122"/>
      <c r="HR119" s="122"/>
      <c r="HS119" s="122"/>
      <c r="HT119" s="122"/>
      <c r="HU119" s="122"/>
      <c r="HV119" s="122"/>
      <c r="HW119" s="122"/>
      <c r="HX119" s="122"/>
      <c r="HY119" s="122"/>
      <c r="HZ119" s="122"/>
      <c r="IA119" s="122"/>
      <c r="IB119" s="122"/>
      <c r="IC119" s="122"/>
      <c r="ID119" s="122"/>
      <c r="IE119" s="122"/>
      <c r="IF119" s="122"/>
      <c r="IG119" s="122"/>
      <c r="IH119" s="122"/>
      <c r="II119" s="122"/>
      <c r="IJ119" s="122"/>
      <c r="IK119" s="122"/>
      <c r="IL119" s="122"/>
      <c r="IM119" s="122"/>
      <c r="IN119" s="122"/>
      <c r="IO119" s="122"/>
      <c r="IP119" s="122"/>
      <c r="IQ119" s="122"/>
      <c r="IR119" s="122"/>
      <c r="IS119" s="122"/>
      <c r="IT119" s="122"/>
      <c r="IU119" s="122"/>
      <c r="IV119" s="122"/>
      <c r="IW119" s="122"/>
      <c r="IX119" s="122"/>
      <c r="IY119" s="122"/>
      <c r="IZ119" s="122"/>
      <c r="JA119" s="122"/>
      <c r="JB119" s="122"/>
      <c r="JC119" s="122"/>
      <c r="JD119" s="122"/>
      <c r="JE119" s="122"/>
      <c r="JF119" s="122"/>
      <c r="JG119" s="122"/>
      <c r="JH119" s="122"/>
      <c r="JI119" s="119">
        <f t="shared" si="8"/>
        <v>0</v>
      </c>
      <c r="JJ119" s="1"/>
      <c r="JK119" s="2"/>
      <c r="JL119" s="1"/>
      <c r="JM119" s="1"/>
      <c r="JN119" s="1"/>
      <c r="JO119" s="1"/>
      <c r="JP119" s="1"/>
    </row>
    <row r="120" spans="1:276" x14ac:dyDescent="0.25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  <c r="GJ120" s="122"/>
      <c r="GK120" s="122"/>
      <c r="GL120" s="122"/>
      <c r="GM120" s="122"/>
      <c r="GN120" s="122"/>
      <c r="GO120" s="122"/>
      <c r="GP120" s="122"/>
      <c r="GQ120" s="122"/>
      <c r="GR120" s="122"/>
      <c r="GS120" s="122"/>
      <c r="GT120" s="122"/>
      <c r="GU120" s="122"/>
      <c r="GV120" s="122"/>
      <c r="GW120" s="122"/>
      <c r="GX120" s="122"/>
      <c r="GY120" s="122"/>
      <c r="GZ120" s="122"/>
      <c r="HA120" s="122"/>
      <c r="HB120" s="122"/>
      <c r="HC120" s="122"/>
      <c r="HD120" s="122"/>
      <c r="HE120" s="122"/>
      <c r="HF120" s="122"/>
      <c r="HG120" s="122"/>
      <c r="HH120" s="122"/>
      <c r="HI120" s="122"/>
      <c r="HJ120" s="122"/>
      <c r="HK120" s="122"/>
      <c r="HL120" s="122"/>
      <c r="HM120" s="122"/>
      <c r="HN120" s="122"/>
      <c r="HO120" s="122"/>
      <c r="HP120" s="122"/>
      <c r="HQ120" s="122"/>
      <c r="HR120" s="122"/>
      <c r="HS120" s="122"/>
      <c r="HT120" s="122"/>
      <c r="HU120" s="122"/>
      <c r="HV120" s="122"/>
      <c r="HW120" s="122"/>
      <c r="HX120" s="122"/>
      <c r="HY120" s="122"/>
      <c r="HZ120" s="122"/>
      <c r="IA120" s="122"/>
      <c r="IB120" s="122"/>
      <c r="IC120" s="122"/>
      <c r="ID120" s="122"/>
      <c r="IE120" s="122"/>
      <c r="IF120" s="122"/>
      <c r="IG120" s="122"/>
      <c r="IH120" s="122"/>
      <c r="II120" s="122"/>
      <c r="IJ120" s="122"/>
      <c r="IK120" s="122"/>
      <c r="IL120" s="122"/>
      <c r="IM120" s="122"/>
      <c r="IN120" s="122"/>
      <c r="IO120" s="122"/>
      <c r="IP120" s="122"/>
      <c r="IQ120" s="122"/>
      <c r="IR120" s="122"/>
      <c r="IS120" s="122"/>
      <c r="IT120" s="122"/>
      <c r="IU120" s="122"/>
      <c r="IV120" s="122"/>
      <c r="IW120" s="122"/>
      <c r="IX120" s="122"/>
      <c r="IY120" s="122"/>
      <c r="IZ120" s="122"/>
      <c r="JA120" s="122"/>
      <c r="JB120" s="122"/>
      <c r="JC120" s="122"/>
      <c r="JD120" s="122"/>
      <c r="JE120" s="122"/>
      <c r="JF120" s="122"/>
      <c r="JG120" s="122"/>
      <c r="JH120" s="122"/>
      <c r="JI120" s="119">
        <f t="shared" si="8"/>
        <v>0</v>
      </c>
      <c r="JJ120" s="1"/>
      <c r="JK120" s="2"/>
      <c r="JL120" s="1"/>
      <c r="JM120" s="1"/>
      <c r="JN120" s="1"/>
      <c r="JO120" s="1"/>
      <c r="JP120" s="1"/>
    </row>
    <row r="121" spans="1:276" x14ac:dyDescent="0.25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  <c r="GJ121" s="122"/>
      <c r="GK121" s="122"/>
      <c r="GL121" s="122"/>
      <c r="GM121" s="122"/>
      <c r="GN121" s="122"/>
      <c r="GO121" s="122"/>
      <c r="GP121" s="122"/>
      <c r="GQ121" s="122"/>
      <c r="GR121" s="122"/>
      <c r="GS121" s="122"/>
      <c r="GT121" s="122"/>
      <c r="GU121" s="122"/>
      <c r="GV121" s="122"/>
      <c r="GW121" s="122"/>
      <c r="GX121" s="122"/>
      <c r="GY121" s="122"/>
      <c r="GZ121" s="122"/>
      <c r="HA121" s="122"/>
      <c r="HB121" s="122"/>
      <c r="HC121" s="122"/>
      <c r="HD121" s="122"/>
      <c r="HE121" s="122"/>
      <c r="HF121" s="122"/>
      <c r="HG121" s="122"/>
      <c r="HH121" s="122"/>
      <c r="HI121" s="122"/>
      <c r="HJ121" s="122"/>
      <c r="HK121" s="122"/>
      <c r="HL121" s="122"/>
      <c r="HM121" s="122"/>
      <c r="HN121" s="122"/>
      <c r="HO121" s="122"/>
      <c r="HP121" s="122"/>
      <c r="HQ121" s="122"/>
      <c r="HR121" s="122"/>
      <c r="HS121" s="122"/>
      <c r="HT121" s="122"/>
      <c r="HU121" s="122"/>
      <c r="HV121" s="122"/>
      <c r="HW121" s="122"/>
      <c r="HX121" s="122"/>
      <c r="HY121" s="122"/>
      <c r="HZ121" s="122"/>
      <c r="IA121" s="122"/>
      <c r="IB121" s="122"/>
      <c r="IC121" s="122"/>
      <c r="ID121" s="122"/>
      <c r="IE121" s="122"/>
      <c r="IF121" s="122"/>
      <c r="IG121" s="122"/>
      <c r="IH121" s="122"/>
      <c r="II121" s="122"/>
      <c r="IJ121" s="122"/>
      <c r="IK121" s="122"/>
      <c r="IL121" s="122"/>
      <c r="IM121" s="122"/>
      <c r="IN121" s="122"/>
      <c r="IO121" s="122"/>
      <c r="IP121" s="122"/>
      <c r="IQ121" s="122"/>
      <c r="IR121" s="122"/>
      <c r="IS121" s="122"/>
      <c r="IT121" s="122"/>
      <c r="IU121" s="122"/>
      <c r="IV121" s="122"/>
      <c r="IW121" s="122"/>
      <c r="IX121" s="122"/>
      <c r="IY121" s="122"/>
      <c r="IZ121" s="122"/>
      <c r="JA121" s="122"/>
      <c r="JB121" s="122"/>
      <c r="JC121" s="122"/>
      <c r="JD121" s="122"/>
      <c r="JE121" s="122"/>
      <c r="JF121" s="122"/>
      <c r="JG121" s="122"/>
      <c r="JH121" s="122"/>
      <c r="JI121" s="119">
        <f t="shared" si="8"/>
        <v>0</v>
      </c>
      <c r="JJ121" s="1"/>
      <c r="JK121" s="2"/>
      <c r="JL121" s="1"/>
      <c r="JM121" s="1"/>
      <c r="JN121" s="1"/>
      <c r="JO121" s="1"/>
      <c r="JP121" s="1"/>
    </row>
    <row r="122" spans="1:276" x14ac:dyDescent="0.25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  <c r="HL122" s="122"/>
      <c r="HM122" s="122"/>
      <c r="HN122" s="122"/>
      <c r="HO122" s="122"/>
      <c r="HP122" s="122"/>
      <c r="HQ122" s="122"/>
      <c r="HR122" s="122"/>
      <c r="HS122" s="122"/>
      <c r="HT122" s="122"/>
      <c r="HU122" s="122"/>
      <c r="HV122" s="122"/>
      <c r="HW122" s="122"/>
      <c r="HX122" s="122"/>
      <c r="HY122" s="122"/>
      <c r="HZ122" s="122"/>
      <c r="IA122" s="122"/>
      <c r="IB122" s="122"/>
      <c r="IC122" s="122"/>
      <c r="ID122" s="122"/>
      <c r="IE122" s="122"/>
      <c r="IF122" s="122"/>
      <c r="IG122" s="122"/>
      <c r="IH122" s="122"/>
      <c r="II122" s="122"/>
      <c r="IJ122" s="122"/>
      <c r="IK122" s="122"/>
      <c r="IL122" s="122"/>
      <c r="IM122" s="122"/>
      <c r="IN122" s="122"/>
      <c r="IO122" s="122"/>
      <c r="IP122" s="122"/>
      <c r="IQ122" s="122"/>
      <c r="IR122" s="122"/>
      <c r="IS122" s="122"/>
      <c r="IT122" s="122"/>
      <c r="IU122" s="122"/>
      <c r="IV122" s="122"/>
      <c r="IW122" s="122"/>
      <c r="IX122" s="122"/>
      <c r="IY122" s="122"/>
      <c r="IZ122" s="122"/>
      <c r="JA122" s="122"/>
      <c r="JB122" s="122"/>
      <c r="JC122" s="122"/>
      <c r="JD122" s="122"/>
      <c r="JE122" s="122"/>
      <c r="JF122" s="122"/>
      <c r="JG122" s="122"/>
      <c r="JH122" s="122"/>
      <c r="JI122" s="119">
        <f t="shared" si="8"/>
        <v>0</v>
      </c>
      <c r="JJ122" s="1"/>
      <c r="JK122" s="2"/>
      <c r="JL122" s="1"/>
      <c r="JM122" s="1"/>
      <c r="JN122" s="1"/>
      <c r="JO122" s="1"/>
      <c r="JP122" s="1"/>
    </row>
    <row r="123" spans="1:276" x14ac:dyDescent="0.25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  <c r="GJ123" s="122"/>
      <c r="GK123" s="122"/>
      <c r="GL123" s="122"/>
      <c r="GM123" s="122"/>
      <c r="GN123" s="122"/>
      <c r="GO123" s="122"/>
      <c r="GP123" s="122"/>
      <c r="GQ123" s="122"/>
      <c r="GR123" s="122"/>
      <c r="GS123" s="122"/>
      <c r="GT123" s="122"/>
      <c r="GU123" s="122"/>
      <c r="GV123" s="122"/>
      <c r="GW123" s="122"/>
      <c r="GX123" s="122"/>
      <c r="GY123" s="122"/>
      <c r="GZ123" s="122"/>
      <c r="HA123" s="122"/>
      <c r="HB123" s="122"/>
      <c r="HC123" s="122"/>
      <c r="HD123" s="122"/>
      <c r="HE123" s="122"/>
      <c r="HF123" s="122"/>
      <c r="HG123" s="122"/>
      <c r="HH123" s="122"/>
      <c r="HI123" s="122"/>
      <c r="HJ123" s="122"/>
      <c r="HK123" s="122"/>
      <c r="HL123" s="122"/>
      <c r="HM123" s="122"/>
      <c r="HN123" s="122"/>
      <c r="HO123" s="122"/>
      <c r="HP123" s="122"/>
      <c r="HQ123" s="122"/>
      <c r="HR123" s="122"/>
      <c r="HS123" s="122"/>
      <c r="HT123" s="122"/>
      <c r="HU123" s="122"/>
      <c r="HV123" s="122"/>
      <c r="HW123" s="122"/>
      <c r="HX123" s="122"/>
      <c r="HY123" s="122"/>
      <c r="HZ123" s="122"/>
      <c r="IA123" s="122"/>
      <c r="IB123" s="122"/>
      <c r="IC123" s="122"/>
      <c r="ID123" s="122"/>
      <c r="IE123" s="122"/>
      <c r="IF123" s="122"/>
      <c r="IG123" s="122"/>
      <c r="IH123" s="122"/>
      <c r="II123" s="122"/>
      <c r="IJ123" s="122"/>
      <c r="IK123" s="122"/>
      <c r="IL123" s="122"/>
      <c r="IM123" s="122"/>
      <c r="IN123" s="122"/>
      <c r="IO123" s="122"/>
      <c r="IP123" s="122"/>
      <c r="IQ123" s="122"/>
      <c r="IR123" s="122"/>
      <c r="IS123" s="122"/>
      <c r="IT123" s="122"/>
      <c r="IU123" s="122"/>
      <c r="IV123" s="122"/>
      <c r="IW123" s="122"/>
      <c r="IX123" s="122"/>
      <c r="IY123" s="122"/>
      <c r="IZ123" s="122"/>
      <c r="JA123" s="122"/>
      <c r="JB123" s="122"/>
      <c r="JC123" s="122"/>
      <c r="JD123" s="122"/>
      <c r="JE123" s="122"/>
      <c r="JF123" s="122"/>
      <c r="JG123" s="122"/>
      <c r="JH123" s="122"/>
      <c r="JI123" s="119">
        <f t="shared" si="8"/>
        <v>0</v>
      </c>
      <c r="JJ123" s="1"/>
      <c r="JK123" s="2"/>
      <c r="JL123" s="1"/>
      <c r="JM123" s="1"/>
      <c r="JN123" s="1"/>
      <c r="JO123" s="1"/>
      <c r="JP123" s="1"/>
    </row>
    <row r="124" spans="1:276" x14ac:dyDescent="0.25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  <c r="GJ124" s="122"/>
      <c r="GK124" s="122"/>
      <c r="GL124" s="122"/>
      <c r="GM124" s="122"/>
      <c r="GN124" s="122"/>
      <c r="GO124" s="122"/>
      <c r="GP124" s="122"/>
      <c r="GQ124" s="122"/>
      <c r="GR124" s="122"/>
      <c r="GS124" s="122"/>
      <c r="GT124" s="122"/>
      <c r="GU124" s="122"/>
      <c r="GV124" s="122"/>
      <c r="GW124" s="122"/>
      <c r="GX124" s="122"/>
      <c r="GY124" s="122"/>
      <c r="GZ124" s="122"/>
      <c r="HA124" s="122"/>
      <c r="HB124" s="122"/>
      <c r="HC124" s="122"/>
      <c r="HD124" s="122"/>
      <c r="HE124" s="122"/>
      <c r="HF124" s="122"/>
      <c r="HG124" s="122"/>
      <c r="HH124" s="122"/>
      <c r="HI124" s="122"/>
      <c r="HJ124" s="122"/>
      <c r="HK124" s="122"/>
      <c r="HL124" s="122"/>
      <c r="HM124" s="122"/>
      <c r="HN124" s="122"/>
      <c r="HO124" s="122"/>
      <c r="HP124" s="122"/>
      <c r="HQ124" s="122"/>
      <c r="HR124" s="122"/>
      <c r="HS124" s="122"/>
      <c r="HT124" s="122"/>
      <c r="HU124" s="122"/>
      <c r="HV124" s="122"/>
      <c r="HW124" s="122"/>
      <c r="HX124" s="122"/>
      <c r="HY124" s="122"/>
      <c r="HZ124" s="122"/>
      <c r="IA124" s="122"/>
      <c r="IB124" s="122"/>
      <c r="IC124" s="122"/>
      <c r="ID124" s="122"/>
      <c r="IE124" s="122"/>
      <c r="IF124" s="122"/>
      <c r="IG124" s="122"/>
      <c r="IH124" s="122"/>
      <c r="II124" s="122"/>
      <c r="IJ124" s="122"/>
      <c r="IK124" s="122"/>
      <c r="IL124" s="122"/>
      <c r="IM124" s="122"/>
      <c r="IN124" s="122"/>
      <c r="IO124" s="122"/>
      <c r="IP124" s="122"/>
      <c r="IQ124" s="122"/>
      <c r="IR124" s="122"/>
      <c r="IS124" s="122"/>
      <c r="IT124" s="122"/>
      <c r="IU124" s="122"/>
      <c r="IV124" s="122"/>
      <c r="IW124" s="122"/>
      <c r="IX124" s="122"/>
      <c r="IY124" s="122"/>
      <c r="IZ124" s="122"/>
      <c r="JA124" s="122"/>
      <c r="JB124" s="122"/>
      <c r="JC124" s="122"/>
      <c r="JD124" s="122"/>
      <c r="JE124" s="122"/>
      <c r="JF124" s="122"/>
      <c r="JG124" s="122"/>
      <c r="JH124" s="122"/>
      <c r="JI124" s="119">
        <f t="shared" si="8"/>
        <v>0</v>
      </c>
      <c r="JJ124" s="1"/>
      <c r="JK124" s="2"/>
      <c r="JL124" s="1"/>
      <c r="JM124" s="1"/>
      <c r="JN124" s="1"/>
      <c r="JO124" s="1"/>
      <c r="JP124" s="1"/>
    </row>
    <row r="125" spans="1:276" x14ac:dyDescent="0.25">
      <c r="A125" s="119">
        <f>SUM(A111:A124)</f>
        <v>0</v>
      </c>
      <c r="B125" s="119">
        <f t="shared" ref="B125:BM125" si="9">SUM(B111:B124)</f>
        <v>0</v>
      </c>
      <c r="C125" s="119">
        <f t="shared" si="9"/>
        <v>0</v>
      </c>
      <c r="D125" s="119">
        <f t="shared" si="9"/>
        <v>0</v>
      </c>
      <c r="E125" s="119">
        <f t="shared" si="9"/>
        <v>0</v>
      </c>
      <c r="F125" s="119">
        <f t="shared" si="9"/>
        <v>0</v>
      </c>
      <c r="G125" s="119">
        <f t="shared" si="9"/>
        <v>0</v>
      </c>
      <c r="H125" s="119">
        <f t="shared" si="9"/>
        <v>0</v>
      </c>
      <c r="I125" s="119">
        <f t="shared" si="9"/>
        <v>0</v>
      </c>
      <c r="J125" s="119">
        <f t="shared" si="9"/>
        <v>0</v>
      </c>
      <c r="K125" s="119">
        <f t="shared" si="9"/>
        <v>0</v>
      </c>
      <c r="L125" s="119">
        <f t="shared" si="9"/>
        <v>0</v>
      </c>
      <c r="M125" s="119">
        <f t="shared" si="9"/>
        <v>0</v>
      </c>
      <c r="N125" s="119">
        <f t="shared" si="9"/>
        <v>0</v>
      </c>
      <c r="O125" s="119">
        <f t="shared" si="9"/>
        <v>0</v>
      </c>
      <c r="P125" s="119">
        <f t="shared" si="9"/>
        <v>0</v>
      </c>
      <c r="Q125" s="119">
        <f t="shared" si="9"/>
        <v>0</v>
      </c>
      <c r="R125" s="119">
        <f t="shared" si="9"/>
        <v>0</v>
      </c>
      <c r="S125" s="119">
        <f t="shared" si="9"/>
        <v>0</v>
      </c>
      <c r="T125" s="119">
        <f t="shared" si="9"/>
        <v>0</v>
      </c>
      <c r="U125" s="119">
        <f t="shared" si="9"/>
        <v>0</v>
      </c>
      <c r="V125" s="119">
        <f t="shared" si="9"/>
        <v>0</v>
      </c>
      <c r="W125" s="119">
        <f t="shared" si="9"/>
        <v>0</v>
      </c>
      <c r="X125" s="119">
        <f t="shared" si="9"/>
        <v>0</v>
      </c>
      <c r="Y125" s="119">
        <f t="shared" si="9"/>
        <v>0</v>
      </c>
      <c r="Z125" s="119">
        <f t="shared" si="9"/>
        <v>0</v>
      </c>
      <c r="AA125" s="119">
        <f t="shared" si="9"/>
        <v>0</v>
      </c>
      <c r="AB125" s="119">
        <f t="shared" si="9"/>
        <v>0</v>
      </c>
      <c r="AC125" s="119">
        <f t="shared" si="9"/>
        <v>0</v>
      </c>
      <c r="AD125" s="119">
        <f t="shared" si="9"/>
        <v>0</v>
      </c>
      <c r="AE125" s="119">
        <f t="shared" si="9"/>
        <v>0</v>
      </c>
      <c r="AF125" s="119">
        <f t="shared" si="9"/>
        <v>0</v>
      </c>
      <c r="AG125" s="119">
        <f t="shared" si="9"/>
        <v>0</v>
      </c>
      <c r="AH125" s="119">
        <f t="shared" si="9"/>
        <v>0</v>
      </c>
      <c r="AI125" s="119">
        <f t="shared" si="9"/>
        <v>0</v>
      </c>
      <c r="AJ125" s="119">
        <f t="shared" si="9"/>
        <v>0</v>
      </c>
      <c r="AK125" s="119">
        <f t="shared" si="9"/>
        <v>0</v>
      </c>
      <c r="AL125" s="119">
        <f t="shared" si="9"/>
        <v>0</v>
      </c>
      <c r="AM125" s="119">
        <f t="shared" si="9"/>
        <v>0</v>
      </c>
      <c r="AN125" s="119">
        <f t="shared" si="9"/>
        <v>0</v>
      </c>
      <c r="AO125" s="119">
        <f t="shared" si="9"/>
        <v>0</v>
      </c>
      <c r="AP125" s="119">
        <f t="shared" si="9"/>
        <v>0</v>
      </c>
      <c r="AQ125" s="119">
        <f t="shared" si="9"/>
        <v>0</v>
      </c>
      <c r="AR125" s="119">
        <f t="shared" si="9"/>
        <v>0</v>
      </c>
      <c r="AS125" s="119">
        <f t="shared" si="9"/>
        <v>0</v>
      </c>
      <c r="AT125" s="119">
        <f t="shared" si="9"/>
        <v>0</v>
      </c>
      <c r="AU125" s="119">
        <f t="shared" si="9"/>
        <v>0</v>
      </c>
      <c r="AV125" s="119">
        <f t="shared" si="9"/>
        <v>0</v>
      </c>
      <c r="AW125" s="119">
        <f t="shared" si="9"/>
        <v>0</v>
      </c>
      <c r="AX125" s="119">
        <f t="shared" si="9"/>
        <v>0</v>
      </c>
      <c r="AY125" s="119">
        <f t="shared" si="9"/>
        <v>0</v>
      </c>
      <c r="AZ125" s="119">
        <f t="shared" si="9"/>
        <v>0</v>
      </c>
      <c r="BA125" s="119">
        <f t="shared" si="9"/>
        <v>0</v>
      </c>
      <c r="BB125" s="119">
        <f t="shared" si="9"/>
        <v>0</v>
      </c>
      <c r="BC125" s="119">
        <f t="shared" si="9"/>
        <v>0</v>
      </c>
      <c r="BD125" s="119">
        <f t="shared" si="9"/>
        <v>0</v>
      </c>
      <c r="BE125" s="119">
        <f t="shared" si="9"/>
        <v>0</v>
      </c>
      <c r="BF125" s="119">
        <f t="shared" si="9"/>
        <v>0</v>
      </c>
      <c r="BG125" s="119">
        <f t="shared" si="9"/>
        <v>0</v>
      </c>
      <c r="BH125" s="119">
        <f t="shared" si="9"/>
        <v>0</v>
      </c>
      <c r="BI125" s="119">
        <f t="shared" si="9"/>
        <v>0</v>
      </c>
      <c r="BJ125" s="119">
        <f t="shared" si="9"/>
        <v>0</v>
      </c>
      <c r="BK125" s="119">
        <f t="shared" si="9"/>
        <v>0</v>
      </c>
      <c r="BL125" s="119">
        <f t="shared" si="9"/>
        <v>0</v>
      </c>
      <c r="BM125" s="119">
        <f t="shared" si="9"/>
        <v>0</v>
      </c>
      <c r="BN125" s="119">
        <f t="shared" ref="BN125:DY125" si="10">SUM(BN111:BN124)</f>
        <v>0</v>
      </c>
      <c r="BO125" s="119">
        <f t="shared" si="10"/>
        <v>0</v>
      </c>
      <c r="BP125" s="119">
        <f t="shared" si="10"/>
        <v>0</v>
      </c>
      <c r="BQ125" s="119">
        <f t="shared" si="10"/>
        <v>0</v>
      </c>
      <c r="BR125" s="119">
        <f t="shared" si="10"/>
        <v>0</v>
      </c>
      <c r="BS125" s="119">
        <f t="shared" si="10"/>
        <v>0</v>
      </c>
      <c r="BT125" s="119">
        <f t="shared" si="10"/>
        <v>0</v>
      </c>
      <c r="BU125" s="119">
        <f t="shared" si="10"/>
        <v>0</v>
      </c>
      <c r="BV125" s="119">
        <f t="shared" si="10"/>
        <v>0</v>
      </c>
      <c r="BW125" s="119">
        <f t="shared" si="10"/>
        <v>0</v>
      </c>
      <c r="BX125" s="119">
        <f t="shared" si="10"/>
        <v>0</v>
      </c>
      <c r="BY125" s="119">
        <f t="shared" si="10"/>
        <v>0</v>
      </c>
      <c r="BZ125" s="119">
        <f t="shared" si="10"/>
        <v>0</v>
      </c>
      <c r="CA125" s="119">
        <f t="shared" si="10"/>
        <v>0</v>
      </c>
      <c r="CB125" s="119">
        <f t="shared" si="10"/>
        <v>0</v>
      </c>
      <c r="CC125" s="119">
        <f t="shared" si="10"/>
        <v>0</v>
      </c>
      <c r="CD125" s="119">
        <f t="shared" si="10"/>
        <v>0</v>
      </c>
      <c r="CE125" s="119">
        <f t="shared" si="10"/>
        <v>0</v>
      </c>
      <c r="CF125" s="119">
        <f t="shared" si="10"/>
        <v>0</v>
      </c>
      <c r="CG125" s="119">
        <f t="shared" si="10"/>
        <v>0</v>
      </c>
      <c r="CH125" s="119">
        <f t="shared" si="10"/>
        <v>0</v>
      </c>
      <c r="CI125" s="119">
        <f t="shared" si="10"/>
        <v>0</v>
      </c>
      <c r="CJ125" s="119">
        <f t="shared" si="10"/>
        <v>0</v>
      </c>
      <c r="CK125" s="119">
        <f t="shared" si="10"/>
        <v>0</v>
      </c>
      <c r="CL125" s="119">
        <f t="shared" si="10"/>
        <v>0</v>
      </c>
      <c r="CM125" s="119">
        <f t="shared" si="10"/>
        <v>0</v>
      </c>
      <c r="CN125" s="119">
        <f t="shared" si="10"/>
        <v>0</v>
      </c>
      <c r="CO125" s="119">
        <f t="shared" si="10"/>
        <v>0</v>
      </c>
      <c r="CP125" s="119">
        <f t="shared" si="10"/>
        <v>0</v>
      </c>
      <c r="CQ125" s="119">
        <f t="shared" si="10"/>
        <v>0</v>
      </c>
      <c r="CR125" s="119">
        <f t="shared" si="10"/>
        <v>0</v>
      </c>
      <c r="CS125" s="119">
        <f t="shared" si="10"/>
        <v>0</v>
      </c>
      <c r="CT125" s="119">
        <f t="shared" si="10"/>
        <v>0</v>
      </c>
      <c r="CU125" s="119">
        <f t="shared" si="10"/>
        <v>0</v>
      </c>
      <c r="CV125" s="119">
        <f t="shared" si="10"/>
        <v>0</v>
      </c>
      <c r="CW125" s="119">
        <f t="shared" si="10"/>
        <v>0</v>
      </c>
      <c r="CX125" s="119">
        <f t="shared" si="10"/>
        <v>0</v>
      </c>
      <c r="CY125" s="119">
        <f t="shared" si="10"/>
        <v>0</v>
      </c>
      <c r="CZ125" s="119">
        <f t="shared" si="10"/>
        <v>0</v>
      </c>
      <c r="DA125" s="119">
        <f t="shared" si="10"/>
        <v>0</v>
      </c>
      <c r="DB125" s="119">
        <f t="shared" si="10"/>
        <v>0</v>
      </c>
      <c r="DC125" s="119">
        <f t="shared" si="10"/>
        <v>0</v>
      </c>
      <c r="DD125" s="119">
        <f t="shared" si="10"/>
        <v>0</v>
      </c>
      <c r="DE125" s="119">
        <f t="shared" si="10"/>
        <v>0</v>
      </c>
      <c r="DF125" s="119">
        <f t="shared" si="10"/>
        <v>0</v>
      </c>
      <c r="DG125" s="119">
        <f t="shared" si="10"/>
        <v>0</v>
      </c>
      <c r="DH125" s="119">
        <f t="shared" si="10"/>
        <v>0</v>
      </c>
      <c r="DI125" s="119">
        <f t="shared" si="10"/>
        <v>0</v>
      </c>
      <c r="DJ125" s="119">
        <f t="shared" si="10"/>
        <v>0</v>
      </c>
      <c r="DK125" s="119">
        <f t="shared" si="10"/>
        <v>0</v>
      </c>
      <c r="DL125" s="119">
        <f t="shared" si="10"/>
        <v>0</v>
      </c>
      <c r="DM125" s="119">
        <f t="shared" si="10"/>
        <v>0</v>
      </c>
      <c r="DN125" s="119">
        <f t="shared" si="10"/>
        <v>0</v>
      </c>
      <c r="DO125" s="119">
        <f t="shared" si="10"/>
        <v>0</v>
      </c>
      <c r="DP125" s="119">
        <f t="shared" si="10"/>
        <v>0</v>
      </c>
      <c r="DQ125" s="119">
        <f t="shared" si="10"/>
        <v>0</v>
      </c>
      <c r="DR125" s="119">
        <f t="shared" si="10"/>
        <v>0</v>
      </c>
      <c r="DS125" s="119">
        <f t="shared" si="10"/>
        <v>0</v>
      </c>
      <c r="DT125" s="119">
        <f t="shared" si="10"/>
        <v>0</v>
      </c>
      <c r="DU125" s="119">
        <f t="shared" si="10"/>
        <v>0</v>
      </c>
      <c r="DV125" s="119">
        <f t="shared" si="10"/>
        <v>0</v>
      </c>
      <c r="DW125" s="119">
        <f t="shared" si="10"/>
        <v>0</v>
      </c>
      <c r="DX125" s="119">
        <f t="shared" si="10"/>
        <v>0</v>
      </c>
      <c r="DY125" s="119">
        <f t="shared" si="10"/>
        <v>0</v>
      </c>
      <c r="DZ125" s="119">
        <f t="shared" ref="DZ125:GK125" si="11">SUM(DZ111:DZ124)</f>
        <v>0</v>
      </c>
      <c r="EA125" s="119">
        <f t="shared" si="11"/>
        <v>0</v>
      </c>
      <c r="EB125" s="119">
        <f t="shared" si="11"/>
        <v>0</v>
      </c>
      <c r="EC125" s="119">
        <f t="shared" si="11"/>
        <v>0</v>
      </c>
      <c r="ED125" s="119">
        <f t="shared" si="11"/>
        <v>0</v>
      </c>
      <c r="EE125" s="119">
        <f t="shared" si="11"/>
        <v>0</v>
      </c>
      <c r="EF125" s="119">
        <f t="shared" si="11"/>
        <v>0</v>
      </c>
      <c r="EG125" s="119">
        <f t="shared" si="11"/>
        <v>0</v>
      </c>
      <c r="EH125" s="119">
        <f t="shared" si="11"/>
        <v>0</v>
      </c>
      <c r="EI125" s="119">
        <f t="shared" si="11"/>
        <v>0</v>
      </c>
      <c r="EJ125" s="119">
        <f t="shared" si="11"/>
        <v>0</v>
      </c>
      <c r="EK125" s="119">
        <f t="shared" si="11"/>
        <v>0</v>
      </c>
      <c r="EL125" s="119">
        <f t="shared" si="11"/>
        <v>0</v>
      </c>
      <c r="EM125" s="119">
        <f t="shared" si="11"/>
        <v>0</v>
      </c>
      <c r="EN125" s="119">
        <f t="shared" si="11"/>
        <v>0</v>
      </c>
      <c r="EO125" s="119">
        <f t="shared" si="11"/>
        <v>0</v>
      </c>
      <c r="EP125" s="119">
        <f t="shared" si="11"/>
        <v>0</v>
      </c>
      <c r="EQ125" s="119">
        <f t="shared" si="11"/>
        <v>0</v>
      </c>
      <c r="ER125" s="119">
        <f t="shared" si="11"/>
        <v>0</v>
      </c>
      <c r="ES125" s="119">
        <f t="shared" si="11"/>
        <v>0</v>
      </c>
      <c r="ET125" s="119">
        <f t="shared" si="11"/>
        <v>0</v>
      </c>
      <c r="EU125" s="119">
        <f t="shared" si="11"/>
        <v>0</v>
      </c>
      <c r="EV125" s="119">
        <f t="shared" si="11"/>
        <v>0</v>
      </c>
      <c r="EW125" s="119">
        <f t="shared" si="11"/>
        <v>0</v>
      </c>
      <c r="EX125" s="119">
        <f t="shared" si="11"/>
        <v>0</v>
      </c>
      <c r="EY125" s="119">
        <f t="shared" si="11"/>
        <v>0</v>
      </c>
      <c r="EZ125" s="119">
        <f t="shared" si="11"/>
        <v>0</v>
      </c>
      <c r="FA125" s="119">
        <f t="shared" si="11"/>
        <v>0</v>
      </c>
      <c r="FB125" s="119">
        <f t="shared" si="11"/>
        <v>0</v>
      </c>
      <c r="FC125" s="119">
        <f t="shared" si="11"/>
        <v>0</v>
      </c>
      <c r="FD125" s="119">
        <f t="shared" si="11"/>
        <v>0</v>
      </c>
      <c r="FE125" s="119">
        <f t="shared" si="11"/>
        <v>0</v>
      </c>
      <c r="FF125" s="119">
        <f t="shared" si="11"/>
        <v>0</v>
      </c>
      <c r="FG125" s="119">
        <f t="shared" si="11"/>
        <v>0</v>
      </c>
      <c r="FH125" s="119">
        <f t="shared" si="11"/>
        <v>0</v>
      </c>
      <c r="FI125" s="119">
        <f t="shared" si="11"/>
        <v>0</v>
      </c>
      <c r="FJ125" s="119">
        <f t="shared" si="11"/>
        <v>0</v>
      </c>
      <c r="FK125" s="119">
        <f t="shared" si="11"/>
        <v>0</v>
      </c>
      <c r="FL125" s="119">
        <f t="shared" si="11"/>
        <v>0</v>
      </c>
      <c r="FM125" s="119">
        <f t="shared" si="11"/>
        <v>0</v>
      </c>
      <c r="FN125" s="119">
        <f t="shared" si="11"/>
        <v>0</v>
      </c>
      <c r="FO125" s="119">
        <f t="shared" si="11"/>
        <v>0</v>
      </c>
      <c r="FP125" s="119">
        <f t="shared" si="11"/>
        <v>0</v>
      </c>
      <c r="FQ125" s="119">
        <f t="shared" si="11"/>
        <v>0</v>
      </c>
      <c r="FR125" s="119">
        <f t="shared" si="11"/>
        <v>0</v>
      </c>
      <c r="FS125" s="119">
        <f t="shared" si="11"/>
        <v>0</v>
      </c>
      <c r="FT125" s="119">
        <f t="shared" si="11"/>
        <v>0</v>
      </c>
      <c r="FU125" s="119">
        <f t="shared" si="11"/>
        <v>0</v>
      </c>
      <c r="FV125" s="119">
        <f t="shared" si="11"/>
        <v>0</v>
      </c>
      <c r="FW125" s="119">
        <f t="shared" si="11"/>
        <v>0</v>
      </c>
      <c r="FX125" s="119">
        <f t="shared" si="11"/>
        <v>0</v>
      </c>
      <c r="FY125" s="119">
        <f t="shared" si="11"/>
        <v>0</v>
      </c>
      <c r="FZ125" s="119">
        <f t="shared" si="11"/>
        <v>0</v>
      </c>
      <c r="GA125" s="119">
        <f t="shared" si="11"/>
        <v>0</v>
      </c>
      <c r="GB125" s="119">
        <f t="shared" si="11"/>
        <v>0</v>
      </c>
      <c r="GC125" s="119">
        <f t="shared" si="11"/>
        <v>0</v>
      </c>
      <c r="GD125" s="119">
        <f t="shared" si="11"/>
        <v>0</v>
      </c>
      <c r="GE125" s="119">
        <f t="shared" si="11"/>
        <v>0</v>
      </c>
      <c r="GF125" s="119">
        <f t="shared" si="11"/>
        <v>0</v>
      </c>
      <c r="GG125" s="119">
        <f t="shared" si="11"/>
        <v>0</v>
      </c>
      <c r="GH125" s="119">
        <f t="shared" si="11"/>
        <v>0</v>
      </c>
      <c r="GI125" s="119">
        <f t="shared" si="11"/>
        <v>0</v>
      </c>
      <c r="GJ125" s="119">
        <f t="shared" si="11"/>
        <v>0</v>
      </c>
      <c r="GK125" s="119">
        <f t="shared" si="11"/>
        <v>0</v>
      </c>
      <c r="GL125" s="119">
        <f t="shared" ref="GL125:IW125" si="12">SUM(GL111:GL124)</f>
        <v>0</v>
      </c>
      <c r="GM125" s="119">
        <f t="shared" si="12"/>
        <v>0</v>
      </c>
      <c r="GN125" s="119">
        <f t="shared" si="12"/>
        <v>0</v>
      </c>
      <c r="GO125" s="119">
        <f t="shared" si="12"/>
        <v>0</v>
      </c>
      <c r="GP125" s="119">
        <f t="shared" si="12"/>
        <v>0</v>
      </c>
      <c r="GQ125" s="119">
        <f t="shared" si="12"/>
        <v>0</v>
      </c>
      <c r="GR125" s="119">
        <f t="shared" si="12"/>
        <v>0</v>
      </c>
      <c r="GS125" s="119">
        <f t="shared" si="12"/>
        <v>0</v>
      </c>
      <c r="GT125" s="119">
        <f t="shared" si="12"/>
        <v>0</v>
      </c>
      <c r="GU125" s="119">
        <f t="shared" si="12"/>
        <v>0</v>
      </c>
      <c r="GV125" s="119">
        <f t="shared" si="12"/>
        <v>0</v>
      </c>
      <c r="GW125" s="119">
        <f t="shared" si="12"/>
        <v>0</v>
      </c>
      <c r="GX125" s="119">
        <f t="shared" si="12"/>
        <v>0</v>
      </c>
      <c r="GY125" s="119">
        <f t="shared" si="12"/>
        <v>0</v>
      </c>
      <c r="GZ125" s="119">
        <f t="shared" si="12"/>
        <v>0</v>
      </c>
      <c r="HA125" s="119">
        <f t="shared" si="12"/>
        <v>0</v>
      </c>
      <c r="HB125" s="119">
        <f t="shared" si="12"/>
        <v>0</v>
      </c>
      <c r="HC125" s="119">
        <f t="shared" si="12"/>
        <v>0</v>
      </c>
      <c r="HD125" s="119">
        <f t="shared" si="12"/>
        <v>0</v>
      </c>
      <c r="HE125" s="119">
        <f t="shared" si="12"/>
        <v>0</v>
      </c>
      <c r="HF125" s="119">
        <f t="shared" si="12"/>
        <v>0</v>
      </c>
      <c r="HG125" s="119">
        <f t="shared" si="12"/>
        <v>0</v>
      </c>
      <c r="HH125" s="119">
        <f t="shared" si="12"/>
        <v>0</v>
      </c>
      <c r="HI125" s="119">
        <f t="shared" si="12"/>
        <v>0</v>
      </c>
      <c r="HJ125" s="119">
        <f t="shared" si="12"/>
        <v>0</v>
      </c>
      <c r="HK125" s="119">
        <f t="shared" si="12"/>
        <v>0</v>
      </c>
      <c r="HL125" s="119">
        <f t="shared" si="12"/>
        <v>0</v>
      </c>
      <c r="HM125" s="119">
        <f t="shared" si="12"/>
        <v>0</v>
      </c>
      <c r="HN125" s="119">
        <f t="shared" si="12"/>
        <v>0</v>
      </c>
      <c r="HO125" s="119">
        <f t="shared" si="12"/>
        <v>0</v>
      </c>
      <c r="HP125" s="119">
        <f t="shared" si="12"/>
        <v>0</v>
      </c>
      <c r="HQ125" s="119">
        <f t="shared" si="12"/>
        <v>0</v>
      </c>
      <c r="HR125" s="119">
        <f t="shared" si="12"/>
        <v>0</v>
      </c>
      <c r="HS125" s="119">
        <f t="shared" si="12"/>
        <v>0</v>
      </c>
      <c r="HT125" s="119">
        <f t="shared" si="12"/>
        <v>0</v>
      </c>
      <c r="HU125" s="119">
        <f t="shared" si="12"/>
        <v>0</v>
      </c>
      <c r="HV125" s="119">
        <f t="shared" si="12"/>
        <v>0</v>
      </c>
      <c r="HW125" s="119">
        <f t="shared" si="12"/>
        <v>0</v>
      </c>
      <c r="HX125" s="119">
        <f t="shared" si="12"/>
        <v>0</v>
      </c>
      <c r="HY125" s="119">
        <f t="shared" si="12"/>
        <v>0</v>
      </c>
      <c r="HZ125" s="119">
        <f t="shared" si="12"/>
        <v>0</v>
      </c>
      <c r="IA125" s="119">
        <f t="shared" si="12"/>
        <v>0</v>
      </c>
      <c r="IB125" s="119">
        <f t="shared" si="12"/>
        <v>0</v>
      </c>
      <c r="IC125" s="119">
        <f t="shared" si="12"/>
        <v>0</v>
      </c>
      <c r="ID125" s="119">
        <f t="shared" si="12"/>
        <v>0</v>
      </c>
      <c r="IE125" s="119">
        <f t="shared" si="12"/>
        <v>0</v>
      </c>
      <c r="IF125" s="119">
        <f t="shared" si="12"/>
        <v>0</v>
      </c>
      <c r="IG125" s="119">
        <f t="shared" si="12"/>
        <v>0</v>
      </c>
      <c r="IH125" s="119">
        <f t="shared" si="12"/>
        <v>0</v>
      </c>
      <c r="II125" s="119">
        <f t="shared" si="12"/>
        <v>0</v>
      </c>
      <c r="IJ125" s="119">
        <f t="shared" si="12"/>
        <v>0</v>
      </c>
      <c r="IK125" s="119">
        <f t="shared" si="12"/>
        <v>0</v>
      </c>
      <c r="IL125" s="119">
        <f t="shared" si="12"/>
        <v>0</v>
      </c>
      <c r="IM125" s="119">
        <f t="shared" si="12"/>
        <v>0</v>
      </c>
      <c r="IN125" s="119">
        <f t="shared" si="12"/>
        <v>0</v>
      </c>
      <c r="IO125" s="119">
        <f t="shared" si="12"/>
        <v>0</v>
      </c>
      <c r="IP125" s="119">
        <f t="shared" si="12"/>
        <v>0</v>
      </c>
      <c r="IQ125" s="119">
        <f t="shared" si="12"/>
        <v>0</v>
      </c>
      <c r="IR125" s="119">
        <f t="shared" si="12"/>
        <v>0</v>
      </c>
      <c r="IS125" s="119">
        <f t="shared" si="12"/>
        <v>0</v>
      </c>
      <c r="IT125" s="119">
        <f t="shared" si="12"/>
        <v>0</v>
      </c>
      <c r="IU125" s="119">
        <f t="shared" si="12"/>
        <v>0</v>
      </c>
      <c r="IV125" s="119">
        <f t="shared" si="12"/>
        <v>0</v>
      </c>
      <c r="IW125" s="119">
        <f t="shared" si="12"/>
        <v>0</v>
      </c>
      <c r="IX125" s="119">
        <f t="shared" ref="IX125:JH125" si="13">SUM(IX111:IX124)</f>
        <v>0</v>
      </c>
      <c r="IY125" s="119">
        <f t="shared" si="13"/>
        <v>0</v>
      </c>
      <c r="IZ125" s="119">
        <f t="shared" si="13"/>
        <v>0</v>
      </c>
      <c r="JA125" s="119">
        <f t="shared" si="13"/>
        <v>0</v>
      </c>
      <c r="JB125" s="119">
        <f t="shared" si="13"/>
        <v>0</v>
      </c>
      <c r="JC125" s="119">
        <f t="shared" si="13"/>
        <v>0</v>
      </c>
      <c r="JD125" s="119">
        <f t="shared" si="13"/>
        <v>0</v>
      </c>
      <c r="JE125" s="119">
        <f t="shared" si="13"/>
        <v>0</v>
      </c>
      <c r="JF125" s="119">
        <f t="shared" si="13"/>
        <v>0</v>
      </c>
      <c r="JG125" s="119">
        <f t="shared" si="13"/>
        <v>0</v>
      </c>
      <c r="JH125" s="119">
        <f t="shared" si="13"/>
        <v>0</v>
      </c>
      <c r="JI125" s="119">
        <f>SUM(JI111:JI124)</f>
        <v>0</v>
      </c>
      <c r="JJ125" s="1"/>
      <c r="JK125" s="2"/>
      <c r="JL125" s="1"/>
      <c r="JM125" s="1"/>
      <c r="JN125" s="1"/>
      <c r="JO125" s="1"/>
      <c r="JP125" s="1"/>
    </row>
    <row r="126" spans="1:276" x14ac:dyDescent="0.25">
      <c r="A126" s="119">
        <f>A109+A125</f>
        <v>58052893.829999998</v>
      </c>
      <c r="B126" s="119">
        <f t="shared" ref="B126:BM126" si="14">B109+B125</f>
        <v>0</v>
      </c>
      <c r="C126" s="119">
        <f t="shared" si="14"/>
        <v>0</v>
      </c>
      <c r="D126" s="119">
        <f t="shared" si="14"/>
        <v>0</v>
      </c>
      <c r="E126" s="119">
        <f t="shared" si="14"/>
        <v>0</v>
      </c>
      <c r="F126" s="119">
        <f t="shared" si="14"/>
        <v>0</v>
      </c>
      <c r="G126" s="119">
        <f t="shared" si="14"/>
        <v>0</v>
      </c>
      <c r="H126" s="119">
        <f t="shared" si="14"/>
        <v>0</v>
      </c>
      <c r="I126" s="119">
        <f t="shared" si="14"/>
        <v>0</v>
      </c>
      <c r="J126" s="119">
        <f t="shared" si="14"/>
        <v>1112531.03</v>
      </c>
      <c r="K126" s="119">
        <f t="shared" si="14"/>
        <v>0</v>
      </c>
      <c r="L126" s="119">
        <f t="shared" si="14"/>
        <v>0</v>
      </c>
      <c r="M126" s="119">
        <f t="shared" si="14"/>
        <v>0</v>
      </c>
      <c r="N126" s="119">
        <f t="shared" si="14"/>
        <v>0</v>
      </c>
      <c r="O126" s="119">
        <f t="shared" si="14"/>
        <v>0</v>
      </c>
      <c r="P126" s="119">
        <f t="shared" si="14"/>
        <v>0</v>
      </c>
      <c r="Q126" s="119">
        <f t="shared" si="14"/>
        <v>0</v>
      </c>
      <c r="R126" s="119">
        <f t="shared" si="14"/>
        <v>0</v>
      </c>
      <c r="S126" s="119">
        <f t="shared" si="14"/>
        <v>2702311.62</v>
      </c>
      <c r="T126" s="119">
        <f t="shared" si="14"/>
        <v>0</v>
      </c>
      <c r="U126" s="119">
        <f t="shared" si="14"/>
        <v>0</v>
      </c>
      <c r="V126" s="119">
        <f t="shared" si="14"/>
        <v>0</v>
      </c>
      <c r="W126" s="119">
        <f t="shared" si="14"/>
        <v>45000</v>
      </c>
      <c r="X126" s="119">
        <f t="shared" si="14"/>
        <v>0</v>
      </c>
      <c r="Y126" s="119">
        <f t="shared" si="14"/>
        <v>0</v>
      </c>
      <c r="Z126" s="119">
        <f t="shared" si="14"/>
        <v>288000</v>
      </c>
      <c r="AA126" s="119">
        <f t="shared" si="14"/>
        <v>0</v>
      </c>
      <c r="AB126" s="119">
        <f t="shared" si="14"/>
        <v>286593.99</v>
      </c>
      <c r="AC126" s="119">
        <f t="shared" si="14"/>
        <v>0</v>
      </c>
      <c r="AD126" s="119">
        <f t="shared" si="14"/>
        <v>0</v>
      </c>
      <c r="AE126" s="119">
        <f t="shared" si="14"/>
        <v>0</v>
      </c>
      <c r="AF126" s="119">
        <f t="shared" si="14"/>
        <v>0</v>
      </c>
      <c r="AG126" s="119">
        <f t="shared" si="14"/>
        <v>0</v>
      </c>
      <c r="AH126" s="119">
        <f t="shared" si="14"/>
        <v>0</v>
      </c>
      <c r="AI126" s="119">
        <f t="shared" si="14"/>
        <v>0</v>
      </c>
      <c r="AJ126" s="119">
        <f t="shared" si="14"/>
        <v>0</v>
      </c>
      <c r="AK126" s="119">
        <f t="shared" si="14"/>
        <v>4194829.3899999997</v>
      </c>
      <c r="AL126" s="119">
        <f t="shared" si="14"/>
        <v>4200746.84</v>
      </c>
      <c r="AM126" s="119">
        <f t="shared" si="14"/>
        <v>708597.18</v>
      </c>
      <c r="AN126" s="119">
        <f t="shared" si="14"/>
        <v>0</v>
      </c>
      <c r="AO126" s="119">
        <f t="shared" si="14"/>
        <v>0</v>
      </c>
      <c r="AP126" s="119">
        <f t="shared" si="14"/>
        <v>0</v>
      </c>
      <c r="AQ126" s="119">
        <f t="shared" si="14"/>
        <v>0</v>
      </c>
      <c r="AR126" s="119">
        <f t="shared" si="14"/>
        <v>0</v>
      </c>
      <c r="AS126" s="119">
        <f t="shared" si="14"/>
        <v>0</v>
      </c>
      <c r="AT126" s="119">
        <f t="shared" si="14"/>
        <v>0</v>
      </c>
      <c r="AU126" s="119">
        <f t="shared" si="14"/>
        <v>0</v>
      </c>
      <c r="AV126" s="119">
        <f t="shared" si="14"/>
        <v>60535</v>
      </c>
      <c r="AW126" s="119">
        <f t="shared" si="14"/>
        <v>0</v>
      </c>
      <c r="AX126" s="119">
        <f t="shared" si="14"/>
        <v>0</v>
      </c>
      <c r="AY126" s="119">
        <f t="shared" si="14"/>
        <v>47633.3</v>
      </c>
      <c r="AZ126" s="119">
        <f t="shared" si="14"/>
        <v>0</v>
      </c>
      <c r="BA126" s="119">
        <f t="shared" si="14"/>
        <v>0</v>
      </c>
      <c r="BB126" s="119">
        <f t="shared" si="14"/>
        <v>0</v>
      </c>
      <c r="BC126" s="119">
        <f t="shared" si="14"/>
        <v>0</v>
      </c>
      <c r="BD126" s="119">
        <f t="shared" si="14"/>
        <v>0</v>
      </c>
      <c r="BE126" s="119">
        <f t="shared" si="14"/>
        <v>0</v>
      </c>
      <c r="BF126" s="119">
        <f t="shared" si="14"/>
        <v>0</v>
      </c>
      <c r="BG126" s="119">
        <f t="shared" si="14"/>
        <v>0</v>
      </c>
      <c r="BH126" s="119">
        <f t="shared" si="14"/>
        <v>0</v>
      </c>
      <c r="BI126" s="119">
        <f t="shared" si="14"/>
        <v>0</v>
      </c>
      <c r="BJ126" s="119">
        <f t="shared" si="14"/>
        <v>0</v>
      </c>
      <c r="BK126" s="119">
        <f t="shared" si="14"/>
        <v>0</v>
      </c>
      <c r="BL126" s="119">
        <f t="shared" si="14"/>
        <v>0</v>
      </c>
      <c r="BM126" s="119">
        <f t="shared" si="14"/>
        <v>0</v>
      </c>
      <c r="BN126" s="119">
        <f t="shared" ref="BN126:DY126" si="15">BN109+BN125</f>
        <v>0</v>
      </c>
      <c r="BO126" s="119">
        <f t="shared" si="15"/>
        <v>0</v>
      </c>
      <c r="BP126" s="119">
        <f t="shared" si="15"/>
        <v>0</v>
      </c>
      <c r="BQ126" s="119">
        <f t="shared" si="15"/>
        <v>0</v>
      </c>
      <c r="BR126" s="119">
        <f t="shared" si="15"/>
        <v>0</v>
      </c>
      <c r="BS126" s="119">
        <f t="shared" si="15"/>
        <v>0</v>
      </c>
      <c r="BT126" s="119">
        <f t="shared" si="15"/>
        <v>0</v>
      </c>
      <c r="BU126" s="119">
        <f t="shared" si="15"/>
        <v>0</v>
      </c>
      <c r="BV126" s="119">
        <f t="shared" si="15"/>
        <v>0</v>
      </c>
      <c r="BW126" s="119">
        <f t="shared" si="15"/>
        <v>1567740.53</v>
      </c>
      <c r="BX126" s="119">
        <f t="shared" si="15"/>
        <v>0</v>
      </c>
      <c r="BY126" s="119">
        <f t="shared" si="15"/>
        <v>0</v>
      </c>
      <c r="BZ126" s="119">
        <f t="shared" si="15"/>
        <v>0</v>
      </c>
      <c r="CA126" s="119">
        <f t="shared" si="15"/>
        <v>0</v>
      </c>
      <c r="CB126" s="119">
        <f t="shared" si="15"/>
        <v>0</v>
      </c>
      <c r="CC126" s="119">
        <f t="shared" si="15"/>
        <v>0</v>
      </c>
      <c r="CD126" s="119">
        <f t="shared" si="15"/>
        <v>0</v>
      </c>
      <c r="CE126" s="119">
        <f t="shared" si="15"/>
        <v>0</v>
      </c>
      <c r="CF126" s="119">
        <f t="shared" si="15"/>
        <v>0</v>
      </c>
      <c r="CG126" s="119">
        <f t="shared" si="15"/>
        <v>0</v>
      </c>
      <c r="CH126" s="119">
        <f t="shared" si="15"/>
        <v>13039</v>
      </c>
      <c r="CI126" s="119">
        <f t="shared" si="15"/>
        <v>0</v>
      </c>
      <c r="CJ126" s="119">
        <f t="shared" si="15"/>
        <v>0</v>
      </c>
      <c r="CK126" s="119">
        <f t="shared" si="15"/>
        <v>0</v>
      </c>
      <c r="CL126" s="119">
        <f t="shared" si="15"/>
        <v>0</v>
      </c>
      <c r="CM126" s="119">
        <f t="shared" si="15"/>
        <v>0</v>
      </c>
      <c r="CN126" s="119">
        <f t="shared" si="15"/>
        <v>0</v>
      </c>
      <c r="CO126" s="119">
        <f t="shared" si="15"/>
        <v>0</v>
      </c>
      <c r="CP126" s="119">
        <f t="shared" si="15"/>
        <v>0</v>
      </c>
      <c r="CQ126" s="119">
        <f t="shared" si="15"/>
        <v>0</v>
      </c>
      <c r="CR126" s="119">
        <f t="shared" si="15"/>
        <v>0</v>
      </c>
      <c r="CS126" s="119">
        <f t="shared" si="15"/>
        <v>0</v>
      </c>
      <c r="CT126" s="119">
        <f t="shared" si="15"/>
        <v>0</v>
      </c>
      <c r="CU126" s="119">
        <f t="shared" si="15"/>
        <v>0</v>
      </c>
      <c r="CV126" s="119">
        <f t="shared" si="15"/>
        <v>0</v>
      </c>
      <c r="CW126" s="119">
        <f t="shared" si="15"/>
        <v>0</v>
      </c>
      <c r="CX126" s="119">
        <f t="shared" si="15"/>
        <v>0</v>
      </c>
      <c r="CY126" s="119">
        <f t="shared" si="15"/>
        <v>0</v>
      </c>
      <c r="CZ126" s="119">
        <f t="shared" si="15"/>
        <v>0</v>
      </c>
      <c r="DA126" s="119">
        <f t="shared" si="15"/>
        <v>0</v>
      </c>
      <c r="DB126" s="119">
        <f t="shared" si="15"/>
        <v>0</v>
      </c>
      <c r="DC126" s="119">
        <f t="shared" si="15"/>
        <v>0</v>
      </c>
      <c r="DD126" s="119">
        <f t="shared" si="15"/>
        <v>3779000</v>
      </c>
      <c r="DE126" s="119">
        <f t="shared" si="15"/>
        <v>0</v>
      </c>
      <c r="DF126" s="119">
        <f t="shared" si="15"/>
        <v>0</v>
      </c>
      <c r="DG126" s="119">
        <f t="shared" si="15"/>
        <v>0</v>
      </c>
      <c r="DH126" s="119">
        <f t="shared" si="15"/>
        <v>0</v>
      </c>
      <c r="DI126" s="119">
        <f t="shared" si="15"/>
        <v>0</v>
      </c>
      <c r="DJ126" s="119">
        <f t="shared" si="15"/>
        <v>2314511</v>
      </c>
      <c r="DK126" s="119">
        <f t="shared" si="15"/>
        <v>2180362.58</v>
      </c>
      <c r="DL126" s="119">
        <f t="shared" si="15"/>
        <v>0</v>
      </c>
      <c r="DM126" s="119">
        <f t="shared" si="15"/>
        <v>0</v>
      </c>
      <c r="DN126" s="119">
        <f t="shared" si="15"/>
        <v>0</v>
      </c>
      <c r="DO126" s="119">
        <f t="shared" si="15"/>
        <v>0</v>
      </c>
      <c r="DP126" s="119">
        <f t="shared" si="15"/>
        <v>0</v>
      </c>
      <c r="DQ126" s="119">
        <f t="shared" si="15"/>
        <v>0</v>
      </c>
      <c r="DR126" s="119">
        <f t="shared" si="15"/>
        <v>0</v>
      </c>
      <c r="DS126" s="119">
        <f t="shared" si="15"/>
        <v>1258116.06</v>
      </c>
      <c r="DT126" s="119">
        <f t="shared" si="15"/>
        <v>0</v>
      </c>
      <c r="DU126" s="119">
        <f t="shared" si="15"/>
        <v>0</v>
      </c>
      <c r="DV126" s="119">
        <f t="shared" si="15"/>
        <v>124608</v>
      </c>
      <c r="DW126" s="119">
        <f t="shared" si="15"/>
        <v>242372</v>
      </c>
      <c r="DX126" s="119">
        <f t="shared" si="15"/>
        <v>0</v>
      </c>
      <c r="DY126" s="119">
        <f t="shared" si="15"/>
        <v>0</v>
      </c>
      <c r="DZ126" s="119">
        <f t="shared" ref="DZ126:GK126" si="16">DZ109+DZ125</f>
        <v>0</v>
      </c>
      <c r="EA126" s="119">
        <f t="shared" si="16"/>
        <v>9434300</v>
      </c>
      <c r="EB126" s="119">
        <f t="shared" si="16"/>
        <v>0</v>
      </c>
      <c r="EC126" s="119">
        <f t="shared" si="16"/>
        <v>0</v>
      </c>
      <c r="ED126" s="119">
        <f t="shared" si="16"/>
        <v>0</v>
      </c>
      <c r="EE126" s="119">
        <f t="shared" si="16"/>
        <v>0</v>
      </c>
      <c r="EF126" s="119">
        <f t="shared" si="16"/>
        <v>0</v>
      </c>
      <c r="EG126" s="119">
        <f t="shared" si="16"/>
        <v>0</v>
      </c>
      <c r="EH126" s="119">
        <f t="shared" si="16"/>
        <v>0</v>
      </c>
      <c r="EI126" s="119">
        <f t="shared" si="16"/>
        <v>0</v>
      </c>
      <c r="EJ126" s="119">
        <f t="shared" si="16"/>
        <v>0</v>
      </c>
      <c r="EK126" s="119">
        <f t="shared" si="16"/>
        <v>0</v>
      </c>
      <c r="EL126" s="119">
        <f t="shared" si="16"/>
        <v>0</v>
      </c>
      <c r="EM126" s="119">
        <f t="shared" si="16"/>
        <v>0</v>
      </c>
      <c r="EN126" s="119">
        <f t="shared" si="16"/>
        <v>0</v>
      </c>
      <c r="EO126" s="119">
        <f t="shared" si="16"/>
        <v>0</v>
      </c>
      <c r="EP126" s="119">
        <f t="shared" si="16"/>
        <v>0</v>
      </c>
      <c r="EQ126" s="119">
        <f t="shared" si="16"/>
        <v>0</v>
      </c>
      <c r="ER126" s="119">
        <f t="shared" si="16"/>
        <v>0</v>
      </c>
      <c r="ES126" s="119">
        <f t="shared" si="16"/>
        <v>0</v>
      </c>
      <c r="ET126" s="119">
        <f t="shared" si="16"/>
        <v>0</v>
      </c>
      <c r="EU126" s="119">
        <f t="shared" si="16"/>
        <v>0</v>
      </c>
      <c r="EV126" s="119">
        <f t="shared" si="16"/>
        <v>0</v>
      </c>
      <c r="EW126" s="119">
        <f t="shared" si="16"/>
        <v>0</v>
      </c>
      <c r="EX126" s="119">
        <f t="shared" si="16"/>
        <v>0</v>
      </c>
      <c r="EY126" s="119">
        <f t="shared" si="16"/>
        <v>0</v>
      </c>
      <c r="EZ126" s="119">
        <f t="shared" si="16"/>
        <v>0</v>
      </c>
      <c r="FA126" s="119">
        <f t="shared" si="16"/>
        <v>0</v>
      </c>
      <c r="FB126" s="119">
        <f t="shared" si="16"/>
        <v>337200</v>
      </c>
      <c r="FC126" s="119">
        <f t="shared" si="16"/>
        <v>0</v>
      </c>
      <c r="FD126" s="119">
        <f t="shared" si="16"/>
        <v>0</v>
      </c>
      <c r="FE126" s="119">
        <f t="shared" si="16"/>
        <v>0</v>
      </c>
      <c r="FF126" s="119">
        <f t="shared" si="16"/>
        <v>0</v>
      </c>
      <c r="FG126" s="119">
        <f t="shared" si="16"/>
        <v>0</v>
      </c>
      <c r="FH126" s="119">
        <f t="shared" si="16"/>
        <v>0</v>
      </c>
      <c r="FI126" s="119">
        <f t="shared" si="16"/>
        <v>0</v>
      </c>
      <c r="FJ126" s="119">
        <f t="shared" si="16"/>
        <v>4665860.22</v>
      </c>
      <c r="FK126" s="119">
        <f t="shared" si="16"/>
        <v>0</v>
      </c>
      <c r="FL126" s="119">
        <f t="shared" si="16"/>
        <v>0</v>
      </c>
      <c r="FM126" s="119">
        <f t="shared" si="16"/>
        <v>0</v>
      </c>
      <c r="FN126" s="119">
        <f t="shared" si="16"/>
        <v>0</v>
      </c>
      <c r="FO126" s="119">
        <f t="shared" si="16"/>
        <v>0</v>
      </c>
      <c r="FP126" s="119">
        <f t="shared" si="16"/>
        <v>0</v>
      </c>
      <c r="FQ126" s="119">
        <f t="shared" si="16"/>
        <v>599529.09</v>
      </c>
      <c r="FR126" s="119">
        <f t="shared" si="16"/>
        <v>0</v>
      </c>
      <c r="FS126" s="119">
        <f t="shared" si="16"/>
        <v>271071.5</v>
      </c>
      <c r="FT126" s="119">
        <f t="shared" si="16"/>
        <v>5921554.2699999996</v>
      </c>
      <c r="FU126" s="119">
        <f t="shared" si="16"/>
        <v>0</v>
      </c>
      <c r="FV126" s="119">
        <f t="shared" si="16"/>
        <v>0</v>
      </c>
      <c r="FW126" s="119">
        <f t="shared" si="16"/>
        <v>0</v>
      </c>
      <c r="FX126" s="119">
        <f t="shared" si="16"/>
        <v>0</v>
      </c>
      <c r="FY126" s="119">
        <f t="shared" si="16"/>
        <v>106674.36</v>
      </c>
      <c r="FZ126" s="119">
        <f t="shared" si="16"/>
        <v>0</v>
      </c>
      <c r="GA126" s="119">
        <f t="shared" si="16"/>
        <v>0</v>
      </c>
      <c r="GB126" s="119">
        <f t="shared" si="16"/>
        <v>0</v>
      </c>
      <c r="GC126" s="119">
        <f t="shared" si="16"/>
        <v>0</v>
      </c>
      <c r="GD126" s="119">
        <f t="shared" si="16"/>
        <v>0</v>
      </c>
      <c r="GE126" s="119">
        <f t="shared" si="16"/>
        <v>0</v>
      </c>
      <c r="GF126" s="119">
        <f t="shared" si="16"/>
        <v>0</v>
      </c>
      <c r="GG126" s="119">
        <f t="shared" si="16"/>
        <v>0</v>
      </c>
      <c r="GH126" s="119">
        <f t="shared" si="16"/>
        <v>566354.13</v>
      </c>
      <c r="GI126" s="119">
        <f t="shared" si="16"/>
        <v>0</v>
      </c>
      <c r="GJ126" s="119">
        <f t="shared" si="16"/>
        <v>468405.84</v>
      </c>
      <c r="GK126" s="119">
        <f t="shared" si="16"/>
        <v>111510</v>
      </c>
      <c r="GL126" s="119">
        <f t="shared" ref="GL126:IW126" si="17">GL109+GL125</f>
        <v>0</v>
      </c>
      <c r="GM126" s="119">
        <f t="shared" si="17"/>
        <v>0</v>
      </c>
      <c r="GN126" s="119">
        <f t="shared" si="17"/>
        <v>0</v>
      </c>
      <c r="GO126" s="119">
        <f t="shared" si="17"/>
        <v>0</v>
      </c>
      <c r="GP126" s="119">
        <f t="shared" si="17"/>
        <v>0</v>
      </c>
      <c r="GQ126" s="119">
        <f t="shared" si="17"/>
        <v>4197628.18</v>
      </c>
      <c r="GR126" s="119">
        <f t="shared" si="17"/>
        <v>0</v>
      </c>
      <c r="GS126" s="119">
        <f t="shared" si="17"/>
        <v>0</v>
      </c>
      <c r="GT126" s="119">
        <f t="shared" si="17"/>
        <v>0</v>
      </c>
      <c r="GU126" s="119">
        <f t="shared" si="17"/>
        <v>0</v>
      </c>
      <c r="GV126" s="119">
        <f t="shared" si="17"/>
        <v>0</v>
      </c>
      <c r="GW126" s="119">
        <f t="shared" si="17"/>
        <v>0</v>
      </c>
      <c r="GX126" s="119">
        <f t="shared" si="17"/>
        <v>0</v>
      </c>
      <c r="GY126" s="119">
        <f t="shared" si="17"/>
        <v>0</v>
      </c>
      <c r="GZ126" s="119">
        <f t="shared" si="17"/>
        <v>0</v>
      </c>
      <c r="HA126" s="119">
        <f t="shared" si="17"/>
        <v>0</v>
      </c>
      <c r="HB126" s="119">
        <f t="shared" si="17"/>
        <v>0</v>
      </c>
      <c r="HC126" s="119">
        <f t="shared" si="17"/>
        <v>0</v>
      </c>
      <c r="HD126" s="119">
        <f t="shared" si="17"/>
        <v>0</v>
      </c>
      <c r="HE126" s="119">
        <f t="shared" si="17"/>
        <v>0</v>
      </c>
      <c r="HF126" s="119">
        <f t="shared" si="17"/>
        <v>0</v>
      </c>
      <c r="HG126" s="119">
        <f t="shared" si="17"/>
        <v>0</v>
      </c>
      <c r="HH126" s="119">
        <f t="shared" si="17"/>
        <v>277701.2</v>
      </c>
      <c r="HI126" s="119">
        <f t="shared" si="17"/>
        <v>0</v>
      </c>
      <c r="HJ126" s="119">
        <f t="shared" si="17"/>
        <v>131924</v>
      </c>
      <c r="HK126" s="119">
        <f t="shared" si="17"/>
        <v>0</v>
      </c>
      <c r="HL126" s="119">
        <f t="shared" si="17"/>
        <v>66080</v>
      </c>
      <c r="HM126" s="119">
        <f t="shared" si="17"/>
        <v>0</v>
      </c>
      <c r="HN126" s="119">
        <f t="shared" si="17"/>
        <v>0</v>
      </c>
      <c r="HO126" s="119">
        <f t="shared" si="17"/>
        <v>0</v>
      </c>
      <c r="HP126" s="119">
        <f t="shared" si="17"/>
        <v>0</v>
      </c>
      <c r="HQ126" s="119">
        <f t="shared" si="17"/>
        <v>0</v>
      </c>
      <c r="HR126" s="119">
        <f t="shared" si="17"/>
        <v>0</v>
      </c>
      <c r="HS126" s="119">
        <f t="shared" si="17"/>
        <v>0</v>
      </c>
      <c r="HT126" s="119">
        <f t="shared" si="17"/>
        <v>0</v>
      </c>
      <c r="HU126" s="119">
        <f t="shared" si="17"/>
        <v>0</v>
      </c>
      <c r="HV126" s="119">
        <f t="shared" si="17"/>
        <v>0</v>
      </c>
      <c r="HW126" s="119">
        <f t="shared" si="17"/>
        <v>0</v>
      </c>
      <c r="HX126" s="119">
        <f t="shared" si="17"/>
        <v>0</v>
      </c>
      <c r="HY126" s="119">
        <f t="shared" si="17"/>
        <v>0</v>
      </c>
      <c r="HZ126" s="119">
        <f t="shared" si="17"/>
        <v>0</v>
      </c>
      <c r="IA126" s="119">
        <f t="shared" si="17"/>
        <v>0</v>
      </c>
      <c r="IB126" s="119">
        <f t="shared" si="17"/>
        <v>0</v>
      </c>
      <c r="IC126" s="119">
        <f t="shared" si="17"/>
        <v>0</v>
      </c>
      <c r="ID126" s="119">
        <f t="shared" si="17"/>
        <v>0</v>
      </c>
      <c r="IE126" s="119">
        <f t="shared" si="17"/>
        <v>0</v>
      </c>
      <c r="IF126" s="119">
        <f t="shared" si="17"/>
        <v>0</v>
      </c>
      <c r="IG126" s="119">
        <f t="shared" si="17"/>
        <v>0</v>
      </c>
      <c r="IH126" s="119">
        <f t="shared" si="17"/>
        <v>0</v>
      </c>
      <c r="II126" s="119">
        <f t="shared" si="17"/>
        <v>0</v>
      </c>
      <c r="IJ126" s="119">
        <f t="shared" si="17"/>
        <v>0</v>
      </c>
      <c r="IK126" s="119">
        <f t="shared" si="17"/>
        <v>0</v>
      </c>
      <c r="IL126" s="119">
        <f t="shared" si="17"/>
        <v>0</v>
      </c>
      <c r="IM126" s="119">
        <f t="shared" si="17"/>
        <v>0</v>
      </c>
      <c r="IN126" s="119">
        <f t="shared" si="17"/>
        <v>0</v>
      </c>
      <c r="IO126" s="119">
        <f t="shared" si="17"/>
        <v>0</v>
      </c>
      <c r="IP126" s="119">
        <f t="shared" si="17"/>
        <v>0</v>
      </c>
      <c r="IQ126" s="119">
        <f t="shared" si="17"/>
        <v>0</v>
      </c>
      <c r="IR126" s="119">
        <f t="shared" si="17"/>
        <v>0</v>
      </c>
      <c r="IS126" s="119">
        <f t="shared" si="17"/>
        <v>0</v>
      </c>
      <c r="IT126" s="119">
        <f t="shared" si="17"/>
        <v>0</v>
      </c>
      <c r="IU126" s="119">
        <f t="shared" si="17"/>
        <v>0</v>
      </c>
      <c r="IV126" s="119">
        <f t="shared" si="17"/>
        <v>0</v>
      </c>
      <c r="IW126" s="119">
        <f t="shared" si="17"/>
        <v>0</v>
      </c>
      <c r="IX126" s="119">
        <f t="shared" ref="IX126:JI126" si="18">IX109+IX125</f>
        <v>0</v>
      </c>
      <c r="IY126" s="119">
        <f t="shared" si="18"/>
        <v>0</v>
      </c>
      <c r="IZ126" s="119">
        <f t="shared" si="18"/>
        <v>0</v>
      </c>
      <c r="JA126" s="119">
        <f t="shared" si="18"/>
        <v>0</v>
      </c>
      <c r="JB126" s="119">
        <f t="shared" si="18"/>
        <v>0</v>
      </c>
      <c r="JC126" s="119">
        <f t="shared" si="18"/>
        <v>0</v>
      </c>
      <c r="JD126" s="119">
        <f t="shared" si="18"/>
        <v>0</v>
      </c>
      <c r="JE126" s="119">
        <f t="shared" si="18"/>
        <v>0</v>
      </c>
      <c r="JF126" s="119">
        <f t="shared" si="18"/>
        <v>0</v>
      </c>
      <c r="JG126" s="119">
        <f t="shared" si="18"/>
        <v>0</v>
      </c>
      <c r="JH126" s="119">
        <f t="shared" si="18"/>
        <v>0</v>
      </c>
      <c r="JI126" s="119">
        <f t="shared" si="18"/>
        <v>110335214.13999999</v>
      </c>
      <c r="JJ126" s="1"/>
      <c r="JK126" s="2"/>
      <c r="JL126" s="1"/>
      <c r="JM126" s="1"/>
      <c r="JN126" s="1"/>
      <c r="JO126" s="1"/>
      <c r="JP126" s="1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W75"/>
  <sheetViews>
    <sheetView zoomScale="90" zoomScaleNormal="90" workbookViewId="0">
      <pane ySplit="2" topLeftCell="A45" activePane="bottomLeft" state="frozen"/>
      <selection activeCell="IS1" sqref="IS1"/>
      <selection pane="bottomLeft" activeCell="X49" sqref="X49"/>
    </sheetView>
  </sheetViews>
  <sheetFormatPr defaultColWidth="11.42578125" defaultRowHeight="15" x14ac:dyDescent="0.25"/>
  <cols>
    <col min="1" max="23" width="7.85546875" bestFit="1" customWidth="1"/>
    <col min="24" max="24" width="13.85546875" bestFit="1" customWidth="1"/>
    <col min="25" max="25" width="7.85546875" bestFit="1" customWidth="1"/>
    <col min="26" max="26" width="13.85546875" bestFit="1" customWidth="1"/>
    <col min="27" max="42" width="7.85546875" bestFit="1" customWidth="1"/>
    <col min="43" max="43" width="12.140625" bestFit="1" customWidth="1"/>
    <col min="44" max="48" width="7.85546875" bestFit="1" customWidth="1"/>
    <col min="49" max="49" width="13.85546875" bestFit="1" customWidth="1"/>
    <col min="50" max="50" width="7.85546875" bestFit="1" customWidth="1"/>
    <col min="51" max="51" width="12.140625" bestFit="1" customWidth="1"/>
    <col min="52" max="54" width="7.85546875" bestFit="1" customWidth="1"/>
    <col min="55" max="55" width="11.140625" bestFit="1" customWidth="1"/>
    <col min="56" max="68" width="7.85546875" bestFit="1" customWidth="1"/>
    <col min="69" max="69" width="11.140625" bestFit="1" customWidth="1"/>
    <col min="70" max="85" width="7.85546875" bestFit="1" customWidth="1"/>
    <col min="86" max="86" width="12.140625" bestFit="1" customWidth="1"/>
    <col min="87" max="87" width="7.85546875" bestFit="1" customWidth="1"/>
    <col min="88" max="88" width="11.140625" bestFit="1" customWidth="1"/>
    <col min="89" max="89" width="7.85546875" bestFit="1" customWidth="1"/>
    <col min="90" max="90" width="12.140625" bestFit="1" customWidth="1"/>
    <col min="91" max="93" width="7.85546875" bestFit="1" customWidth="1"/>
    <col min="94" max="94" width="11.140625" bestFit="1" customWidth="1"/>
    <col min="95" max="108" width="7.85546875" bestFit="1" customWidth="1"/>
    <col min="109" max="109" width="12.140625" bestFit="1" customWidth="1"/>
    <col min="110" max="112" width="7.85546875" bestFit="1" customWidth="1"/>
    <col min="113" max="113" width="11.140625" bestFit="1" customWidth="1"/>
    <col min="114" max="114" width="7.85546875" bestFit="1" customWidth="1"/>
    <col min="115" max="115" width="13.85546875" bestFit="1" customWidth="1"/>
    <col min="116" max="125" width="7.85546875" bestFit="1" customWidth="1"/>
    <col min="126" max="126" width="11.140625" bestFit="1" customWidth="1"/>
    <col min="127" max="130" width="7.85546875" bestFit="1" customWidth="1"/>
    <col min="131" max="131" width="11.140625" bestFit="1" customWidth="1"/>
    <col min="132" max="156" width="7.85546875" bestFit="1" customWidth="1"/>
    <col min="157" max="157" width="12.140625" bestFit="1" customWidth="1"/>
    <col min="158" max="159" width="7.85546875" bestFit="1" customWidth="1"/>
    <col min="160" max="160" width="11.140625" bestFit="1" customWidth="1"/>
    <col min="161" max="165" width="7.85546875" bestFit="1" customWidth="1"/>
    <col min="166" max="166" width="10" bestFit="1" customWidth="1"/>
    <col min="167" max="169" width="7.85546875" bestFit="1" customWidth="1"/>
    <col min="170" max="170" width="12.140625" bestFit="1" customWidth="1"/>
    <col min="171" max="175" width="7.85546875" bestFit="1" customWidth="1"/>
    <col min="176" max="176" width="11.140625" bestFit="1" customWidth="1"/>
    <col min="177" max="177" width="7.85546875" bestFit="1" customWidth="1"/>
    <col min="178" max="178" width="12.140625" bestFit="1" customWidth="1"/>
    <col min="179" max="182" width="7.85546875" bestFit="1" customWidth="1"/>
    <col min="183" max="183" width="11.140625" bestFit="1" customWidth="1"/>
    <col min="184" max="184" width="7.85546875" bestFit="1" customWidth="1"/>
    <col min="185" max="185" width="11.140625" bestFit="1" customWidth="1"/>
    <col min="186" max="189" width="7.85546875" bestFit="1" customWidth="1"/>
    <col min="190" max="190" width="12.140625" bestFit="1" customWidth="1"/>
    <col min="191" max="191" width="7.85546875" bestFit="1" customWidth="1"/>
    <col min="192" max="192" width="13.85546875" bestFit="1" customWidth="1"/>
    <col min="193" max="193" width="11.140625" bestFit="1" customWidth="1"/>
    <col min="194" max="194" width="12.140625" bestFit="1" customWidth="1"/>
    <col min="195" max="250" width="7.85546875" bestFit="1" customWidth="1"/>
    <col min="251" max="251" width="9" bestFit="1" customWidth="1"/>
    <col min="252" max="268" width="7.85546875" bestFit="1" customWidth="1"/>
    <col min="269" max="269" width="13.85546875" bestFit="1" customWidth="1"/>
    <col min="270" max="270" width="11.7109375" bestFit="1" customWidth="1"/>
    <col min="271" max="271" width="13.85546875" bestFit="1" customWidth="1"/>
    <col min="272" max="272" width="12.140625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 x14ac:dyDescent="0.35">
      <c r="A1" s="396" t="s">
        <v>78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  <c r="AQ1" s="396"/>
      <c r="AR1" s="396"/>
      <c r="AS1" s="396"/>
      <c r="AT1" s="396"/>
      <c r="AU1" s="396"/>
      <c r="AV1" s="396"/>
      <c r="AW1" s="396"/>
      <c r="AX1" s="396"/>
      <c r="AY1" s="396"/>
      <c r="AZ1" s="396"/>
      <c r="BA1" s="396"/>
      <c r="BB1" s="396"/>
      <c r="BC1" s="396"/>
      <c r="BD1" s="396"/>
      <c r="BE1" s="396"/>
      <c r="BF1" s="396"/>
      <c r="BG1" s="396"/>
      <c r="BH1" s="396"/>
      <c r="BI1" s="396"/>
      <c r="BJ1" s="396"/>
      <c r="BK1" s="396"/>
      <c r="BL1" s="396"/>
      <c r="BM1" s="396"/>
      <c r="BN1" s="396"/>
      <c r="BO1" s="396"/>
      <c r="BP1" s="396"/>
      <c r="BQ1" s="396"/>
      <c r="BR1" s="396"/>
      <c r="BS1" s="396"/>
      <c r="BT1" s="396"/>
      <c r="BU1" s="396"/>
      <c r="BV1" s="396"/>
      <c r="BW1" s="396"/>
      <c r="BX1" s="396"/>
      <c r="BY1" s="396"/>
      <c r="BZ1" s="396"/>
      <c r="CA1" s="396"/>
      <c r="CB1" s="396"/>
      <c r="CC1" s="396"/>
      <c r="CD1" s="396"/>
      <c r="CE1" s="396"/>
      <c r="CF1" s="396"/>
      <c r="CG1" s="396"/>
      <c r="CH1" s="396"/>
      <c r="CI1" s="396"/>
      <c r="CJ1" s="396"/>
      <c r="CK1" s="396"/>
      <c r="CL1" s="396"/>
      <c r="CM1" s="396"/>
      <c r="CN1" s="396"/>
      <c r="CO1" s="396"/>
      <c r="CP1" s="396"/>
      <c r="CQ1" s="396"/>
      <c r="CR1" s="396"/>
      <c r="CS1" s="396"/>
      <c r="CT1" s="396"/>
      <c r="CU1" s="396"/>
      <c r="CV1" s="396"/>
      <c r="CW1" s="396"/>
      <c r="CX1" s="396"/>
      <c r="CY1" s="396"/>
      <c r="CZ1" s="396"/>
      <c r="DA1" s="396"/>
      <c r="DB1" s="396"/>
      <c r="DC1" s="396"/>
      <c r="DD1" s="396"/>
      <c r="DE1" s="396"/>
      <c r="DF1" s="396"/>
      <c r="DG1" s="396"/>
      <c r="DH1" s="396"/>
      <c r="DI1" s="396"/>
      <c r="DJ1" s="396"/>
      <c r="DK1" s="396"/>
      <c r="DL1" s="396"/>
      <c r="DM1" s="396"/>
      <c r="DN1" s="396"/>
      <c r="DO1" s="396"/>
      <c r="DP1" s="396"/>
      <c r="DQ1" s="396"/>
      <c r="DR1" s="396"/>
      <c r="DS1" s="396"/>
      <c r="DT1" s="396"/>
      <c r="DU1" s="396"/>
      <c r="DV1" s="396"/>
      <c r="DW1" s="396"/>
      <c r="DX1" s="396"/>
      <c r="DY1" s="396"/>
      <c r="DZ1" s="396"/>
      <c r="EA1" s="396"/>
      <c r="EB1" s="396"/>
      <c r="EC1" s="396"/>
      <c r="ED1" s="396"/>
      <c r="EE1" s="396"/>
      <c r="EF1" s="396"/>
      <c r="EG1" s="396"/>
      <c r="EH1" s="396"/>
      <c r="EI1" s="396"/>
      <c r="EJ1" s="396"/>
      <c r="EK1" s="396"/>
      <c r="EL1" s="396"/>
      <c r="EM1" s="396"/>
      <c r="EN1" s="396"/>
      <c r="EO1" s="396"/>
      <c r="EP1" s="396"/>
      <c r="EQ1" s="396"/>
      <c r="ER1" s="396"/>
      <c r="ES1" s="396"/>
      <c r="ET1" s="396"/>
      <c r="EU1" s="396"/>
      <c r="EV1" s="396"/>
      <c r="EW1" s="396"/>
      <c r="EX1" s="396"/>
      <c r="EY1" s="396"/>
      <c r="EZ1" s="396"/>
      <c r="FA1" s="396"/>
      <c r="FB1" s="396"/>
      <c r="FC1" s="396"/>
      <c r="FD1" s="396"/>
      <c r="FE1" s="396"/>
      <c r="FF1" s="396"/>
      <c r="FG1" s="396"/>
      <c r="FH1" s="396"/>
      <c r="FI1" s="396"/>
      <c r="FJ1" s="396"/>
      <c r="FK1" s="396"/>
      <c r="FL1" s="396"/>
      <c r="FM1" s="396"/>
      <c r="FN1" s="396"/>
      <c r="FO1" s="396"/>
      <c r="FP1" s="396"/>
      <c r="FQ1" s="396"/>
      <c r="FR1" s="396"/>
      <c r="FS1" s="396"/>
      <c r="FT1" s="396"/>
      <c r="FU1" s="396"/>
      <c r="FV1" s="396"/>
      <c r="FW1" s="396"/>
      <c r="FX1" s="396"/>
      <c r="FY1" s="396"/>
      <c r="FZ1" s="396"/>
      <c r="GA1" s="396"/>
      <c r="GB1" s="396"/>
      <c r="GC1" s="396"/>
      <c r="GD1" s="396"/>
      <c r="GE1" s="396"/>
      <c r="GF1" s="396"/>
      <c r="GG1" s="396"/>
      <c r="GH1" s="396"/>
      <c r="GI1" s="396"/>
      <c r="GJ1" s="396"/>
      <c r="GK1" s="396"/>
      <c r="GL1" s="396"/>
      <c r="GM1" s="396"/>
      <c r="GN1" s="396"/>
      <c r="GO1" s="396"/>
      <c r="GP1" s="396"/>
      <c r="GQ1" s="396"/>
      <c r="GR1" s="396"/>
      <c r="GS1" s="396"/>
      <c r="GT1" s="396"/>
      <c r="GU1" s="396"/>
      <c r="GV1" s="396"/>
      <c r="GW1" s="396"/>
      <c r="GX1" s="396"/>
      <c r="GY1" s="396"/>
      <c r="GZ1" s="396"/>
      <c r="HA1" s="396"/>
      <c r="HB1" s="396"/>
      <c r="HC1" s="396"/>
      <c r="HD1" s="396"/>
      <c r="HE1" s="396"/>
      <c r="HF1" s="396"/>
      <c r="HG1" s="396"/>
      <c r="HH1" s="396"/>
      <c r="HI1" s="396"/>
      <c r="HJ1" s="396"/>
      <c r="HK1" s="396"/>
      <c r="HL1" s="396"/>
      <c r="HM1" s="396"/>
      <c r="HN1" s="396"/>
      <c r="HO1" s="396"/>
      <c r="HP1" s="396"/>
      <c r="HQ1" s="396"/>
      <c r="HR1" s="396"/>
      <c r="HS1" s="396"/>
      <c r="HT1" s="396"/>
      <c r="HU1" s="396"/>
      <c r="HV1" s="396"/>
      <c r="HW1" s="396"/>
      <c r="HX1" s="396"/>
      <c r="HY1" s="396"/>
      <c r="HZ1" s="396"/>
      <c r="IA1" s="396"/>
      <c r="IB1" s="396"/>
      <c r="IC1" s="396"/>
      <c r="ID1" s="396"/>
      <c r="IE1" s="396"/>
      <c r="IF1" s="396"/>
      <c r="IG1" s="396"/>
      <c r="IH1" s="396"/>
      <c r="II1" s="396"/>
      <c r="IJ1" s="396"/>
      <c r="IK1" s="396"/>
      <c r="IL1" s="396"/>
      <c r="IM1" s="396"/>
      <c r="IN1" s="396"/>
      <c r="IO1" s="396"/>
      <c r="IP1" s="396"/>
      <c r="IQ1" s="396"/>
      <c r="IR1" s="396"/>
      <c r="IS1" s="396"/>
      <c r="IT1" s="396"/>
      <c r="IU1" s="396"/>
      <c r="IV1" s="396"/>
      <c r="IW1" s="396"/>
      <c r="IX1" s="396"/>
      <c r="IY1" s="396"/>
      <c r="IZ1" s="396"/>
      <c r="JA1" s="396"/>
      <c r="JB1" s="396"/>
      <c r="JC1" s="396"/>
      <c r="JD1" s="396"/>
      <c r="JE1" s="396"/>
      <c r="JF1" s="396"/>
      <c r="JG1" s="396"/>
      <c r="JH1" s="396"/>
    </row>
    <row r="2" spans="1:276" ht="18.75" x14ac:dyDescent="0.3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/>
      <c r="JJ3" s="2"/>
      <c r="JK3" s="122"/>
      <c r="JL3" s="125"/>
      <c r="JM3" s="125"/>
      <c r="JN3" s="125"/>
      <c r="JO3" s="125"/>
      <c r="JP3" s="125"/>
    </row>
    <row r="4" spans="1:276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>
        <v>177799.99</v>
      </c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>SUM(A4:JH4)</f>
        <v>177799.99</v>
      </c>
      <c r="JJ4" s="2">
        <v>290</v>
      </c>
      <c r="JK4" s="122">
        <v>177799.99</v>
      </c>
      <c r="JL4" s="125">
        <f>+JI4-JK4</f>
        <v>0</v>
      </c>
      <c r="JM4" s="125"/>
      <c r="JN4" s="125"/>
      <c r="JO4" s="125"/>
      <c r="JP4" s="125"/>
    </row>
    <row r="5" spans="1:27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>
        <v>155677.4</v>
      </c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ref="JI5:JI22" si="0">SUM(A5:JH5)</f>
        <v>155677.4</v>
      </c>
      <c r="JJ5" s="2">
        <v>291</v>
      </c>
      <c r="JK5" s="122">
        <v>155677.4</v>
      </c>
      <c r="JL5" s="125">
        <f t="shared" ref="JL5:JL57" si="1">+JI5-JK5</f>
        <v>0</v>
      </c>
      <c r="JM5" s="125"/>
      <c r="JN5" s="125"/>
      <c r="JO5" s="125"/>
      <c r="JP5" s="125"/>
    </row>
    <row r="6" spans="1:276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>
        <v>90600</v>
      </c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90600</v>
      </c>
      <c r="JJ6" s="2">
        <v>292</v>
      </c>
      <c r="JK6" s="122">
        <v>90600</v>
      </c>
      <c r="JL6" s="125">
        <f t="shared" si="1"/>
        <v>0</v>
      </c>
      <c r="JM6" s="125"/>
      <c r="JN6" s="125"/>
      <c r="JO6" s="125"/>
      <c r="JP6" s="125"/>
    </row>
    <row r="7" spans="1:27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>
        <v>4800</v>
      </c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4800</v>
      </c>
      <c r="JJ7" s="2">
        <v>293</v>
      </c>
      <c r="JK7" s="122">
        <v>4800</v>
      </c>
      <c r="JL7" s="125">
        <f t="shared" si="1"/>
        <v>0</v>
      </c>
      <c r="JM7" s="125"/>
      <c r="JN7" s="125"/>
      <c r="JO7" s="125"/>
      <c r="JP7" s="125"/>
    </row>
    <row r="8" spans="1:27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>
        <v>14000</v>
      </c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14000</v>
      </c>
      <c r="JJ8" s="2">
        <v>294</v>
      </c>
      <c r="JK8" s="122">
        <v>14000</v>
      </c>
      <c r="JL8" s="125">
        <f t="shared" si="1"/>
        <v>0</v>
      </c>
      <c r="JM8" s="125"/>
      <c r="JN8" s="125"/>
      <c r="JO8" s="125"/>
      <c r="JP8" s="125"/>
    </row>
    <row r="9" spans="1:276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>
        <v>30060</v>
      </c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30060</v>
      </c>
      <c r="JJ9" s="2">
        <v>295</v>
      </c>
      <c r="JK9" s="122">
        <v>30060</v>
      </c>
      <c r="JL9" s="125">
        <f t="shared" si="1"/>
        <v>0</v>
      </c>
      <c r="JM9" s="125"/>
      <c r="JN9" s="125"/>
      <c r="JO9" s="125"/>
      <c r="JP9" s="125"/>
    </row>
    <row r="10" spans="1:27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>
        <v>7000</v>
      </c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7000</v>
      </c>
      <c r="JJ10" s="2">
        <v>296</v>
      </c>
      <c r="JK10" s="122">
        <v>7000</v>
      </c>
      <c r="JL10" s="125">
        <f t="shared" si="1"/>
        <v>0</v>
      </c>
      <c r="JM10" s="125"/>
      <c r="JN10" s="125"/>
      <c r="JO10" s="125"/>
      <c r="JP10" s="125"/>
    </row>
    <row r="11" spans="1:276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>
        <v>132966.46</v>
      </c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132966.46</v>
      </c>
      <c r="JJ11" s="2">
        <v>297</v>
      </c>
      <c r="JK11" s="122">
        <v>132966.46</v>
      </c>
      <c r="JL11" s="125">
        <f t="shared" si="1"/>
        <v>0</v>
      </c>
      <c r="JM11" s="125"/>
      <c r="JN11" s="125"/>
      <c r="JO11" s="125"/>
      <c r="JP11" s="125"/>
    </row>
    <row r="12" spans="1:27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>
        <v>16000</v>
      </c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16000</v>
      </c>
      <c r="JJ12" s="2">
        <v>298</v>
      </c>
      <c r="JK12" s="122">
        <v>16000</v>
      </c>
      <c r="JL12" s="125">
        <f t="shared" si="1"/>
        <v>0</v>
      </c>
      <c r="JM12" s="125"/>
      <c r="JN12" s="125"/>
      <c r="JO12" s="125"/>
      <c r="JP12" s="125"/>
    </row>
    <row r="13" spans="1:27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>
        <v>25000</v>
      </c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25000</v>
      </c>
      <c r="JJ13" s="2">
        <v>299</v>
      </c>
      <c r="JK13" s="122">
        <v>25000</v>
      </c>
      <c r="JL13" s="125">
        <f t="shared" si="1"/>
        <v>0</v>
      </c>
      <c r="JM13" s="125"/>
      <c r="JN13" s="125"/>
      <c r="JO13" s="125"/>
      <c r="JP13" s="125"/>
    </row>
    <row r="14" spans="1:27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>
        <v>111421.68</v>
      </c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111421.68</v>
      </c>
      <c r="JJ14" s="2">
        <v>300</v>
      </c>
      <c r="JK14" s="122">
        <v>111421.68</v>
      </c>
      <c r="JL14" s="125">
        <f t="shared" si="1"/>
        <v>0</v>
      </c>
      <c r="JM14" s="125"/>
      <c r="JN14" s="125"/>
      <c r="JO14" s="125"/>
      <c r="JP14" s="125"/>
    </row>
    <row r="15" spans="1:27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>
        <v>25000</v>
      </c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25000</v>
      </c>
      <c r="JJ15" s="2">
        <v>301</v>
      </c>
      <c r="JK15" s="122">
        <v>25000</v>
      </c>
      <c r="JL15" s="125">
        <f t="shared" si="1"/>
        <v>0</v>
      </c>
      <c r="JM15" s="125"/>
      <c r="JN15" s="125"/>
      <c r="JO15" s="125"/>
      <c r="JP15" s="125"/>
    </row>
    <row r="16" spans="1:276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>
        <v>1819265</v>
      </c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1819265</v>
      </c>
      <c r="JJ16" s="2">
        <v>302</v>
      </c>
      <c r="JK16" s="122">
        <v>1819265</v>
      </c>
      <c r="JL16" s="125">
        <f t="shared" si="1"/>
        <v>0</v>
      </c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>
        <v>633345.26</v>
      </c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>
        <v>17600.03</v>
      </c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>
        <v>2900</v>
      </c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653845.29</v>
      </c>
      <c r="JJ17" s="2">
        <v>303</v>
      </c>
      <c r="JK17" s="122">
        <v>653845.29</v>
      </c>
      <c r="JL17" s="125">
        <f t="shared" si="1"/>
        <v>0</v>
      </c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>
        <v>237670</v>
      </c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237670</v>
      </c>
      <c r="JJ18" s="2">
        <v>304</v>
      </c>
      <c r="JK18" s="122">
        <v>237670</v>
      </c>
      <c r="JL18" s="125">
        <f t="shared" si="1"/>
        <v>0</v>
      </c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>
        <v>90048.75</v>
      </c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90048.75</v>
      </c>
      <c r="JJ19" s="2">
        <v>305</v>
      </c>
      <c r="JK19" s="122">
        <v>90048.75</v>
      </c>
      <c r="JL19" s="125">
        <f t="shared" si="1"/>
        <v>0</v>
      </c>
      <c r="JM19" s="125"/>
      <c r="JN19" s="125"/>
      <c r="JO19" s="125"/>
      <c r="JP19" s="125"/>
    </row>
    <row r="20" spans="1:276" ht="15.75" x14ac:dyDescent="0.3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37">
        <v>172000</v>
      </c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172000</v>
      </c>
      <c r="JJ20" s="2">
        <v>306</v>
      </c>
      <c r="JK20" s="122">
        <v>172000</v>
      </c>
      <c r="JL20" s="125">
        <f t="shared" si="1"/>
        <v>0</v>
      </c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>
        <v>27704.04</v>
      </c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27704.04</v>
      </c>
      <c r="JJ21" s="2">
        <v>307</v>
      </c>
      <c r="JK21" s="122">
        <v>27704.04</v>
      </c>
      <c r="JL21" s="125">
        <f t="shared" si="1"/>
        <v>0</v>
      </c>
      <c r="JM21" s="125"/>
      <c r="JN21" s="125"/>
      <c r="JO21" s="125"/>
      <c r="JP21" s="125"/>
    </row>
    <row r="22" spans="1:276" ht="15.75" x14ac:dyDescent="0.3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37">
        <v>22638</v>
      </c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22638</v>
      </c>
      <c r="JJ22" s="2">
        <v>308</v>
      </c>
      <c r="JK22" s="122">
        <v>22638</v>
      </c>
      <c r="JL22" s="125">
        <f t="shared" si="1"/>
        <v>0</v>
      </c>
      <c r="JM22" s="125"/>
      <c r="JN22" s="125"/>
      <c r="JO22" s="125"/>
      <c r="JP22" s="125"/>
    </row>
    <row r="23" spans="1:276" ht="15.75" x14ac:dyDescent="0.3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37">
        <v>74000</v>
      </c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ref="JI23:JI57" si="2">SUM(A23:JH23)</f>
        <v>74000</v>
      </c>
      <c r="JJ23" s="2">
        <v>309</v>
      </c>
      <c r="JK23" s="122">
        <v>74000</v>
      </c>
      <c r="JL23" s="125">
        <f t="shared" si="1"/>
        <v>0</v>
      </c>
      <c r="JM23" s="125"/>
      <c r="JN23" s="125"/>
      <c r="JO23" s="125"/>
      <c r="JP23" s="125"/>
    </row>
    <row r="24" spans="1:276" ht="15.75" x14ac:dyDescent="0.3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37">
        <v>25000</v>
      </c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2"/>
        <v>25000</v>
      </c>
      <c r="JJ24" s="2">
        <v>310</v>
      </c>
      <c r="JK24" s="122">
        <v>25000</v>
      </c>
      <c r="JL24" s="125">
        <f t="shared" si="1"/>
        <v>0</v>
      </c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>
        <v>76045</v>
      </c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2"/>
        <v>76045</v>
      </c>
      <c r="JJ25" s="2">
        <v>311</v>
      </c>
      <c r="JK25" s="122">
        <v>76045</v>
      </c>
      <c r="JL25" s="125">
        <f t="shared" si="1"/>
        <v>0</v>
      </c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>
        <v>44300</v>
      </c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2"/>
        <v>44300</v>
      </c>
      <c r="JJ26" s="2">
        <v>312</v>
      </c>
      <c r="JK26" s="122">
        <v>44300</v>
      </c>
      <c r="JL26" s="125">
        <f t="shared" si="1"/>
        <v>0</v>
      </c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>
        <v>180568</v>
      </c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2"/>
        <v>180568</v>
      </c>
      <c r="JJ27" s="2">
        <v>313</v>
      </c>
      <c r="JK27" s="122">
        <v>180568</v>
      </c>
      <c r="JL27" s="125">
        <f t="shared" si="1"/>
        <v>0</v>
      </c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>
        <v>136880</v>
      </c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2"/>
        <v>136880</v>
      </c>
      <c r="JJ28" s="2">
        <v>314</v>
      </c>
      <c r="JK28" s="122">
        <v>136880</v>
      </c>
      <c r="JL28" s="125">
        <f t="shared" si="1"/>
        <v>0</v>
      </c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>
        <v>396975.6</v>
      </c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2"/>
        <v>396975.6</v>
      </c>
      <c r="JJ29" s="2">
        <v>315</v>
      </c>
      <c r="JK29" s="122">
        <v>396975.6</v>
      </c>
      <c r="JL29" s="125">
        <f t="shared" si="1"/>
        <v>0</v>
      </c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>
        <v>162142.87</v>
      </c>
      <c r="GI30" s="122"/>
      <c r="GJ30" s="122"/>
      <c r="GK30" s="122">
        <v>26658.16</v>
      </c>
      <c r="GL30" s="122">
        <v>59500</v>
      </c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2"/>
        <v>248301.03</v>
      </c>
      <c r="JJ30" s="2">
        <v>316</v>
      </c>
      <c r="JK30" s="122">
        <v>248301.03</v>
      </c>
      <c r="JL30" s="125">
        <f t="shared" si="1"/>
        <v>0</v>
      </c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>
        <v>132840.57</v>
      </c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2"/>
        <v>132840.57</v>
      </c>
      <c r="JJ31" s="2">
        <v>317</v>
      </c>
      <c r="JK31" s="122">
        <v>132840.57</v>
      </c>
      <c r="JL31" s="125">
        <f t="shared" si="1"/>
        <v>0</v>
      </c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>
        <v>365139.20000000001</v>
      </c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2"/>
        <v>365139.20000000001</v>
      </c>
      <c r="JJ32" s="2">
        <v>318</v>
      </c>
      <c r="JK32" s="122">
        <v>365139.20000000001</v>
      </c>
      <c r="JL32" s="125">
        <f t="shared" si="1"/>
        <v>0</v>
      </c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>
        <v>308841.40000000002</v>
      </c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2"/>
        <v>308841.40000000002</v>
      </c>
      <c r="JJ33" s="2">
        <v>319</v>
      </c>
      <c r="JK33" s="122">
        <v>308841.40000000002</v>
      </c>
      <c r="JL33" s="125">
        <f t="shared" si="1"/>
        <v>0</v>
      </c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>
        <v>32000</v>
      </c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2"/>
        <v>32000</v>
      </c>
      <c r="JJ34" s="2">
        <v>320</v>
      </c>
      <c r="JK34" s="122">
        <v>32000</v>
      </c>
      <c r="JL34" s="125">
        <f t="shared" si="1"/>
        <v>0</v>
      </c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>
        <v>858540</v>
      </c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2"/>
        <v>858540</v>
      </c>
      <c r="JJ35" s="2">
        <v>321</v>
      </c>
      <c r="JK35" s="122">
        <v>858540</v>
      </c>
      <c r="JL35" s="125">
        <f t="shared" si="1"/>
        <v>0</v>
      </c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>
        <v>34270.400000000001</v>
      </c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2"/>
        <v>34270.400000000001</v>
      </c>
      <c r="JJ36" s="2">
        <v>322</v>
      </c>
      <c r="JK36" s="122">
        <v>34270.400000000001</v>
      </c>
      <c r="JL36" s="125">
        <f t="shared" si="1"/>
        <v>0</v>
      </c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>
        <v>33714.29</v>
      </c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2"/>
        <v>33714.29</v>
      </c>
      <c r="JJ37" s="2">
        <v>37290</v>
      </c>
      <c r="JK37" s="122"/>
      <c r="JL37" s="125">
        <f t="shared" si="1"/>
        <v>33714.29</v>
      </c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>
        <v>55617.91</v>
      </c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2"/>
        <v>55617.91</v>
      </c>
      <c r="JJ38" s="2">
        <f>+JJ37+1</f>
        <v>37291</v>
      </c>
      <c r="JK38" s="122"/>
      <c r="JL38" s="125">
        <f t="shared" si="1"/>
        <v>55617.91</v>
      </c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>
        <v>3600</v>
      </c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2"/>
        <v>3600</v>
      </c>
      <c r="JJ39" s="2">
        <f t="shared" ref="JJ39:JJ47" si="3">+JJ38+1</f>
        <v>37292</v>
      </c>
      <c r="JK39" s="122"/>
      <c r="JL39" s="125">
        <f t="shared" si="1"/>
        <v>3600</v>
      </c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2"/>
        <v>0</v>
      </c>
      <c r="JJ40" s="2">
        <f t="shared" si="3"/>
        <v>37293</v>
      </c>
      <c r="JK40" s="122"/>
      <c r="JL40" s="125">
        <f t="shared" si="1"/>
        <v>0</v>
      </c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2"/>
        <v>0</v>
      </c>
      <c r="JJ41" s="2">
        <f t="shared" si="3"/>
        <v>37294</v>
      </c>
      <c r="JK41" s="122"/>
      <c r="JL41" s="125">
        <f t="shared" si="1"/>
        <v>0</v>
      </c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>
        <v>56472.04</v>
      </c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2"/>
        <v>56472.04</v>
      </c>
      <c r="JJ42" s="2">
        <f t="shared" si="3"/>
        <v>37295</v>
      </c>
      <c r="JK42" s="122"/>
      <c r="JL42" s="125">
        <f t="shared" si="1"/>
        <v>56472.04</v>
      </c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2"/>
        <v>0</v>
      </c>
      <c r="JJ43" s="2">
        <f t="shared" si="3"/>
        <v>37296</v>
      </c>
      <c r="JK43" s="122"/>
      <c r="JL43" s="125">
        <f t="shared" si="1"/>
        <v>0</v>
      </c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>
        <v>18000</v>
      </c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2"/>
        <v>18000</v>
      </c>
      <c r="JJ44" s="2">
        <f t="shared" si="3"/>
        <v>37297</v>
      </c>
      <c r="JK44" s="122"/>
      <c r="JL44" s="125">
        <f t="shared" si="1"/>
        <v>18000</v>
      </c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>
        <v>21673.47</v>
      </c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2"/>
        <v>21673.47</v>
      </c>
      <c r="JJ45" s="2">
        <f>+JJ44+1</f>
        <v>37298</v>
      </c>
      <c r="JK45" s="122"/>
      <c r="JL45" s="125">
        <f t="shared" si="1"/>
        <v>21673.47</v>
      </c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>
        <v>18061.22</v>
      </c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2"/>
        <v>18061.22</v>
      </c>
      <c r="JJ46" s="2">
        <f t="shared" si="3"/>
        <v>37299</v>
      </c>
      <c r="JK46" s="122"/>
      <c r="JL46" s="125">
        <f t="shared" si="1"/>
        <v>18061.22</v>
      </c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>
        <v>18061.22</v>
      </c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2"/>
        <v>18061.22</v>
      </c>
      <c r="JJ47" s="2">
        <f t="shared" si="3"/>
        <v>37300</v>
      </c>
      <c r="JK47" s="122"/>
      <c r="JL47" s="125">
        <f t="shared" si="1"/>
        <v>18061.22</v>
      </c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>
        <v>20000</v>
      </c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2"/>
        <v>20000</v>
      </c>
      <c r="JJ48" s="2">
        <f>+JJ47+1</f>
        <v>37301</v>
      </c>
      <c r="JK48" s="122"/>
      <c r="JL48" s="125">
        <f t="shared" si="1"/>
        <v>20000</v>
      </c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>
        <v>4413127.5500000007</v>
      </c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2"/>
        <v>4413127.5500000007</v>
      </c>
      <c r="JJ49" s="2" t="s">
        <v>1285</v>
      </c>
      <c r="JK49" s="122"/>
      <c r="JL49" s="125">
        <f t="shared" si="1"/>
        <v>4413127.5500000007</v>
      </c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2"/>
        <v>0</v>
      </c>
      <c r="JJ50" s="2"/>
      <c r="JK50" s="122"/>
      <c r="JL50" s="125">
        <f t="shared" si="1"/>
        <v>0</v>
      </c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2"/>
        <v>0</v>
      </c>
      <c r="JJ51" s="2"/>
      <c r="JK51" s="122"/>
      <c r="JL51" s="125">
        <f t="shared" si="1"/>
        <v>0</v>
      </c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2"/>
        <v>0</v>
      </c>
      <c r="JJ52" s="2"/>
      <c r="JK52" s="122"/>
      <c r="JL52" s="125">
        <f t="shared" si="1"/>
        <v>0</v>
      </c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2"/>
        <v>0</v>
      </c>
      <c r="JJ53" s="2"/>
      <c r="JK53" s="122"/>
      <c r="JL53" s="125">
        <f t="shared" si="1"/>
        <v>0</v>
      </c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2"/>
        <v>0</v>
      </c>
      <c r="JJ54" s="2"/>
      <c r="JK54" s="122"/>
      <c r="JL54" s="125">
        <f t="shared" si="1"/>
        <v>0</v>
      </c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2"/>
        <v>0</v>
      </c>
      <c r="JJ55" s="2"/>
      <c r="JK55" s="122"/>
      <c r="JL55" s="125">
        <f t="shared" si="1"/>
        <v>0</v>
      </c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>
        <v>21179.93</v>
      </c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2"/>
        <v>21179.93</v>
      </c>
      <c r="JJ56" s="2"/>
      <c r="JK56" s="122"/>
      <c r="JL56" s="125">
        <f t="shared" si="1"/>
        <v>21179.93</v>
      </c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2"/>
        <v>0</v>
      </c>
      <c r="JJ57" s="2"/>
      <c r="JK57" s="122"/>
      <c r="JL57" s="125">
        <f t="shared" si="1"/>
        <v>0</v>
      </c>
      <c r="JM57" s="125"/>
      <c r="JN57" s="125"/>
      <c r="JO57" s="125"/>
      <c r="JP57" s="125"/>
    </row>
    <row r="58" spans="1:276" x14ac:dyDescent="0.25">
      <c r="A58" s="119">
        <f>SUM(A3:A57)</f>
        <v>0</v>
      </c>
      <c r="B58" s="119">
        <f t="shared" ref="B58:BM58" si="4">SUM(B3:B57)</f>
        <v>0</v>
      </c>
      <c r="C58" s="119">
        <f t="shared" si="4"/>
        <v>0</v>
      </c>
      <c r="D58" s="119">
        <f t="shared" si="4"/>
        <v>0</v>
      </c>
      <c r="E58" s="119">
        <f t="shared" si="4"/>
        <v>0</v>
      </c>
      <c r="F58" s="119">
        <f t="shared" si="4"/>
        <v>0</v>
      </c>
      <c r="G58" s="119">
        <f t="shared" si="4"/>
        <v>0</v>
      </c>
      <c r="H58" s="119">
        <f t="shared" si="4"/>
        <v>0</v>
      </c>
      <c r="I58" s="119">
        <f t="shared" si="4"/>
        <v>0</v>
      </c>
      <c r="J58" s="119">
        <f t="shared" si="4"/>
        <v>0</v>
      </c>
      <c r="K58" s="119">
        <f t="shared" si="4"/>
        <v>0</v>
      </c>
      <c r="L58" s="119">
        <f t="shared" si="4"/>
        <v>0</v>
      </c>
      <c r="M58" s="119">
        <f t="shared" si="4"/>
        <v>0</v>
      </c>
      <c r="N58" s="119">
        <f t="shared" si="4"/>
        <v>0</v>
      </c>
      <c r="O58" s="119">
        <f t="shared" si="4"/>
        <v>0</v>
      </c>
      <c r="P58" s="119">
        <f t="shared" si="4"/>
        <v>0</v>
      </c>
      <c r="Q58" s="119">
        <f t="shared" si="4"/>
        <v>0</v>
      </c>
      <c r="R58" s="119">
        <f t="shared" si="4"/>
        <v>0</v>
      </c>
      <c r="S58" s="119">
        <f t="shared" si="4"/>
        <v>0</v>
      </c>
      <c r="T58" s="119">
        <f t="shared" si="4"/>
        <v>0</v>
      </c>
      <c r="U58" s="119">
        <f t="shared" si="4"/>
        <v>0</v>
      </c>
      <c r="V58" s="119">
        <f t="shared" si="4"/>
        <v>0</v>
      </c>
      <c r="W58" s="119">
        <f t="shared" si="4"/>
        <v>0</v>
      </c>
      <c r="X58" s="119">
        <f t="shared" si="4"/>
        <v>4413127.5500000007</v>
      </c>
      <c r="Y58" s="119">
        <f t="shared" si="4"/>
        <v>0</v>
      </c>
      <c r="Z58" s="119">
        <f t="shared" si="4"/>
        <v>0</v>
      </c>
      <c r="AA58" s="119">
        <f t="shared" si="4"/>
        <v>0</v>
      </c>
      <c r="AB58" s="119">
        <f t="shared" si="4"/>
        <v>0</v>
      </c>
      <c r="AC58" s="119">
        <f t="shared" si="4"/>
        <v>0</v>
      </c>
      <c r="AD58" s="119">
        <f t="shared" si="4"/>
        <v>0</v>
      </c>
      <c r="AE58" s="119">
        <f t="shared" si="4"/>
        <v>0</v>
      </c>
      <c r="AF58" s="119">
        <f t="shared" si="4"/>
        <v>0</v>
      </c>
      <c r="AG58" s="119">
        <f t="shared" si="4"/>
        <v>0</v>
      </c>
      <c r="AH58" s="119">
        <f t="shared" si="4"/>
        <v>0</v>
      </c>
      <c r="AI58" s="119">
        <f t="shared" si="4"/>
        <v>0</v>
      </c>
      <c r="AJ58" s="119">
        <f t="shared" si="4"/>
        <v>0</v>
      </c>
      <c r="AK58" s="119">
        <f t="shared" si="4"/>
        <v>0</v>
      </c>
      <c r="AL58" s="119">
        <f t="shared" si="4"/>
        <v>0</v>
      </c>
      <c r="AM58" s="119">
        <f t="shared" si="4"/>
        <v>0</v>
      </c>
      <c r="AN58" s="119">
        <f t="shared" si="4"/>
        <v>0</v>
      </c>
      <c r="AO58" s="119">
        <f t="shared" si="4"/>
        <v>0</v>
      </c>
      <c r="AP58" s="119">
        <f t="shared" si="4"/>
        <v>0</v>
      </c>
      <c r="AQ58" s="119">
        <f t="shared" si="4"/>
        <v>111421.68</v>
      </c>
      <c r="AR58" s="119">
        <f t="shared" si="4"/>
        <v>0</v>
      </c>
      <c r="AS58" s="119">
        <f t="shared" si="4"/>
        <v>0</v>
      </c>
      <c r="AT58" s="119">
        <f t="shared" si="4"/>
        <v>0</v>
      </c>
      <c r="AU58" s="119">
        <f t="shared" si="4"/>
        <v>0</v>
      </c>
      <c r="AV58" s="119">
        <f t="shared" si="4"/>
        <v>0</v>
      </c>
      <c r="AW58" s="119">
        <f t="shared" si="4"/>
        <v>50000</v>
      </c>
      <c r="AX58" s="119">
        <f t="shared" si="4"/>
        <v>0</v>
      </c>
      <c r="AY58" s="119">
        <f t="shared" si="4"/>
        <v>269720.57</v>
      </c>
      <c r="AZ58" s="119">
        <f t="shared" si="4"/>
        <v>0</v>
      </c>
      <c r="BA58" s="119">
        <f t="shared" si="4"/>
        <v>0</v>
      </c>
      <c r="BB58" s="119">
        <f t="shared" si="4"/>
        <v>0</v>
      </c>
      <c r="BC58" s="119">
        <f t="shared" si="4"/>
        <v>68000</v>
      </c>
      <c r="BD58" s="119">
        <f t="shared" si="4"/>
        <v>0</v>
      </c>
      <c r="BE58" s="119">
        <f t="shared" si="4"/>
        <v>0</v>
      </c>
      <c r="BF58" s="119">
        <f t="shared" si="4"/>
        <v>0</v>
      </c>
      <c r="BG58" s="119">
        <f t="shared" si="4"/>
        <v>0</v>
      </c>
      <c r="BH58" s="119">
        <f t="shared" si="4"/>
        <v>0</v>
      </c>
      <c r="BI58" s="119">
        <f t="shared" si="4"/>
        <v>0</v>
      </c>
      <c r="BJ58" s="119">
        <f t="shared" si="4"/>
        <v>0</v>
      </c>
      <c r="BK58" s="119">
        <f t="shared" si="4"/>
        <v>0</v>
      </c>
      <c r="BL58" s="119">
        <f t="shared" si="4"/>
        <v>0</v>
      </c>
      <c r="BM58" s="119">
        <f t="shared" si="4"/>
        <v>0</v>
      </c>
      <c r="BN58" s="119">
        <f t="shared" ref="BN58:DY58" si="5">SUM(BN3:BN57)</f>
        <v>0</v>
      </c>
      <c r="BO58" s="119">
        <f t="shared" si="5"/>
        <v>0</v>
      </c>
      <c r="BP58" s="119">
        <f t="shared" si="5"/>
        <v>0</v>
      </c>
      <c r="BQ58" s="119">
        <f t="shared" si="5"/>
        <v>0</v>
      </c>
      <c r="BR58" s="119">
        <f t="shared" si="5"/>
        <v>0</v>
      </c>
      <c r="BS58" s="119">
        <f t="shared" si="5"/>
        <v>0</v>
      </c>
      <c r="BT58" s="119">
        <f t="shared" si="5"/>
        <v>0</v>
      </c>
      <c r="BU58" s="119">
        <f t="shared" si="5"/>
        <v>0</v>
      </c>
      <c r="BV58" s="119">
        <f t="shared" si="5"/>
        <v>0</v>
      </c>
      <c r="BW58" s="119">
        <f t="shared" si="5"/>
        <v>0</v>
      </c>
      <c r="BX58" s="119">
        <f t="shared" si="5"/>
        <v>0</v>
      </c>
      <c r="BY58" s="119">
        <f t="shared" si="5"/>
        <v>0</v>
      </c>
      <c r="BZ58" s="119">
        <f t="shared" si="5"/>
        <v>0</v>
      </c>
      <c r="CA58" s="119">
        <f t="shared" si="5"/>
        <v>0</v>
      </c>
      <c r="CB58" s="119">
        <f t="shared" si="5"/>
        <v>0</v>
      </c>
      <c r="CC58" s="119">
        <f t="shared" si="5"/>
        <v>0</v>
      </c>
      <c r="CD58" s="119">
        <f t="shared" si="5"/>
        <v>0</v>
      </c>
      <c r="CE58" s="119">
        <f t="shared" si="5"/>
        <v>0</v>
      </c>
      <c r="CF58" s="119">
        <f t="shared" si="5"/>
        <v>0</v>
      </c>
      <c r="CG58" s="119">
        <f t="shared" si="5"/>
        <v>0</v>
      </c>
      <c r="CH58" s="119">
        <f t="shared" si="5"/>
        <v>132966.46</v>
      </c>
      <c r="CI58" s="119">
        <f t="shared" si="5"/>
        <v>0</v>
      </c>
      <c r="CJ58" s="119">
        <f t="shared" si="5"/>
        <v>33714.29</v>
      </c>
      <c r="CK58" s="119">
        <f t="shared" si="5"/>
        <v>0</v>
      </c>
      <c r="CL58" s="119">
        <f t="shared" si="5"/>
        <v>635339.50999999989</v>
      </c>
      <c r="CM58" s="119">
        <f t="shared" si="5"/>
        <v>0</v>
      </c>
      <c r="CN58" s="119">
        <f t="shared" si="5"/>
        <v>0</v>
      </c>
      <c r="CO58" s="119">
        <f t="shared" si="5"/>
        <v>0</v>
      </c>
      <c r="CP58" s="119">
        <f t="shared" si="5"/>
        <v>21179.93</v>
      </c>
      <c r="CQ58" s="119">
        <f t="shared" si="5"/>
        <v>0</v>
      </c>
      <c r="CR58" s="119">
        <f t="shared" si="5"/>
        <v>0</v>
      </c>
      <c r="CS58" s="119">
        <f t="shared" si="5"/>
        <v>0</v>
      </c>
      <c r="CT58" s="119">
        <f t="shared" si="5"/>
        <v>0</v>
      </c>
      <c r="CU58" s="119">
        <f t="shared" si="5"/>
        <v>0</v>
      </c>
      <c r="CV58" s="119">
        <f t="shared" si="5"/>
        <v>0</v>
      </c>
      <c r="CW58" s="119">
        <f t="shared" si="5"/>
        <v>0</v>
      </c>
      <c r="CX58" s="119">
        <f t="shared" si="5"/>
        <v>0</v>
      </c>
      <c r="CY58" s="119">
        <f t="shared" si="5"/>
        <v>0</v>
      </c>
      <c r="CZ58" s="119">
        <f t="shared" si="5"/>
        <v>0</v>
      </c>
      <c r="DA58" s="119">
        <f t="shared" si="5"/>
        <v>0</v>
      </c>
      <c r="DB58" s="119">
        <f t="shared" si="5"/>
        <v>0</v>
      </c>
      <c r="DC58" s="119">
        <f t="shared" si="5"/>
        <v>0</v>
      </c>
      <c r="DD58" s="119">
        <f t="shared" si="5"/>
        <v>0</v>
      </c>
      <c r="DE58" s="119">
        <f t="shared" si="5"/>
        <v>145345</v>
      </c>
      <c r="DF58" s="119">
        <f t="shared" si="5"/>
        <v>0</v>
      </c>
      <c r="DG58" s="119">
        <f t="shared" si="5"/>
        <v>0</v>
      </c>
      <c r="DH58" s="119">
        <f t="shared" si="5"/>
        <v>0</v>
      </c>
      <c r="DI58" s="119">
        <f t="shared" si="5"/>
        <v>90048.75</v>
      </c>
      <c r="DJ58" s="119">
        <f t="shared" si="5"/>
        <v>0</v>
      </c>
      <c r="DK58" s="119">
        <f>SUM(DK3:DK57)</f>
        <v>1046945.66</v>
      </c>
      <c r="DL58" s="119">
        <f t="shared" si="5"/>
        <v>0</v>
      </c>
      <c r="DM58" s="119">
        <f t="shared" si="5"/>
        <v>0</v>
      </c>
      <c r="DN58" s="119">
        <f t="shared" si="5"/>
        <v>0</v>
      </c>
      <c r="DO58" s="119">
        <f t="shared" si="5"/>
        <v>0</v>
      </c>
      <c r="DP58" s="119">
        <f t="shared" si="5"/>
        <v>0</v>
      </c>
      <c r="DQ58" s="119">
        <f t="shared" si="5"/>
        <v>0</v>
      </c>
      <c r="DR58" s="119">
        <f t="shared" si="5"/>
        <v>0</v>
      </c>
      <c r="DS58" s="119">
        <f t="shared" si="5"/>
        <v>0</v>
      </c>
      <c r="DT58" s="119">
        <f t="shared" si="5"/>
        <v>0</v>
      </c>
      <c r="DU58" s="119">
        <f t="shared" si="5"/>
        <v>0</v>
      </c>
      <c r="DV58" s="119">
        <f t="shared" si="5"/>
        <v>17600.03</v>
      </c>
      <c r="DW58" s="119">
        <f t="shared" si="5"/>
        <v>0</v>
      </c>
      <c r="DX58" s="119">
        <f t="shared" si="5"/>
        <v>0</v>
      </c>
      <c r="DY58" s="119">
        <f t="shared" si="5"/>
        <v>0</v>
      </c>
      <c r="DZ58" s="119">
        <f t="shared" ref="DZ58:GK58" si="6">SUM(DZ3:DZ57)</f>
        <v>0</v>
      </c>
      <c r="EA58" s="119">
        <f t="shared" si="6"/>
        <v>74000</v>
      </c>
      <c r="EB58" s="119">
        <f t="shared" si="6"/>
        <v>0</v>
      </c>
      <c r="EC58" s="119">
        <f t="shared" si="6"/>
        <v>0</v>
      </c>
      <c r="ED58" s="119">
        <f t="shared" si="6"/>
        <v>0</v>
      </c>
      <c r="EE58" s="119">
        <f t="shared" si="6"/>
        <v>0</v>
      </c>
      <c r="EF58" s="119">
        <f t="shared" si="6"/>
        <v>0</v>
      </c>
      <c r="EG58" s="119">
        <f t="shared" si="6"/>
        <v>0</v>
      </c>
      <c r="EH58" s="119">
        <f t="shared" si="6"/>
        <v>0</v>
      </c>
      <c r="EI58" s="119">
        <f t="shared" si="6"/>
        <v>0</v>
      </c>
      <c r="EJ58" s="119">
        <f t="shared" si="6"/>
        <v>0</v>
      </c>
      <c r="EK58" s="119">
        <f t="shared" si="6"/>
        <v>0</v>
      </c>
      <c r="EL58" s="119">
        <f t="shared" si="6"/>
        <v>0</v>
      </c>
      <c r="EM58" s="119">
        <f t="shared" si="6"/>
        <v>0</v>
      </c>
      <c r="EN58" s="119">
        <f t="shared" si="6"/>
        <v>0</v>
      </c>
      <c r="EO58" s="119">
        <f t="shared" si="6"/>
        <v>0</v>
      </c>
      <c r="EP58" s="119">
        <f t="shared" si="6"/>
        <v>0</v>
      </c>
      <c r="EQ58" s="119">
        <f t="shared" si="6"/>
        <v>0</v>
      </c>
      <c r="ER58" s="119">
        <f t="shared" si="6"/>
        <v>0</v>
      </c>
      <c r="ES58" s="119">
        <f t="shared" si="6"/>
        <v>0</v>
      </c>
      <c r="ET58" s="119">
        <f t="shared" si="6"/>
        <v>0</v>
      </c>
      <c r="EU58" s="119">
        <f t="shared" si="6"/>
        <v>0</v>
      </c>
      <c r="EV58" s="119">
        <f t="shared" si="6"/>
        <v>0</v>
      </c>
      <c r="EW58" s="119">
        <f t="shared" si="6"/>
        <v>0</v>
      </c>
      <c r="EX58" s="119">
        <f t="shared" si="6"/>
        <v>0</v>
      </c>
      <c r="EY58" s="119">
        <f t="shared" si="6"/>
        <v>0</v>
      </c>
      <c r="EZ58" s="119">
        <f t="shared" si="6"/>
        <v>0</v>
      </c>
      <c r="FA58" s="119">
        <f t="shared" si="6"/>
        <v>172000</v>
      </c>
      <c r="FB58" s="119">
        <f t="shared" si="6"/>
        <v>0</v>
      </c>
      <c r="FC58" s="119">
        <f t="shared" si="6"/>
        <v>0</v>
      </c>
      <c r="FD58" s="119">
        <f t="shared" si="6"/>
        <v>22638</v>
      </c>
      <c r="FE58" s="119">
        <f t="shared" si="6"/>
        <v>0</v>
      </c>
      <c r="FF58" s="119">
        <f t="shared" si="6"/>
        <v>0</v>
      </c>
      <c r="FG58" s="119">
        <f t="shared" si="6"/>
        <v>0</v>
      </c>
      <c r="FH58" s="119">
        <f t="shared" si="6"/>
        <v>0</v>
      </c>
      <c r="FI58" s="119">
        <f t="shared" si="6"/>
        <v>0</v>
      </c>
      <c r="FJ58" s="119">
        <f t="shared" si="6"/>
        <v>4800</v>
      </c>
      <c r="FK58" s="119">
        <f t="shared" si="6"/>
        <v>0</v>
      </c>
      <c r="FL58" s="119">
        <f t="shared" si="6"/>
        <v>0</v>
      </c>
      <c r="FM58" s="119">
        <f t="shared" si="6"/>
        <v>0</v>
      </c>
      <c r="FN58" s="119">
        <f t="shared" si="6"/>
        <v>829658</v>
      </c>
      <c r="FO58" s="119">
        <f t="shared" si="6"/>
        <v>0</v>
      </c>
      <c r="FP58" s="119">
        <f t="shared" si="6"/>
        <v>0</v>
      </c>
      <c r="FQ58" s="119">
        <f t="shared" si="6"/>
        <v>0</v>
      </c>
      <c r="FR58" s="119">
        <f t="shared" si="6"/>
        <v>0</v>
      </c>
      <c r="FS58" s="119">
        <f t="shared" si="6"/>
        <v>0</v>
      </c>
      <c r="FT58" s="119">
        <f t="shared" si="6"/>
        <v>27704.04</v>
      </c>
      <c r="FU58" s="119">
        <f t="shared" si="6"/>
        <v>0</v>
      </c>
      <c r="FV58" s="119">
        <f t="shared" si="6"/>
        <v>861440</v>
      </c>
      <c r="FW58" s="119">
        <f t="shared" si="6"/>
        <v>0</v>
      </c>
      <c r="FX58" s="119">
        <f t="shared" si="6"/>
        <v>0</v>
      </c>
      <c r="FY58" s="119">
        <f t="shared" si="6"/>
        <v>0</v>
      </c>
      <c r="FZ58" s="119">
        <f t="shared" si="6"/>
        <v>0</v>
      </c>
      <c r="GA58" s="119">
        <f t="shared" si="6"/>
        <v>112089.95000000001</v>
      </c>
      <c r="GB58" s="119">
        <f t="shared" si="6"/>
        <v>0</v>
      </c>
      <c r="GC58" s="119">
        <f t="shared" si="6"/>
        <v>21600</v>
      </c>
      <c r="GD58" s="119">
        <f t="shared" si="6"/>
        <v>0</v>
      </c>
      <c r="GE58" s="119">
        <f t="shared" si="6"/>
        <v>0</v>
      </c>
      <c r="GF58" s="119">
        <f t="shared" si="6"/>
        <v>0</v>
      </c>
      <c r="GG58" s="119">
        <f t="shared" si="6"/>
        <v>0</v>
      </c>
      <c r="GH58" s="119">
        <f t="shared" si="6"/>
        <v>162142.87</v>
      </c>
      <c r="GI58" s="119">
        <f t="shared" si="6"/>
        <v>0</v>
      </c>
      <c r="GJ58" s="119">
        <f t="shared" si="6"/>
        <v>1819265</v>
      </c>
      <c r="GK58" s="119">
        <f t="shared" si="6"/>
        <v>26658.16</v>
      </c>
      <c r="GL58" s="119">
        <f t="shared" ref="GL58:IW58" si="7">SUM(GL3:GL57)</f>
        <v>237299.99</v>
      </c>
      <c r="GM58" s="119">
        <f t="shared" si="7"/>
        <v>0</v>
      </c>
      <c r="GN58" s="119">
        <f t="shared" si="7"/>
        <v>0</v>
      </c>
      <c r="GO58" s="119">
        <f t="shared" si="7"/>
        <v>0</v>
      </c>
      <c r="GP58" s="119">
        <f t="shared" si="7"/>
        <v>0</v>
      </c>
      <c r="GQ58" s="119">
        <f t="shared" si="7"/>
        <v>0</v>
      </c>
      <c r="GR58" s="119">
        <f t="shared" si="7"/>
        <v>0</v>
      </c>
      <c r="GS58" s="119">
        <f t="shared" si="7"/>
        <v>0</v>
      </c>
      <c r="GT58" s="119">
        <f t="shared" si="7"/>
        <v>0</v>
      </c>
      <c r="GU58" s="119">
        <f t="shared" si="7"/>
        <v>0</v>
      </c>
      <c r="GV58" s="119">
        <f t="shared" si="7"/>
        <v>0</v>
      </c>
      <c r="GW58" s="119">
        <f t="shared" si="7"/>
        <v>0</v>
      </c>
      <c r="GX58" s="119">
        <f t="shared" si="7"/>
        <v>0</v>
      </c>
      <c r="GY58" s="119">
        <f t="shared" si="7"/>
        <v>0</v>
      </c>
      <c r="GZ58" s="119">
        <f t="shared" si="7"/>
        <v>0</v>
      </c>
      <c r="HA58" s="119">
        <f t="shared" si="7"/>
        <v>0</v>
      </c>
      <c r="HB58" s="119">
        <f t="shared" si="7"/>
        <v>0</v>
      </c>
      <c r="HC58" s="119">
        <f t="shared" si="7"/>
        <v>0</v>
      </c>
      <c r="HD58" s="119">
        <f t="shared" si="7"/>
        <v>0</v>
      </c>
      <c r="HE58" s="119">
        <f t="shared" si="7"/>
        <v>0</v>
      </c>
      <c r="HF58" s="119">
        <f t="shared" si="7"/>
        <v>0</v>
      </c>
      <c r="HG58" s="119">
        <f t="shared" si="7"/>
        <v>0</v>
      </c>
      <c r="HH58" s="119">
        <f t="shared" si="7"/>
        <v>0</v>
      </c>
      <c r="HI58" s="119">
        <f t="shared" si="7"/>
        <v>0</v>
      </c>
      <c r="HJ58" s="119">
        <f t="shared" si="7"/>
        <v>0</v>
      </c>
      <c r="HK58" s="119">
        <f t="shared" si="7"/>
        <v>0</v>
      </c>
      <c r="HL58" s="119">
        <f t="shared" si="7"/>
        <v>0</v>
      </c>
      <c r="HM58" s="119">
        <f t="shared" si="7"/>
        <v>0</v>
      </c>
      <c r="HN58" s="119">
        <f t="shared" si="7"/>
        <v>0</v>
      </c>
      <c r="HO58" s="119">
        <f t="shared" si="7"/>
        <v>0</v>
      </c>
      <c r="HP58" s="119">
        <f t="shared" si="7"/>
        <v>0</v>
      </c>
      <c r="HQ58" s="119">
        <f t="shared" si="7"/>
        <v>0</v>
      </c>
      <c r="HR58" s="119">
        <f t="shared" si="7"/>
        <v>0</v>
      </c>
      <c r="HS58" s="119">
        <f t="shared" si="7"/>
        <v>0</v>
      </c>
      <c r="HT58" s="119">
        <f t="shared" si="7"/>
        <v>0</v>
      </c>
      <c r="HU58" s="119">
        <f t="shared" si="7"/>
        <v>0</v>
      </c>
      <c r="HV58" s="119">
        <f t="shared" si="7"/>
        <v>0</v>
      </c>
      <c r="HW58" s="119">
        <f t="shared" si="7"/>
        <v>0</v>
      </c>
      <c r="HX58" s="119">
        <f t="shared" si="7"/>
        <v>0</v>
      </c>
      <c r="HY58" s="119">
        <f t="shared" si="7"/>
        <v>0</v>
      </c>
      <c r="HZ58" s="119">
        <f t="shared" si="7"/>
        <v>0</v>
      </c>
      <c r="IA58" s="119">
        <f t="shared" si="7"/>
        <v>0</v>
      </c>
      <c r="IB58" s="119">
        <f t="shared" si="7"/>
        <v>0</v>
      </c>
      <c r="IC58" s="119">
        <f t="shared" si="7"/>
        <v>0</v>
      </c>
      <c r="ID58" s="119">
        <f t="shared" si="7"/>
        <v>0</v>
      </c>
      <c r="IE58" s="119">
        <f t="shared" si="7"/>
        <v>0</v>
      </c>
      <c r="IF58" s="119">
        <f t="shared" si="7"/>
        <v>0</v>
      </c>
      <c r="IG58" s="119">
        <f t="shared" si="7"/>
        <v>0</v>
      </c>
      <c r="IH58" s="119">
        <f t="shared" si="7"/>
        <v>0</v>
      </c>
      <c r="II58" s="119">
        <f t="shared" si="7"/>
        <v>0</v>
      </c>
      <c r="IJ58" s="119">
        <f t="shared" si="7"/>
        <v>0</v>
      </c>
      <c r="IK58" s="119">
        <f t="shared" si="7"/>
        <v>0</v>
      </c>
      <c r="IL58" s="119">
        <f t="shared" si="7"/>
        <v>0</v>
      </c>
      <c r="IM58" s="119">
        <f t="shared" si="7"/>
        <v>0</v>
      </c>
      <c r="IN58" s="119">
        <f t="shared" si="7"/>
        <v>0</v>
      </c>
      <c r="IO58" s="119">
        <f t="shared" si="7"/>
        <v>0</v>
      </c>
      <c r="IP58" s="119">
        <f t="shared" si="7"/>
        <v>0</v>
      </c>
      <c r="IQ58" s="119">
        <f t="shared" si="7"/>
        <v>0</v>
      </c>
      <c r="IR58" s="119">
        <f t="shared" si="7"/>
        <v>0</v>
      </c>
      <c r="IS58" s="119">
        <f t="shared" si="7"/>
        <v>0</v>
      </c>
      <c r="IT58" s="119">
        <f t="shared" si="7"/>
        <v>0</v>
      </c>
      <c r="IU58" s="119">
        <f t="shared" si="7"/>
        <v>0</v>
      </c>
      <c r="IV58" s="119">
        <f t="shared" si="7"/>
        <v>0</v>
      </c>
      <c r="IW58" s="119">
        <f t="shared" si="7"/>
        <v>0</v>
      </c>
      <c r="IX58" s="119">
        <f t="shared" ref="IX58:JH58" si="8">SUM(IX3:IX57)</f>
        <v>0</v>
      </c>
      <c r="IY58" s="119">
        <f t="shared" si="8"/>
        <v>0</v>
      </c>
      <c r="IZ58" s="119">
        <f t="shared" si="8"/>
        <v>0</v>
      </c>
      <c r="JA58" s="119">
        <f t="shared" si="8"/>
        <v>0</v>
      </c>
      <c r="JB58" s="119">
        <f t="shared" si="8"/>
        <v>0</v>
      </c>
      <c r="JC58" s="119">
        <f t="shared" si="8"/>
        <v>0</v>
      </c>
      <c r="JD58" s="119">
        <f t="shared" si="8"/>
        <v>0</v>
      </c>
      <c r="JE58" s="119">
        <f t="shared" si="8"/>
        <v>0</v>
      </c>
      <c r="JF58" s="119">
        <f t="shared" si="8"/>
        <v>0</v>
      </c>
      <c r="JG58" s="119">
        <f t="shared" si="8"/>
        <v>0</v>
      </c>
      <c r="JH58" s="119">
        <f t="shared" si="8"/>
        <v>0</v>
      </c>
      <c r="JI58" s="119">
        <f>SUM(JI3:JI57)</f>
        <v>11406705.440000001</v>
      </c>
      <c r="JJ58" s="2"/>
      <c r="JK58" s="122">
        <f>SUM(JK3:JK57)</f>
        <v>6727197.8100000015</v>
      </c>
      <c r="JL58" s="122">
        <f t="shared" ref="JL58:JP58" si="9">SUM(JL3:JL57)</f>
        <v>4679507.6300000008</v>
      </c>
      <c r="JM58" s="122">
        <f t="shared" si="9"/>
        <v>0</v>
      </c>
      <c r="JN58" s="122">
        <f t="shared" si="9"/>
        <v>0</v>
      </c>
      <c r="JO58" s="122">
        <f t="shared" si="9"/>
        <v>0</v>
      </c>
      <c r="JP58" s="122">
        <f t="shared" si="9"/>
        <v>0</v>
      </c>
    </row>
    <row r="59" spans="1:276" ht="18.75" x14ac:dyDescent="0.3">
      <c r="A59" s="118">
        <v>211101</v>
      </c>
      <c r="B59" s="118">
        <v>211102</v>
      </c>
      <c r="C59" s="118">
        <v>211103</v>
      </c>
      <c r="D59" s="118">
        <v>211104</v>
      </c>
      <c r="E59" s="118">
        <v>211105</v>
      </c>
      <c r="F59" s="118">
        <v>211106</v>
      </c>
      <c r="G59" s="118">
        <v>211203</v>
      </c>
      <c r="H59" s="118">
        <v>211205</v>
      </c>
      <c r="I59" s="118">
        <v>211206</v>
      </c>
      <c r="J59" s="118">
        <v>211208</v>
      </c>
      <c r="K59" s="118">
        <v>211209</v>
      </c>
      <c r="L59" s="118">
        <v>211211</v>
      </c>
      <c r="M59" s="118">
        <v>211301</v>
      </c>
      <c r="N59" s="118">
        <v>211401</v>
      </c>
      <c r="O59" s="118">
        <v>211501</v>
      </c>
      <c r="P59" s="118">
        <v>211502</v>
      </c>
      <c r="Q59" s="118">
        <v>211503</v>
      </c>
      <c r="R59" s="118">
        <v>211504</v>
      </c>
      <c r="S59" s="118">
        <v>212101</v>
      </c>
      <c r="T59" s="118">
        <v>212201</v>
      </c>
      <c r="U59" s="118">
        <v>212203</v>
      </c>
      <c r="V59" s="118">
        <v>212204</v>
      </c>
      <c r="W59" s="118">
        <v>212205</v>
      </c>
      <c r="X59" s="118">
        <v>212206</v>
      </c>
      <c r="Y59" s="118">
        <v>212207</v>
      </c>
      <c r="Z59" s="118">
        <v>212208</v>
      </c>
      <c r="AA59" s="118">
        <v>212209</v>
      </c>
      <c r="AB59" s="118">
        <v>212210</v>
      </c>
      <c r="AC59" s="118">
        <v>213101</v>
      </c>
      <c r="AD59" s="118">
        <v>213102</v>
      </c>
      <c r="AE59" s="118">
        <v>213201</v>
      </c>
      <c r="AF59" s="118">
        <v>213202</v>
      </c>
      <c r="AG59" s="118">
        <v>214101</v>
      </c>
      <c r="AH59" s="118">
        <v>214201</v>
      </c>
      <c r="AI59" s="118">
        <v>214202</v>
      </c>
      <c r="AJ59" s="118">
        <v>214203</v>
      </c>
      <c r="AK59" s="118">
        <v>215101</v>
      </c>
      <c r="AL59" s="118">
        <v>215201</v>
      </c>
      <c r="AM59" s="118">
        <v>215301</v>
      </c>
      <c r="AN59" s="118">
        <v>215401</v>
      </c>
      <c r="AO59" s="118">
        <v>221101</v>
      </c>
      <c r="AP59" s="118">
        <v>221201</v>
      </c>
      <c r="AQ59" s="118">
        <v>221301</v>
      </c>
      <c r="AR59" s="118">
        <v>221401</v>
      </c>
      <c r="AS59" s="118">
        <v>221501</v>
      </c>
      <c r="AT59" s="118">
        <v>221601</v>
      </c>
      <c r="AU59" s="118">
        <v>221602</v>
      </c>
      <c r="AV59" s="118">
        <v>221701</v>
      </c>
      <c r="AW59" s="118">
        <v>221801</v>
      </c>
      <c r="AX59" s="118">
        <v>222101</v>
      </c>
      <c r="AY59" s="118">
        <v>222201</v>
      </c>
      <c r="AZ59" s="118">
        <v>223101</v>
      </c>
      <c r="BA59" s="118">
        <v>223201</v>
      </c>
      <c r="BB59" s="118">
        <v>224101</v>
      </c>
      <c r="BC59" s="118">
        <v>224201</v>
      </c>
      <c r="BD59" s="118">
        <v>224301</v>
      </c>
      <c r="BE59" s="118">
        <v>224401</v>
      </c>
      <c r="BF59" s="118">
        <v>225101</v>
      </c>
      <c r="BG59" s="118">
        <v>225201</v>
      </c>
      <c r="BH59" s="118">
        <v>225301</v>
      </c>
      <c r="BI59" s="118">
        <v>225302</v>
      </c>
      <c r="BJ59" s="118">
        <v>225303</v>
      </c>
      <c r="BK59" s="118">
        <v>225304</v>
      </c>
      <c r="BL59" s="118">
        <v>225305</v>
      </c>
      <c r="BM59" s="118">
        <v>225401</v>
      </c>
      <c r="BN59" s="118">
        <v>225501</v>
      </c>
      <c r="BO59" s="118">
        <v>225601</v>
      </c>
      <c r="BP59" s="118">
        <v>225701</v>
      </c>
      <c r="BQ59" s="118">
        <v>225801</v>
      </c>
      <c r="BR59" s="118">
        <v>225901</v>
      </c>
      <c r="BS59" s="118">
        <v>226101</v>
      </c>
      <c r="BT59" s="118">
        <v>226201</v>
      </c>
      <c r="BU59" s="118">
        <v>226301</v>
      </c>
      <c r="BV59" s="118">
        <v>226401</v>
      </c>
      <c r="BW59" s="118">
        <v>227101</v>
      </c>
      <c r="BX59" s="118">
        <v>227102</v>
      </c>
      <c r="BY59" s="118">
        <v>227103</v>
      </c>
      <c r="BZ59" s="118">
        <v>227104</v>
      </c>
      <c r="CA59" s="118">
        <v>227105</v>
      </c>
      <c r="CB59" s="118">
        <v>227106</v>
      </c>
      <c r="CC59" s="118">
        <v>227107</v>
      </c>
      <c r="CD59" s="118">
        <v>227199</v>
      </c>
      <c r="CE59" s="118">
        <v>227201</v>
      </c>
      <c r="CF59" s="118">
        <v>227202</v>
      </c>
      <c r="CG59" s="118">
        <v>227203</v>
      </c>
      <c r="CH59" s="118">
        <v>227204</v>
      </c>
      <c r="CI59" s="118">
        <v>227205</v>
      </c>
      <c r="CJ59" s="118">
        <v>227206</v>
      </c>
      <c r="CK59" s="118">
        <v>227207</v>
      </c>
      <c r="CL59" s="118">
        <v>227208</v>
      </c>
      <c r="CM59" s="118">
        <v>227299</v>
      </c>
      <c r="CN59" s="118">
        <v>227301</v>
      </c>
      <c r="CO59" s="118">
        <v>228101</v>
      </c>
      <c r="CP59" s="118">
        <v>228201</v>
      </c>
      <c r="CQ59" s="118">
        <v>228301</v>
      </c>
      <c r="CR59" s="118">
        <v>228401</v>
      </c>
      <c r="CS59" s="118">
        <v>228501</v>
      </c>
      <c r="CT59" s="118">
        <v>228502</v>
      </c>
      <c r="CU59" s="118">
        <v>228503</v>
      </c>
      <c r="CV59" s="118">
        <v>228601</v>
      </c>
      <c r="CW59" s="118">
        <v>228602</v>
      </c>
      <c r="CX59" s="118">
        <v>228603</v>
      </c>
      <c r="CY59" s="118">
        <v>228604</v>
      </c>
      <c r="CZ59" s="118">
        <v>228701</v>
      </c>
      <c r="DA59" s="118">
        <v>228702</v>
      </c>
      <c r="DB59" s="118">
        <v>228703</v>
      </c>
      <c r="DC59" s="118">
        <v>228704</v>
      </c>
      <c r="DD59" s="118">
        <v>228705</v>
      </c>
      <c r="DE59" s="118">
        <v>228706</v>
      </c>
      <c r="DF59" s="118">
        <v>228801</v>
      </c>
      <c r="DG59" s="118">
        <v>228802</v>
      </c>
      <c r="DH59" s="118">
        <v>228803</v>
      </c>
      <c r="DI59" s="118">
        <v>229201</v>
      </c>
      <c r="DJ59" s="118">
        <v>229203</v>
      </c>
      <c r="DK59" s="118">
        <v>231101</v>
      </c>
      <c r="DL59" s="118">
        <v>231102</v>
      </c>
      <c r="DM59" s="118">
        <v>231201</v>
      </c>
      <c r="DN59" s="118">
        <v>231301</v>
      </c>
      <c r="DO59" s="118">
        <v>231302</v>
      </c>
      <c r="DP59" s="118">
        <v>231303</v>
      </c>
      <c r="DQ59" s="118">
        <v>231401</v>
      </c>
      <c r="DR59" s="118">
        <v>232101</v>
      </c>
      <c r="DS59" s="118">
        <v>232201</v>
      </c>
      <c r="DT59" s="118">
        <v>232301</v>
      </c>
      <c r="DU59" s="118">
        <v>233101</v>
      </c>
      <c r="DV59" s="118">
        <v>233201</v>
      </c>
      <c r="DW59" s="118">
        <v>233301</v>
      </c>
      <c r="DX59" s="118">
        <v>233401</v>
      </c>
      <c r="DY59" s="118">
        <v>233501</v>
      </c>
      <c r="DZ59" s="118">
        <v>233601</v>
      </c>
      <c r="EA59" s="118">
        <v>234101</v>
      </c>
      <c r="EB59" s="118">
        <v>234201</v>
      </c>
      <c r="EC59" s="118">
        <v>235101</v>
      </c>
      <c r="ED59" s="118">
        <v>235201</v>
      </c>
      <c r="EE59" s="118">
        <v>235301</v>
      </c>
      <c r="EF59" s="118">
        <v>235401</v>
      </c>
      <c r="EG59" s="118">
        <v>235501</v>
      </c>
      <c r="EH59" s="118">
        <v>236101</v>
      </c>
      <c r="EI59" s="118">
        <v>236102</v>
      </c>
      <c r="EJ59" s="118">
        <v>236103</v>
      </c>
      <c r="EK59" s="118">
        <v>236104</v>
      </c>
      <c r="EL59" s="118">
        <v>236105</v>
      </c>
      <c r="EM59" s="118">
        <v>236201</v>
      </c>
      <c r="EN59" s="118">
        <v>236202</v>
      </c>
      <c r="EO59" s="118">
        <v>236203</v>
      </c>
      <c r="EP59" s="118">
        <v>236304</v>
      </c>
      <c r="EQ59" s="118">
        <v>236305</v>
      </c>
      <c r="ER59" s="118">
        <v>236306</v>
      </c>
      <c r="ES59" s="118">
        <v>236401</v>
      </c>
      <c r="ET59" s="118">
        <v>236402</v>
      </c>
      <c r="EU59" s="118">
        <v>236403</v>
      </c>
      <c r="EV59" s="118">
        <v>236404</v>
      </c>
      <c r="EW59" s="118">
        <v>236405</v>
      </c>
      <c r="EX59" s="118">
        <v>236406</v>
      </c>
      <c r="EY59" s="118">
        <v>236407</v>
      </c>
      <c r="EZ59" s="118">
        <v>236901</v>
      </c>
      <c r="FA59" s="118">
        <v>237101</v>
      </c>
      <c r="FB59" s="118">
        <v>237102</v>
      </c>
      <c r="FC59" s="118">
        <v>237103</v>
      </c>
      <c r="FD59" s="118">
        <v>237104</v>
      </c>
      <c r="FE59" s="118">
        <v>237105</v>
      </c>
      <c r="FF59" s="118">
        <v>237106</v>
      </c>
      <c r="FG59" s="118">
        <v>237107</v>
      </c>
      <c r="FH59" s="118">
        <v>237201</v>
      </c>
      <c r="FI59" s="118">
        <v>237202</v>
      </c>
      <c r="FJ59" s="118">
        <v>237203</v>
      </c>
      <c r="FK59" s="118">
        <v>237204</v>
      </c>
      <c r="FL59" s="118">
        <v>237205</v>
      </c>
      <c r="FM59" s="118">
        <v>237206</v>
      </c>
      <c r="FN59" s="118">
        <v>237299</v>
      </c>
      <c r="FO59" s="118">
        <v>238101</v>
      </c>
      <c r="FP59" s="118">
        <v>238201</v>
      </c>
      <c r="FQ59" s="118">
        <v>239101</v>
      </c>
      <c r="FR59" s="118">
        <v>239102</v>
      </c>
      <c r="FS59" s="118">
        <v>239201</v>
      </c>
      <c r="FT59" s="118">
        <v>239301</v>
      </c>
      <c r="FU59" s="118">
        <v>239401</v>
      </c>
      <c r="FV59" s="118">
        <v>239501</v>
      </c>
      <c r="FW59" s="118">
        <v>239601</v>
      </c>
      <c r="FX59" s="118">
        <v>239701</v>
      </c>
      <c r="FY59" s="118">
        <v>239801</v>
      </c>
      <c r="FZ59" s="118">
        <v>239802</v>
      </c>
      <c r="GA59" s="118">
        <v>239901</v>
      </c>
      <c r="GB59" s="118">
        <v>239904</v>
      </c>
      <c r="GC59" s="118">
        <v>241201</v>
      </c>
      <c r="GD59" s="118">
        <v>241202</v>
      </c>
      <c r="GE59" s="118">
        <v>241203</v>
      </c>
      <c r="GF59" s="118">
        <v>241204</v>
      </c>
      <c r="GG59" s="118">
        <v>241205</v>
      </c>
      <c r="GH59" s="118">
        <v>261101</v>
      </c>
      <c r="GI59" s="118">
        <v>261201</v>
      </c>
      <c r="GJ59" s="118">
        <v>261301</v>
      </c>
      <c r="GK59" s="118">
        <v>261401</v>
      </c>
      <c r="GL59" s="118">
        <v>261901</v>
      </c>
      <c r="GM59" s="118">
        <v>262101</v>
      </c>
      <c r="GN59" s="118">
        <v>262201</v>
      </c>
      <c r="GO59" s="118">
        <v>262301</v>
      </c>
      <c r="GP59" s="118">
        <v>262401</v>
      </c>
      <c r="GQ59" s="118">
        <v>263101</v>
      </c>
      <c r="GR59" s="118">
        <v>263201</v>
      </c>
      <c r="GS59" s="118">
        <v>263301</v>
      </c>
      <c r="GT59" s="118">
        <v>263401</v>
      </c>
      <c r="GU59" s="118">
        <v>264101</v>
      </c>
      <c r="GV59" s="118">
        <v>264201</v>
      </c>
      <c r="GW59" s="118">
        <v>264301</v>
      </c>
      <c r="GX59" s="118">
        <v>264401</v>
      </c>
      <c r="GY59" s="118">
        <v>264501</v>
      </c>
      <c r="GZ59" s="118">
        <v>264601</v>
      </c>
      <c r="HA59" s="118">
        <v>264701</v>
      </c>
      <c r="HB59" s="118">
        <v>264801</v>
      </c>
      <c r="HC59" s="118">
        <v>265101</v>
      </c>
      <c r="HD59" s="118">
        <v>265201</v>
      </c>
      <c r="HE59" s="118">
        <v>265301</v>
      </c>
      <c r="HF59" s="118">
        <v>265401</v>
      </c>
      <c r="HG59" s="118">
        <v>265501</v>
      </c>
      <c r="HH59" s="118">
        <v>265601</v>
      </c>
      <c r="HI59" s="118">
        <v>265701</v>
      </c>
      <c r="HJ59" s="118">
        <v>265801</v>
      </c>
      <c r="HK59" s="118">
        <v>266101</v>
      </c>
      <c r="HL59" s="118">
        <v>266201</v>
      </c>
      <c r="HM59" s="118">
        <v>267101</v>
      </c>
      <c r="HN59" s="118">
        <v>267201</v>
      </c>
      <c r="HO59" s="118">
        <v>267301</v>
      </c>
      <c r="HP59" s="118">
        <v>267401</v>
      </c>
      <c r="HQ59" s="118">
        <v>267501</v>
      </c>
      <c r="HR59" s="118">
        <v>267601</v>
      </c>
      <c r="HS59" s="118">
        <v>267701</v>
      </c>
      <c r="HT59" s="118">
        <v>267801</v>
      </c>
      <c r="HU59" s="118">
        <v>267901</v>
      </c>
      <c r="HV59" s="118">
        <v>268101</v>
      </c>
      <c r="HW59" s="118">
        <v>268201</v>
      </c>
      <c r="HX59" s="118">
        <v>268301</v>
      </c>
      <c r="HY59" s="118">
        <v>268302</v>
      </c>
      <c r="HZ59" s="118">
        <v>268401</v>
      </c>
      <c r="IA59" s="118">
        <v>268501</v>
      </c>
      <c r="IB59" s="118">
        <v>268601</v>
      </c>
      <c r="IC59" s="118">
        <v>268701</v>
      </c>
      <c r="ID59" s="118">
        <v>268802</v>
      </c>
      <c r="IE59" s="118">
        <v>268803</v>
      </c>
      <c r="IF59" s="118">
        <v>268804</v>
      </c>
      <c r="IG59" s="118">
        <v>268901</v>
      </c>
      <c r="IH59" s="118">
        <v>269101</v>
      </c>
      <c r="II59" s="118">
        <v>269102</v>
      </c>
      <c r="IJ59" s="118">
        <v>269201</v>
      </c>
      <c r="IK59" s="118">
        <v>269202</v>
      </c>
      <c r="IL59" s="118">
        <v>269301</v>
      </c>
      <c r="IM59" s="118">
        <v>269401</v>
      </c>
      <c r="IN59" s="118">
        <v>269501</v>
      </c>
      <c r="IO59" s="118">
        <v>269502</v>
      </c>
      <c r="IP59" s="118">
        <v>269503</v>
      </c>
      <c r="IQ59" s="118">
        <v>2269901</v>
      </c>
      <c r="IR59" s="118">
        <v>271101</v>
      </c>
      <c r="IS59" s="118">
        <v>271201</v>
      </c>
      <c r="IT59" s="118">
        <v>271301</v>
      </c>
      <c r="IU59" s="118">
        <v>271401</v>
      </c>
      <c r="IV59" s="118">
        <v>272101</v>
      </c>
      <c r="IW59" s="118">
        <v>272201</v>
      </c>
      <c r="IX59" s="118">
        <v>272301</v>
      </c>
      <c r="IY59" s="118">
        <v>272401</v>
      </c>
      <c r="IZ59" s="118">
        <v>272501</v>
      </c>
      <c r="JA59" s="118">
        <v>272601</v>
      </c>
      <c r="JB59" s="118">
        <v>272701</v>
      </c>
      <c r="JC59" s="118">
        <v>272801</v>
      </c>
      <c r="JD59" s="118">
        <v>272901</v>
      </c>
      <c r="JE59" s="118">
        <v>273101</v>
      </c>
      <c r="JF59" s="118">
        <v>273201</v>
      </c>
      <c r="JG59" s="118">
        <v>274101</v>
      </c>
      <c r="JH59" s="118">
        <v>274201</v>
      </c>
      <c r="JI59" s="120" t="s">
        <v>0</v>
      </c>
      <c r="JJ59" s="123"/>
      <c r="JK59" s="123"/>
    </row>
    <row r="60" spans="1:276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>SUM(A60:JH60)</f>
        <v>0</v>
      </c>
      <c r="JJ60" s="2"/>
      <c r="JK60" s="2"/>
    </row>
    <row r="61" spans="1:276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ref="JI61:JI73" si="10">SUM(A61:JH61)</f>
        <v>0</v>
      </c>
      <c r="JJ61" s="2"/>
      <c r="JK61" s="2"/>
    </row>
    <row r="62" spans="1:276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10"/>
        <v>0</v>
      </c>
      <c r="JJ62" s="2"/>
      <c r="JK62" s="2"/>
    </row>
    <row r="63" spans="1:276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10"/>
        <v>0</v>
      </c>
      <c r="JJ63" s="2"/>
      <c r="JK63" s="2"/>
    </row>
    <row r="64" spans="1:276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10"/>
        <v>0</v>
      </c>
      <c r="JJ64" s="2"/>
      <c r="JK64" s="2"/>
    </row>
    <row r="65" spans="1:271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10"/>
        <v>0</v>
      </c>
      <c r="JJ65" s="2"/>
      <c r="JK65" s="2"/>
    </row>
    <row r="66" spans="1:271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10"/>
        <v>0</v>
      </c>
      <c r="JJ66" s="2"/>
      <c r="JK66" s="2"/>
    </row>
    <row r="67" spans="1:271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10"/>
        <v>0</v>
      </c>
      <c r="JJ67" s="2"/>
      <c r="JK67" s="2"/>
    </row>
    <row r="68" spans="1:271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10"/>
        <v>0</v>
      </c>
      <c r="JJ68" s="2"/>
      <c r="JK68" s="2"/>
    </row>
    <row r="69" spans="1:271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10"/>
        <v>0</v>
      </c>
      <c r="JJ69" s="2"/>
      <c r="JK69" s="2"/>
    </row>
    <row r="70" spans="1:271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10"/>
        <v>0</v>
      </c>
      <c r="JJ70" s="2"/>
      <c r="JK70" s="2"/>
    </row>
    <row r="71" spans="1:271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10"/>
        <v>0</v>
      </c>
      <c r="JJ71" s="2"/>
      <c r="JK71" s="2"/>
    </row>
    <row r="72" spans="1:271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10"/>
        <v>0</v>
      </c>
      <c r="JJ72" s="2"/>
      <c r="JK72" s="2"/>
    </row>
    <row r="73" spans="1:271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10"/>
        <v>0</v>
      </c>
      <c r="JJ73" s="2"/>
      <c r="JK73" s="2"/>
    </row>
    <row r="74" spans="1:271" x14ac:dyDescent="0.25">
      <c r="A74" s="119">
        <f>SUM(A60:A73)</f>
        <v>0</v>
      </c>
      <c r="B74" s="119">
        <f t="shared" ref="B74:BM74" si="11">SUM(B60:B73)</f>
        <v>0</v>
      </c>
      <c r="C74" s="119">
        <f t="shared" si="11"/>
        <v>0</v>
      </c>
      <c r="D74" s="119">
        <f t="shared" si="11"/>
        <v>0</v>
      </c>
      <c r="E74" s="119">
        <f t="shared" si="11"/>
        <v>0</v>
      </c>
      <c r="F74" s="119">
        <f t="shared" si="11"/>
        <v>0</v>
      </c>
      <c r="G74" s="119">
        <f t="shared" si="11"/>
        <v>0</v>
      </c>
      <c r="H74" s="119">
        <f t="shared" si="11"/>
        <v>0</v>
      </c>
      <c r="I74" s="119">
        <f t="shared" si="11"/>
        <v>0</v>
      </c>
      <c r="J74" s="119">
        <f t="shared" si="11"/>
        <v>0</v>
      </c>
      <c r="K74" s="119">
        <f t="shared" si="11"/>
        <v>0</v>
      </c>
      <c r="L74" s="119">
        <f t="shared" si="11"/>
        <v>0</v>
      </c>
      <c r="M74" s="119">
        <f t="shared" si="11"/>
        <v>0</v>
      </c>
      <c r="N74" s="119">
        <f t="shared" si="11"/>
        <v>0</v>
      </c>
      <c r="O74" s="119">
        <f t="shared" si="11"/>
        <v>0</v>
      </c>
      <c r="P74" s="119">
        <f t="shared" si="11"/>
        <v>0</v>
      </c>
      <c r="Q74" s="119">
        <f t="shared" si="11"/>
        <v>0</v>
      </c>
      <c r="R74" s="119">
        <f t="shared" si="11"/>
        <v>0</v>
      </c>
      <c r="S74" s="119">
        <f t="shared" si="11"/>
        <v>0</v>
      </c>
      <c r="T74" s="119">
        <f t="shared" si="11"/>
        <v>0</v>
      </c>
      <c r="U74" s="119">
        <f t="shared" si="11"/>
        <v>0</v>
      </c>
      <c r="V74" s="119">
        <f t="shared" si="11"/>
        <v>0</v>
      </c>
      <c r="W74" s="119">
        <f t="shared" si="11"/>
        <v>0</v>
      </c>
      <c r="X74" s="119">
        <f t="shared" si="11"/>
        <v>0</v>
      </c>
      <c r="Y74" s="119">
        <f t="shared" si="11"/>
        <v>0</v>
      </c>
      <c r="Z74" s="119">
        <f t="shared" si="11"/>
        <v>0</v>
      </c>
      <c r="AA74" s="119">
        <f t="shared" si="11"/>
        <v>0</v>
      </c>
      <c r="AB74" s="119">
        <f t="shared" si="11"/>
        <v>0</v>
      </c>
      <c r="AC74" s="119">
        <f t="shared" si="11"/>
        <v>0</v>
      </c>
      <c r="AD74" s="119">
        <f t="shared" si="11"/>
        <v>0</v>
      </c>
      <c r="AE74" s="119">
        <f t="shared" si="11"/>
        <v>0</v>
      </c>
      <c r="AF74" s="119">
        <f t="shared" si="11"/>
        <v>0</v>
      </c>
      <c r="AG74" s="119">
        <f t="shared" si="11"/>
        <v>0</v>
      </c>
      <c r="AH74" s="119">
        <f t="shared" si="11"/>
        <v>0</v>
      </c>
      <c r="AI74" s="119">
        <f t="shared" si="11"/>
        <v>0</v>
      </c>
      <c r="AJ74" s="119">
        <f t="shared" si="11"/>
        <v>0</v>
      </c>
      <c r="AK74" s="119">
        <f t="shared" si="11"/>
        <v>0</v>
      </c>
      <c r="AL74" s="119">
        <f t="shared" si="11"/>
        <v>0</v>
      </c>
      <c r="AM74" s="119">
        <f t="shared" si="11"/>
        <v>0</v>
      </c>
      <c r="AN74" s="119">
        <f t="shared" si="11"/>
        <v>0</v>
      </c>
      <c r="AO74" s="119">
        <f t="shared" si="11"/>
        <v>0</v>
      </c>
      <c r="AP74" s="119">
        <f t="shared" si="11"/>
        <v>0</v>
      </c>
      <c r="AQ74" s="119">
        <f t="shared" si="11"/>
        <v>0</v>
      </c>
      <c r="AR74" s="119">
        <f t="shared" si="11"/>
        <v>0</v>
      </c>
      <c r="AS74" s="119">
        <f t="shared" si="11"/>
        <v>0</v>
      </c>
      <c r="AT74" s="119">
        <f t="shared" si="11"/>
        <v>0</v>
      </c>
      <c r="AU74" s="119">
        <f t="shared" si="11"/>
        <v>0</v>
      </c>
      <c r="AV74" s="119">
        <f t="shared" si="11"/>
        <v>0</v>
      </c>
      <c r="AW74" s="119">
        <f t="shared" si="11"/>
        <v>0</v>
      </c>
      <c r="AX74" s="119">
        <f t="shared" si="11"/>
        <v>0</v>
      </c>
      <c r="AY74" s="119">
        <f t="shared" si="11"/>
        <v>0</v>
      </c>
      <c r="AZ74" s="119">
        <f t="shared" si="11"/>
        <v>0</v>
      </c>
      <c r="BA74" s="119">
        <f t="shared" si="11"/>
        <v>0</v>
      </c>
      <c r="BB74" s="119">
        <f t="shared" si="11"/>
        <v>0</v>
      </c>
      <c r="BC74" s="119">
        <f t="shared" si="11"/>
        <v>0</v>
      </c>
      <c r="BD74" s="119">
        <f t="shared" si="11"/>
        <v>0</v>
      </c>
      <c r="BE74" s="119">
        <f t="shared" si="11"/>
        <v>0</v>
      </c>
      <c r="BF74" s="119">
        <f t="shared" si="11"/>
        <v>0</v>
      </c>
      <c r="BG74" s="119">
        <f t="shared" si="11"/>
        <v>0</v>
      </c>
      <c r="BH74" s="119">
        <f t="shared" si="11"/>
        <v>0</v>
      </c>
      <c r="BI74" s="119">
        <f t="shared" si="11"/>
        <v>0</v>
      </c>
      <c r="BJ74" s="119">
        <f t="shared" si="11"/>
        <v>0</v>
      </c>
      <c r="BK74" s="119">
        <f t="shared" si="11"/>
        <v>0</v>
      </c>
      <c r="BL74" s="119">
        <f t="shared" si="11"/>
        <v>0</v>
      </c>
      <c r="BM74" s="119">
        <f t="shared" si="11"/>
        <v>0</v>
      </c>
      <c r="BN74" s="119">
        <f t="shared" ref="BN74:DY74" si="12">SUM(BN60:BN73)</f>
        <v>0</v>
      </c>
      <c r="BO74" s="119">
        <f t="shared" si="12"/>
        <v>0</v>
      </c>
      <c r="BP74" s="119">
        <f t="shared" si="12"/>
        <v>0</v>
      </c>
      <c r="BQ74" s="119">
        <f t="shared" si="12"/>
        <v>0</v>
      </c>
      <c r="BR74" s="119">
        <f t="shared" si="12"/>
        <v>0</v>
      </c>
      <c r="BS74" s="119">
        <f t="shared" si="12"/>
        <v>0</v>
      </c>
      <c r="BT74" s="119">
        <f t="shared" si="12"/>
        <v>0</v>
      </c>
      <c r="BU74" s="119">
        <f t="shared" si="12"/>
        <v>0</v>
      </c>
      <c r="BV74" s="119">
        <f t="shared" si="12"/>
        <v>0</v>
      </c>
      <c r="BW74" s="119">
        <f t="shared" si="12"/>
        <v>0</v>
      </c>
      <c r="BX74" s="119">
        <f t="shared" si="12"/>
        <v>0</v>
      </c>
      <c r="BY74" s="119">
        <f t="shared" si="12"/>
        <v>0</v>
      </c>
      <c r="BZ74" s="119">
        <f t="shared" si="12"/>
        <v>0</v>
      </c>
      <c r="CA74" s="119">
        <f t="shared" si="12"/>
        <v>0</v>
      </c>
      <c r="CB74" s="119">
        <f t="shared" si="12"/>
        <v>0</v>
      </c>
      <c r="CC74" s="119">
        <f t="shared" si="12"/>
        <v>0</v>
      </c>
      <c r="CD74" s="119">
        <f t="shared" si="12"/>
        <v>0</v>
      </c>
      <c r="CE74" s="119">
        <f t="shared" si="12"/>
        <v>0</v>
      </c>
      <c r="CF74" s="119">
        <f t="shared" si="12"/>
        <v>0</v>
      </c>
      <c r="CG74" s="119">
        <f t="shared" si="12"/>
        <v>0</v>
      </c>
      <c r="CH74" s="119">
        <f t="shared" si="12"/>
        <v>0</v>
      </c>
      <c r="CI74" s="119">
        <f t="shared" si="12"/>
        <v>0</v>
      </c>
      <c r="CJ74" s="119">
        <f t="shared" si="12"/>
        <v>0</v>
      </c>
      <c r="CK74" s="119">
        <f t="shared" si="12"/>
        <v>0</v>
      </c>
      <c r="CL74" s="119">
        <f t="shared" si="12"/>
        <v>0</v>
      </c>
      <c r="CM74" s="119">
        <f t="shared" si="12"/>
        <v>0</v>
      </c>
      <c r="CN74" s="119">
        <f t="shared" si="12"/>
        <v>0</v>
      </c>
      <c r="CO74" s="119">
        <f t="shared" si="12"/>
        <v>0</v>
      </c>
      <c r="CP74" s="119">
        <f t="shared" si="12"/>
        <v>0</v>
      </c>
      <c r="CQ74" s="119">
        <f t="shared" si="12"/>
        <v>0</v>
      </c>
      <c r="CR74" s="119">
        <f t="shared" si="12"/>
        <v>0</v>
      </c>
      <c r="CS74" s="119">
        <f t="shared" si="12"/>
        <v>0</v>
      </c>
      <c r="CT74" s="119">
        <f t="shared" si="12"/>
        <v>0</v>
      </c>
      <c r="CU74" s="119">
        <f t="shared" si="12"/>
        <v>0</v>
      </c>
      <c r="CV74" s="119">
        <f t="shared" si="12"/>
        <v>0</v>
      </c>
      <c r="CW74" s="119">
        <f t="shared" si="12"/>
        <v>0</v>
      </c>
      <c r="CX74" s="119">
        <f t="shared" si="12"/>
        <v>0</v>
      </c>
      <c r="CY74" s="119">
        <f t="shared" si="12"/>
        <v>0</v>
      </c>
      <c r="CZ74" s="119">
        <f t="shared" si="12"/>
        <v>0</v>
      </c>
      <c r="DA74" s="119">
        <f t="shared" si="12"/>
        <v>0</v>
      </c>
      <c r="DB74" s="119">
        <f t="shared" si="12"/>
        <v>0</v>
      </c>
      <c r="DC74" s="119">
        <f t="shared" si="12"/>
        <v>0</v>
      </c>
      <c r="DD74" s="119">
        <f t="shared" si="12"/>
        <v>0</v>
      </c>
      <c r="DE74" s="119">
        <f t="shared" si="12"/>
        <v>0</v>
      </c>
      <c r="DF74" s="119">
        <f t="shared" si="12"/>
        <v>0</v>
      </c>
      <c r="DG74" s="119">
        <f t="shared" si="12"/>
        <v>0</v>
      </c>
      <c r="DH74" s="119">
        <f t="shared" si="12"/>
        <v>0</v>
      </c>
      <c r="DI74" s="119">
        <f t="shared" si="12"/>
        <v>0</v>
      </c>
      <c r="DJ74" s="119">
        <f t="shared" si="12"/>
        <v>0</v>
      </c>
      <c r="DK74" s="119">
        <f t="shared" si="12"/>
        <v>0</v>
      </c>
      <c r="DL74" s="119">
        <f t="shared" si="12"/>
        <v>0</v>
      </c>
      <c r="DM74" s="119">
        <f t="shared" si="12"/>
        <v>0</v>
      </c>
      <c r="DN74" s="119">
        <f t="shared" si="12"/>
        <v>0</v>
      </c>
      <c r="DO74" s="119">
        <f t="shared" si="12"/>
        <v>0</v>
      </c>
      <c r="DP74" s="119">
        <f t="shared" si="12"/>
        <v>0</v>
      </c>
      <c r="DQ74" s="119">
        <f t="shared" si="12"/>
        <v>0</v>
      </c>
      <c r="DR74" s="119">
        <f t="shared" si="12"/>
        <v>0</v>
      </c>
      <c r="DS74" s="119">
        <f t="shared" si="12"/>
        <v>0</v>
      </c>
      <c r="DT74" s="119">
        <f t="shared" si="12"/>
        <v>0</v>
      </c>
      <c r="DU74" s="119">
        <f t="shared" si="12"/>
        <v>0</v>
      </c>
      <c r="DV74" s="119">
        <f t="shared" si="12"/>
        <v>0</v>
      </c>
      <c r="DW74" s="119">
        <f t="shared" si="12"/>
        <v>0</v>
      </c>
      <c r="DX74" s="119">
        <f t="shared" si="12"/>
        <v>0</v>
      </c>
      <c r="DY74" s="119">
        <f t="shared" si="12"/>
        <v>0</v>
      </c>
      <c r="DZ74" s="119">
        <f t="shared" ref="DZ74:GK74" si="13">SUM(DZ60:DZ73)</f>
        <v>0</v>
      </c>
      <c r="EA74" s="119">
        <f t="shared" si="13"/>
        <v>0</v>
      </c>
      <c r="EB74" s="119">
        <f t="shared" si="13"/>
        <v>0</v>
      </c>
      <c r="EC74" s="119">
        <f t="shared" si="13"/>
        <v>0</v>
      </c>
      <c r="ED74" s="119">
        <f t="shared" si="13"/>
        <v>0</v>
      </c>
      <c r="EE74" s="119">
        <f t="shared" si="13"/>
        <v>0</v>
      </c>
      <c r="EF74" s="119">
        <f t="shared" si="13"/>
        <v>0</v>
      </c>
      <c r="EG74" s="119">
        <f t="shared" si="13"/>
        <v>0</v>
      </c>
      <c r="EH74" s="119">
        <f t="shared" si="13"/>
        <v>0</v>
      </c>
      <c r="EI74" s="119">
        <f t="shared" si="13"/>
        <v>0</v>
      </c>
      <c r="EJ74" s="119">
        <f t="shared" si="13"/>
        <v>0</v>
      </c>
      <c r="EK74" s="119">
        <f t="shared" si="13"/>
        <v>0</v>
      </c>
      <c r="EL74" s="119">
        <f t="shared" si="13"/>
        <v>0</v>
      </c>
      <c r="EM74" s="119">
        <f t="shared" si="13"/>
        <v>0</v>
      </c>
      <c r="EN74" s="119">
        <f t="shared" si="13"/>
        <v>0</v>
      </c>
      <c r="EO74" s="119">
        <f t="shared" si="13"/>
        <v>0</v>
      </c>
      <c r="EP74" s="119">
        <f t="shared" si="13"/>
        <v>0</v>
      </c>
      <c r="EQ74" s="119">
        <f t="shared" si="13"/>
        <v>0</v>
      </c>
      <c r="ER74" s="119">
        <f t="shared" si="13"/>
        <v>0</v>
      </c>
      <c r="ES74" s="119">
        <f t="shared" si="13"/>
        <v>0</v>
      </c>
      <c r="ET74" s="119">
        <f t="shared" si="13"/>
        <v>0</v>
      </c>
      <c r="EU74" s="119">
        <f t="shared" si="13"/>
        <v>0</v>
      </c>
      <c r="EV74" s="119">
        <f t="shared" si="13"/>
        <v>0</v>
      </c>
      <c r="EW74" s="119">
        <f t="shared" si="13"/>
        <v>0</v>
      </c>
      <c r="EX74" s="119">
        <f t="shared" si="13"/>
        <v>0</v>
      </c>
      <c r="EY74" s="119">
        <f t="shared" si="13"/>
        <v>0</v>
      </c>
      <c r="EZ74" s="119">
        <f t="shared" si="13"/>
        <v>0</v>
      </c>
      <c r="FA74" s="119">
        <f t="shared" si="13"/>
        <v>0</v>
      </c>
      <c r="FB74" s="119">
        <f t="shared" si="13"/>
        <v>0</v>
      </c>
      <c r="FC74" s="119">
        <f t="shared" si="13"/>
        <v>0</v>
      </c>
      <c r="FD74" s="119">
        <f t="shared" si="13"/>
        <v>0</v>
      </c>
      <c r="FE74" s="119">
        <f t="shared" si="13"/>
        <v>0</v>
      </c>
      <c r="FF74" s="119">
        <f t="shared" si="13"/>
        <v>0</v>
      </c>
      <c r="FG74" s="119">
        <f t="shared" si="13"/>
        <v>0</v>
      </c>
      <c r="FH74" s="119">
        <f t="shared" si="13"/>
        <v>0</v>
      </c>
      <c r="FI74" s="119">
        <f t="shared" si="13"/>
        <v>0</v>
      </c>
      <c r="FJ74" s="119">
        <f t="shared" si="13"/>
        <v>0</v>
      </c>
      <c r="FK74" s="119">
        <f t="shared" si="13"/>
        <v>0</v>
      </c>
      <c r="FL74" s="119">
        <f t="shared" si="13"/>
        <v>0</v>
      </c>
      <c r="FM74" s="119">
        <f t="shared" si="13"/>
        <v>0</v>
      </c>
      <c r="FN74" s="119">
        <f t="shared" si="13"/>
        <v>0</v>
      </c>
      <c r="FO74" s="119">
        <f t="shared" si="13"/>
        <v>0</v>
      </c>
      <c r="FP74" s="119">
        <f t="shared" si="13"/>
        <v>0</v>
      </c>
      <c r="FQ74" s="119">
        <f t="shared" si="13"/>
        <v>0</v>
      </c>
      <c r="FR74" s="119">
        <f t="shared" si="13"/>
        <v>0</v>
      </c>
      <c r="FS74" s="119">
        <f t="shared" si="13"/>
        <v>0</v>
      </c>
      <c r="FT74" s="119">
        <f t="shared" si="13"/>
        <v>0</v>
      </c>
      <c r="FU74" s="119">
        <f t="shared" si="13"/>
        <v>0</v>
      </c>
      <c r="FV74" s="119">
        <f t="shared" si="13"/>
        <v>0</v>
      </c>
      <c r="FW74" s="119">
        <f t="shared" si="13"/>
        <v>0</v>
      </c>
      <c r="FX74" s="119">
        <f t="shared" si="13"/>
        <v>0</v>
      </c>
      <c r="FY74" s="119">
        <f t="shared" si="13"/>
        <v>0</v>
      </c>
      <c r="FZ74" s="119">
        <f t="shared" si="13"/>
        <v>0</v>
      </c>
      <c r="GA74" s="119">
        <f t="shared" si="13"/>
        <v>0</v>
      </c>
      <c r="GB74" s="119">
        <f t="shared" si="13"/>
        <v>0</v>
      </c>
      <c r="GC74" s="119">
        <f t="shared" si="13"/>
        <v>0</v>
      </c>
      <c r="GD74" s="119">
        <f t="shared" si="13"/>
        <v>0</v>
      </c>
      <c r="GE74" s="119">
        <f t="shared" si="13"/>
        <v>0</v>
      </c>
      <c r="GF74" s="119">
        <f t="shared" si="13"/>
        <v>0</v>
      </c>
      <c r="GG74" s="119">
        <f t="shared" si="13"/>
        <v>0</v>
      </c>
      <c r="GH74" s="119">
        <f t="shared" si="13"/>
        <v>0</v>
      </c>
      <c r="GI74" s="119">
        <f t="shared" si="13"/>
        <v>0</v>
      </c>
      <c r="GJ74" s="119">
        <f t="shared" si="13"/>
        <v>0</v>
      </c>
      <c r="GK74" s="119">
        <f t="shared" si="13"/>
        <v>0</v>
      </c>
      <c r="GL74" s="119">
        <f t="shared" ref="GL74:IW74" si="14">SUM(GL60:GL73)</f>
        <v>0</v>
      </c>
      <c r="GM74" s="119">
        <f t="shared" si="14"/>
        <v>0</v>
      </c>
      <c r="GN74" s="119">
        <f t="shared" si="14"/>
        <v>0</v>
      </c>
      <c r="GO74" s="119">
        <f t="shared" si="14"/>
        <v>0</v>
      </c>
      <c r="GP74" s="119">
        <f t="shared" si="14"/>
        <v>0</v>
      </c>
      <c r="GQ74" s="119">
        <f t="shared" si="14"/>
        <v>0</v>
      </c>
      <c r="GR74" s="119">
        <f t="shared" si="14"/>
        <v>0</v>
      </c>
      <c r="GS74" s="119">
        <f t="shared" si="14"/>
        <v>0</v>
      </c>
      <c r="GT74" s="119">
        <f t="shared" si="14"/>
        <v>0</v>
      </c>
      <c r="GU74" s="119">
        <f t="shared" si="14"/>
        <v>0</v>
      </c>
      <c r="GV74" s="119">
        <f t="shared" si="14"/>
        <v>0</v>
      </c>
      <c r="GW74" s="119">
        <f t="shared" si="14"/>
        <v>0</v>
      </c>
      <c r="GX74" s="119">
        <f t="shared" si="14"/>
        <v>0</v>
      </c>
      <c r="GY74" s="119">
        <f t="shared" si="14"/>
        <v>0</v>
      </c>
      <c r="GZ74" s="119">
        <f t="shared" si="14"/>
        <v>0</v>
      </c>
      <c r="HA74" s="119">
        <f t="shared" si="14"/>
        <v>0</v>
      </c>
      <c r="HB74" s="119">
        <f t="shared" si="14"/>
        <v>0</v>
      </c>
      <c r="HC74" s="119">
        <f t="shared" si="14"/>
        <v>0</v>
      </c>
      <c r="HD74" s="119">
        <f t="shared" si="14"/>
        <v>0</v>
      </c>
      <c r="HE74" s="119">
        <f t="shared" si="14"/>
        <v>0</v>
      </c>
      <c r="HF74" s="119">
        <f t="shared" si="14"/>
        <v>0</v>
      </c>
      <c r="HG74" s="119">
        <f t="shared" si="14"/>
        <v>0</v>
      </c>
      <c r="HH74" s="119">
        <f t="shared" si="14"/>
        <v>0</v>
      </c>
      <c r="HI74" s="119">
        <f t="shared" si="14"/>
        <v>0</v>
      </c>
      <c r="HJ74" s="119">
        <f t="shared" si="14"/>
        <v>0</v>
      </c>
      <c r="HK74" s="119">
        <f t="shared" si="14"/>
        <v>0</v>
      </c>
      <c r="HL74" s="119">
        <f t="shared" si="14"/>
        <v>0</v>
      </c>
      <c r="HM74" s="119">
        <f t="shared" si="14"/>
        <v>0</v>
      </c>
      <c r="HN74" s="119">
        <f t="shared" si="14"/>
        <v>0</v>
      </c>
      <c r="HO74" s="119">
        <f t="shared" si="14"/>
        <v>0</v>
      </c>
      <c r="HP74" s="119">
        <f t="shared" si="14"/>
        <v>0</v>
      </c>
      <c r="HQ74" s="119">
        <f t="shared" si="14"/>
        <v>0</v>
      </c>
      <c r="HR74" s="119">
        <f t="shared" si="14"/>
        <v>0</v>
      </c>
      <c r="HS74" s="119">
        <f t="shared" si="14"/>
        <v>0</v>
      </c>
      <c r="HT74" s="119">
        <f t="shared" si="14"/>
        <v>0</v>
      </c>
      <c r="HU74" s="119">
        <f t="shared" si="14"/>
        <v>0</v>
      </c>
      <c r="HV74" s="119">
        <f t="shared" si="14"/>
        <v>0</v>
      </c>
      <c r="HW74" s="119">
        <f t="shared" si="14"/>
        <v>0</v>
      </c>
      <c r="HX74" s="119">
        <f t="shared" si="14"/>
        <v>0</v>
      </c>
      <c r="HY74" s="119">
        <f t="shared" si="14"/>
        <v>0</v>
      </c>
      <c r="HZ74" s="119">
        <f t="shared" si="14"/>
        <v>0</v>
      </c>
      <c r="IA74" s="119">
        <f t="shared" si="14"/>
        <v>0</v>
      </c>
      <c r="IB74" s="119">
        <f t="shared" si="14"/>
        <v>0</v>
      </c>
      <c r="IC74" s="119">
        <f t="shared" si="14"/>
        <v>0</v>
      </c>
      <c r="ID74" s="119">
        <f t="shared" si="14"/>
        <v>0</v>
      </c>
      <c r="IE74" s="119">
        <f t="shared" si="14"/>
        <v>0</v>
      </c>
      <c r="IF74" s="119">
        <f t="shared" si="14"/>
        <v>0</v>
      </c>
      <c r="IG74" s="119">
        <f t="shared" si="14"/>
        <v>0</v>
      </c>
      <c r="IH74" s="119">
        <f t="shared" si="14"/>
        <v>0</v>
      </c>
      <c r="II74" s="119">
        <f t="shared" si="14"/>
        <v>0</v>
      </c>
      <c r="IJ74" s="119">
        <f t="shared" si="14"/>
        <v>0</v>
      </c>
      <c r="IK74" s="119">
        <f t="shared" si="14"/>
        <v>0</v>
      </c>
      <c r="IL74" s="119">
        <f t="shared" si="14"/>
        <v>0</v>
      </c>
      <c r="IM74" s="119">
        <f t="shared" si="14"/>
        <v>0</v>
      </c>
      <c r="IN74" s="119">
        <f t="shared" si="14"/>
        <v>0</v>
      </c>
      <c r="IO74" s="119">
        <f t="shared" si="14"/>
        <v>0</v>
      </c>
      <c r="IP74" s="119">
        <f t="shared" si="14"/>
        <v>0</v>
      </c>
      <c r="IQ74" s="119">
        <f t="shared" si="14"/>
        <v>0</v>
      </c>
      <c r="IR74" s="119">
        <f t="shared" si="14"/>
        <v>0</v>
      </c>
      <c r="IS74" s="119">
        <f t="shared" si="14"/>
        <v>0</v>
      </c>
      <c r="IT74" s="119">
        <f t="shared" si="14"/>
        <v>0</v>
      </c>
      <c r="IU74" s="119">
        <f t="shared" si="14"/>
        <v>0</v>
      </c>
      <c r="IV74" s="119">
        <f t="shared" si="14"/>
        <v>0</v>
      </c>
      <c r="IW74" s="119">
        <f t="shared" si="14"/>
        <v>0</v>
      </c>
      <c r="IX74" s="119">
        <f t="shared" ref="IX74:JH74" si="15">SUM(IX60:IX73)</f>
        <v>0</v>
      </c>
      <c r="IY74" s="119">
        <f t="shared" si="15"/>
        <v>0</v>
      </c>
      <c r="IZ74" s="119">
        <f t="shared" si="15"/>
        <v>0</v>
      </c>
      <c r="JA74" s="119">
        <f t="shared" si="15"/>
        <v>0</v>
      </c>
      <c r="JB74" s="119">
        <f t="shared" si="15"/>
        <v>0</v>
      </c>
      <c r="JC74" s="119">
        <f t="shared" si="15"/>
        <v>0</v>
      </c>
      <c r="JD74" s="119">
        <f t="shared" si="15"/>
        <v>0</v>
      </c>
      <c r="JE74" s="119">
        <f t="shared" si="15"/>
        <v>0</v>
      </c>
      <c r="JF74" s="119">
        <f t="shared" si="15"/>
        <v>0</v>
      </c>
      <c r="JG74" s="119">
        <f t="shared" si="15"/>
        <v>0</v>
      </c>
      <c r="JH74" s="119">
        <f t="shared" si="15"/>
        <v>0</v>
      </c>
      <c r="JI74" s="119">
        <f>SUM(JI60:JI73)</f>
        <v>0</v>
      </c>
      <c r="JJ74" s="2"/>
      <c r="JK74" s="2"/>
    </row>
    <row r="75" spans="1:271" x14ac:dyDescent="0.25">
      <c r="A75" s="119">
        <f>A58+A74</f>
        <v>0</v>
      </c>
      <c r="B75" s="119">
        <f t="shared" ref="B75:BM75" si="16">B58+B74</f>
        <v>0</v>
      </c>
      <c r="C75" s="119">
        <f t="shared" si="16"/>
        <v>0</v>
      </c>
      <c r="D75" s="119">
        <f t="shared" si="16"/>
        <v>0</v>
      </c>
      <c r="E75" s="119">
        <f t="shared" si="16"/>
        <v>0</v>
      </c>
      <c r="F75" s="119">
        <f t="shared" si="16"/>
        <v>0</v>
      </c>
      <c r="G75" s="119">
        <f t="shared" si="16"/>
        <v>0</v>
      </c>
      <c r="H75" s="119">
        <f t="shared" si="16"/>
        <v>0</v>
      </c>
      <c r="I75" s="119">
        <f t="shared" si="16"/>
        <v>0</v>
      </c>
      <c r="J75" s="119">
        <f t="shared" si="16"/>
        <v>0</v>
      </c>
      <c r="K75" s="119">
        <f t="shared" si="16"/>
        <v>0</v>
      </c>
      <c r="L75" s="119">
        <f t="shared" si="16"/>
        <v>0</v>
      </c>
      <c r="M75" s="119">
        <f t="shared" si="16"/>
        <v>0</v>
      </c>
      <c r="N75" s="119">
        <f t="shared" si="16"/>
        <v>0</v>
      </c>
      <c r="O75" s="119">
        <f t="shared" si="16"/>
        <v>0</v>
      </c>
      <c r="P75" s="119">
        <f t="shared" si="16"/>
        <v>0</v>
      </c>
      <c r="Q75" s="119">
        <f t="shared" si="16"/>
        <v>0</v>
      </c>
      <c r="R75" s="119">
        <f t="shared" si="16"/>
        <v>0</v>
      </c>
      <c r="S75" s="119">
        <f t="shared" si="16"/>
        <v>0</v>
      </c>
      <c r="T75" s="119">
        <f t="shared" si="16"/>
        <v>0</v>
      </c>
      <c r="U75" s="119">
        <f t="shared" si="16"/>
        <v>0</v>
      </c>
      <c r="V75" s="119">
        <f t="shared" si="16"/>
        <v>0</v>
      </c>
      <c r="W75" s="119">
        <f t="shared" si="16"/>
        <v>0</v>
      </c>
      <c r="X75" s="119">
        <f t="shared" si="16"/>
        <v>4413127.5500000007</v>
      </c>
      <c r="Y75" s="119">
        <f t="shared" si="16"/>
        <v>0</v>
      </c>
      <c r="Z75" s="119">
        <f t="shared" si="16"/>
        <v>0</v>
      </c>
      <c r="AA75" s="119">
        <f t="shared" si="16"/>
        <v>0</v>
      </c>
      <c r="AB75" s="119">
        <f t="shared" si="16"/>
        <v>0</v>
      </c>
      <c r="AC75" s="119">
        <f t="shared" si="16"/>
        <v>0</v>
      </c>
      <c r="AD75" s="119">
        <f t="shared" si="16"/>
        <v>0</v>
      </c>
      <c r="AE75" s="119">
        <f t="shared" si="16"/>
        <v>0</v>
      </c>
      <c r="AF75" s="119">
        <f t="shared" si="16"/>
        <v>0</v>
      </c>
      <c r="AG75" s="119">
        <f t="shared" si="16"/>
        <v>0</v>
      </c>
      <c r="AH75" s="119">
        <f t="shared" si="16"/>
        <v>0</v>
      </c>
      <c r="AI75" s="119">
        <f t="shared" si="16"/>
        <v>0</v>
      </c>
      <c r="AJ75" s="119">
        <f t="shared" si="16"/>
        <v>0</v>
      </c>
      <c r="AK75" s="119">
        <f t="shared" si="16"/>
        <v>0</v>
      </c>
      <c r="AL75" s="119">
        <f t="shared" si="16"/>
        <v>0</v>
      </c>
      <c r="AM75" s="119">
        <f t="shared" si="16"/>
        <v>0</v>
      </c>
      <c r="AN75" s="119">
        <f t="shared" si="16"/>
        <v>0</v>
      </c>
      <c r="AO75" s="119">
        <f t="shared" si="16"/>
        <v>0</v>
      </c>
      <c r="AP75" s="119">
        <f t="shared" si="16"/>
        <v>0</v>
      </c>
      <c r="AQ75" s="119">
        <f t="shared" si="16"/>
        <v>111421.68</v>
      </c>
      <c r="AR75" s="119">
        <f t="shared" si="16"/>
        <v>0</v>
      </c>
      <c r="AS75" s="119">
        <f t="shared" si="16"/>
        <v>0</v>
      </c>
      <c r="AT75" s="119">
        <f t="shared" si="16"/>
        <v>0</v>
      </c>
      <c r="AU75" s="119">
        <f t="shared" si="16"/>
        <v>0</v>
      </c>
      <c r="AV75" s="119">
        <f t="shared" si="16"/>
        <v>0</v>
      </c>
      <c r="AW75" s="119">
        <f>AW58+AW74</f>
        <v>50000</v>
      </c>
      <c r="AX75" s="119">
        <f t="shared" si="16"/>
        <v>0</v>
      </c>
      <c r="AY75" s="119">
        <f t="shared" si="16"/>
        <v>269720.57</v>
      </c>
      <c r="AZ75" s="119">
        <f t="shared" si="16"/>
        <v>0</v>
      </c>
      <c r="BA75" s="119">
        <f t="shared" si="16"/>
        <v>0</v>
      </c>
      <c r="BB75" s="119">
        <f t="shared" si="16"/>
        <v>0</v>
      </c>
      <c r="BC75" s="119">
        <f t="shared" si="16"/>
        <v>68000</v>
      </c>
      <c r="BD75" s="119">
        <f t="shared" si="16"/>
        <v>0</v>
      </c>
      <c r="BE75" s="119">
        <f t="shared" si="16"/>
        <v>0</v>
      </c>
      <c r="BF75" s="119">
        <f t="shared" si="16"/>
        <v>0</v>
      </c>
      <c r="BG75" s="119">
        <f t="shared" si="16"/>
        <v>0</v>
      </c>
      <c r="BH75" s="119">
        <f t="shared" si="16"/>
        <v>0</v>
      </c>
      <c r="BI75" s="119">
        <f t="shared" si="16"/>
        <v>0</v>
      </c>
      <c r="BJ75" s="119">
        <f t="shared" si="16"/>
        <v>0</v>
      </c>
      <c r="BK75" s="119">
        <f t="shared" si="16"/>
        <v>0</v>
      </c>
      <c r="BL75" s="119">
        <f t="shared" si="16"/>
        <v>0</v>
      </c>
      <c r="BM75" s="119">
        <f t="shared" si="16"/>
        <v>0</v>
      </c>
      <c r="BN75" s="119">
        <f t="shared" ref="BN75:DY75" si="17">BN58+BN74</f>
        <v>0</v>
      </c>
      <c r="BO75" s="119">
        <f t="shared" si="17"/>
        <v>0</v>
      </c>
      <c r="BP75" s="119">
        <f t="shared" si="17"/>
        <v>0</v>
      </c>
      <c r="BQ75" s="119">
        <f t="shared" si="17"/>
        <v>0</v>
      </c>
      <c r="BR75" s="119">
        <f t="shared" si="17"/>
        <v>0</v>
      </c>
      <c r="BS75" s="119">
        <f t="shared" si="17"/>
        <v>0</v>
      </c>
      <c r="BT75" s="119">
        <f t="shared" si="17"/>
        <v>0</v>
      </c>
      <c r="BU75" s="119">
        <f t="shared" si="17"/>
        <v>0</v>
      </c>
      <c r="BV75" s="119">
        <f t="shared" si="17"/>
        <v>0</v>
      </c>
      <c r="BW75" s="119">
        <f t="shared" si="17"/>
        <v>0</v>
      </c>
      <c r="BX75" s="119">
        <f t="shared" si="17"/>
        <v>0</v>
      </c>
      <c r="BY75" s="119">
        <f t="shared" si="17"/>
        <v>0</v>
      </c>
      <c r="BZ75" s="119">
        <f t="shared" si="17"/>
        <v>0</v>
      </c>
      <c r="CA75" s="119">
        <f t="shared" si="17"/>
        <v>0</v>
      </c>
      <c r="CB75" s="119">
        <f t="shared" si="17"/>
        <v>0</v>
      </c>
      <c r="CC75" s="119">
        <f t="shared" si="17"/>
        <v>0</v>
      </c>
      <c r="CD75" s="119">
        <f t="shared" si="17"/>
        <v>0</v>
      </c>
      <c r="CE75" s="119">
        <f t="shared" si="17"/>
        <v>0</v>
      </c>
      <c r="CF75" s="119">
        <f t="shared" si="17"/>
        <v>0</v>
      </c>
      <c r="CG75" s="119">
        <f t="shared" si="17"/>
        <v>0</v>
      </c>
      <c r="CH75" s="119">
        <f t="shared" si="17"/>
        <v>132966.46</v>
      </c>
      <c r="CI75" s="119">
        <f t="shared" si="17"/>
        <v>0</v>
      </c>
      <c r="CJ75" s="119">
        <f t="shared" si="17"/>
        <v>33714.29</v>
      </c>
      <c r="CK75" s="119">
        <f t="shared" si="17"/>
        <v>0</v>
      </c>
      <c r="CL75" s="119">
        <f t="shared" si="17"/>
        <v>635339.50999999989</v>
      </c>
      <c r="CM75" s="119">
        <f t="shared" si="17"/>
        <v>0</v>
      </c>
      <c r="CN75" s="119">
        <f t="shared" si="17"/>
        <v>0</v>
      </c>
      <c r="CO75" s="119">
        <f t="shared" si="17"/>
        <v>0</v>
      </c>
      <c r="CP75" s="119">
        <f t="shared" si="17"/>
        <v>21179.93</v>
      </c>
      <c r="CQ75" s="119">
        <f t="shared" si="17"/>
        <v>0</v>
      </c>
      <c r="CR75" s="119">
        <f t="shared" si="17"/>
        <v>0</v>
      </c>
      <c r="CS75" s="119">
        <f t="shared" si="17"/>
        <v>0</v>
      </c>
      <c r="CT75" s="119">
        <f t="shared" si="17"/>
        <v>0</v>
      </c>
      <c r="CU75" s="119">
        <f t="shared" si="17"/>
        <v>0</v>
      </c>
      <c r="CV75" s="119">
        <f t="shared" si="17"/>
        <v>0</v>
      </c>
      <c r="CW75" s="119">
        <f t="shared" si="17"/>
        <v>0</v>
      </c>
      <c r="CX75" s="119">
        <f t="shared" si="17"/>
        <v>0</v>
      </c>
      <c r="CY75" s="119">
        <f t="shared" si="17"/>
        <v>0</v>
      </c>
      <c r="CZ75" s="119">
        <f t="shared" si="17"/>
        <v>0</v>
      </c>
      <c r="DA75" s="119">
        <f t="shared" si="17"/>
        <v>0</v>
      </c>
      <c r="DB75" s="119">
        <f t="shared" si="17"/>
        <v>0</v>
      </c>
      <c r="DC75" s="119">
        <f t="shared" si="17"/>
        <v>0</v>
      </c>
      <c r="DD75" s="119">
        <f t="shared" si="17"/>
        <v>0</v>
      </c>
      <c r="DE75" s="119">
        <f t="shared" si="17"/>
        <v>145345</v>
      </c>
      <c r="DF75" s="119">
        <f t="shared" si="17"/>
        <v>0</v>
      </c>
      <c r="DG75" s="119">
        <f t="shared" si="17"/>
        <v>0</v>
      </c>
      <c r="DH75" s="119">
        <f t="shared" si="17"/>
        <v>0</v>
      </c>
      <c r="DI75" s="119">
        <f t="shared" si="17"/>
        <v>90048.75</v>
      </c>
      <c r="DJ75" s="119">
        <f t="shared" si="17"/>
        <v>0</v>
      </c>
      <c r="DK75" s="119">
        <f t="shared" si="17"/>
        <v>1046945.66</v>
      </c>
      <c r="DL75" s="119">
        <f t="shared" si="17"/>
        <v>0</v>
      </c>
      <c r="DM75" s="119">
        <f t="shared" si="17"/>
        <v>0</v>
      </c>
      <c r="DN75" s="119">
        <f t="shared" si="17"/>
        <v>0</v>
      </c>
      <c r="DO75" s="119">
        <f t="shared" si="17"/>
        <v>0</v>
      </c>
      <c r="DP75" s="119">
        <f t="shared" si="17"/>
        <v>0</v>
      </c>
      <c r="DQ75" s="119">
        <f t="shared" si="17"/>
        <v>0</v>
      </c>
      <c r="DR75" s="119">
        <f t="shared" si="17"/>
        <v>0</v>
      </c>
      <c r="DS75" s="119">
        <f t="shared" si="17"/>
        <v>0</v>
      </c>
      <c r="DT75" s="119">
        <f t="shared" si="17"/>
        <v>0</v>
      </c>
      <c r="DU75" s="119">
        <f t="shared" si="17"/>
        <v>0</v>
      </c>
      <c r="DV75" s="119">
        <f t="shared" si="17"/>
        <v>17600.03</v>
      </c>
      <c r="DW75" s="119">
        <f t="shared" si="17"/>
        <v>0</v>
      </c>
      <c r="DX75" s="119">
        <f t="shared" si="17"/>
        <v>0</v>
      </c>
      <c r="DY75" s="119">
        <f t="shared" si="17"/>
        <v>0</v>
      </c>
      <c r="DZ75" s="119">
        <f t="shared" ref="DZ75:GK75" si="18">DZ58+DZ74</f>
        <v>0</v>
      </c>
      <c r="EA75" s="119">
        <f t="shared" si="18"/>
        <v>74000</v>
      </c>
      <c r="EB75" s="119">
        <f t="shared" si="18"/>
        <v>0</v>
      </c>
      <c r="EC75" s="119">
        <f t="shared" si="18"/>
        <v>0</v>
      </c>
      <c r="ED75" s="119">
        <f t="shared" si="18"/>
        <v>0</v>
      </c>
      <c r="EE75" s="119">
        <f t="shared" si="18"/>
        <v>0</v>
      </c>
      <c r="EF75" s="119">
        <f t="shared" si="18"/>
        <v>0</v>
      </c>
      <c r="EG75" s="119">
        <f t="shared" si="18"/>
        <v>0</v>
      </c>
      <c r="EH75" s="119">
        <f t="shared" si="18"/>
        <v>0</v>
      </c>
      <c r="EI75" s="119">
        <f t="shared" si="18"/>
        <v>0</v>
      </c>
      <c r="EJ75" s="119">
        <f t="shared" si="18"/>
        <v>0</v>
      </c>
      <c r="EK75" s="119">
        <f t="shared" si="18"/>
        <v>0</v>
      </c>
      <c r="EL75" s="119">
        <f t="shared" si="18"/>
        <v>0</v>
      </c>
      <c r="EM75" s="119">
        <f t="shared" si="18"/>
        <v>0</v>
      </c>
      <c r="EN75" s="119">
        <f t="shared" si="18"/>
        <v>0</v>
      </c>
      <c r="EO75" s="119">
        <f t="shared" si="18"/>
        <v>0</v>
      </c>
      <c r="EP75" s="119">
        <f t="shared" si="18"/>
        <v>0</v>
      </c>
      <c r="EQ75" s="119">
        <f t="shared" si="18"/>
        <v>0</v>
      </c>
      <c r="ER75" s="119">
        <f t="shared" si="18"/>
        <v>0</v>
      </c>
      <c r="ES75" s="119">
        <f t="shared" si="18"/>
        <v>0</v>
      </c>
      <c r="ET75" s="119">
        <f t="shared" si="18"/>
        <v>0</v>
      </c>
      <c r="EU75" s="119">
        <f t="shared" si="18"/>
        <v>0</v>
      </c>
      <c r="EV75" s="119">
        <f t="shared" si="18"/>
        <v>0</v>
      </c>
      <c r="EW75" s="119">
        <f t="shared" si="18"/>
        <v>0</v>
      </c>
      <c r="EX75" s="119">
        <f t="shared" si="18"/>
        <v>0</v>
      </c>
      <c r="EY75" s="119">
        <f t="shared" si="18"/>
        <v>0</v>
      </c>
      <c r="EZ75" s="119">
        <f t="shared" si="18"/>
        <v>0</v>
      </c>
      <c r="FA75" s="119">
        <f t="shared" si="18"/>
        <v>172000</v>
      </c>
      <c r="FB75" s="119">
        <f t="shared" si="18"/>
        <v>0</v>
      </c>
      <c r="FC75" s="119">
        <f t="shared" si="18"/>
        <v>0</v>
      </c>
      <c r="FD75" s="119">
        <f t="shared" si="18"/>
        <v>22638</v>
      </c>
      <c r="FE75" s="119">
        <f t="shared" si="18"/>
        <v>0</v>
      </c>
      <c r="FF75" s="119">
        <f t="shared" si="18"/>
        <v>0</v>
      </c>
      <c r="FG75" s="119">
        <f t="shared" si="18"/>
        <v>0</v>
      </c>
      <c r="FH75" s="119">
        <f t="shared" si="18"/>
        <v>0</v>
      </c>
      <c r="FI75" s="119">
        <f t="shared" si="18"/>
        <v>0</v>
      </c>
      <c r="FJ75" s="119">
        <f t="shared" si="18"/>
        <v>4800</v>
      </c>
      <c r="FK75" s="119">
        <f t="shared" si="18"/>
        <v>0</v>
      </c>
      <c r="FL75" s="119">
        <f t="shared" si="18"/>
        <v>0</v>
      </c>
      <c r="FM75" s="119">
        <f t="shared" si="18"/>
        <v>0</v>
      </c>
      <c r="FN75" s="119">
        <f t="shared" si="18"/>
        <v>829658</v>
      </c>
      <c r="FO75" s="119">
        <f t="shared" si="18"/>
        <v>0</v>
      </c>
      <c r="FP75" s="119">
        <f t="shared" si="18"/>
        <v>0</v>
      </c>
      <c r="FQ75" s="119">
        <f t="shared" si="18"/>
        <v>0</v>
      </c>
      <c r="FR75" s="119">
        <f t="shared" si="18"/>
        <v>0</v>
      </c>
      <c r="FS75" s="119">
        <f t="shared" si="18"/>
        <v>0</v>
      </c>
      <c r="FT75" s="119">
        <f t="shared" si="18"/>
        <v>27704.04</v>
      </c>
      <c r="FU75" s="119">
        <f t="shared" si="18"/>
        <v>0</v>
      </c>
      <c r="FV75" s="119">
        <f t="shared" si="18"/>
        <v>861440</v>
      </c>
      <c r="FW75" s="119">
        <f t="shared" si="18"/>
        <v>0</v>
      </c>
      <c r="FX75" s="119">
        <f t="shared" si="18"/>
        <v>0</v>
      </c>
      <c r="FY75" s="119">
        <f t="shared" si="18"/>
        <v>0</v>
      </c>
      <c r="FZ75" s="119">
        <f t="shared" si="18"/>
        <v>0</v>
      </c>
      <c r="GA75" s="119">
        <f t="shared" si="18"/>
        <v>112089.95000000001</v>
      </c>
      <c r="GB75" s="119">
        <f t="shared" si="18"/>
        <v>0</v>
      </c>
      <c r="GC75" s="119">
        <f t="shared" si="18"/>
        <v>21600</v>
      </c>
      <c r="GD75" s="119">
        <f t="shared" si="18"/>
        <v>0</v>
      </c>
      <c r="GE75" s="119">
        <f t="shared" si="18"/>
        <v>0</v>
      </c>
      <c r="GF75" s="119">
        <f t="shared" si="18"/>
        <v>0</v>
      </c>
      <c r="GG75" s="119">
        <f t="shared" si="18"/>
        <v>0</v>
      </c>
      <c r="GH75" s="119">
        <f t="shared" si="18"/>
        <v>162142.87</v>
      </c>
      <c r="GI75" s="119">
        <f t="shared" si="18"/>
        <v>0</v>
      </c>
      <c r="GJ75" s="119">
        <f t="shared" si="18"/>
        <v>1819265</v>
      </c>
      <c r="GK75" s="119">
        <f t="shared" si="18"/>
        <v>26658.16</v>
      </c>
      <c r="GL75" s="119">
        <f t="shared" ref="GL75:IW75" si="19">GL58+GL74</f>
        <v>237299.99</v>
      </c>
      <c r="GM75" s="119">
        <f t="shared" si="19"/>
        <v>0</v>
      </c>
      <c r="GN75" s="119">
        <f t="shared" si="19"/>
        <v>0</v>
      </c>
      <c r="GO75" s="119">
        <f t="shared" si="19"/>
        <v>0</v>
      </c>
      <c r="GP75" s="119">
        <f t="shared" si="19"/>
        <v>0</v>
      </c>
      <c r="GQ75" s="119">
        <f t="shared" si="19"/>
        <v>0</v>
      </c>
      <c r="GR75" s="119">
        <f t="shared" si="19"/>
        <v>0</v>
      </c>
      <c r="GS75" s="119">
        <f t="shared" si="19"/>
        <v>0</v>
      </c>
      <c r="GT75" s="119">
        <f t="shared" si="19"/>
        <v>0</v>
      </c>
      <c r="GU75" s="119">
        <f t="shared" si="19"/>
        <v>0</v>
      </c>
      <c r="GV75" s="119">
        <f t="shared" si="19"/>
        <v>0</v>
      </c>
      <c r="GW75" s="119">
        <f t="shared" si="19"/>
        <v>0</v>
      </c>
      <c r="GX75" s="119">
        <f t="shared" si="19"/>
        <v>0</v>
      </c>
      <c r="GY75" s="119">
        <f t="shared" si="19"/>
        <v>0</v>
      </c>
      <c r="GZ75" s="119">
        <f t="shared" si="19"/>
        <v>0</v>
      </c>
      <c r="HA75" s="119">
        <f t="shared" si="19"/>
        <v>0</v>
      </c>
      <c r="HB75" s="119">
        <f t="shared" si="19"/>
        <v>0</v>
      </c>
      <c r="HC75" s="119">
        <f t="shared" si="19"/>
        <v>0</v>
      </c>
      <c r="HD75" s="119">
        <f t="shared" si="19"/>
        <v>0</v>
      </c>
      <c r="HE75" s="119">
        <f t="shared" si="19"/>
        <v>0</v>
      </c>
      <c r="HF75" s="119">
        <f t="shared" si="19"/>
        <v>0</v>
      </c>
      <c r="HG75" s="119">
        <f t="shared" si="19"/>
        <v>0</v>
      </c>
      <c r="HH75" s="119">
        <f t="shared" si="19"/>
        <v>0</v>
      </c>
      <c r="HI75" s="119">
        <f t="shared" si="19"/>
        <v>0</v>
      </c>
      <c r="HJ75" s="119">
        <f t="shared" si="19"/>
        <v>0</v>
      </c>
      <c r="HK75" s="119">
        <f t="shared" si="19"/>
        <v>0</v>
      </c>
      <c r="HL75" s="119">
        <f t="shared" si="19"/>
        <v>0</v>
      </c>
      <c r="HM75" s="119">
        <f t="shared" si="19"/>
        <v>0</v>
      </c>
      <c r="HN75" s="119">
        <f t="shared" si="19"/>
        <v>0</v>
      </c>
      <c r="HO75" s="119">
        <f t="shared" si="19"/>
        <v>0</v>
      </c>
      <c r="HP75" s="119">
        <f t="shared" si="19"/>
        <v>0</v>
      </c>
      <c r="HQ75" s="119">
        <f t="shared" si="19"/>
        <v>0</v>
      </c>
      <c r="HR75" s="119">
        <f t="shared" si="19"/>
        <v>0</v>
      </c>
      <c r="HS75" s="119">
        <f t="shared" si="19"/>
        <v>0</v>
      </c>
      <c r="HT75" s="119">
        <f t="shared" si="19"/>
        <v>0</v>
      </c>
      <c r="HU75" s="119">
        <f t="shared" si="19"/>
        <v>0</v>
      </c>
      <c r="HV75" s="119">
        <f t="shared" si="19"/>
        <v>0</v>
      </c>
      <c r="HW75" s="119">
        <f t="shared" si="19"/>
        <v>0</v>
      </c>
      <c r="HX75" s="119">
        <f t="shared" si="19"/>
        <v>0</v>
      </c>
      <c r="HY75" s="119">
        <f t="shared" si="19"/>
        <v>0</v>
      </c>
      <c r="HZ75" s="119">
        <f t="shared" si="19"/>
        <v>0</v>
      </c>
      <c r="IA75" s="119">
        <f t="shared" si="19"/>
        <v>0</v>
      </c>
      <c r="IB75" s="119">
        <f t="shared" si="19"/>
        <v>0</v>
      </c>
      <c r="IC75" s="119">
        <f t="shared" si="19"/>
        <v>0</v>
      </c>
      <c r="ID75" s="119">
        <f t="shared" si="19"/>
        <v>0</v>
      </c>
      <c r="IE75" s="119">
        <f t="shared" si="19"/>
        <v>0</v>
      </c>
      <c r="IF75" s="119">
        <f t="shared" si="19"/>
        <v>0</v>
      </c>
      <c r="IG75" s="119">
        <f t="shared" si="19"/>
        <v>0</v>
      </c>
      <c r="IH75" s="119">
        <f t="shared" si="19"/>
        <v>0</v>
      </c>
      <c r="II75" s="119">
        <f t="shared" si="19"/>
        <v>0</v>
      </c>
      <c r="IJ75" s="119">
        <f t="shared" si="19"/>
        <v>0</v>
      </c>
      <c r="IK75" s="119">
        <f t="shared" si="19"/>
        <v>0</v>
      </c>
      <c r="IL75" s="119">
        <f t="shared" si="19"/>
        <v>0</v>
      </c>
      <c r="IM75" s="119">
        <f t="shared" si="19"/>
        <v>0</v>
      </c>
      <c r="IN75" s="119">
        <f t="shared" si="19"/>
        <v>0</v>
      </c>
      <c r="IO75" s="119">
        <f t="shared" si="19"/>
        <v>0</v>
      </c>
      <c r="IP75" s="119">
        <f t="shared" si="19"/>
        <v>0</v>
      </c>
      <c r="IQ75" s="119">
        <f t="shared" si="19"/>
        <v>0</v>
      </c>
      <c r="IR75" s="119">
        <f t="shared" si="19"/>
        <v>0</v>
      </c>
      <c r="IS75" s="119">
        <f t="shared" si="19"/>
        <v>0</v>
      </c>
      <c r="IT75" s="119">
        <f t="shared" si="19"/>
        <v>0</v>
      </c>
      <c r="IU75" s="119">
        <f t="shared" si="19"/>
        <v>0</v>
      </c>
      <c r="IV75" s="119">
        <f t="shared" si="19"/>
        <v>0</v>
      </c>
      <c r="IW75" s="119">
        <f t="shared" si="19"/>
        <v>0</v>
      </c>
      <c r="IX75" s="119">
        <f t="shared" ref="IX75:JH75" si="20">IX58+IX74</f>
        <v>0</v>
      </c>
      <c r="IY75" s="119">
        <f t="shared" si="20"/>
        <v>0</v>
      </c>
      <c r="IZ75" s="119">
        <f t="shared" si="20"/>
        <v>0</v>
      </c>
      <c r="JA75" s="119">
        <f t="shared" si="20"/>
        <v>0</v>
      </c>
      <c r="JB75" s="119">
        <f t="shared" si="20"/>
        <v>0</v>
      </c>
      <c r="JC75" s="119">
        <f t="shared" si="20"/>
        <v>0</v>
      </c>
      <c r="JD75" s="119">
        <f t="shared" si="20"/>
        <v>0</v>
      </c>
      <c r="JE75" s="119">
        <f t="shared" si="20"/>
        <v>0</v>
      </c>
      <c r="JF75" s="119">
        <f t="shared" si="20"/>
        <v>0</v>
      </c>
      <c r="JG75" s="119">
        <f t="shared" si="20"/>
        <v>0</v>
      </c>
      <c r="JH75" s="119">
        <f t="shared" si="20"/>
        <v>0</v>
      </c>
      <c r="JI75" s="119">
        <f t="shared" ref="JI75" si="21">JI58+JI74</f>
        <v>11406705.440000001</v>
      </c>
      <c r="JJ75" s="2"/>
      <c r="JK75" s="2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topLeftCell="A20" zoomScale="90" zoomScaleNormal="90" workbookViewId="0">
      <selection activeCell="E44" sqref="E44"/>
    </sheetView>
  </sheetViews>
  <sheetFormatPr defaultColWidth="11.42578125" defaultRowHeight="12.75" x14ac:dyDescent="0.2"/>
  <cols>
    <col min="1" max="1" width="64.42578125" style="3" customWidth="1"/>
    <col min="2" max="2" width="18.7109375" style="3" customWidth="1"/>
    <col min="3" max="3" width="18" style="3" customWidth="1"/>
    <col min="4" max="4" width="17.7109375" style="3" customWidth="1"/>
    <col min="5" max="5" width="21" style="3" customWidth="1"/>
    <col min="6" max="16384" width="11.42578125" style="3"/>
  </cols>
  <sheetData>
    <row r="1" spans="1:5" ht="33" x14ac:dyDescent="0.45">
      <c r="A1" s="397" t="s">
        <v>77</v>
      </c>
      <c r="B1" s="397"/>
      <c r="C1" s="397"/>
      <c r="D1" s="397"/>
      <c r="E1" s="397"/>
    </row>
    <row r="2" spans="1:5" ht="20.25" x14ac:dyDescent="0.3">
      <c r="A2" s="398" t="str">
        <f>'CONS. FUENTES FINAN'!A6</f>
        <v>HOSPITAL MATERNO INFANTIL SAN LORENZO DE LOS MINA</v>
      </c>
      <c r="B2" s="398"/>
      <c r="C2" s="398"/>
      <c r="D2" s="398"/>
      <c r="E2" s="398"/>
    </row>
    <row r="3" spans="1:5" ht="15.75" x14ac:dyDescent="0.25">
      <c r="A3" s="399" t="s">
        <v>424</v>
      </c>
      <c r="B3" s="399"/>
      <c r="C3" s="399"/>
      <c r="D3" s="399"/>
      <c r="E3" s="399"/>
    </row>
    <row r="4" spans="1:5" ht="15.75" x14ac:dyDescent="0.25">
      <c r="A4" s="399"/>
      <c r="B4" s="399"/>
      <c r="C4" s="399"/>
      <c r="D4" s="399"/>
      <c r="E4" s="399"/>
    </row>
    <row r="5" spans="1:5" ht="16.5" thickBot="1" x14ac:dyDescent="0.3">
      <c r="A5" s="117"/>
      <c r="B5" s="117"/>
      <c r="C5" s="117"/>
      <c r="D5" s="117"/>
      <c r="E5" s="117"/>
    </row>
    <row r="6" spans="1:5" x14ac:dyDescent="0.2">
      <c r="A6" s="400" t="s">
        <v>372</v>
      </c>
      <c r="B6" s="402" t="s">
        <v>669</v>
      </c>
      <c r="C6" s="404" t="s">
        <v>371</v>
      </c>
      <c r="D6" s="400" t="s">
        <v>328</v>
      </c>
      <c r="E6" s="400" t="s">
        <v>72</v>
      </c>
    </row>
    <row r="7" spans="1:5" ht="20.25" customHeight="1" thickBot="1" x14ac:dyDescent="0.25">
      <c r="A7" s="401"/>
      <c r="B7" s="403"/>
      <c r="C7" s="405"/>
      <c r="D7" s="401"/>
      <c r="E7" s="401"/>
    </row>
    <row r="8" spans="1:5" ht="20.25" x14ac:dyDescent="0.25">
      <c r="A8" s="113" t="s">
        <v>370</v>
      </c>
      <c r="B8" s="112"/>
      <c r="C8" s="112"/>
      <c r="D8" s="111"/>
      <c r="E8" s="110"/>
    </row>
    <row r="9" spans="1:5" ht="18.75" x14ac:dyDescent="0.3">
      <c r="A9" s="116" t="s">
        <v>369</v>
      </c>
      <c r="B9" s="105">
        <f>'CONS. FUENTES FINAN'!G245+'CONS. FUENTES FINAN'!G315</f>
        <v>15355854.27</v>
      </c>
      <c r="C9" s="105">
        <f>'CONS. FUENTES FINAN'!H245+'CONS. FUENTES FINAN'!H315</f>
        <v>101704.04000000001</v>
      </c>
      <c r="D9" s="105">
        <f>SUM(B9:C9)</f>
        <v>15457558.309999999</v>
      </c>
      <c r="E9" s="107">
        <f>+D9/D12</f>
        <v>0.73755364900033604</v>
      </c>
    </row>
    <row r="10" spans="1:5" ht="18.75" x14ac:dyDescent="0.3">
      <c r="A10" s="108" t="s">
        <v>368</v>
      </c>
      <c r="B10" s="105">
        <f>'CONS. FUENTES FINAN'!G302</f>
        <v>0</v>
      </c>
      <c r="C10" s="105">
        <f>'CONS. FUENTES FINAN'!H302</f>
        <v>829658</v>
      </c>
      <c r="D10" s="105">
        <f>SUM(B10:C10)</f>
        <v>829658</v>
      </c>
      <c r="E10" s="107">
        <f>+D10/D12</f>
        <v>3.9586930422669121E-2</v>
      </c>
    </row>
    <row r="11" spans="1:5" ht="18.75" x14ac:dyDescent="0.3">
      <c r="A11" s="108" t="s">
        <v>367</v>
      </c>
      <c r="B11" s="105">
        <f>'CONS. FUENTES FINAN'!G296+'CONS. FUENTES FINAN'!G297+'CONS. FUENTES FINAN'!G298</f>
        <v>4665860.22</v>
      </c>
      <c r="C11" s="105">
        <f>'CONS. FUENTES FINAN'!H296+'CONS. FUENTES FINAN'!H297+'CONS. FUENTES FINAN'!H298</f>
        <v>4800</v>
      </c>
      <c r="D11" s="105">
        <f>SUM(B11:C11)</f>
        <v>4670660.22</v>
      </c>
      <c r="E11" s="107">
        <f>+D11/D12</f>
        <v>0.2228594205769949</v>
      </c>
    </row>
    <row r="12" spans="1:5" ht="18.75" x14ac:dyDescent="0.3">
      <c r="A12" s="115" t="s">
        <v>348</v>
      </c>
      <c r="B12" s="101">
        <f>SUM(B9:B11)</f>
        <v>20021714.489999998</v>
      </c>
      <c r="C12" s="101">
        <f>SUM(C9:C11)</f>
        <v>936162.04</v>
      </c>
      <c r="D12" s="101">
        <f>SUM(D9:D11)</f>
        <v>20957876.529999997</v>
      </c>
      <c r="E12" s="114">
        <f>+D12/D39</f>
        <v>0.17215004168081965</v>
      </c>
    </row>
    <row r="13" spans="1:5" ht="20.25" x14ac:dyDescent="0.25">
      <c r="A13" s="113" t="s">
        <v>366</v>
      </c>
      <c r="B13" s="112"/>
      <c r="C13" s="112"/>
      <c r="D13" s="111"/>
      <c r="E13" s="110"/>
    </row>
    <row r="14" spans="1:5" ht="18.75" x14ac:dyDescent="0.3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1687453.8900000001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802020.25999999989</v>
      </c>
      <c r="D14" s="104">
        <f>SUM(B14:C14)</f>
        <v>2489474.15</v>
      </c>
      <c r="E14" s="107">
        <f>+D14/D16</f>
        <v>1</v>
      </c>
    </row>
    <row r="15" spans="1:5" ht="18.75" x14ac:dyDescent="0.3">
      <c r="A15" s="108" t="s">
        <v>364</v>
      </c>
      <c r="B15" s="105">
        <f>'CONS. FUENTES FINAN'!G320</f>
        <v>0</v>
      </c>
      <c r="C15" s="105">
        <f>'CONS. FUENTES FINAN'!H320</f>
        <v>0</v>
      </c>
      <c r="D15" s="104">
        <f>SUM(B15:C15)</f>
        <v>0</v>
      </c>
      <c r="E15" s="107">
        <f>+D15/D16</f>
        <v>0</v>
      </c>
    </row>
    <row r="16" spans="1:5" ht="18.75" x14ac:dyDescent="0.3">
      <c r="A16" s="115" t="s">
        <v>348</v>
      </c>
      <c r="B16" s="101">
        <f>SUM(B14:B15)</f>
        <v>1687453.8900000001</v>
      </c>
      <c r="C16" s="101">
        <f>SUM(C14:C15)</f>
        <v>802020.25999999989</v>
      </c>
      <c r="D16" s="101">
        <f>SUM(D14:D15)</f>
        <v>2489474.15</v>
      </c>
      <c r="E16" s="114">
        <f>+D16/D39</f>
        <v>2.044878344771044E-2</v>
      </c>
    </row>
    <row r="17" spans="1:5" ht="20.25" x14ac:dyDescent="0.25">
      <c r="A17" s="113" t="s">
        <v>363</v>
      </c>
      <c r="B17" s="112"/>
      <c r="C17" s="112"/>
      <c r="D17" s="111"/>
      <c r="E17" s="110"/>
    </row>
    <row r="18" spans="1:5" ht="18.75" x14ac:dyDescent="0.3">
      <c r="A18" s="109" t="s">
        <v>362</v>
      </c>
      <c r="B18" s="105">
        <f>'CONS. FUENTES FINAN'!G26</f>
        <v>71591503.879999995</v>
      </c>
      <c r="C18" s="105">
        <f>'CONS. FUENTES FINAN'!H26</f>
        <v>4413127.5500000007</v>
      </c>
      <c r="D18" s="104">
        <f t="shared" ref="D18:D33" si="0">SUM(B18:C18)</f>
        <v>76004631.429999992</v>
      </c>
      <c r="E18" s="107">
        <f>+D18/D34</f>
        <v>0.84234698841514388</v>
      </c>
    </row>
    <row r="19" spans="1:5" ht="18.75" x14ac:dyDescent="0.3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111421.68</v>
      </c>
      <c r="D19" s="104">
        <f t="shared" si="0"/>
        <v>111421.68</v>
      </c>
      <c r="E19" s="107">
        <f>+D19/D34</f>
        <v>1.2348683866534719E-3</v>
      </c>
    </row>
    <row r="20" spans="1:5" ht="18.75" x14ac:dyDescent="0.3">
      <c r="A20" s="108" t="s">
        <v>422</v>
      </c>
      <c r="B20" s="104">
        <f>'CONS. FUENTES FINAN'!G99+'CONS. FUENTES FINAN'!G102+'CONS. FUENTES FINAN'!G104</f>
        <v>60535</v>
      </c>
      <c r="C20" s="104">
        <f>'CONS. FUENTES FINAN'!H99+'CONS. FUENTES FINAN'!H102+'CONS. FUENTES FINAN'!H104</f>
        <v>50000</v>
      </c>
      <c r="D20" s="104">
        <f t="shared" si="0"/>
        <v>110535</v>
      </c>
      <c r="E20" s="107">
        <f>+D20/D34</f>
        <v>1.2250414561936378E-3</v>
      </c>
    </row>
    <row r="21" spans="1:5" ht="18.75" x14ac:dyDescent="0.3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.75" x14ac:dyDescent="0.3">
      <c r="A22" s="108" t="s">
        <v>359</v>
      </c>
      <c r="B22" s="104">
        <f>'CONS. FUENTES FINAN'!G116</f>
        <v>0</v>
      </c>
      <c r="C22" s="104">
        <f>'CONS. FUENTES FINAN'!H116</f>
        <v>68000</v>
      </c>
      <c r="D22" s="104">
        <f t="shared" si="0"/>
        <v>68000</v>
      </c>
      <c r="E22" s="107">
        <f>+D22/D34</f>
        <v>7.5363295807814152E-4</v>
      </c>
    </row>
    <row r="23" spans="1:5" ht="18.75" x14ac:dyDescent="0.3">
      <c r="A23" s="108" t="s">
        <v>358</v>
      </c>
      <c r="B23" s="104">
        <f>'CONS. FUENTES FINAN'!G125</f>
        <v>0</v>
      </c>
      <c r="C23" s="104">
        <f>'CONS. FUENTES FINAN'!H125</f>
        <v>0</v>
      </c>
      <c r="D23" s="104">
        <f t="shared" si="0"/>
        <v>0</v>
      </c>
      <c r="E23" s="107">
        <f>+D23/D34</f>
        <v>0</v>
      </c>
    </row>
    <row r="24" spans="1:5" ht="18.75" x14ac:dyDescent="0.3">
      <c r="A24" s="108" t="s">
        <v>357</v>
      </c>
      <c r="B24" s="104">
        <f>'CONS. FUENTES FINAN'!G182</f>
        <v>0</v>
      </c>
      <c r="C24" s="104">
        <f>'CONS. FUENTES FINAN'!H182</f>
        <v>21179.93</v>
      </c>
      <c r="D24" s="104">
        <f t="shared" si="0"/>
        <v>21179.93</v>
      </c>
      <c r="E24" s="107">
        <f>+D24/D34</f>
        <v>2.3473372496747019E-4</v>
      </c>
    </row>
    <row r="25" spans="1:5" ht="18.75" x14ac:dyDescent="0.3">
      <c r="A25" s="108" t="s">
        <v>356</v>
      </c>
      <c r="B25" s="105">
        <f>'CONS. FUENTES FINAN'!G109+'CONS. FUENTES FINAN'!G312</f>
        <v>318704.8</v>
      </c>
      <c r="C25" s="105">
        <f>'CONS. FUENTES FINAN'!H109+'CONS. FUENTES FINAN'!H312</f>
        <v>269720.57</v>
      </c>
      <c r="D25" s="104">
        <f t="shared" si="0"/>
        <v>588425.37</v>
      </c>
      <c r="E25" s="107">
        <f>+D25/D34</f>
        <v>6.5214228264900724E-3</v>
      </c>
    </row>
    <row r="26" spans="1:5" ht="18.75" x14ac:dyDescent="0.3">
      <c r="A26" s="108" t="s">
        <v>355</v>
      </c>
      <c r="B26" s="104">
        <f>'CONS. FUENTES FINAN'!G208+'CONS. FUENTES FINAN'!G214+'CONS. FUENTES FINAN'!G217+'CONS. FUENTES FINAN'!G219</f>
        <v>4494873.58</v>
      </c>
      <c r="C26" s="104">
        <f>'CONS. FUENTES FINAN'!H208+'CONS. FUENTES FINAN'!H214+'CONS. FUENTES FINAN'!H217+'CONS. FUENTES FINAN'!H219</f>
        <v>1136994.4100000001</v>
      </c>
      <c r="D26" s="104">
        <f t="shared" si="0"/>
        <v>5631867.9900000002</v>
      </c>
      <c r="E26" s="107">
        <f>+D26/D34</f>
        <v>6.2417078423666138E-2</v>
      </c>
    </row>
    <row r="27" spans="1:5" ht="18.75" x14ac:dyDescent="0.3">
      <c r="A27" s="108" t="s">
        <v>354</v>
      </c>
      <c r="B27" s="104">
        <f>'CONS. FUENTES FINAN'!G232</f>
        <v>366980</v>
      </c>
      <c r="C27" s="104">
        <f>'CONS. FUENTES FINAN'!H232</f>
        <v>17600.03</v>
      </c>
      <c r="D27" s="104">
        <f t="shared" si="0"/>
        <v>384580.03</v>
      </c>
      <c r="E27" s="107">
        <f>+D27/D34</f>
        <v>4.2622380239217706E-3</v>
      </c>
    </row>
    <row r="28" spans="1:5" ht="18.75" x14ac:dyDescent="0.3">
      <c r="A28" s="108" t="s">
        <v>353</v>
      </c>
      <c r="B28" s="104">
        <f>'CONS. FUENTES FINAN'!G259</f>
        <v>0</v>
      </c>
      <c r="C28" s="104">
        <f>'CONS. FUENTES FINAN'!H259</f>
        <v>0</v>
      </c>
      <c r="D28" s="104">
        <f t="shared" si="0"/>
        <v>0</v>
      </c>
      <c r="E28" s="107">
        <f>+D28/D34</f>
        <v>0</v>
      </c>
    </row>
    <row r="29" spans="1:5" ht="18.75" x14ac:dyDescent="0.3">
      <c r="A29" s="108" t="s">
        <v>352</v>
      </c>
      <c r="B29" s="104">
        <f>'CONS. FUENTES FINAN'!G288</f>
        <v>0</v>
      </c>
      <c r="C29" s="104">
        <f>'CONS. FUENTES FINAN'!H288</f>
        <v>172000</v>
      </c>
      <c r="D29" s="104">
        <f t="shared" si="0"/>
        <v>172000</v>
      </c>
      <c r="E29" s="107">
        <f>+D29/D34</f>
        <v>1.9062480704329463E-3</v>
      </c>
    </row>
    <row r="30" spans="1:5" ht="18.75" x14ac:dyDescent="0.3">
      <c r="A30" s="108" t="s">
        <v>11</v>
      </c>
      <c r="B30" s="104">
        <f>'CONS. FUENTES FINAN'!G289+'CONS. FUENTES FINAN'!G290</f>
        <v>337200</v>
      </c>
      <c r="C30" s="104">
        <f>'CONS. FUENTES FINAN'!H289+'CONS. FUENTES FINAN'!H290</f>
        <v>0</v>
      </c>
      <c r="D30" s="104">
        <f t="shared" si="0"/>
        <v>337200</v>
      </c>
      <c r="E30" s="107">
        <f>+D30/D34</f>
        <v>3.7371328450580784E-3</v>
      </c>
    </row>
    <row r="31" spans="1:5" ht="18.75" x14ac:dyDescent="0.3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22638</v>
      </c>
      <c r="D31" s="104">
        <f t="shared" si="0"/>
        <v>22638</v>
      </c>
      <c r="E31" s="107">
        <f>+D31/D34</f>
        <v>2.5089327801430832E-4</v>
      </c>
    </row>
    <row r="32" spans="1:5" ht="18.75" x14ac:dyDescent="0.3">
      <c r="A32" s="108" t="s">
        <v>350</v>
      </c>
      <c r="B32" s="104">
        <f>'CONS. FUENTES FINAN'!G309</f>
        <v>599529.09</v>
      </c>
      <c r="C32" s="104">
        <f>'CONS. FUENTES FINAN'!H309</f>
        <v>0</v>
      </c>
      <c r="D32" s="104">
        <f t="shared" si="0"/>
        <v>599529.09</v>
      </c>
      <c r="E32" s="107">
        <f>+D32/D34</f>
        <v>6.6444835522146512E-3</v>
      </c>
    </row>
    <row r="33" spans="1:5" ht="18.75" x14ac:dyDescent="0.3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5037116.0600000005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1140474.95</v>
      </c>
      <c r="D33" s="104">
        <f t="shared" si="0"/>
        <v>6177591.0100000007</v>
      </c>
      <c r="E33" s="107">
        <f>+D33/D34</f>
        <v>6.846523803916521E-2</v>
      </c>
    </row>
    <row r="34" spans="1:5" ht="18.75" x14ac:dyDescent="0.3">
      <c r="A34" s="115" t="s">
        <v>348</v>
      </c>
      <c r="B34" s="101">
        <f>SUM(B17:B33)</f>
        <v>82806442.409999996</v>
      </c>
      <c r="C34" s="101">
        <f>SUM(C17:C33)</f>
        <v>7423157.120000001</v>
      </c>
      <c r="D34" s="101">
        <f t="shared" ref="D34" si="1">SUM(D17:D33)</f>
        <v>90229599.530000016</v>
      </c>
      <c r="E34" s="114">
        <f>+D34/D39</f>
        <v>0.74115472995074327</v>
      </c>
    </row>
    <row r="35" spans="1:5" ht="20.25" x14ac:dyDescent="0.25">
      <c r="A35" s="113" t="s">
        <v>421</v>
      </c>
      <c r="B35" s="112"/>
      <c r="C35" s="112"/>
      <c r="D35" s="111"/>
      <c r="E35" s="110"/>
    </row>
    <row r="36" spans="1:5" ht="18.75" x14ac:dyDescent="0.3">
      <c r="A36" s="109" t="s">
        <v>168</v>
      </c>
      <c r="B36" s="105">
        <f>'CONS. FUENTES FINAN'!G336</f>
        <v>5819603.3499999996</v>
      </c>
      <c r="C36" s="105">
        <f>'CONS. FUENTES FINAN'!H336</f>
        <v>2245366.02</v>
      </c>
      <c r="D36" s="105">
        <f>SUM(B36:C36)</f>
        <v>8064969.3699999992</v>
      </c>
      <c r="E36" s="103">
        <f>+D36/D38</f>
        <v>1</v>
      </c>
    </row>
    <row r="37" spans="1:5" ht="19.5" thickBot="1" x14ac:dyDescent="0.35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5" thickBot="1" x14ac:dyDescent="0.3">
      <c r="A38" s="102" t="s">
        <v>348</v>
      </c>
      <c r="B38" s="128">
        <f>SUM(B36:B37)</f>
        <v>5819603.3499999996</v>
      </c>
      <c r="C38" s="129">
        <f t="shared" ref="C38:D38" si="2">SUM(C36:C37)</f>
        <v>2245366.02</v>
      </c>
      <c r="D38" s="129">
        <f t="shared" si="2"/>
        <v>8064969.3699999992</v>
      </c>
      <c r="E38" s="100">
        <f>+D38/D39</f>
        <v>6.6246444920726608E-2</v>
      </c>
    </row>
    <row r="39" spans="1:5" ht="19.5" thickBot="1" x14ac:dyDescent="0.35">
      <c r="A39" s="98" t="s">
        <v>347</v>
      </c>
      <c r="B39" s="99">
        <f>+B12+B16+B34+B38</f>
        <v>110335214.13999999</v>
      </c>
      <c r="C39" s="99">
        <f>+C12+C16+C34+C38</f>
        <v>11406705.440000001</v>
      </c>
      <c r="D39" s="99">
        <f t="shared" ref="D39" si="3">+D12+D16+D34+D38</f>
        <v>121741919.58000001</v>
      </c>
      <c r="E39" s="96">
        <f>+E12+E16+E34+E38</f>
        <v>1</v>
      </c>
    </row>
    <row r="40" spans="1:5" ht="19.5" thickBot="1" x14ac:dyDescent="0.35">
      <c r="A40" s="98" t="s">
        <v>346</v>
      </c>
      <c r="B40" s="97">
        <f>+B39/D39</f>
        <v>0.90630420910601495</v>
      </c>
      <c r="C40" s="97">
        <f>+C39/D39</f>
        <v>9.3695790893984846E-2</v>
      </c>
      <c r="D40" s="97">
        <f>+B40+C40</f>
        <v>0.99999999999999978</v>
      </c>
      <c r="E40" s="96"/>
    </row>
    <row r="42" spans="1:5" ht="26.25" x14ac:dyDescent="0.4">
      <c r="A42" s="95"/>
    </row>
    <row r="43" spans="1:5" ht="26.25" x14ac:dyDescent="0.4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3"/>
  <sheetViews>
    <sheetView view="pageBreakPreview" zoomScale="60" zoomScaleNormal="90" workbookViewId="0">
      <pane xSplit="1" ySplit="7" topLeftCell="B14" activePane="bottomRight" state="frozen"/>
      <selection pane="topRight" activeCell="B1" sqref="B1"/>
      <selection pane="bottomLeft" activeCell="A8" sqref="A8"/>
      <selection pane="bottomRight" activeCell="E21" sqref="E21"/>
    </sheetView>
  </sheetViews>
  <sheetFormatPr defaultColWidth="9.140625" defaultRowHeight="15" x14ac:dyDescent="0.25"/>
  <cols>
    <col min="1" max="1" width="84.42578125" customWidth="1"/>
    <col min="2" max="2" width="25.140625" customWidth="1"/>
    <col min="3" max="4" width="21.28515625" bestFit="1" customWidth="1"/>
    <col min="5" max="5" width="13.85546875" customWidth="1"/>
    <col min="6" max="6" width="15.85546875" customWidth="1"/>
    <col min="7" max="7" width="19.140625" bestFit="1" customWidth="1"/>
    <col min="8" max="8" width="20.140625" bestFit="1" customWidth="1"/>
    <col min="9" max="9" width="19.140625" bestFit="1" customWidth="1"/>
    <col min="10" max="11" width="15.85546875" customWidth="1"/>
    <col min="12" max="12" width="22.28515625" bestFit="1" customWidth="1"/>
    <col min="13" max="13" width="20.5703125" bestFit="1" customWidth="1"/>
    <col min="14" max="14" width="21.28515625" bestFit="1" customWidth="1"/>
    <col min="15" max="15" width="15.85546875" customWidth="1"/>
  </cols>
  <sheetData>
    <row r="1" spans="1:15" ht="18.75" x14ac:dyDescent="0.25">
      <c r="A1" s="406" t="s">
        <v>553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</row>
    <row r="2" spans="1:15" ht="18.75" x14ac:dyDescent="0.25">
      <c r="A2" s="406" t="s">
        <v>552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</row>
    <row r="3" spans="1:15" ht="18.75" customHeight="1" x14ac:dyDescent="0.25">
      <c r="A3" s="407" t="s">
        <v>670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</row>
    <row r="4" spans="1:15" x14ac:dyDescent="0.25">
      <c r="A4" s="344" t="s">
        <v>550</v>
      </c>
      <c r="B4" s="344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</row>
    <row r="5" spans="1:15" x14ac:dyDescent="0.25">
      <c r="L5" s="139"/>
      <c r="M5" s="139"/>
      <c r="N5" s="139"/>
      <c r="O5" s="139"/>
    </row>
    <row r="6" spans="1:15" ht="48" customHeight="1" x14ac:dyDescent="0.25">
      <c r="A6" s="165" t="s">
        <v>549</v>
      </c>
      <c r="B6" s="408" t="s">
        <v>554</v>
      </c>
      <c r="C6" s="409"/>
      <c r="D6" s="409"/>
      <c r="E6" s="409"/>
      <c r="F6" s="410"/>
      <c r="G6" s="413" t="s">
        <v>555</v>
      </c>
      <c r="H6" s="413"/>
      <c r="I6" s="413"/>
      <c r="J6" s="413"/>
      <c r="K6" s="410"/>
      <c r="L6" s="414" t="s">
        <v>556</v>
      </c>
      <c r="M6" s="415"/>
      <c r="N6" s="415"/>
      <c r="O6" s="416"/>
    </row>
    <row r="7" spans="1:15" x14ac:dyDescent="0.25">
      <c r="A7" s="154" t="s">
        <v>535</v>
      </c>
      <c r="B7" s="166" t="s">
        <v>557</v>
      </c>
      <c r="C7" s="166" t="s">
        <v>558</v>
      </c>
      <c r="D7" s="166" t="s">
        <v>559</v>
      </c>
      <c r="E7" s="166" t="s">
        <v>560</v>
      </c>
      <c r="F7" s="411"/>
      <c r="G7" s="166" t="s">
        <v>557</v>
      </c>
      <c r="H7" s="166" t="s">
        <v>558</v>
      </c>
      <c r="I7" s="166" t="s">
        <v>559</v>
      </c>
      <c r="J7" s="166" t="s">
        <v>560</v>
      </c>
      <c r="K7" s="411"/>
      <c r="L7" s="166" t="s">
        <v>557</v>
      </c>
      <c r="M7" s="166" t="s">
        <v>558</v>
      </c>
      <c r="N7" s="166" t="s">
        <v>559</v>
      </c>
      <c r="O7" s="166" t="s">
        <v>560</v>
      </c>
    </row>
    <row r="8" spans="1:15" x14ac:dyDescent="0.25">
      <c r="A8" s="158" t="s">
        <v>534</v>
      </c>
      <c r="B8" s="167">
        <f>SUM(B9:B13)</f>
        <v>198560735.68000001</v>
      </c>
      <c r="C8" s="167">
        <f t="shared" ref="C8:D8" si="0">SUM(C9:C13)</f>
        <v>199770321.81</v>
      </c>
      <c r="D8" s="167">
        <f t="shared" si="0"/>
        <v>214758440.84000003</v>
      </c>
      <c r="E8" s="167">
        <f>SUM(E9:E13)</f>
        <v>0</v>
      </c>
      <c r="F8" s="411"/>
      <c r="G8" s="167">
        <f>SUM(G9:G13)</f>
        <v>5231553.59</v>
      </c>
      <c r="H8" s="167">
        <f>SUM(H9:H13)</f>
        <v>0</v>
      </c>
      <c r="I8" s="167">
        <f t="shared" ref="I8:J8" si="1">SUM(I9:I13)</f>
        <v>4413127.5500000007</v>
      </c>
      <c r="J8" s="167">
        <f t="shared" si="1"/>
        <v>0</v>
      </c>
      <c r="K8" s="411"/>
      <c r="L8" s="168">
        <f>SUM(B8+G8)</f>
        <v>203792289.27000001</v>
      </c>
      <c r="M8" s="168">
        <f t="shared" ref="M8:O8" si="2">SUM(C8+H8)</f>
        <v>199770321.81</v>
      </c>
      <c r="N8" s="168">
        <f t="shared" si="2"/>
        <v>219171568.39000005</v>
      </c>
      <c r="O8" s="168">
        <f t="shared" si="2"/>
        <v>0</v>
      </c>
    </row>
    <row r="9" spans="1:15" x14ac:dyDescent="0.25">
      <c r="A9" s="152" t="s">
        <v>533</v>
      </c>
      <c r="B9" s="169">
        <f>SUM('TRANSFERENCIA CORRIENTE'!C10:E10)</f>
        <v>163945204.59</v>
      </c>
      <c r="C9" s="169">
        <f>SUM('TRANSFERENCIA CORRIENTE'!F10:H10)</f>
        <v>164084780.69</v>
      </c>
      <c r="D9" s="169">
        <f>SUM('TRANSFERENCIA CORRIENTE'!I10:K10)</f>
        <v>177501202.04000002</v>
      </c>
      <c r="E9" s="169">
        <f>SUM('TRANSFERENCIA CORRIENTE'!L10:N10)</f>
        <v>0</v>
      </c>
      <c r="F9" s="411"/>
      <c r="G9" s="169">
        <f>SUM(VS!C10:E10)</f>
        <v>0</v>
      </c>
      <c r="H9" s="169">
        <f>SUM(VS!F10:H10)</f>
        <v>0</v>
      </c>
      <c r="I9" s="169">
        <f>SUM(VS!I10:K10)</f>
        <v>0</v>
      </c>
      <c r="J9" s="170">
        <f>SUM(VS!L10:N10)</f>
        <v>0</v>
      </c>
      <c r="K9" s="411"/>
      <c r="L9" s="171">
        <f>SUM(B9+G9)</f>
        <v>163945204.59</v>
      </c>
      <c r="M9" s="171">
        <f>SUM(C9+H9)</f>
        <v>164084780.69</v>
      </c>
      <c r="N9" s="171">
        <f>SUM(D9+I9)</f>
        <v>177501202.04000002</v>
      </c>
      <c r="O9" s="171">
        <f>SUM(E9+J9)</f>
        <v>0</v>
      </c>
    </row>
    <row r="10" spans="1:15" x14ac:dyDescent="0.25">
      <c r="A10" s="152" t="s">
        <v>532</v>
      </c>
      <c r="B10" s="169">
        <f>SUM('TRANSFERENCIA CORRIENTE'!C11:E11)</f>
        <v>9594398.8000000007</v>
      </c>
      <c r="C10" s="169">
        <f>SUM('TRANSFERENCIA CORRIENTE'!F11:H11)</f>
        <v>10535798.949999999</v>
      </c>
      <c r="D10" s="169">
        <f>SUM('TRANSFERENCIA CORRIENTE'!I11:K11)</f>
        <v>10034891.41</v>
      </c>
      <c r="E10" s="169">
        <f>SUM('TRANSFERENCIA CORRIENTE'!L11:N11)</f>
        <v>0</v>
      </c>
      <c r="F10" s="411"/>
      <c r="G10" s="169">
        <f>SUM(VS!C11:E11)</f>
        <v>5231553.59</v>
      </c>
      <c r="H10" s="169">
        <f>SUM(VS!F11:H11)</f>
        <v>0</v>
      </c>
      <c r="I10" s="169">
        <f>SUM(VS!I11:K11)</f>
        <v>4413127.5500000007</v>
      </c>
      <c r="J10" s="170">
        <f>SUM(VS!L11:N11)</f>
        <v>0</v>
      </c>
      <c r="K10" s="411"/>
      <c r="L10" s="171">
        <f t="shared" ref="L10:L13" si="3">SUM(B10+G10)</f>
        <v>14825952.390000001</v>
      </c>
      <c r="M10" s="171">
        <f>SUM(C10+H10)</f>
        <v>10535798.949999999</v>
      </c>
      <c r="N10" s="171">
        <f t="shared" ref="N10:O13" si="4">SUM(D10+I10)</f>
        <v>14448018.960000001</v>
      </c>
      <c r="O10" s="171">
        <f t="shared" si="4"/>
        <v>0</v>
      </c>
    </row>
    <row r="11" spans="1:15" x14ac:dyDescent="0.25">
      <c r="A11" s="152" t="s">
        <v>531</v>
      </c>
      <c r="B11" s="169">
        <f>SUM('TRANSFERENCIA CORRIENTE'!C12:E12)</f>
        <v>0</v>
      </c>
      <c r="C11" s="169">
        <f>SUM('TRANSFERENCIA CORRIENTE'!F12:H12)</f>
        <v>0</v>
      </c>
      <c r="D11" s="169">
        <f>SUM('TRANSFERENCIA CORRIENTE'!I12:K12)</f>
        <v>0</v>
      </c>
      <c r="E11" s="169">
        <f>SUM('TRANSFERENCIA CORRIENTE'!L12:N12)</f>
        <v>0</v>
      </c>
      <c r="F11" s="411"/>
      <c r="G11" s="169">
        <f>SUM(VS!C12:E12)</f>
        <v>0</v>
      </c>
      <c r="H11" s="169">
        <f>SUM(VS!F12:H12)</f>
        <v>0</v>
      </c>
      <c r="I11" s="169">
        <f>SUM(VS!I12:K12)</f>
        <v>0</v>
      </c>
      <c r="J11" s="170">
        <f>SUM(VS!L12:N12)</f>
        <v>0</v>
      </c>
      <c r="K11" s="411"/>
      <c r="L11" s="171">
        <f t="shared" si="3"/>
        <v>0</v>
      </c>
      <c r="M11" s="171">
        <f>SUM(C11+H11)</f>
        <v>0</v>
      </c>
      <c r="N11" s="171">
        <f t="shared" si="4"/>
        <v>0</v>
      </c>
      <c r="O11" s="171">
        <f t="shared" si="4"/>
        <v>0</v>
      </c>
    </row>
    <row r="12" spans="1:15" x14ac:dyDescent="0.25">
      <c r="A12" s="152" t="s">
        <v>530</v>
      </c>
      <c r="B12" s="169">
        <f>SUM('TRANSFERENCIA CORRIENTE'!C13:E13)</f>
        <v>0</v>
      </c>
      <c r="C12" s="169">
        <f>SUM('TRANSFERENCIA CORRIENTE'!F13:H13)</f>
        <v>0</v>
      </c>
      <c r="D12" s="169">
        <f>SUM('TRANSFERENCIA CORRIENTE'!I13:K13)</f>
        <v>0</v>
      </c>
      <c r="E12" s="169">
        <f>SUM('TRANSFERENCIA CORRIENTE'!L13:N13)</f>
        <v>0</v>
      </c>
      <c r="F12" s="411"/>
      <c r="G12" s="169">
        <f>SUM(VS!C13:E13)</f>
        <v>0</v>
      </c>
      <c r="H12" s="169">
        <f>SUM(VS!F13:H13)</f>
        <v>0</v>
      </c>
      <c r="I12" s="169">
        <f>SUM(VS!I13:K13)</f>
        <v>0</v>
      </c>
      <c r="J12" s="170">
        <f>SUM(VS!L13:N13)</f>
        <v>0</v>
      </c>
      <c r="K12" s="411"/>
      <c r="L12" s="171">
        <f t="shared" si="3"/>
        <v>0</v>
      </c>
      <c r="M12" s="171">
        <f>SUM(C12+H12)</f>
        <v>0</v>
      </c>
      <c r="N12" s="171">
        <f t="shared" si="4"/>
        <v>0</v>
      </c>
      <c r="O12" s="171">
        <f t="shared" si="4"/>
        <v>0</v>
      </c>
    </row>
    <row r="13" spans="1:15" x14ac:dyDescent="0.25">
      <c r="A13" s="152" t="s">
        <v>529</v>
      </c>
      <c r="B13" s="169">
        <f>SUM('TRANSFERENCIA CORRIENTE'!C14:E14)</f>
        <v>25021132.289999999</v>
      </c>
      <c r="C13" s="169">
        <f>SUM('TRANSFERENCIA CORRIENTE'!F14:H14)</f>
        <v>25149742.170000002</v>
      </c>
      <c r="D13" s="169">
        <f>SUM('TRANSFERENCIA CORRIENTE'!I14:K14)</f>
        <v>27222347.390000001</v>
      </c>
      <c r="E13" s="169">
        <f>SUM('TRANSFERENCIA CORRIENTE'!L14:N14)</f>
        <v>0</v>
      </c>
      <c r="F13" s="411"/>
      <c r="G13" s="169">
        <f>SUM(VS!C14:E14)</f>
        <v>0</v>
      </c>
      <c r="H13" s="169">
        <f>SUM(VS!F14:H14)</f>
        <v>0</v>
      </c>
      <c r="I13" s="169">
        <f>SUM(VS!I14:K14)</f>
        <v>0</v>
      </c>
      <c r="J13" s="170">
        <f>SUM(VS!L14:N14)</f>
        <v>0</v>
      </c>
      <c r="K13" s="411"/>
      <c r="L13" s="171">
        <f t="shared" si="3"/>
        <v>25021132.289999999</v>
      </c>
      <c r="M13" s="171">
        <f>SUM(C13+H13)</f>
        <v>25149742.170000002</v>
      </c>
      <c r="N13" s="171">
        <f t="shared" si="4"/>
        <v>27222347.390000001</v>
      </c>
      <c r="O13" s="171">
        <f t="shared" si="4"/>
        <v>0</v>
      </c>
    </row>
    <row r="14" spans="1:15" s="172" customFormat="1" x14ac:dyDescent="0.25">
      <c r="A14" s="158" t="s">
        <v>528</v>
      </c>
      <c r="B14" s="167">
        <f>SUM(B15:B23)</f>
        <v>9308364.879999999</v>
      </c>
      <c r="C14" s="167">
        <f t="shared" ref="C14:E14" si="5">SUM(C15:C23)</f>
        <v>10131818.199999999</v>
      </c>
      <c r="D14" s="167">
        <f t="shared" si="5"/>
        <v>10910791.629999999</v>
      </c>
      <c r="E14" s="167">
        <f t="shared" si="5"/>
        <v>0</v>
      </c>
      <c r="F14" s="411"/>
      <c r="G14" s="167">
        <f>SUM(G15:G23)</f>
        <v>8306683.8499999996</v>
      </c>
      <c r="H14" s="167">
        <f t="shared" ref="H14:J14" si="6">SUM(H15:H23)</f>
        <v>7239413.7899999991</v>
      </c>
      <c r="I14" s="167">
        <f t="shared" si="6"/>
        <v>10378415.750000002</v>
      </c>
      <c r="J14" s="167">
        <f t="shared" si="6"/>
        <v>0</v>
      </c>
      <c r="K14" s="411"/>
      <c r="L14" s="168">
        <f>SUM(B14+G14)</f>
        <v>17615048.729999997</v>
      </c>
      <c r="M14" s="168">
        <f t="shared" ref="M14:O29" si="7">SUM(C14+H14)</f>
        <v>17371231.989999998</v>
      </c>
      <c r="N14" s="168">
        <f t="shared" si="7"/>
        <v>21289207.380000003</v>
      </c>
      <c r="O14" s="168">
        <f t="shared" si="7"/>
        <v>0</v>
      </c>
    </row>
    <row r="15" spans="1:15" x14ac:dyDescent="0.25">
      <c r="A15" s="152" t="s">
        <v>527</v>
      </c>
      <c r="B15" s="169">
        <f>SUM('TRANSFERENCIA CORRIENTE'!C16:E16)</f>
        <v>2020024.3</v>
      </c>
      <c r="C15" s="169">
        <f>SUM('TRANSFERENCIA CORRIENTE'!F16:H16)</f>
        <v>181605</v>
      </c>
      <c r="D15" s="169">
        <f>SUM('TRANSFERENCIA CORRIENTE'!J16:L16)</f>
        <v>121070</v>
      </c>
      <c r="E15" s="169">
        <f>SUM('TRANSFERENCIA CORRIENTE'!L16:N16)</f>
        <v>0</v>
      </c>
      <c r="F15" s="411"/>
      <c r="G15" s="169">
        <f>SUM(VS!C16:E16)</f>
        <v>2341561.92</v>
      </c>
      <c r="H15" s="169">
        <f>SUM(VS!F16:H16)</f>
        <v>2348580.7199999997</v>
      </c>
      <c r="I15" s="169">
        <f>SUM(VS!I16:K16)</f>
        <v>2876937.56</v>
      </c>
      <c r="J15" s="170">
        <f>SUM(VS!L16:N16)</f>
        <v>0</v>
      </c>
      <c r="K15" s="411"/>
      <c r="L15" s="171">
        <f t="shared" ref="L15:L23" si="8">SUM(B15+G15)</f>
        <v>4361586.22</v>
      </c>
      <c r="M15" s="171">
        <f t="shared" si="7"/>
        <v>2530185.7199999997</v>
      </c>
      <c r="N15" s="171">
        <f t="shared" si="7"/>
        <v>2998007.56</v>
      </c>
      <c r="O15" s="171">
        <f t="shared" si="7"/>
        <v>0</v>
      </c>
    </row>
    <row r="16" spans="1:15" x14ac:dyDescent="0.25">
      <c r="A16" s="152" t="s">
        <v>526</v>
      </c>
      <c r="B16" s="169">
        <f>SUM('TRANSFERENCIA CORRIENTE'!C17:E17)</f>
        <v>324206.83</v>
      </c>
      <c r="C16" s="169">
        <f>SUM('TRANSFERENCIA CORRIENTE'!F17:H17)</f>
        <v>351993.82999999996</v>
      </c>
      <c r="D16" s="169">
        <f>SUM('TRANSFERENCIA CORRIENTE'!J17:L17)</f>
        <v>136428.29999999999</v>
      </c>
      <c r="E16" s="169">
        <f>SUM('TRANSFERENCIA CORRIENTE'!L17:N17)</f>
        <v>0</v>
      </c>
      <c r="F16" s="411"/>
      <c r="G16" s="169">
        <f>SUM(VS!C17:E17)</f>
        <v>0</v>
      </c>
      <c r="H16" s="169">
        <f>SUM(VS!F17:H17)</f>
        <v>310139.40000000002</v>
      </c>
      <c r="I16" s="169">
        <f>SUM(VS!I17:K17)</f>
        <v>1187725.17</v>
      </c>
      <c r="J16" s="170">
        <f>SUM(VS!L17:N17)</f>
        <v>0</v>
      </c>
      <c r="K16" s="411"/>
      <c r="L16" s="171">
        <f t="shared" si="8"/>
        <v>324206.83</v>
      </c>
      <c r="M16" s="171">
        <f t="shared" si="7"/>
        <v>662133.23</v>
      </c>
      <c r="N16" s="171">
        <f t="shared" si="7"/>
        <v>1324153.47</v>
      </c>
      <c r="O16" s="171">
        <f t="shared" si="7"/>
        <v>0</v>
      </c>
    </row>
    <row r="17" spans="1:15" x14ac:dyDescent="0.25">
      <c r="A17" s="152" t="s">
        <v>525</v>
      </c>
      <c r="B17" s="169">
        <f>SUM('TRANSFERENCIA CORRIENTE'!C18:E18)</f>
        <v>0</v>
      </c>
      <c r="C17" s="169">
        <f>SUM('TRANSFERENCIA CORRIENTE'!F18:H18)</f>
        <v>0</v>
      </c>
      <c r="D17" s="169">
        <f>SUM('TRANSFERENCIA CORRIENTE'!J18:L18)</f>
        <v>0</v>
      </c>
      <c r="E17" s="169">
        <f>SUM('TRANSFERENCIA CORRIENTE'!L18:N18)</f>
        <v>0</v>
      </c>
      <c r="F17" s="411"/>
      <c r="G17" s="169">
        <f>SUM(VS!C18:E18)</f>
        <v>0</v>
      </c>
      <c r="H17" s="169">
        <f>SUM(VS!F18:H18)</f>
        <v>0</v>
      </c>
      <c r="I17" s="169">
        <f>SUM(VS!I18:K18)</f>
        <v>0</v>
      </c>
      <c r="J17" s="170">
        <f>SUM(VS!L18:N18)</f>
        <v>0</v>
      </c>
      <c r="K17" s="411"/>
      <c r="L17" s="171">
        <f t="shared" si="8"/>
        <v>0</v>
      </c>
      <c r="M17" s="171">
        <f t="shared" si="7"/>
        <v>0</v>
      </c>
      <c r="N17" s="171">
        <f t="shared" si="7"/>
        <v>0</v>
      </c>
      <c r="O17" s="171">
        <f t="shared" si="7"/>
        <v>0</v>
      </c>
    </row>
    <row r="18" spans="1:15" x14ac:dyDescent="0.25">
      <c r="A18" s="152" t="s">
        <v>524</v>
      </c>
      <c r="B18" s="169">
        <f>SUM('TRANSFERENCIA CORRIENTE'!C19:E19)</f>
        <v>0</v>
      </c>
      <c r="C18" s="169">
        <f>SUM('TRANSFERENCIA CORRIENTE'!F19:H19)</f>
        <v>0</v>
      </c>
      <c r="D18" s="169">
        <f>SUM('TRANSFERENCIA CORRIENTE'!J19:L19)</f>
        <v>0</v>
      </c>
      <c r="E18" s="169">
        <f>SUM('TRANSFERENCIA CORRIENTE'!L19:N19)</f>
        <v>0</v>
      </c>
      <c r="F18" s="411"/>
      <c r="G18" s="169">
        <f>SUM(VS!C19:E19)</f>
        <v>56000</v>
      </c>
      <c r="H18" s="169">
        <f>SUM(VS!F19:H19)</f>
        <v>96000</v>
      </c>
      <c r="I18" s="169">
        <f>SUM(VS!I19:K19)</f>
        <v>76000</v>
      </c>
      <c r="J18" s="170">
        <f>SUM(VS!L19:N19)</f>
        <v>0</v>
      </c>
      <c r="K18" s="411"/>
      <c r="L18" s="171">
        <f t="shared" si="8"/>
        <v>56000</v>
      </c>
      <c r="M18" s="171">
        <f t="shared" si="7"/>
        <v>96000</v>
      </c>
      <c r="N18" s="171">
        <f t="shared" si="7"/>
        <v>76000</v>
      </c>
      <c r="O18" s="171">
        <f t="shared" si="7"/>
        <v>0</v>
      </c>
    </row>
    <row r="19" spans="1:15" x14ac:dyDescent="0.25">
      <c r="A19" s="152" t="s">
        <v>523</v>
      </c>
      <c r="B19" s="169">
        <f>SUM('TRANSFERENCIA CORRIENTE'!C20:E20)</f>
        <v>0</v>
      </c>
      <c r="C19" s="169">
        <f>SUM('TRANSFERENCIA CORRIENTE'!F20:H20)</f>
        <v>150000</v>
      </c>
      <c r="D19" s="169">
        <f>SUM('TRANSFERENCIA CORRIENTE'!J20:L20)</f>
        <v>150000</v>
      </c>
      <c r="E19" s="169">
        <f>SUM('TRANSFERENCIA CORRIENTE'!L20:N20)</f>
        <v>0</v>
      </c>
      <c r="F19" s="411"/>
      <c r="G19" s="169">
        <f>SUM(VS!C20:E20)</f>
        <v>519625.15</v>
      </c>
      <c r="H19" s="169">
        <f>SUM(VS!F20:H20)</f>
        <v>759170.42</v>
      </c>
      <c r="I19" s="169">
        <f>SUM(VS!I20:K20)</f>
        <v>927025.6399999999</v>
      </c>
      <c r="J19" s="170">
        <f>SUM(VS!L20:N20)</f>
        <v>0</v>
      </c>
      <c r="K19" s="411"/>
      <c r="L19" s="171">
        <f t="shared" si="8"/>
        <v>519625.15</v>
      </c>
      <c r="M19" s="171">
        <f t="shared" si="7"/>
        <v>909170.42</v>
      </c>
      <c r="N19" s="171">
        <f t="shared" si="7"/>
        <v>1077025.6399999999</v>
      </c>
      <c r="O19" s="171">
        <f t="shared" si="7"/>
        <v>0</v>
      </c>
    </row>
    <row r="20" spans="1:15" x14ac:dyDescent="0.25">
      <c r="A20" s="152" t="s">
        <v>522</v>
      </c>
      <c r="B20" s="169">
        <f>SUM('TRANSFERENCIA CORRIENTE'!C21:E21)</f>
        <v>0</v>
      </c>
      <c r="C20" s="169">
        <f>SUM('TRANSFERENCIA CORRIENTE'!F21:H21)</f>
        <v>0</v>
      </c>
      <c r="D20" s="169">
        <f>SUM('TRANSFERENCIA CORRIENTE'!J21:L21)</f>
        <v>0</v>
      </c>
      <c r="E20" s="169">
        <f>SUM('TRANSFERENCIA CORRIENTE'!L21:N21)</f>
        <v>0</v>
      </c>
      <c r="F20" s="411"/>
      <c r="G20" s="169">
        <f>SUM(VS!C21:E21)</f>
        <v>0</v>
      </c>
      <c r="H20" s="169">
        <f>SUM(VS!F21:H21)</f>
        <v>0</v>
      </c>
      <c r="I20" s="169">
        <f>SUM(VS!I21:K21)</f>
        <v>0</v>
      </c>
      <c r="J20" s="170">
        <f>SUM(VS!L21:N21)</f>
        <v>0</v>
      </c>
      <c r="K20" s="411"/>
      <c r="L20" s="171">
        <f t="shared" si="8"/>
        <v>0</v>
      </c>
      <c r="M20" s="171">
        <f t="shared" si="7"/>
        <v>0</v>
      </c>
      <c r="N20" s="171">
        <f t="shared" si="7"/>
        <v>0</v>
      </c>
      <c r="O20" s="171">
        <f t="shared" si="7"/>
        <v>0</v>
      </c>
    </row>
    <row r="21" spans="1:15" ht="30" x14ac:dyDescent="0.25">
      <c r="A21" s="152" t="s">
        <v>521</v>
      </c>
      <c r="B21" s="169">
        <f>SUM('TRANSFERENCIA CORRIENTE'!C22:E22)</f>
        <v>6474433.75</v>
      </c>
      <c r="C21" s="169">
        <f>SUM('TRANSFERENCIA CORRIENTE'!F22:H22)</f>
        <v>5611474.3300000001</v>
      </c>
      <c r="D21" s="169">
        <f>SUM('TRANSFERENCIA CORRIENTE'!J22:L22)</f>
        <v>4409782.33</v>
      </c>
      <c r="E21" s="169">
        <f>SUM('TRANSFERENCIA CORRIENTE'!L22:N22)</f>
        <v>0</v>
      </c>
      <c r="F21" s="411"/>
      <c r="G21" s="169">
        <f>SUM(VS!C22:E22)</f>
        <v>4556850.12</v>
      </c>
      <c r="H21" s="169">
        <f>SUM(VS!F22:H22)</f>
        <v>1040817.5700000001</v>
      </c>
      <c r="I21" s="169">
        <f>SUM(VS!I22:K22)</f>
        <v>3360268.75</v>
      </c>
      <c r="J21" s="170">
        <f>SUM(VS!L22:N22)</f>
        <v>0</v>
      </c>
      <c r="K21" s="411"/>
      <c r="L21" s="171">
        <f t="shared" si="8"/>
        <v>11031283.870000001</v>
      </c>
      <c r="M21" s="171">
        <f t="shared" si="7"/>
        <v>6652291.9000000004</v>
      </c>
      <c r="N21" s="171">
        <f t="shared" si="7"/>
        <v>7770051.0800000001</v>
      </c>
      <c r="O21" s="171">
        <f>SUM(E21+J21)</f>
        <v>0</v>
      </c>
    </row>
    <row r="22" spans="1:15" x14ac:dyDescent="0.25">
      <c r="A22" s="152" t="s">
        <v>520</v>
      </c>
      <c r="B22" s="169">
        <f>SUM('TRANSFERENCIA CORRIENTE'!C23:E23)</f>
        <v>489700</v>
      </c>
      <c r="C22" s="169">
        <f>SUM('TRANSFERENCIA CORRIENTE'!F23:H23)</f>
        <v>413000</v>
      </c>
      <c r="D22" s="169">
        <f>SUM('TRANSFERENCIA CORRIENTE'!J23:L23)</f>
        <v>3779000</v>
      </c>
      <c r="E22" s="169">
        <f>SUM('TRANSFERENCIA CORRIENTE'!L23:N23)</f>
        <v>0</v>
      </c>
      <c r="F22" s="411"/>
      <c r="G22" s="169">
        <f>SUM(VS!C23:E23)</f>
        <v>832646.66</v>
      </c>
      <c r="H22" s="169">
        <f>SUM(VS!F23:H23)</f>
        <v>1774418.2799999998</v>
      </c>
      <c r="I22" s="169">
        <f>SUM(VS!I23:K23)</f>
        <v>1400729.0799999998</v>
      </c>
      <c r="J22" s="170">
        <f>SUM(VS!L23:N23)</f>
        <v>0</v>
      </c>
      <c r="K22" s="411"/>
      <c r="L22" s="171">
        <f t="shared" si="8"/>
        <v>1322346.6600000001</v>
      </c>
      <c r="M22" s="171">
        <f t="shared" si="7"/>
        <v>2187418.2799999998</v>
      </c>
      <c r="N22" s="171">
        <f t="shared" si="7"/>
        <v>5179729.08</v>
      </c>
      <c r="O22" s="171">
        <f t="shared" si="7"/>
        <v>0</v>
      </c>
    </row>
    <row r="23" spans="1:15" x14ac:dyDescent="0.25">
      <c r="A23" s="152" t="s">
        <v>519</v>
      </c>
      <c r="B23" s="169">
        <f>SUM('TRANSFERENCIA CORRIENTE'!C24:E24)</f>
        <v>0</v>
      </c>
      <c r="C23" s="169">
        <f>SUM('TRANSFERENCIA CORRIENTE'!F24:H24)</f>
        <v>3423745.04</v>
      </c>
      <c r="D23" s="169">
        <f>SUM('TRANSFERENCIA CORRIENTE'!J24:L24)</f>
        <v>2314511</v>
      </c>
      <c r="E23" s="169">
        <f>SUM('TRANSFERENCIA CORRIENTE'!L24:N24)</f>
        <v>0</v>
      </c>
      <c r="F23" s="411"/>
      <c r="G23" s="169">
        <f>SUM(VS!C24:E24)</f>
        <v>0</v>
      </c>
      <c r="H23" s="169">
        <f>SUM(VS!F24:H24)</f>
        <v>910287.4</v>
      </c>
      <c r="I23" s="169">
        <f>SUM(VS!I24:K24)</f>
        <v>549729.55000000005</v>
      </c>
      <c r="J23" s="170">
        <f>SUM(VS!L24:N24)</f>
        <v>0</v>
      </c>
      <c r="K23" s="411"/>
      <c r="L23" s="171">
        <f t="shared" si="8"/>
        <v>0</v>
      </c>
      <c r="M23" s="171">
        <f t="shared" si="7"/>
        <v>4334032.4400000004</v>
      </c>
      <c r="N23" s="171">
        <f t="shared" si="7"/>
        <v>2864240.55</v>
      </c>
      <c r="O23" s="171">
        <f t="shared" si="7"/>
        <v>0</v>
      </c>
    </row>
    <row r="24" spans="1:15" s="172" customFormat="1" x14ac:dyDescent="0.25">
      <c r="A24" s="158" t="s">
        <v>518</v>
      </c>
      <c r="B24" s="167">
        <f>SUM(B25:B33)</f>
        <v>46153283.390000001</v>
      </c>
      <c r="C24" s="167">
        <f t="shared" ref="C24:E24" si="9">SUM(C25:C33)</f>
        <v>52385650.660000004</v>
      </c>
      <c r="D24" s="167">
        <f t="shared" si="9"/>
        <v>103786940.22999999</v>
      </c>
      <c r="E24" s="167">
        <f t="shared" si="9"/>
        <v>0</v>
      </c>
      <c r="F24" s="411"/>
      <c r="G24" s="167">
        <f t="shared" ref="G24:J24" si="10">SUM(G25:G33)</f>
        <v>7292547.2799999993</v>
      </c>
      <c r="H24" s="167">
        <f t="shared" si="10"/>
        <v>6552680.6099999994</v>
      </c>
      <c r="I24" s="167">
        <f t="shared" si="10"/>
        <v>9091857.0700000003</v>
      </c>
      <c r="J24" s="167">
        <f t="shared" si="10"/>
        <v>0</v>
      </c>
      <c r="K24" s="411"/>
      <c r="L24" s="168">
        <f>SUM(B24+G24)</f>
        <v>53445830.670000002</v>
      </c>
      <c r="M24" s="168">
        <f t="shared" si="7"/>
        <v>58938331.270000003</v>
      </c>
      <c r="N24" s="168">
        <f t="shared" si="7"/>
        <v>112878797.29999998</v>
      </c>
      <c r="O24" s="168">
        <f t="shared" si="7"/>
        <v>0</v>
      </c>
    </row>
    <row r="25" spans="1:15" x14ac:dyDescent="0.25">
      <c r="A25" s="152" t="s">
        <v>517</v>
      </c>
      <c r="B25" s="169">
        <f>SUM('TRANSFERENCIA CORRIENTE'!C26:E26)</f>
        <v>3713897.2399999998</v>
      </c>
      <c r="C25" s="169">
        <f>SUM('TRANSFERENCIA CORRIENTE'!F26:H26)</f>
        <v>4866999.25</v>
      </c>
      <c r="D25" s="169">
        <f>SUM('TRANSFERENCIA CORRIENTE'!I23:K23)</f>
        <v>3779000</v>
      </c>
      <c r="E25" s="169">
        <f>SUM('TRANSFERENCIA CORRIENTE'!L26:N26)</f>
        <v>0</v>
      </c>
      <c r="F25" s="411"/>
      <c r="G25" s="169">
        <f>SUM(VS!C26:E26)</f>
        <v>1500755.8</v>
      </c>
      <c r="H25" s="169">
        <f>SUM(VS!F26:H26)</f>
        <v>663230</v>
      </c>
      <c r="I25" s="169">
        <f>SUM(VS!I26:K26)</f>
        <v>1574425.6600000001</v>
      </c>
      <c r="J25" s="170">
        <f>SUM(VS!L26:N26)</f>
        <v>0</v>
      </c>
      <c r="K25" s="411"/>
      <c r="L25" s="171">
        <f t="shared" ref="L25:O40" si="11">SUM(B25+G25)</f>
        <v>5214653.04</v>
      </c>
      <c r="M25" s="171">
        <f t="shared" si="7"/>
        <v>5530229.25</v>
      </c>
      <c r="N25" s="171">
        <f t="shared" si="7"/>
        <v>5353425.66</v>
      </c>
      <c r="O25" s="171">
        <f t="shared" si="7"/>
        <v>0</v>
      </c>
    </row>
    <row r="26" spans="1:15" x14ac:dyDescent="0.25">
      <c r="A26" s="152" t="s">
        <v>516</v>
      </c>
      <c r="B26" s="169">
        <f>SUM('TRANSFERENCIA CORRIENTE'!C27:E27)</f>
        <v>61630.73</v>
      </c>
      <c r="C26" s="169">
        <f>SUM('TRANSFERENCIA CORRIENTE'!F27:H27)</f>
        <v>2375399.4299999997</v>
      </c>
      <c r="D26" s="169">
        <f>SUM('TRANSFERENCIA CORRIENTE'!I24:K24)</f>
        <v>2314511</v>
      </c>
      <c r="E26" s="169">
        <f>SUM('TRANSFERENCIA CORRIENTE'!L27:N27)</f>
        <v>0</v>
      </c>
      <c r="F26" s="411"/>
      <c r="G26" s="169">
        <f>SUM(VS!C27:E27)</f>
        <v>0</v>
      </c>
      <c r="H26" s="169">
        <f>SUM(VS!F27:H27)</f>
        <v>346306.4</v>
      </c>
      <c r="I26" s="169">
        <f>SUM(VS!I27:K27)</f>
        <v>0</v>
      </c>
      <c r="J26" s="170">
        <f>SUM(VS!L27:N27)</f>
        <v>0</v>
      </c>
      <c r="K26" s="411"/>
      <c r="L26" s="171">
        <f t="shared" si="11"/>
        <v>61630.73</v>
      </c>
      <c r="M26" s="171">
        <f t="shared" si="7"/>
        <v>2721705.8299999996</v>
      </c>
      <c r="N26" s="171">
        <f t="shared" si="7"/>
        <v>2314511</v>
      </c>
      <c r="O26" s="171">
        <f t="shared" si="7"/>
        <v>0</v>
      </c>
    </row>
    <row r="27" spans="1:15" x14ac:dyDescent="0.25">
      <c r="A27" s="152" t="s">
        <v>515</v>
      </c>
      <c r="B27" s="169">
        <f>SUM('TRANSFERENCIA CORRIENTE'!C28:E28)</f>
        <v>1826911.8399999999</v>
      </c>
      <c r="C27" s="169">
        <f>SUM('TRANSFERENCIA CORRIENTE'!F28:H28)</f>
        <v>2991695.71</v>
      </c>
      <c r="D27" s="169">
        <f>SUM('TRANSFERENCIA CORRIENTE'!I25:K25)</f>
        <v>65609607.189999998</v>
      </c>
      <c r="E27" s="169">
        <f>SUM('TRANSFERENCIA CORRIENTE'!L28:N28)</f>
        <v>0</v>
      </c>
      <c r="F27" s="411"/>
      <c r="G27" s="169">
        <f>SUM(VS!C28:E28)</f>
        <v>251163</v>
      </c>
      <c r="H27" s="169">
        <f>SUM(VS!F28:H28)</f>
        <v>803989</v>
      </c>
      <c r="I27" s="169">
        <f>SUM(VS!I28:K28)</f>
        <v>734332.03</v>
      </c>
      <c r="J27" s="170">
        <f>SUM(VS!L28:N28)</f>
        <v>0</v>
      </c>
      <c r="K27" s="411"/>
      <c r="L27" s="171">
        <f t="shared" si="11"/>
        <v>2078074.8399999999</v>
      </c>
      <c r="M27" s="171">
        <f t="shared" si="7"/>
        <v>3795684.71</v>
      </c>
      <c r="N27" s="171">
        <f t="shared" si="7"/>
        <v>66343939.219999999</v>
      </c>
      <c r="O27" s="171">
        <f t="shared" si="7"/>
        <v>0</v>
      </c>
    </row>
    <row r="28" spans="1:15" x14ac:dyDescent="0.25">
      <c r="A28" s="152" t="s">
        <v>514</v>
      </c>
      <c r="B28" s="169">
        <f>SUM('TRANSFERENCIA CORRIENTE'!C29:E29)</f>
        <v>10797335.800000001</v>
      </c>
      <c r="C28" s="169">
        <f>SUM('TRANSFERENCIA CORRIENTE'!F29:H29)</f>
        <v>12009356.6</v>
      </c>
      <c r="D28" s="169">
        <f>SUM('TRANSFERENCIA CORRIENTE'!I26:K26)</f>
        <v>6044845.1100000003</v>
      </c>
      <c r="E28" s="169">
        <f>SUM('TRANSFERENCIA CORRIENTE'!L29:N29)</f>
        <v>0</v>
      </c>
      <c r="F28" s="411"/>
      <c r="G28" s="169">
        <f>SUM(VS!C29:E29)</f>
        <v>558000</v>
      </c>
      <c r="H28" s="169">
        <f>SUM(VS!F29:H29)</f>
        <v>402220.76</v>
      </c>
      <c r="I28" s="169">
        <f>SUM(VS!I29:K29)</f>
        <v>496000</v>
      </c>
      <c r="J28" s="170">
        <f>SUM(VS!L29:N29)</f>
        <v>0</v>
      </c>
      <c r="K28" s="411"/>
      <c r="L28" s="171">
        <f t="shared" si="11"/>
        <v>11355335.800000001</v>
      </c>
      <c r="M28" s="171">
        <f t="shared" si="7"/>
        <v>12411577.359999999</v>
      </c>
      <c r="N28" s="171">
        <f t="shared" si="7"/>
        <v>6540845.1100000003</v>
      </c>
      <c r="O28" s="171">
        <f t="shared" si="7"/>
        <v>0</v>
      </c>
    </row>
    <row r="29" spans="1:15" x14ac:dyDescent="0.25">
      <c r="A29" s="152" t="s">
        <v>513</v>
      </c>
      <c r="B29" s="169">
        <f>SUM('TRANSFERENCIA CORRIENTE'!C30:E30)</f>
        <v>334708.95</v>
      </c>
      <c r="C29" s="169">
        <f>SUM('TRANSFERENCIA CORRIENTE'!F30:H30)</f>
        <v>1024240.4299999999</v>
      </c>
      <c r="D29" s="169">
        <f>SUM('TRANSFERENCIA CORRIENTE'!I27:K27)</f>
        <v>3015806.75</v>
      </c>
      <c r="E29" s="169">
        <f>SUM('TRANSFERENCIA CORRIENTE'!L30:N30)</f>
        <v>0</v>
      </c>
      <c r="F29" s="411"/>
      <c r="G29" s="169">
        <f>SUM(VS!C30:E30)</f>
        <v>567494.87</v>
      </c>
      <c r="H29" s="169">
        <f>SUM(VS!F30:H30)</f>
        <v>0</v>
      </c>
      <c r="I29" s="169">
        <f>SUM(VS!I30:K30)</f>
        <v>140314.78</v>
      </c>
      <c r="J29" s="170">
        <f>SUM(VS!L30:N30)</f>
        <v>0</v>
      </c>
      <c r="K29" s="411"/>
      <c r="L29" s="171">
        <f t="shared" si="11"/>
        <v>902203.82000000007</v>
      </c>
      <c r="M29" s="171">
        <f t="shared" si="7"/>
        <v>1024240.4299999999</v>
      </c>
      <c r="N29" s="171">
        <f t="shared" si="7"/>
        <v>3156121.53</v>
      </c>
      <c r="O29" s="171">
        <f t="shared" si="7"/>
        <v>0</v>
      </c>
    </row>
    <row r="30" spans="1:15" x14ac:dyDescent="0.25">
      <c r="A30" s="152" t="s">
        <v>512</v>
      </c>
      <c r="B30" s="169">
        <f>SUM('TRANSFERENCIA CORRIENTE'!C31:E31)</f>
        <v>11630.98</v>
      </c>
      <c r="C30" s="169">
        <f>SUM('TRANSFERENCIA CORRIENTE'!F31:H31)</f>
        <v>667620.59</v>
      </c>
      <c r="D30" s="169">
        <f>SUM('TRANSFERENCIA CORRIENTE'!I28:K28)</f>
        <v>2859834.36</v>
      </c>
      <c r="E30" s="169">
        <f>SUM('TRANSFERENCIA CORRIENTE'!L31:N31)</f>
        <v>0</v>
      </c>
      <c r="F30" s="411"/>
      <c r="G30" s="169">
        <f>SUM(VS!C31:E31)</f>
        <v>293957.3</v>
      </c>
      <c r="H30" s="169">
        <f>SUM(VS!F31:H31)</f>
        <v>0</v>
      </c>
      <c r="I30" s="169">
        <f>SUM(VS!I31:K31)</f>
        <v>211552.06</v>
      </c>
      <c r="J30" s="170">
        <f>SUM(VS!L31:N31)</f>
        <v>0</v>
      </c>
      <c r="K30" s="411"/>
      <c r="L30" s="171">
        <f t="shared" si="11"/>
        <v>305588.27999999997</v>
      </c>
      <c r="M30" s="171">
        <f t="shared" si="11"/>
        <v>667620.59</v>
      </c>
      <c r="N30" s="171">
        <f t="shared" si="11"/>
        <v>3071386.42</v>
      </c>
      <c r="O30" s="171">
        <f t="shared" si="11"/>
        <v>0</v>
      </c>
    </row>
    <row r="31" spans="1:15" x14ac:dyDescent="0.25">
      <c r="A31" s="152" t="s">
        <v>511</v>
      </c>
      <c r="B31" s="169">
        <f>SUM('TRANSFERENCIA CORRIENTE'!C32:E32)</f>
        <v>8910101.959999999</v>
      </c>
      <c r="C31" s="169">
        <f>SUM('TRANSFERENCIA CORRIENTE'!F32:H32)</f>
        <v>10068979.180000002</v>
      </c>
      <c r="D31" s="169">
        <f>SUM('TRANSFERENCIA CORRIENTE'!I29:K29)</f>
        <v>19203378</v>
      </c>
      <c r="E31" s="169">
        <f>SUM('TRANSFERENCIA CORRIENTE'!L32:N32)</f>
        <v>0</v>
      </c>
      <c r="F31" s="411"/>
      <c r="G31" s="169">
        <f>SUM(VS!C32:E32)</f>
        <v>1660334.56</v>
      </c>
      <c r="H31" s="169">
        <f>SUM(VS!F32:H32)</f>
        <v>1500202</v>
      </c>
      <c r="I31" s="169">
        <f>SUM(VS!I32:K32)</f>
        <v>2324461.02</v>
      </c>
      <c r="J31" s="170">
        <f>SUM(VS!L32:N32)</f>
        <v>0</v>
      </c>
      <c r="K31" s="411"/>
      <c r="L31" s="171">
        <f t="shared" si="11"/>
        <v>10570436.52</v>
      </c>
      <c r="M31" s="171">
        <f t="shared" si="11"/>
        <v>11569181.180000002</v>
      </c>
      <c r="N31" s="171">
        <f t="shared" si="11"/>
        <v>21527839.02</v>
      </c>
      <c r="O31" s="171">
        <f t="shared" si="11"/>
        <v>0</v>
      </c>
    </row>
    <row r="32" spans="1:15" x14ac:dyDescent="0.25">
      <c r="A32" s="152" t="s">
        <v>510</v>
      </c>
      <c r="B32" s="169">
        <f>SUM('TRANSFERENCIA CORRIENTE'!C33:E33)</f>
        <v>0</v>
      </c>
      <c r="C32" s="169">
        <f>SUM('TRANSFERENCIA CORRIENTE'!F33:H33)</f>
        <v>0</v>
      </c>
      <c r="D32" s="169">
        <f>SUM('TRANSFERENCIA CORRIENTE'!I30:K30)</f>
        <v>673453.82</v>
      </c>
      <c r="E32" s="169">
        <f>SUM('TRANSFERENCIA CORRIENTE'!L33:N33)</f>
        <v>0</v>
      </c>
      <c r="F32" s="411"/>
      <c r="G32" s="169">
        <f>SUM(VS!C33:E33)</f>
        <v>0</v>
      </c>
      <c r="H32" s="169">
        <f>SUM(VS!F33:H33)</f>
        <v>0</v>
      </c>
      <c r="I32" s="169">
        <f>SUM(VS!I33:K33)</f>
        <v>0</v>
      </c>
      <c r="J32" s="170">
        <f>SUM(VS!L33:N33)</f>
        <v>0</v>
      </c>
      <c r="K32" s="411"/>
      <c r="L32" s="171">
        <f t="shared" si="11"/>
        <v>0</v>
      </c>
      <c r="M32" s="171">
        <f t="shared" si="11"/>
        <v>0</v>
      </c>
      <c r="N32" s="171">
        <f t="shared" si="11"/>
        <v>673453.82</v>
      </c>
      <c r="O32" s="171">
        <f t="shared" si="11"/>
        <v>0</v>
      </c>
    </row>
    <row r="33" spans="1:15" x14ac:dyDescent="0.25">
      <c r="A33" s="152" t="s">
        <v>509</v>
      </c>
      <c r="B33" s="169">
        <f>SUM('TRANSFERENCIA CORRIENTE'!C34:E34)</f>
        <v>20497065.890000001</v>
      </c>
      <c r="C33" s="169">
        <f>SUM('TRANSFERENCIA CORRIENTE'!F34:H34)</f>
        <v>18381359.469999999</v>
      </c>
      <c r="D33" s="169">
        <f>SUM('TRANSFERENCIA CORRIENTE'!I31:K31)</f>
        <v>286504</v>
      </c>
      <c r="E33" s="169">
        <f>SUM('TRANSFERENCIA CORRIENTE'!L34:N34)</f>
        <v>0</v>
      </c>
      <c r="F33" s="411"/>
      <c r="G33" s="169">
        <f>SUM(VS!C34:E34)</f>
        <v>2460841.75</v>
      </c>
      <c r="H33" s="169">
        <f>SUM(VS!F34:H34)</f>
        <v>2836732.4499999997</v>
      </c>
      <c r="I33" s="169">
        <f>SUM(VS!I34:K34)</f>
        <v>3610771.5199999996</v>
      </c>
      <c r="J33" s="170">
        <f>SUM(VS!L34:N34)</f>
        <v>0</v>
      </c>
      <c r="K33" s="411"/>
      <c r="L33" s="171">
        <f t="shared" si="11"/>
        <v>22957907.640000001</v>
      </c>
      <c r="M33" s="171">
        <f t="shared" si="11"/>
        <v>21218091.919999998</v>
      </c>
      <c r="N33" s="171">
        <f t="shared" si="11"/>
        <v>3897275.5199999996</v>
      </c>
      <c r="O33" s="171">
        <f t="shared" si="11"/>
        <v>0</v>
      </c>
    </row>
    <row r="34" spans="1:15" s="172" customFormat="1" x14ac:dyDescent="0.25">
      <c r="A34" s="158" t="s">
        <v>508</v>
      </c>
      <c r="B34" s="167">
        <f>SUM(B35:B41)</f>
        <v>0</v>
      </c>
      <c r="C34" s="167">
        <f t="shared" ref="C34:E34" si="12">SUM(C35:C41)</f>
        <v>0</v>
      </c>
      <c r="D34" s="167">
        <f t="shared" si="12"/>
        <v>0</v>
      </c>
      <c r="E34" s="167">
        <f t="shared" si="12"/>
        <v>0</v>
      </c>
      <c r="F34" s="411"/>
      <c r="G34" s="167">
        <f>SUM(G35:G41)</f>
        <v>287786.7</v>
      </c>
      <c r="H34" s="167">
        <f t="shared" ref="H34:J34" si="13">SUM(H35:H41)</f>
        <v>1223981</v>
      </c>
      <c r="I34" s="167">
        <f t="shared" si="13"/>
        <v>122771</v>
      </c>
      <c r="J34" s="167">
        <f t="shared" si="13"/>
        <v>0</v>
      </c>
      <c r="K34" s="411"/>
      <c r="L34" s="168">
        <f t="shared" si="11"/>
        <v>287786.7</v>
      </c>
      <c r="M34" s="168">
        <f t="shared" si="11"/>
        <v>1223981</v>
      </c>
      <c r="N34" s="168">
        <f t="shared" si="11"/>
        <v>122771</v>
      </c>
      <c r="O34" s="168">
        <f t="shared" si="11"/>
        <v>0</v>
      </c>
    </row>
    <row r="35" spans="1:15" x14ac:dyDescent="0.25">
      <c r="A35" s="152" t="s">
        <v>507</v>
      </c>
      <c r="B35" s="169">
        <f>SUM('TRANSFERENCIA CORRIENTE'!C36:E36)</f>
        <v>0</v>
      </c>
      <c r="C35" s="169">
        <f>SUM('TRANSFERENCIA CORRIENTE'!F36:H36)</f>
        <v>0</v>
      </c>
      <c r="D35" s="169">
        <f>SUM('TRANSFERENCIA CORRIENTE'!I36:K36)</f>
        <v>0</v>
      </c>
      <c r="E35" s="169">
        <f>SUM('TRANSFERENCIA CORRIENTE'!L36:N36)</f>
        <v>0</v>
      </c>
      <c r="F35" s="411"/>
      <c r="G35" s="169">
        <f>SUM(VS!C36:E36)</f>
        <v>287786.7</v>
      </c>
      <c r="H35" s="169">
        <f>SUM(VS!F36:H36)</f>
        <v>1223981</v>
      </c>
      <c r="I35" s="169">
        <f>SUM(VS!I36:K36)</f>
        <v>122771</v>
      </c>
      <c r="J35" s="170">
        <f>SUM(VS!L36:N36)</f>
        <v>0</v>
      </c>
      <c r="K35" s="411"/>
      <c r="L35" s="171">
        <f t="shared" si="11"/>
        <v>287786.7</v>
      </c>
      <c r="M35" s="171">
        <f t="shared" si="11"/>
        <v>1223981</v>
      </c>
      <c r="N35" s="171">
        <f t="shared" si="11"/>
        <v>122771</v>
      </c>
      <c r="O35" s="171">
        <f t="shared" si="11"/>
        <v>0</v>
      </c>
    </row>
    <row r="36" spans="1:15" x14ac:dyDescent="0.25">
      <c r="A36" s="152" t="s">
        <v>506</v>
      </c>
      <c r="B36" s="169">
        <f>SUM('TRANSFERENCIA CORRIENTE'!C37:E37)</f>
        <v>0</v>
      </c>
      <c r="C36" s="169">
        <f>SUM('TRANSFERENCIA CORRIENTE'!F37:H37)</f>
        <v>0</v>
      </c>
      <c r="D36" s="169">
        <f>SUM('TRANSFERENCIA CORRIENTE'!I37:K37)</f>
        <v>0</v>
      </c>
      <c r="E36" s="169">
        <f>SUM('TRANSFERENCIA CORRIENTE'!L37:N37)</f>
        <v>0</v>
      </c>
      <c r="F36" s="411"/>
      <c r="G36" s="169">
        <f>SUM(VS!C37:E37)</f>
        <v>0</v>
      </c>
      <c r="H36" s="169">
        <f>SUM(VS!F37:H37)</f>
        <v>0</v>
      </c>
      <c r="I36" s="169">
        <f>SUM(VS!I37:K37)</f>
        <v>0</v>
      </c>
      <c r="J36" s="170">
        <f>SUM(VS!L37:N37)</f>
        <v>0</v>
      </c>
      <c r="K36" s="411"/>
      <c r="L36" s="171">
        <f t="shared" si="11"/>
        <v>0</v>
      </c>
      <c r="M36" s="171">
        <f t="shared" si="11"/>
        <v>0</v>
      </c>
      <c r="N36" s="171">
        <f t="shared" si="11"/>
        <v>0</v>
      </c>
      <c r="O36" s="171">
        <f t="shared" si="11"/>
        <v>0</v>
      </c>
    </row>
    <row r="37" spans="1:15" x14ac:dyDescent="0.25">
      <c r="A37" s="152" t="s">
        <v>505</v>
      </c>
      <c r="B37" s="169">
        <f>SUM('TRANSFERENCIA CORRIENTE'!C38:E38)</f>
        <v>0</v>
      </c>
      <c r="C37" s="169">
        <f>SUM('TRANSFERENCIA CORRIENTE'!F38:H38)</f>
        <v>0</v>
      </c>
      <c r="D37" s="169">
        <f>SUM('TRANSFERENCIA CORRIENTE'!I38:K38)</f>
        <v>0</v>
      </c>
      <c r="E37" s="169">
        <f>SUM('TRANSFERENCIA CORRIENTE'!L38:N38)</f>
        <v>0</v>
      </c>
      <c r="F37" s="411"/>
      <c r="G37" s="169">
        <f>SUM(VS!C38:E38)</f>
        <v>0</v>
      </c>
      <c r="H37" s="169">
        <f>SUM(VS!F38:H38)</f>
        <v>0</v>
      </c>
      <c r="I37" s="169">
        <f>SUM(VS!I38:K38)</f>
        <v>0</v>
      </c>
      <c r="J37" s="170">
        <f>SUM(VS!L38:N38)</f>
        <v>0</v>
      </c>
      <c r="K37" s="411"/>
      <c r="L37" s="171">
        <f t="shared" si="11"/>
        <v>0</v>
      </c>
      <c r="M37" s="171">
        <f t="shared" si="11"/>
        <v>0</v>
      </c>
      <c r="N37" s="171">
        <f t="shared" si="11"/>
        <v>0</v>
      </c>
      <c r="O37" s="171">
        <f t="shared" si="11"/>
        <v>0</v>
      </c>
    </row>
    <row r="38" spans="1:15" x14ac:dyDescent="0.25">
      <c r="A38" s="152" t="s">
        <v>504</v>
      </c>
      <c r="B38" s="169">
        <f>SUM('TRANSFERENCIA CORRIENTE'!C39:E39)</f>
        <v>0</v>
      </c>
      <c r="C38" s="169">
        <f>SUM('TRANSFERENCIA CORRIENTE'!F39:H39)</f>
        <v>0</v>
      </c>
      <c r="D38" s="169">
        <f>SUM('TRANSFERENCIA CORRIENTE'!I39:K39)</f>
        <v>0</v>
      </c>
      <c r="E38" s="169">
        <f>SUM('TRANSFERENCIA CORRIENTE'!L39:N39)</f>
        <v>0</v>
      </c>
      <c r="F38" s="411"/>
      <c r="G38" s="169">
        <f>SUM(VS!C39:E39)</f>
        <v>0</v>
      </c>
      <c r="H38" s="169">
        <f>SUM(VS!F39:H39)</f>
        <v>0</v>
      </c>
      <c r="I38" s="169">
        <f>SUM(VS!I39:K39)</f>
        <v>0</v>
      </c>
      <c r="J38" s="170">
        <f>SUM(VS!L39:N39)</f>
        <v>0</v>
      </c>
      <c r="K38" s="411"/>
      <c r="L38" s="171">
        <f t="shared" si="11"/>
        <v>0</v>
      </c>
      <c r="M38" s="171">
        <f t="shared" si="11"/>
        <v>0</v>
      </c>
      <c r="N38" s="171">
        <f t="shared" si="11"/>
        <v>0</v>
      </c>
      <c r="O38" s="171">
        <f t="shared" si="11"/>
        <v>0</v>
      </c>
    </row>
    <row r="39" spans="1:15" x14ac:dyDescent="0.25">
      <c r="A39" s="152" t="s">
        <v>503</v>
      </c>
      <c r="B39" s="169">
        <f>SUM('TRANSFERENCIA CORRIENTE'!C40:E40)</f>
        <v>0</v>
      </c>
      <c r="C39" s="169">
        <f>SUM('TRANSFERENCIA CORRIENTE'!F40:H40)</f>
        <v>0</v>
      </c>
      <c r="D39" s="169">
        <f>SUM('TRANSFERENCIA CORRIENTE'!I40:K40)</f>
        <v>0</v>
      </c>
      <c r="E39" s="169">
        <f>SUM('TRANSFERENCIA CORRIENTE'!L40:N40)</f>
        <v>0</v>
      </c>
      <c r="F39" s="411"/>
      <c r="G39" s="169">
        <f>SUM(VS!C40:E40)</f>
        <v>0</v>
      </c>
      <c r="H39" s="169">
        <f>SUM(VS!F40:H40)</f>
        <v>0</v>
      </c>
      <c r="I39" s="169">
        <f>SUM(VS!I40:K40)</f>
        <v>0</v>
      </c>
      <c r="J39" s="170">
        <f>SUM(VS!L40:N40)</f>
        <v>0</v>
      </c>
      <c r="K39" s="411"/>
      <c r="L39" s="171">
        <f t="shared" si="11"/>
        <v>0</v>
      </c>
      <c r="M39" s="171">
        <f t="shared" si="11"/>
        <v>0</v>
      </c>
      <c r="N39" s="171">
        <f t="shared" si="11"/>
        <v>0</v>
      </c>
      <c r="O39" s="171">
        <f t="shared" si="11"/>
        <v>0</v>
      </c>
    </row>
    <row r="40" spans="1:15" x14ac:dyDescent="0.25">
      <c r="A40" s="152" t="s">
        <v>502</v>
      </c>
      <c r="B40" s="169">
        <f>SUM('TRANSFERENCIA CORRIENTE'!C41:E41)</f>
        <v>0</v>
      </c>
      <c r="C40" s="169">
        <f>SUM('TRANSFERENCIA CORRIENTE'!F41:H41)</f>
        <v>0</v>
      </c>
      <c r="D40" s="169">
        <f>SUM('TRANSFERENCIA CORRIENTE'!I41:K41)</f>
        <v>0</v>
      </c>
      <c r="E40" s="169">
        <f>SUM('TRANSFERENCIA CORRIENTE'!L41:N41)</f>
        <v>0</v>
      </c>
      <c r="F40" s="411"/>
      <c r="G40" s="169">
        <f>SUM(VS!C41:E41)</f>
        <v>0</v>
      </c>
      <c r="H40" s="169">
        <f>SUM(VS!F41:H41)</f>
        <v>0</v>
      </c>
      <c r="I40" s="169">
        <f>SUM(VS!I41:K41)</f>
        <v>0</v>
      </c>
      <c r="J40" s="170">
        <f>SUM(VS!L41:N41)</f>
        <v>0</v>
      </c>
      <c r="K40" s="411"/>
      <c r="L40" s="171">
        <f t="shared" si="11"/>
        <v>0</v>
      </c>
      <c r="M40" s="171">
        <f t="shared" si="11"/>
        <v>0</v>
      </c>
      <c r="N40" s="171">
        <f t="shared" si="11"/>
        <v>0</v>
      </c>
      <c r="O40" s="171">
        <f t="shared" si="11"/>
        <v>0</v>
      </c>
    </row>
    <row r="41" spans="1:15" x14ac:dyDescent="0.25">
      <c r="A41" s="152" t="s">
        <v>501</v>
      </c>
      <c r="B41" s="169">
        <f>SUM('TRANSFERENCIA CORRIENTE'!C42:E42)</f>
        <v>0</v>
      </c>
      <c r="C41" s="169">
        <f>SUM('TRANSFERENCIA CORRIENTE'!F42:H42)</f>
        <v>0</v>
      </c>
      <c r="D41" s="169">
        <f>SUM('TRANSFERENCIA CORRIENTE'!I42:K42)</f>
        <v>0</v>
      </c>
      <c r="E41" s="169">
        <f>SUM('TRANSFERENCIA CORRIENTE'!L42:N42)</f>
        <v>0</v>
      </c>
      <c r="F41" s="411"/>
      <c r="G41" s="169">
        <f>SUM(VS!C42:E42)</f>
        <v>0</v>
      </c>
      <c r="H41" s="169">
        <f>SUM(VS!F42:H42)</f>
        <v>0</v>
      </c>
      <c r="I41" s="169">
        <f>SUM(VS!I42:K42)</f>
        <v>0</v>
      </c>
      <c r="J41" s="170">
        <f>SUM(VS!L42:N42)</f>
        <v>0</v>
      </c>
      <c r="K41" s="411"/>
      <c r="L41" s="171">
        <f t="shared" ref="L41:O56" si="14">SUM(B41+G41)</f>
        <v>0</v>
      </c>
      <c r="M41" s="171">
        <f t="shared" si="14"/>
        <v>0</v>
      </c>
      <c r="N41" s="171">
        <f t="shared" si="14"/>
        <v>0</v>
      </c>
      <c r="O41" s="171">
        <f t="shared" si="14"/>
        <v>0</v>
      </c>
    </row>
    <row r="42" spans="1:15" x14ac:dyDescent="0.25">
      <c r="A42" s="158" t="s">
        <v>500</v>
      </c>
      <c r="B42" s="167">
        <f>SUM(B43:B49)</f>
        <v>0</v>
      </c>
      <c r="C42" s="167">
        <f t="shared" ref="C42:E42" si="15">SUM(C43:C49)</f>
        <v>0</v>
      </c>
      <c r="D42" s="167">
        <f t="shared" si="15"/>
        <v>0</v>
      </c>
      <c r="E42" s="167">
        <f t="shared" si="15"/>
        <v>0</v>
      </c>
      <c r="F42" s="411"/>
      <c r="G42" s="167">
        <f>SUM(G43:G49)</f>
        <v>0</v>
      </c>
      <c r="H42" s="167">
        <f t="shared" ref="H42:J42" si="16">SUM(H43:H49)</f>
        <v>0</v>
      </c>
      <c r="I42" s="167">
        <f t="shared" si="16"/>
        <v>0</v>
      </c>
      <c r="J42" s="167">
        <f t="shared" si="16"/>
        <v>0</v>
      </c>
      <c r="K42" s="411"/>
      <c r="L42" s="168">
        <f>SUM(B42+G42)</f>
        <v>0</v>
      </c>
      <c r="M42" s="168">
        <f t="shared" si="14"/>
        <v>0</v>
      </c>
      <c r="N42" s="168">
        <f>SUM(D42+I42)</f>
        <v>0</v>
      </c>
      <c r="O42" s="168">
        <f>SUM(E42+J42)</f>
        <v>0</v>
      </c>
    </row>
    <row r="43" spans="1:15" x14ac:dyDescent="0.25">
      <c r="A43" s="152" t="s">
        <v>499</v>
      </c>
      <c r="B43" s="169">
        <f>SUM('TRANSFERENCIA CORRIENTE'!C44:E44)</f>
        <v>0</v>
      </c>
      <c r="C43" s="169">
        <f>SUM('TRANSFERENCIA CORRIENTE'!F44:H44)</f>
        <v>0</v>
      </c>
      <c r="D43" s="169">
        <f>SUM('TRANSFERENCIA CORRIENTE'!I44:K44)</f>
        <v>0</v>
      </c>
      <c r="E43" s="169">
        <f>SUM('TRANSFERENCIA CORRIENTE'!L44:N44)</f>
        <v>0</v>
      </c>
      <c r="F43" s="411"/>
      <c r="G43" s="169">
        <f>SUM(VS!C44:E44)</f>
        <v>0</v>
      </c>
      <c r="H43" s="169">
        <f>SUM(VS!F44:H44)</f>
        <v>0</v>
      </c>
      <c r="I43" s="169">
        <f>SUM(VS!I44:K44)</f>
        <v>0</v>
      </c>
      <c r="J43" s="170">
        <f>SUM(VS!L44:N44)</f>
        <v>0</v>
      </c>
      <c r="K43" s="411"/>
      <c r="L43" s="171">
        <f t="shared" ref="L43:L49" si="17">SUM(B43+G43)</f>
        <v>0</v>
      </c>
      <c r="M43" s="171">
        <f t="shared" si="14"/>
        <v>0</v>
      </c>
      <c r="N43" s="171">
        <f t="shared" si="14"/>
        <v>0</v>
      </c>
      <c r="O43" s="171">
        <f t="shared" si="14"/>
        <v>0</v>
      </c>
    </row>
    <row r="44" spans="1:15" x14ac:dyDescent="0.25">
      <c r="A44" s="152" t="s">
        <v>498</v>
      </c>
      <c r="B44" s="169">
        <f>SUM('TRANSFERENCIA CORRIENTE'!C45:E45)</f>
        <v>0</v>
      </c>
      <c r="C44" s="169">
        <f>SUM('TRANSFERENCIA CORRIENTE'!F45:H45)</f>
        <v>0</v>
      </c>
      <c r="D44" s="169">
        <f>SUM('TRANSFERENCIA CORRIENTE'!I45:K45)</f>
        <v>0</v>
      </c>
      <c r="E44" s="169">
        <f>SUM('TRANSFERENCIA CORRIENTE'!L45:N45)</f>
        <v>0</v>
      </c>
      <c r="F44" s="411"/>
      <c r="G44" s="169">
        <f>SUM(VS!C45:E45)</f>
        <v>0</v>
      </c>
      <c r="H44" s="169">
        <f>SUM(VS!F45:H45)</f>
        <v>0</v>
      </c>
      <c r="I44" s="169">
        <f>SUM(VS!I45:K45)</f>
        <v>0</v>
      </c>
      <c r="J44" s="170">
        <f>SUM(VS!L45:N45)</f>
        <v>0</v>
      </c>
      <c r="K44" s="411"/>
      <c r="L44" s="171">
        <f t="shared" si="17"/>
        <v>0</v>
      </c>
      <c r="M44" s="171">
        <f t="shared" si="14"/>
        <v>0</v>
      </c>
      <c r="N44" s="171">
        <f t="shared" si="14"/>
        <v>0</v>
      </c>
      <c r="O44" s="171">
        <f t="shared" si="14"/>
        <v>0</v>
      </c>
    </row>
    <row r="45" spans="1:15" x14ac:dyDescent="0.25">
      <c r="A45" s="152" t="s">
        <v>497</v>
      </c>
      <c r="B45" s="169">
        <f>SUM('TRANSFERENCIA CORRIENTE'!C46:E46)</f>
        <v>0</v>
      </c>
      <c r="C45" s="169">
        <f>SUM('TRANSFERENCIA CORRIENTE'!F46:H46)</f>
        <v>0</v>
      </c>
      <c r="D45" s="169">
        <f>SUM('TRANSFERENCIA CORRIENTE'!I46:K46)</f>
        <v>0</v>
      </c>
      <c r="E45" s="169">
        <f>SUM('TRANSFERENCIA CORRIENTE'!L46:N46)</f>
        <v>0</v>
      </c>
      <c r="F45" s="411"/>
      <c r="G45" s="169">
        <f>SUM(VS!C46:E46)</f>
        <v>0</v>
      </c>
      <c r="H45" s="169">
        <f>SUM(VS!F46:H46)</f>
        <v>0</v>
      </c>
      <c r="I45" s="169">
        <f>SUM(VS!I46:K46)</f>
        <v>0</v>
      </c>
      <c r="J45" s="170">
        <f>SUM(VS!L46:N46)</f>
        <v>0</v>
      </c>
      <c r="K45" s="411"/>
      <c r="L45" s="171">
        <f t="shared" si="17"/>
        <v>0</v>
      </c>
      <c r="M45" s="171">
        <f t="shared" si="14"/>
        <v>0</v>
      </c>
      <c r="N45" s="171">
        <f t="shared" si="14"/>
        <v>0</v>
      </c>
      <c r="O45" s="171">
        <f t="shared" si="14"/>
        <v>0</v>
      </c>
    </row>
    <row r="46" spans="1:15" x14ac:dyDescent="0.25">
      <c r="A46" s="152" t="s">
        <v>496</v>
      </c>
      <c r="B46" s="169">
        <f>SUM('TRANSFERENCIA CORRIENTE'!C47:E47)</f>
        <v>0</v>
      </c>
      <c r="C46" s="169">
        <f>SUM('TRANSFERENCIA CORRIENTE'!F47:H47)</f>
        <v>0</v>
      </c>
      <c r="D46" s="169">
        <f>SUM('TRANSFERENCIA CORRIENTE'!I47:K47)</f>
        <v>0</v>
      </c>
      <c r="E46" s="169">
        <f>SUM('TRANSFERENCIA CORRIENTE'!L47:N47)</f>
        <v>0</v>
      </c>
      <c r="F46" s="411"/>
      <c r="G46" s="169">
        <f>SUM(VS!C47:E47)</f>
        <v>0</v>
      </c>
      <c r="H46" s="169">
        <f>SUM(VS!F47:H47)</f>
        <v>0</v>
      </c>
      <c r="I46" s="169">
        <f>SUM(VS!I47:K47)</f>
        <v>0</v>
      </c>
      <c r="J46" s="170">
        <f>SUM(VS!L47:N47)</f>
        <v>0</v>
      </c>
      <c r="K46" s="411"/>
      <c r="L46" s="171">
        <f t="shared" si="17"/>
        <v>0</v>
      </c>
      <c r="M46" s="171">
        <f t="shared" si="14"/>
        <v>0</v>
      </c>
      <c r="N46" s="171">
        <f t="shared" si="14"/>
        <v>0</v>
      </c>
      <c r="O46" s="171">
        <f t="shared" si="14"/>
        <v>0</v>
      </c>
    </row>
    <row r="47" spans="1:15" x14ac:dyDescent="0.25">
      <c r="A47" s="152" t="s">
        <v>495</v>
      </c>
      <c r="B47" s="169">
        <f>SUM('TRANSFERENCIA CORRIENTE'!C48:E48)</f>
        <v>0</v>
      </c>
      <c r="C47" s="169">
        <f>SUM('TRANSFERENCIA CORRIENTE'!F48:H48)</f>
        <v>0</v>
      </c>
      <c r="D47" s="169">
        <f>SUM('TRANSFERENCIA CORRIENTE'!I48:K48)</f>
        <v>0</v>
      </c>
      <c r="E47" s="169">
        <f>SUM('TRANSFERENCIA CORRIENTE'!L48:N48)</f>
        <v>0</v>
      </c>
      <c r="F47" s="411"/>
      <c r="G47" s="169">
        <f>SUM(VS!C48:E48)</f>
        <v>0</v>
      </c>
      <c r="H47" s="169">
        <f>SUM(VS!F48:H48)</f>
        <v>0</v>
      </c>
      <c r="I47" s="169">
        <f>SUM(VS!I48:K48)</f>
        <v>0</v>
      </c>
      <c r="J47" s="170">
        <f>SUM(VS!L48:N48)</f>
        <v>0</v>
      </c>
      <c r="K47" s="411"/>
      <c r="L47" s="171">
        <f t="shared" si="17"/>
        <v>0</v>
      </c>
      <c r="M47" s="171">
        <f t="shared" si="14"/>
        <v>0</v>
      </c>
      <c r="N47" s="171">
        <f t="shared" si="14"/>
        <v>0</v>
      </c>
      <c r="O47" s="171">
        <f t="shared" si="14"/>
        <v>0</v>
      </c>
    </row>
    <row r="48" spans="1:15" x14ac:dyDescent="0.25">
      <c r="A48" s="152" t="s">
        <v>494</v>
      </c>
      <c r="B48" s="169">
        <f>SUM('TRANSFERENCIA CORRIENTE'!C49:E49)</f>
        <v>0</v>
      </c>
      <c r="C48" s="169">
        <f>SUM('TRANSFERENCIA CORRIENTE'!F49:H49)</f>
        <v>0</v>
      </c>
      <c r="D48" s="169">
        <f>SUM('TRANSFERENCIA CORRIENTE'!I49:K49)</f>
        <v>0</v>
      </c>
      <c r="E48" s="169">
        <f>SUM('TRANSFERENCIA CORRIENTE'!L49:N49)</f>
        <v>0</v>
      </c>
      <c r="F48" s="411"/>
      <c r="G48" s="169">
        <f>SUM(VS!C49:E49)</f>
        <v>0</v>
      </c>
      <c r="H48" s="169">
        <f>SUM(VS!F49:H49)</f>
        <v>0</v>
      </c>
      <c r="I48" s="169">
        <f>SUM(VS!I49:K49)</f>
        <v>0</v>
      </c>
      <c r="J48" s="170">
        <f>SUM(VS!L49:N49)</f>
        <v>0</v>
      </c>
      <c r="K48" s="411"/>
      <c r="L48" s="171">
        <f t="shared" si="17"/>
        <v>0</v>
      </c>
      <c r="M48" s="171">
        <f t="shared" si="14"/>
        <v>0</v>
      </c>
      <c r="N48" s="171">
        <f t="shared" si="14"/>
        <v>0</v>
      </c>
      <c r="O48" s="171">
        <f t="shared" si="14"/>
        <v>0</v>
      </c>
    </row>
    <row r="49" spans="1:15" x14ac:dyDescent="0.25">
      <c r="A49" s="152" t="s">
        <v>493</v>
      </c>
      <c r="B49" s="169">
        <f>SUM('TRANSFERENCIA CORRIENTE'!C50:E50)</f>
        <v>0</v>
      </c>
      <c r="C49" s="169">
        <f>SUM('TRANSFERENCIA CORRIENTE'!F50:H50)</f>
        <v>0</v>
      </c>
      <c r="D49" s="169">
        <f>SUM('TRANSFERENCIA CORRIENTE'!I50:K50)</f>
        <v>0</v>
      </c>
      <c r="E49" s="169">
        <f>SUM('TRANSFERENCIA CORRIENTE'!L50:N50)</f>
        <v>0</v>
      </c>
      <c r="F49" s="411"/>
      <c r="G49" s="169">
        <f>SUM(VS!C50:E50)</f>
        <v>0</v>
      </c>
      <c r="H49" s="169">
        <f>SUM(VS!F50:H50)</f>
        <v>0</v>
      </c>
      <c r="I49" s="169">
        <f>SUM(VS!I50:K50)</f>
        <v>0</v>
      </c>
      <c r="J49" s="170">
        <f>SUM(VS!L50:N50)</f>
        <v>0</v>
      </c>
      <c r="K49" s="411"/>
      <c r="L49" s="171">
        <f t="shared" si="17"/>
        <v>0</v>
      </c>
      <c r="M49" s="171">
        <f t="shared" si="14"/>
        <v>0</v>
      </c>
      <c r="N49" s="171">
        <f t="shared" si="14"/>
        <v>0</v>
      </c>
      <c r="O49" s="171">
        <f t="shared" si="14"/>
        <v>0</v>
      </c>
    </row>
    <row r="50" spans="1:15" s="172" customFormat="1" x14ac:dyDescent="0.25">
      <c r="A50" s="158" t="s">
        <v>492</v>
      </c>
      <c r="B50" s="167">
        <f>SUM(B51:B59)</f>
        <v>17857866.620000001</v>
      </c>
      <c r="C50" s="167">
        <f t="shared" ref="C50:E50" si="18">SUM(C51:C59)</f>
        <v>14943854.869999999</v>
      </c>
      <c r="D50" s="167">
        <f t="shared" si="18"/>
        <v>25711104.620000001</v>
      </c>
      <c r="E50" s="167">
        <f t="shared" si="18"/>
        <v>0</v>
      </c>
      <c r="F50" s="411"/>
      <c r="G50" s="167">
        <f t="shared" ref="G50:J50" si="19">SUM(G51:G59)</f>
        <v>5076044.21</v>
      </c>
      <c r="H50" s="167">
        <f t="shared" si="19"/>
        <v>5383431.1500000004</v>
      </c>
      <c r="I50" s="167">
        <f t="shared" si="19"/>
        <v>5370952.4399999995</v>
      </c>
      <c r="J50" s="167">
        <f t="shared" si="19"/>
        <v>0</v>
      </c>
      <c r="K50" s="411"/>
      <c r="L50" s="168">
        <f>SUM(B50+G50)</f>
        <v>22933910.830000002</v>
      </c>
      <c r="M50" s="168">
        <f t="shared" si="14"/>
        <v>20327286.02</v>
      </c>
      <c r="N50" s="168">
        <f t="shared" si="14"/>
        <v>31082057.060000002</v>
      </c>
      <c r="O50" s="168">
        <f t="shared" si="14"/>
        <v>0</v>
      </c>
    </row>
    <row r="51" spans="1:15" x14ac:dyDescent="0.25">
      <c r="A51" s="152" t="s">
        <v>491</v>
      </c>
      <c r="B51" s="169">
        <f>SUM('TRANSFERENCIA CORRIENTE'!C52:E52)</f>
        <v>1110625.8599999999</v>
      </c>
      <c r="C51" s="169">
        <f>SUM('TRANSFERENCIA CORRIENTE'!F52:H52)</f>
        <v>3586435.0700000003</v>
      </c>
      <c r="D51" s="169">
        <f>SUM('TRANSFERENCIA CORRIENTE'!I52:K52)</f>
        <v>6119237.2999999998</v>
      </c>
      <c r="E51" s="169">
        <f>SUM('TRANSFERENCIA CORRIENTE'!L52:N52)</f>
        <v>0</v>
      </c>
      <c r="F51" s="411"/>
      <c r="G51" s="169">
        <f>SUM(VS!C52:E52)</f>
        <v>0</v>
      </c>
      <c r="H51" s="169">
        <f>SUM(VS!F52:H52)</f>
        <v>7995.01</v>
      </c>
      <c r="I51" s="169">
        <f>SUM(VS!I52:K52)</f>
        <v>2929997.9699999997</v>
      </c>
      <c r="J51" s="170">
        <f>SUM(VS!L52:N52)</f>
        <v>0</v>
      </c>
      <c r="K51" s="411"/>
      <c r="L51" s="171">
        <f t="shared" ref="L51:O66" si="20">SUM(B51+G51)</f>
        <v>1110625.8599999999</v>
      </c>
      <c r="M51" s="171">
        <f t="shared" si="14"/>
        <v>3594430.08</v>
      </c>
      <c r="N51" s="171">
        <f t="shared" si="14"/>
        <v>9049235.2699999996</v>
      </c>
      <c r="O51" s="171">
        <f t="shared" si="14"/>
        <v>0</v>
      </c>
    </row>
    <row r="52" spans="1:15" x14ac:dyDescent="0.25">
      <c r="A52" s="152" t="s">
        <v>490</v>
      </c>
      <c r="B52" s="169">
        <f>SUM('TRANSFERENCIA CORRIENTE'!C53:E53)</f>
        <v>0</v>
      </c>
      <c r="C52" s="169">
        <f>SUM('TRANSFERENCIA CORRIENTE'!F53:H53)</f>
        <v>182926.74</v>
      </c>
      <c r="D52" s="169">
        <f>SUM('TRANSFERENCIA CORRIENTE'!I53:K53)</f>
        <v>0</v>
      </c>
      <c r="E52" s="169">
        <f>SUM('TRANSFERENCIA CORRIENTE'!L53:N53)</f>
        <v>0</v>
      </c>
      <c r="F52" s="411"/>
      <c r="G52" s="169">
        <f>SUM(VS!C53:E53)</f>
        <v>0</v>
      </c>
      <c r="H52" s="169">
        <f>SUM(VS!F53:H53)</f>
        <v>1399834</v>
      </c>
      <c r="I52" s="169">
        <f>SUM(VS!I53:K53)</f>
        <v>389046</v>
      </c>
      <c r="J52" s="170">
        <f>SUM(VS!L53:N53)</f>
        <v>0</v>
      </c>
      <c r="K52" s="411"/>
      <c r="L52" s="171">
        <f t="shared" si="20"/>
        <v>0</v>
      </c>
      <c r="M52" s="171">
        <f t="shared" si="14"/>
        <v>1582760.74</v>
      </c>
      <c r="N52" s="171">
        <f t="shared" si="14"/>
        <v>389046</v>
      </c>
      <c r="O52" s="171">
        <f t="shared" si="14"/>
        <v>0</v>
      </c>
    </row>
    <row r="53" spans="1:15" x14ac:dyDescent="0.25">
      <c r="A53" s="152" t="s">
        <v>489</v>
      </c>
      <c r="B53" s="169">
        <f>SUM('TRANSFERENCIA CORRIENTE'!C54:E54)</f>
        <v>16744040.790000001</v>
      </c>
      <c r="C53" s="169">
        <f>SUM('TRANSFERENCIA CORRIENTE'!F54:H54)</f>
        <v>6663622.5700000003</v>
      </c>
      <c r="D53" s="169">
        <f>SUM('TRANSFERENCIA CORRIENTE'!I54:K54)</f>
        <v>10518535.07</v>
      </c>
      <c r="E53" s="169">
        <f>SUM('TRANSFERENCIA CORRIENTE'!L54:N54)</f>
        <v>0</v>
      </c>
      <c r="F53" s="411"/>
      <c r="G53" s="169">
        <f>SUM(VS!C54:E54)</f>
        <v>2963024.84</v>
      </c>
      <c r="H53" s="169">
        <f>SUM(VS!F54:H54)</f>
        <v>3975602.14</v>
      </c>
      <c r="I53" s="169">
        <f>SUM(VS!I54:K54)</f>
        <v>1710444.46</v>
      </c>
      <c r="J53" s="170">
        <f>SUM(VS!L54:N54)</f>
        <v>0</v>
      </c>
      <c r="K53" s="411"/>
      <c r="L53" s="171">
        <f t="shared" si="20"/>
        <v>19707065.630000003</v>
      </c>
      <c r="M53" s="171">
        <f t="shared" si="14"/>
        <v>10639224.710000001</v>
      </c>
      <c r="N53" s="171">
        <f t="shared" si="14"/>
        <v>12228979.530000001</v>
      </c>
      <c r="O53" s="171">
        <f t="shared" si="14"/>
        <v>0</v>
      </c>
    </row>
    <row r="54" spans="1:15" x14ac:dyDescent="0.25">
      <c r="A54" s="152" t="s">
        <v>488</v>
      </c>
      <c r="B54" s="169">
        <f>SUM('TRANSFERENCIA CORRIENTE'!C55:E55)</f>
        <v>0</v>
      </c>
      <c r="C54" s="169">
        <f>SUM('TRANSFERENCIA CORRIENTE'!F55:H55)</f>
        <v>0</v>
      </c>
      <c r="D54" s="169">
        <f>SUM('TRANSFERENCIA CORRIENTE'!I55:K55)</f>
        <v>0</v>
      </c>
      <c r="E54" s="169">
        <f>SUM('TRANSFERENCIA CORRIENTE'!L55:N55)</f>
        <v>0</v>
      </c>
      <c r="F54" s="411"/>
      <c r="G54" s="169">
        <f>SUM(VS!C55:E55)</f>
        <v>107609.37</v>
      </c>
      <c r="H54" s="169">
        <f>SUM(VS!F55:H55)</f>
        <v>0</v>
      </c>
      <c r="I54" s="169">
        <f>SUM(VS!I55:K55)</f>
        <v>0</v>
      </c>
      <c r="J54" s="170">
        <f>SUM(VS!L55:N55)</f>
        <v>0</v>
      </c>
      <c r="K54" s="411"/>
      <c r="L54" s="171">
        <f t="shared" si="20"/>
        <v>107609.37</v>
      </c>
      <c r="M54" s="171">
        <f t="shared" si="14"/>
        <v>0</v>
      </c>
      <c r="N54" s="171">
        <f t="shared" si="14"/>
        <v>0</v>
      </c>
      <c r="O54" s="171">
        <f t="shared" si="14"/>
        <v>0</v>
      </c>
    </row>
    <row r="55" spans="1:15" x14ac:dyDescent="0.25">
      <c r="A55" s="152" t="s">
        <v>487</v>
      </c>
      <c r="B55" s="169">
        <f>SUM('TRANSFERENCIA CORRIENTE'!C56:E56)</f>
        <v>3199.97</v>
      </c>
      <c r="C55" s="169">
        <f>SUM('TRANSFERENCIA CORRIENTE'!F56:H56)</f>
        <v>4165309.55</v>
      </c>
      <c r="D55" s="169">
        <f>SUM('TRANSFERENCIA CORRIENTE'!I56:K56)</f>
        <v>9007252.25</v>
      </c>
      <c r="E55" s="169">
        <f>SUM('TRANSFERENCIA CORRIENTE'!L56:N56)</f>
        <v>0</v>
      </c>
      <c r="F55" s="411"/>
      <c r="G55" s="169">
        <f>SUM(VS!C56:E56)</f>
        <v>2005410</v>
      </c>
      <c r="H55" s="169">
        <f>SUM(VS!F56:H56)</f>
        <v>0</v>
      </c>
      <c r="I55" s="169">
        <f>SUM(VS!I56:K56)</f>
        <v>282700.01</v>
      </c>
      <c r="J55" s="170">
        <f>SUM(VS!L56:N56)</f>
        <v>0</v>
      </c>
      <c r="K55" s="411"/>
      <c r="L55" s="171">
        <f t="shared" si="20"/>
        <v>2008609.97</v>
      </c>
      <c r="M55" s="171">
        <f t="shared" si="14"/>
        <v>4165309.55</v>
      </c>
      <c r="N55" s="171">
        <f t="shared" si="14"/>
        <v>9289952.2599999998</v>
      </c>
      <c r="O55" s="171">
        <f t="shared" si="14"/>
        <v>0</v>
      </c>
    </row>
    <row r="56" spans="1:15" x14ac:dyDescent="0.25">
      <c r="A56" s="152" t="s">
        <v>486</v>
      </c>
      <c r="B56" s="169">
        <f>SUM('TRANSFERENCIA CORRIENTE'!C57:E57)</f>
        <v>0</v>
      </c>
      <c r="C56" s="169">
        <f>SUM('TRANSFERENCIA CORRIENTE'!F57:H57)</f>
        <v>0</v>
      </c>
      <c r="D56" s="169">
        <f>SUM('TRANSFERENCIA CORRIENTE'!I57:K57)</f>
        <v>66080</v>
      </c>
      <c r="E56" s="169">
        <f>SUM('TRANSFERENCIA CORRIENTE'!L57:N57)</f>
        <v>0</v>
      </c>
      <c r="F56" s="411"/>
      <c r="G56" s="169">
        <f>SUM(VS!C57:E57)</f>
        <v>0</v>
      </c>
      <c r="H56" s="169">
        <f>SUM(VS!F57:H57)</f>
        <v>0</v>
      </c>
      <c r="I56" s="169">
        <f>SUM(VS!I57:K57)</f>
        <v>58764</v>
      </c>
      <c r="J56" s="170">
        <f>SUM(VS!L57:N57)</f>
        <v>0</v>
      </c>
      <c r="K56" s="411"/>
      <c r="L56" s="171">
        <f t="shared" si="20"/>
        <v>0</v>
      </c>
      <c r="M56" s="171">
        <f t="shared" si="14"/>
        <v>0</v>
      </c>
      <c r="N56" s="171">
        <f t="shared" si="14"/>
        <v>124844</v>
      </c>
      <c r="O56" s="171">
        <f t="shared" si="14"/>
        <v>0</v>
      </c>
    </row>
    <row r="57" spans="1:15" x14ac:dyDescent="0.25">
      <c r="A57" s="152" t="s">
        <v>485</v>
      </c>
      <c r="B57" s="169">
        <f>SUM('TRANSFERENCIA CORRIENTE'!C58:E58)</f>
        <v>0</v>
      </c>
      <c r="C57" s="169">
        <f>SUM('TRANSFERENCIA CORRIENTE'!F58:H58)</f>
        <v>0</v>
      </c>
      <c r="D57" s="169">
        <f>SUM('TRANSFERENCIA CORRIENTE'!I58:K58)</f>
        <v>0</v>
      </c>
      <c r="E57" s="169">
        <f>SUM('TRANSFERENCIA CORRIENTE'!L58:N58)</f>
        <v>0</v>
      </c>
      <c r="F57" s="411"/>
      <c r="G57" s="169">
        <f>SUM(VS!C58:E58)</f>
        <v>0</v>
      </c>
      <c r="H57" s="169">
        <f>SUM(VS!F58:H58)</f>
        <v>0</v>
      </c>
      <c r="I57" s="169">
        <f>SUM(VS!I58:K58)</f>
        <v>0</v>
      </c>
      <c r="J57" s="170">
        <f>SUM(VS!L58:N58)</f>
        <v>0</v>
      </c>
      <c r="K57" s="411"/>
      <c r="L57" s="171">
        <f t="shared" si="20"/>
        <v>0</v>
      </c>
      <c r="M57" s="171">
        <f t="shared" si="20"/>
        <v>0</v>
      </c>
      <c r="N57" s="171">
        <f t="shared" si="20"/>
        <v>0</v>
      </c>
      <c r="O57" s="171">
        <f t="shared" si="20"/>
        <v>0</v>
      </c>
    </row>
    <row r="58" spans="1:15" x14ac:dyDescent="0.25">
      <c r="A58" s="152" t="s">
        <v>484</v>
      </c>
      <c r="B58" s="169">
        <f>SUM('TRANSFERENCIA CORRIENTE'!C59:E59)</f>
        <v>0</v>
      </c>
      <c r="C58" s="169">
        <f>SUM('TRANSFERENCIA CORRIENTE'!F59:H59)</f>
        <v>0</v>
      </c>
      <c r="D58" s="169">
        <f>SUM('TRANSFERENCIA CORRIENTE'!I59:K59)</f>
        <v>0</v>
      </c>
      <c r="E58" s="169">
        <f>SUM('TRANSFERENCIA CORRIENTE'!L59:N59)</f>
        <v>0</v>
      </c>
      <c r="F58" s="411"/>
      <c r="G58" s="169">
        <f>SUM(VS!C59:E59)</f>
        <v>0</v>
      </c>
      <c r="H58" s="169">
        <f>SUM(VS!F59:H59)</f>
        <v>0</v>
      </c>
      <c r="I58" s="169">
        <f>SUM(VS!I59:K59)</f>
        <v>0</v>
      </c>
      <c r="J58" s="170">
        <f>SUM(VS!L59:N59)</f>
        <v>0</v>
      </c>
      <c r="K58" s="411"/>
      <c r="L58" s="171">
        <f t="shared" si="20"/>
        <v>0</v>
      </c>
      <c r="M58" s="171">
        <f t="shared" si="20"/>
        <v>0</v>
      </c>
      <c r="N58" s="171">
        <f t="shared" si="20"/>
        <v>0</v>
      </c>
      <c r="O58" s="171">
        <f t="shared" si="20"/>
        <v>0</v>
      </c>
    </row>
    <row r="59" spans="1:15" x14ac:dyDescent="0.25">
      <c r="A59" s="152" t="s">
        <v>483</v>
      </c>
      <c r="B59" s="169">
        <f>SUM('TRANSFERENCIA CORRIENTE'!C60:E60)</f>
        <v>0</v>
      </c>
      <c r="C59" s="169">
        <f>SUM('TRANSFERENCIA CORRIENTE'!F60:H60)</f>
        <v>345560.94</v>
      </c>
      <c r="D59" s="169">
        <f>SUM('TRANSFERENCIA CORRIENTE'!I60:K60)</f>
        <v>0</v>
      </c>
      <c r="E59" s="169">
        <f>SUM('TRANSFERENCIA CORRIENTE'!L60:N60)</f>
        <v>0</v>
      </c>
      <c r="F59" s="411"/>
      <c r="G59" s="169">
        <f>SUM(VS!C60:E60)</f>
        <v>0</v>
      </c>
      <c r="H59" s="169">
        <f>SUM(VS!F60:H60)</f>
        <v>0</v>
      </c>
      <c r="I59" s="169">
        <f>SUM(VS!I60:K60)</f>
        <v>0</v>
      </c>
      <c r="J59" s="170">
        <f>SUM(VS!L60:N60)</f>
        <v>0</v>
      </c>
      <c r="K59" s="411"/>
      <c r="L59" s="171">
        <f t="shared" si="20"/>
        <v>0</v>
      </c>
      <c r="M59" s="171">
        <f t="shared" si="20"/>
        <v>345560.94</v>
      </c>
      <c r="N59" s="171">
        <f t="shared" si="20"/>
        <v>0</v>
      </c>
      <c r="O59" s="171">
        <f t="shared" si="20"/>
        <v>0</v>
      </c>
    </row>
    <row r="60" spans="1:15" s="172" customFormat="1" x14ac:dyDescent="0.25">
      <c r="A60" s="158" t="s">
        <v>482</v>
      </c>
      <c r="B60" s="167">
        <f>SUM(B61:B64)</f>
        <v>0</v>
      </c>
      <c r="C60" s="167">
        <f t="shared" ref="C60:E60" si="21">SUM(C61:C64)</f>
        <v>0</v>
      </c>
      <c r="D60" s="167">
        <f t="shared" si="21"/>
        <v>0</v>
      </c>
      <c r="E60" s="167">
        <f t="shared" si="21"/>
        <v>0</v>
      </c>
      <c r="F60" s="411"/>
      <c r="G60" s="167">
        <f t="shared" ref="G60:J60" si="22">SUM(G61:G64)</f>
        <v>0</v>
      </c>
      <c r="H60" s="167">
        <f t="shared" si="22"/>
        <v>0</v>
      </c>
      <c r="I60" s="167">
        <f t="shared" si="22"/>
        <v>0</v>
      </c>
      <c r="J60" s="167">
        <f t="shared" si="22"/>
        <v>0</v>
      </c>
      <c r="K60" s="411"/>
      <c r="L60" s="173">
        <f>SUM(B60+G60)</f>
        <v>0</v>
      </c>
      <c r="M60" s="173">
        <f t="shared" si="20"/>
        <v>0</v>
      </c>
      <c r="N60" s="173">
        <f t="shared" si="20"/>
        <v>0</v>
      </c>
      <c r="O60" s="173">
        <f t="shared" si="20"/>
        <v>0</v>
      </c>
    </row>
    <row r="61" spans="1:15" x14ac:dyDescent="0.25">
      <c r="A61" s="152" t="s">
        <v>481</v>
      </c>
      <c r="B61" s="169">
        <f>SUM('TRANSFERENCIA CORRIENTE'!C62:E62)</f>
        <v>0</v>
      </c>
      <c r="C61" s="169">
        <f>SUM('TRANSFERENCIA CORRIENTE'!F62:H62)</f>
        <v>0</v>
      </c>
      <c r="D61" s="169">
        <f>SUM('TRANSFERENCIA CORRIENTE'!I62:K62)</f>
        <v>0</v>
      </c>
      <c r="E61" s="169">
        <f>SUM('TRANSFERENCIA CORRIENTE'!L62:N62)</f>
        <v>0</v>
      </c>
      <c r="F61" s="411"/>
      <c r="G61" s="169">
        <f>SUM(VS!C62:E62)</f>
        <v>0</v>
      </c>
      <c r="H61" s="169">
        <f>SUM(VS!F62:H62)</f>
        <v>0</v>
      </c>
      <c r="I61" s="169">
        <f>SUM(VS!I62:K62)</f>
        <v>0</v>
      </c>
      <c r="J61" s="170">
        <f>SUM(VS!L62:N62)</f>
        <v>0</v>
      </c>
      <c r="K61" s="411"/>
      <c r="L61" s="171">
        <f t="shared" ref="L61:L64" si="23">SUM(B61+G61)</f>
        <v>0</v>
      </c>
      <c r="M61" s="171">
        <f t="shared" si="20"/>
        <v>0</v>
      </c>
      <c r="N61" s="171">
        <f t="shared" si="20"/>
        <v>0</v>
      </c>
      <c r="O61" s="171">
        <f t="shared" si="20"/>
        <v>0</v>
      </c>
    </row>
    <row r="62" spans="1:15" x14ac:dyDescent="0.25">
      <c r="A62" s="152" t="s">
        <v>480</v>
      </c>
      <c r="B62" s="169">
        <f>SUM('TRANSFERENCIA CORRIENTE'!C63:E63)</f>
        <v>0</v>
      </c>
      <c r="C62" s="169">
        <f>SUM('TRANSFERENCIA CORRIENTE'!F63:H63)</f>
        <v>0</v>
      </c>
      <c r="D62" s="169">
        <f>SUM('TRANSFERENCIA CORRIENTE'!I63:K63)</f>
        <v>0</v>
      </c>
      <c r="E62" s="169">
        <f>SUM('TRANSFERENCIA CORRIENTE'!L63:N63)</f>
        <v>0</v>
      </c>
      <c r="F62" s="411"/>
      <c r="G62" s="169">
        <f>SUM(VS!C63:E63)</f>
        <v>0</v>
      </c>
      <c r="H62" s="169">
        <f>SUM(VS!F63:H63)</f>
        <v>0</v>
      </c>
      <c r="I62" s="169">
        <f>SUM(VS!I63:K63)</f>
        <v>0</v>
      </c>
      <c r="J62" s="170">
        <f>SUM(VS!L63:N63)</f>
        <v>0</v>
      </c>
      <c r="K62" s="411"/>
      <c r="L62" s="171">
        <f t="shared" si="23"/>
        <v>0</v>
      </c>
      <c r="M62" s="171">
        <f t="shared" si="20"/>
        <v>0</v>
      </c>
      <c r="N62" s="171">
        <f t="shared" si="20"/>
        <v>0</v>
      </c>
      <c r="O62" s="171">
        <f t="shared" si="20"/>
        <v>0</v>
      </c>
    </row>
    <row r="63" spans="1:15" x14ac:dyDescent="0.25">
      <c r="A63" s="152" t="s">
        <v>479</v>
      </c>
      <c r="B63" s="169">
        <f>SUM('TRANSFERENCIA CORRIENTE'!C64:E64)</f>
        <v>0</v>
      </c>
      <c r="C63" s="169">
        <f>SUM('TRANSFERENCIA CORRIENTE'!F64:H64)</f>
        <v>0</v>
      </c>
      <c r="D63" s="169">
        <f>SUM('TRANSFERENCIA CORRIENTE'!I64:K64)</f>
        <v>0</v>
      </c>
      <c r="E63" s="169">
        <f>SUM('TRANSFERENCIA CORRIENTE'!L64:N64)</f>
        <v>0</v>
      </c>
      <c r="F63" s="411"/>
      <c r="G63" s="169">
        <f>SUM(VS!C64:E64)</f>
        <v>0</v>
      </c>
      <c r="H63" s="169">
        <f>SUM(VS!F64:H64)</f>
        <v>0</v>
      </c>
      <c r="I63" s="169">
        <f>SUM(VS!I64:K64)</f>
        <v>0</v>
      </c>
      <c r="J63" s="170">
        <f>SUM(VS!L64:N64)</f>
        <v>0</v>
      </c>
      <c r="K63" s="411"/>
      <c r="L63" s="171">
        <f t="shared" si="23"/>
        <v>0</v>
      </c>
      <c r="M63" s="171">
        <f t="shared" si="20"/>
        <v>0</v>
      </c>
      <c r="N63" s="171">
        <f t="shared" si="20"/>
        <v>0</v>
      </c>
      <c r="O63" s="171">
        <f t="shared" si="20"/>
        <v>0</v>
      </c>
    </row>
    <row r="64" spans="1:15" ht="30" x14ac:dyDescent="0.25">
      <c r="A64" s="152" t="s">
        <v>478</v>
      </c>
      <c r="B64" s="169">
        <f>SUM('TRANSFERENCIA CORRIENTE'!C65:E65)</f>
        <v>0</v>
      </c>
      <c r="C64" s="169">
        <f>SUM('TRANSFERENCIA CORRIENTE'!F65:H65)</f>
        <v>0</v>
      </c>
      <c r="D64" s="169">
        <f>SUM('TRANSFERENCIA CORRIENTE'!I65:K65)</f>
        <v>0</v>
      </c>
      <c r="E64" s="169">
        <f>SUM('TRANSFERENCIA CORRIENTE'!L65:N65)</f>
        <v>0</v>
      </c>
      <c r="F64" s="411"/>
      <c r="G64" s="169">
        <f>SUM(VS!C65:E65)</f>
        <v>0</v>
      </c>
      <c r="H64" s="169">
        <f>SUM(VS!F65:H65)</f>
        <v>0</v>
      </c>
      <c r="I64" s="169">
        <f>SUM(VS!I65:K65)</f>
        <v>0</v>
      </c>
      <c r="J64" s="170">
        <f>SUM(VS!L65:N65)</f>
        <v>0</v>
      </c>
      <c r="K64" s="411"/>
      <c r="L64" s="171">
        <f t="shared" si="23"/>
        <v>0</v>
      </c>
      <c r="M64" s="171">
        <f t="shared" si="20"/>
        <v>0</v>
      </c>
      <c r="N64" s="171">
        <f t="shared" si="20"/>
        <v>0</v>
      </c>
      <c r="O64" s="171">
        <f t="shared" si="20"/>
        <v>0</v>
      </c>
    </row>
    <row r="65" spans="1:15" s="172" customFormat="1" x14ac:dyDescent="0.25">
      <c r="A65" s="158" t="s">
        <v>477</v>
      </c>
      <c r="B65" s="167">
        <f>SUM(B66:B67)</f>
        <v>0</v>
      </c>
      <c r="C65" s="167">
        <f t="shared" ref="C65:E65" si="24">SUM(C66:C67)</f>
        <v>0</v>
      </c>
      <c r="D65" s="167">
        <f t="shared" si="24"/>
        <v>0</v>
      </c>
      <c r="E65" s="167">
        <f t="shared" si="24"/>
        <v>0</v>
      </c>
      <c r="F65" s="411"/>
      <c r="G65" s="167">
        <f t="shared" ref="G65:J65" si="25">SUM(G66:G67)</f>
        <v>0</v>
      </c>
      <c r="H65" s="167">
        <f t="shared" si="25"/>
        <v>0</v>
      </c>
      <c r="I65" s="167">
        <f t="shared" si="25"/>
        <v>0</v>
      </c>
      <c r="J65" s="167">
        <f t="shared" si="25"/>
        <v>0</v>
      </c>
      <c r="K65" s="411"/>
      <c r="L65" s="173">
        <f>SUM(B65+G65)</f>
        <v>0</v>
      </c>
      <c r="M65" s="173">
        <f t="shared" si="20"/>
        <v>0</v>
      </c>
      <c r="N65" s="173">
        <f t="shared" si="20"/>
        <v>0</v>
      </c>
      <c r="O65" s="173">
        <f t="shared" si="20"/>
        <v>0</v>
      </c>
    </row>
    <row r="66" spans="1:15" x14ac:dyDescent="0.25">
      <c r="A66" s="152" t="s">
        <v>476</v>
      </c>
      <c r="B66" s="169">
        <f>SUM('TRANSFERENCIA CORRIENTE'!C67:E67)</f>
        <v>0</v>
      </c>
      <c r="C66" s="169">
        <f>SUM('TRANSFERENCIA CORRIENTE'!F67:H67)</f>
        <v>0</v>
      </c>
      <c r="D66" s="169">
        <f>SUM('TRANSFERENCIA CORRIENTE'!I67:K67)</f>
        <v>0</v>
      </c>
      <c r="E66" s="169">
        <f>SUM('TRANSFERENCIA CORRIENTE'!L67:N67)</f>
        <v>0</v>
      </c>
      <c r="F66" s="411"/>
      <c r="G66" s="169">
        <f>SUM(VS!C67:E67)</f>
        <v>0</v>
      </c>
      <c r="H66" s="169">
        <f>SUM(VS!F67:H67)</f>
        <v>0</v>
      </c>
      <c r="I66" s="169">
        <f>SUM(VS!I67:K67)</f>
        <v>0</v>
      </c>
      <c r="J66" s="170">
        <f>SUM(VS!L67:N67)</f>
        <v>0</v>
      </c>
      <c r="K66" s="411"/>
      <c r="L66" s="171">
        <f t="shared" ref="L66:L67" si="26">SUM(B66+G66)</f>
        <v>0</v>
      </c>
      <c r="M66" s="171">
        <f>SUM(C66+H66)</f>
        <v>0</v>
      </c>
      <c r="N66" s="171">
        <f t="shared" si="20"/>
        <v>0</v>
      </c>
      <c r="O66" s="171">
        <f t="shared" si="20"/>
        <v>0</v>
      </c>
    </row>
    <row r="67" spans="1:15" x14ac:dyDescent="0.25">
      <c r="A67" s="152" t="s">
        <v>475</v>
      </c>
      <c r="B67" s="169">
        <f>SUM('TRANSFERENCIA CORRIENTE'!C68:E68)</f>
        <v>0</v>
      </c>
      <c r="C67" s="169">
        <f>SUM('TRANSFERENCIA CORRIENTE'!F68:H68)</f>
        <v>0</v>
      </c>
      <c r="D67" s="169">
        <f>SUM('TRANSFERENCIA CORRIENTE'!I68:K68)</f>
        <v>0</v>
      </c>
      <c r="E67" s="169">
        <f>SUM('TRANSFERENCIA CORRIENTE'!L68:N68)</f>
        <v>0</v>
      </c>
      <c r="F67" s="411"/>
      <c r="G67" s="169">
        <f>SUM(VS!C68:E68)</f>
        <v>0</v>
      </c>
      <c r="H67" s="169">
        <f>SUM(VS!F68:H68)</f>
        <v>0</v>
      </c>
      <c r="I67" s="169">
        <f>SUM(VS!I68:K68)</f>
        <v>0</v>
      </c>
      <c r="J67" s="170">
        <f>SUM(VS!L68:N68)</f>
        <v>0</v>
      </c>
      <c r="K67" s="411"/>
      <c r="L67" s="171">
        <f t="shared" si="26"/>
        <v>0</v>
      </c>
      <c r="M67" s="171">
        <f>SUM(C67+H67)</f>
        <v>0</v>
      </c>
      <c r="N67" s="171">
        <f t="shared" ref="N67:O67" si="27">SUM(D67+I67)</f>
        <v>0</v>
      </c>
      <c r="O67" s="171">
        <f t="shared" si="27"/>
        <v>0</v>
      </c>
    </row>
    <row r="68" spans="1:15" s="172" customFormat="1" x14ac:dyDescent="0.25">
      <c r="A68" s="158" t="s">
        <v>474</v>
      </c>
      <c r="B68" s="167">
        <f>SUM(B69:B71)</f>
        <v>0</v>
      </c>
      <c r="C68" s="167">
        <f t="shared" ref="C68:E68" si="28">SUM(C69:C71)</f>
        <v>0</v>
      </c>
      <c r="D68" s="167">
        <f t="shared" si="28"/>
        <v>0</v>
      </c>
      <c r="E68" s="167">
        <f t="shared" si="28"/>
        <v>0</v>
      </c>
      <c r="F68" s="411"/>
      <c r="G68" s="167">
        <f t="shared" ref="G68:J68" si="29">SUM(G69:G71)</f>
        <v>0</v>
      </c>
      <c r="H68" s="167">
        <f t="shared" si="29"/>
        <v>0</v>
      </c>
      <c r="I68" s="167">
        <f t="shared" si="29"/>
        <v>0</v>
      </c>
      <c r="J68" s="167">
        <f t="shared" si="29"/>
        <v>0</v>
      </c>
      <c r="K68" s="411"/>
      <c r="L68" s="173">
        <f>SUM(B68+G68)</f>
        <v>0</v>
      </c>
      <c r="M68" s="173">
        <f t="shared" ref="M68:O82" si="30">SUM(C68+H68)</f>
        <v>0</v>
      </c>
      <c r="N68" s="173">
        <f t="shared" si="30"/>
        <v>0</v>
      </c>
      <c r="O68" s="173">
        <f t="shared" si="30"/>
        <v>0</v>
      </c>
    </row>
    <row r="69" spans="1:15" x14ac:dyDescent="0.25">
      <c r="A69" s="152" t="s">
        <v>473</v>
      </c>
      <c r="B69" s="169">
        <f>SUM('TRANSFERENCIA CORRIENTE'!C70:E70)</f>
        <v>0</v>
      </c>
      <c r="C69" s="169">
        <f>SUM('TRANSFERENCIA CORRIENTE'!F70:H70)</f>
        <v>0</v>
      </c>
      <c r="D69" s="169">
        <f>SUM('TRANSFERENCIA CORRIENTE'!I70:K70)</f>
        <v>0</v>
      </c>
      <c r="E69" s="169">
        <f>SUM('TRANSFERENCIA CORRIENTE'!L70:N70)</f>
        <v>0</v>
      </c>
      <c r="F69" s="411"/>
      <c r="G69" s="169">
        <f>SUM(VS!C70:E70)</f>
        <v>0</v>
      </c>
      <c r="H69" s="169">
        <f>SUM(VS!F70:H70)</f>
        <v>0</v>
      </c>
      <c r="I69" s="169">
        <f>SUM(VS!I70:K70)</f>
        <v>0</v>
      </c>
      <c r="J69" s="170">
        <f>SUM(VS!L70:N70)</f>
        <v>0</v>
      </c>
      <c r="K69" s="411"/>
      <c r="L69" s="171">
        <f t="shared" ref="L69:L71" si="31">SUM(B69+G69)</f>
        <v>0</v>
      </c>
      <c r="M69" s="171">
        <f t="shared" si="30"/>
        <v>0</v>
      </c>
      <c r="N69" s="171">
        <f t="shared" si="30"/>
        <v>0</v>
      </c>
      <c r="O69" s="171">
        <f t="shared" si="30"/>
        <v>0</v>
      </c>
    </row>
    <row r="70" spans="1:15" x14ac:dyDescent="0.25">
      <c r="A70" s="152" t="s">
        <v>472</v>
      </c>
      <c r="B70" s="169">
        <f>SUM('TRANSFERENCIA CORRIENTE'!C71:E71)</f>
        <v>0</v>
      </c>
      <c r="C70" s="169">
        <f>SUM('TRANSFERENCIA CORRIENTE'!F71:H71)</f>
        <v>0</v>
      </c>
      <c r="D70" s="169">
        <f>SUM('TRANSFERENCIA CORRIENTE'!I71:K71)</f>
        <v>0</v>
      </c>
      <c r="E70" s="169">
        <f>SUM('TRANSFERENCIA CORRIENTE'!L71:N71)</f>
        <v>0</v>
      </c>
      <c r="F70" s="411"/>
      <c r="G70" s="169">
        <f>SUM(VS!C71:E71)</f>
        <v>0</v>
      </c>
      <c r="H70" s="169">
        <f>SUM(VS!F71:H71)</f>
        <v>0</v>
      </c>
      <c r="I70" s="169">
        <f>SUM(VS!I71:K71)</f>
        <v>0</v>
      </c>
      <c r="J70" s="170">
        <f>SUM(VS!L71:N71)</f>
        <v>0</v>
      </c>
      <c r="K70" s="411"/>
      <c r="L70" s="171">
        <f t="shared" si="31"/>
        <v>0</v>
      </c>
      <c r="M70" s="171">
        <f t="shared" si="30"/>
        <v>0</v>
      </c>
      <c r="N70" s="171">
        <f t="shared" si="30"/>
        <v>0</v>
      </c>
      <c r="O70" s="171">
        <f t="shared" si="30"/>
        <v>0</v>
      </c>
    </row>
    <row r="71" spans="1:15" x14ac:dyDescent="0.25">
      <c r="A71" s="152" t="s">
        <v>471</v>
      </c>
      <c r="B71" s="169">
        <f>SUM('TRANSFERENCIA CORRIENTE'!C72:E72)</f>
        <v>0</v>
      </c>
      <c r="C71" s="169">
        <f>SUM('TRANSFERENCIA CORRIENTE'!F72:H72)</f>
        <v>0</v>
      </c>
      <c r="D71" s="169">
        <f>SUM('TRANSFERENCIA CORRIENTE'!I72:K72)</f>
        <v>0</v>
      </c>
      <c r="E71" s="169">
        <f>SUM('TRANSFERENCIA CORRIENTE'!L72:N72)</f>
        <v>0</v>
      </c>
      <c r="F71" s="411"/>
      <c r="G71" s="169"/>
      <c r="H71" s="169">
        <f>SUM(VS!F72:H72)</f>
        <v>0</v>
      </c>
      <c r="I71" s="169">
        <f>SUM(VS!I72:K72)</f>
        <v>0</v>
      </c>
      <c r="J71" s="170">
        <f>SUM(VS!L72:N72)</f>
        <v>0</v>
      </c>
      <c r="K71" s="411"/>
      <c r="L71" s="171">
        <f t="shared" si="31"/>
        <v>0</v>
      </c>
      <c r="M71" s="171">
        <f t="shared" si="30"/>
        <v>0</v>
      </c>
      <c r="N71" s="171">
        <f t="shared" si="30"/>
        <v>0</v>
      </c>
      <c r="O71" s="171">
        <f t="shared" si="30"/>
        <v>0</v>
      </c>
    </row>
    <row r="72" spans="1:15" s="172" customFormat="1" x14ac:dyDescent="0.25">
      <c r="A72" s="158" t="s">
        <v>470</v>
      </c>
      <c r="B72" s="167">
        <f>+B8+B14+B24+B34+B42+B50+B60+B65+B68</f>
        <v>271880250.56999999</v>
      </c>
      <c r="C72" s="167">
        <f t="shared" ref="C72:E72" si="32">+C8+C14+C24+C34+C42+C50+C60+C65+C68</f>
        <v>277231645.53999996</v>
      </c>
      <c r="D72" s="167">
        <f t="shared" si="32"/>
        <v>355167277.32000005</v>
      </c>
      <c r="E72" s="167">
        <f t="shared" si="32"/>
        <v>0</v>
      </c>
      <c r="F72" s="411"/>
      <c r="G72" s="167">
        <f>+G8+G14+G24+G34+G42+G50+G60+G65+G68</f>
        <v>26194615.629999999</v>
      </c>
      <c r="H72" s="167">
        <f t="shared" ref="H72:J72" si="33">+H8+H14+H24+H34+H42+H50+H60+H65+H68</f>
        <v>20399506.549999997</v>
      </c>
      <c r="I72" s="167">
        <f t="shared" si="33"/>
        <v>29377123.810000002</v>
      </c>
      <c r="J72" s="167">
        <f t="shared" si="33"/>
        <v>0</v>
      </c>
      <c r="K72" s="411"/>
      <c r="L72" s="173">
        <f>SUM(B72+G72)</f>
        <v>298074866.19999999</v>
      </c>
      <c r="M72" s="173">
        <f t="shared" si="30"/>
        <v>297631152.08999997</v>
      </c>
      <c r="N72" s="173">
        <f t="shared" si="30"/>
        <v>384544401.13000005</v>
      </c>
      <c r="O72" s="173">
        <f t="shared" si="30"/>
        <v>0</v>
      </c>
    </row>
    <row r="73" spans="1:15" x14ac:dyDescent="0.25">
      <c r="A73" s="154" t="s">
        <v>469</v>
      </c>
      <c r="B73" s="169">
        <f>SUM('TRANSFERENCIA CORRIENTE'!C74:E74)</f>
        <v>0</v>
      </c>
      <c r="C73" s="169">
        <f>SUM('TRANSFERENCIA CORRIENTE'!F74:H74)</f>
        <v>0</v>
      </c>
      <c r="D73" s="169">
        <f>SUM('TRANSFERENCIA CORRIENTE'!I74:K74)</f>
        <v>0</v>
      </c>
      <c r="E73" s="169">
        <f>SUM('TRANSFERENCIA CORRIENTE'!L74:N74)</f>
        <v>0</v>
      </c>
      <c r="F73" s="411"/>
      <c r="G73" s="169">
        <f>SUM(VS!C74:E74)</f>
        <v>0</v>
      </c>
      <c r="H73" s="169">
        <f>SUM(VS!F74:H74)</f>
        <v>0</v>
      </c>
      <c r="I73" s="169">
        <f>SUM(VS!I74:K74)</f>
        <v>0</v>
      </c>
      <c r="J73" s="170">
        <f>SUM(VS!L74:N74)</f>
        <v>0</v>
      </c>
      <c r="K73" s="411"/>
      <c r="L73" s="171">
        <f t="shared" ref="L73:L81" si="34">SUM(B73+G73)</f>
        <v>0</v>
      </c>
      <c r="M73" s="171">
        <f t="shared" si="30"/>
        <v>0</v>
      </c>
      <c r="N73" s="171">
        <f t="shared" si="30"/>
        <v>0</v>
      </c>
      <c r="O73" s="171">
        <f t="shared" si="30"/>
        <v>0</v>
      </c>
    </row>
    <row r="74" spans="1:15" x14ac:dyDescent="0.25">
      <c r="A74" s="154" t="s">
        <v>468</v>
      </c>
      <c r="B74" s="169">
        <f>SUM('TRANSFERENCIA CORRIENTE'!C75:E75)</f>
        <v>0</v>
      </c>
      <c r="C74" s="169">
        <f>SUM('TRANSFERENCIA CORRIENTE'!F75:H75)</f>
        <v>0</v>
      </c>
      <c r="D74" s="169">
        <f>SUM('TRANSFERENCIA CORRIENTE'!I75:K75)</f>
        <v>0</v>
      </c>
      <c r="E74" s="169">
        <f>SUM('TRANSFERENCIA CORRIENTE'!L75:N75)</f>
        <v>0</v>
      </c>
      <c r="F74" s="411"/>
      <c r="G74" s="169">
        <f>SUM(VS!C75:E75)</f>
        <v>0</v>
      </c>
      <c r="H74" s="169">
        <f>SUM(VS!F75:H75)</f>
        <v>0</v>
      </c>
      <c r="I74" s="169">
        <f>SUM(VS!I75:K75)</f>
        <v>0</v>
      </c>
      <c r="J74" s="170">
        <f>SUM(VS!L75:N75)</f>
        <v>0</v>
      </c>
      <c r="K74" s="411"/>
      <c r="L74" s="171">
        <f t="shared" si="34"/>
        <v>0</v>
      </c>
      <c r="M74" s="171">
        <f t="shared" si="30"/>
        <v>0</v>
      </c>
      <c r="N74" s="171">
        <f t="shared" si="30"/>
        <v>0</v>
      </c>
      <c r="O74" s="171">
        <f t="shared" si="30"/>
        <v>0</v>
      </c>
    </row>
    <row r="75" spans="1:15" x14ac:dyDescent="0.25">
      <c r="A75" s="152" t="s">
        <v>467</v>
      </c>
      <c r="B75" s="169">
        <f>SUM('TRANSFERENCIA CORRIENTE'!C76:E76)</f>
        <v>0</v>
      </c>
      <c r="C75" s="169">
        <f>SUM('TRANSFERENCIA CORRIENTE'!F76:H76)</f>
        <v>0</v>
      </c>
      <c r="D75" s="169">
        <f>SUM('TRANSFERENCIA CORRIENTE'!I76:K76)</f>
        <v>0</v>
      </c>
      <c r="E75" s="169">
        <f>SUM('TRANSFERENCIA CORRIENTE'!L76:N76)</f>
        <v>0</v>
      </c>
      <c r="F75" s="411"/>
      <c r="G75" s="169">
        <f>SUM(VS!C76:E76)</f>
        <v>0</v>
      </c>
      <c r="H75" s="169">
        <f>SUM(VS!F76:H76)</f>
        <v>0</v>
      </c>
      <c r="I75" s="169">
        <f>SUM(VS!I76:K76)</f>
        <v>0</v>
      </c>
      <c r="J75" s="170">
        <f>SUM(VS!L76:N76)</f>
        <v>0</v>
      </c>
      <c r="K75" s="411"/>
      <c r="L75" s="171">
        <f t="shared" si="34"/>
        <v>0</v>
      </c>
      <c r="M75" s="171">
        <f t="shared" si="30"/>
        <v>0</v>
      </c>
      <c r="N75" s="171">
        <f t="shared" si="30"/>
        <v>0</v>
      </c>
      <c r="O75" s="171">
        <f t="shared" si="30"/>
        <v>0</v>
      </c>
    </row>
    <row r="76" spans="1:15" x14ac:dyDescent="0.25">
      <c r="A76" s="152" t="s">
        <v>466</v>
      </c>
      <c r="B76" s="169">
        <f>SUM('TRANSFERENCIA CORRIENTE'!C77:E77)</f>
        <v>0</v>
      </c>
      <c r="C76" s="169">
        <f>SUM('TRANSFERENCIA CORRIENTE'!F77:H77)</f>
        <v>0</v>
      </c>
      <c r="D76" s="169">
        <f>SUM('TRANSFERENCIA CORRIENTE'!I77:K77)</f>
        <v>0</v>
      </c>
      <c r="E76" s="169">
        <f>SUM('TRANSFERENCIA CORRIENTE'!L77:N77)</f>
        <v>0</v>
      </c>
      <c r="F76" s="411"/>
      <c r="G76" s="169">
        <f>SUM(VS!C77:E77)</f>
        <v>0</v>
      </c>
      <c r="H76" s="169">
        <f>SUM(VS!F77:H77)</f>
        <v>0</v>
      </c>
      <c r="I76" s="169">
        <f>SUM(VS!I77:K77)</f>
        <v>0</v>
      </c>
      <c r="J76" s="170">
        <f>SUM(VS!L77:N77)</f>
        <v>0</v>
      </c>
      <c r="K76" s="411"/>
      <c r="L76" s="171">
        <f t="shared" si="34"/>
        <v>0</v>
      </c>
      <c r="M76" s="171">
        <f t="shared" si="30"/>
        <v>0</v>
      </c>
      <c r="N76" s="171">
        <f t="shared" si="30"/>
        <v>0</v>
      </c>
      <c r="O76" s="171">
        <f t="shared" si="30"/>
        <v>0</v>
      </c>
    </row>
    <row r="77" spans="1:15" x14ac:dyDescent="0.25">
      <c r="A77" s="154" t="s">
        <v>465</v>
      </c>
      <c r="B77" s="169">
        <f>SUM('TRANSFERENCIA CORRIENTE'!C78:E78)</f>
        <v>0</v>
      </c>
      <c r="C77" s="169">
        <f>SUM('TRANSFERENCIA CORRIENTE'!F78:H78)</f>
        <v>0</v>
      </c>
      <c r="D77" s="169">
        <f>SUM('TRANSFERENCIA CORRIENTE'!I78:K78)</f>
        <v>0</v>
      </c>
      <c r="E77" s="169">
        <f>SUM('TRANSFERENCIA CORRIENTE'!L78:N78)</f>
        <v>0</v>
      </c>
      <c r="F77" s="411"/>
      <c r="G77" s="169">
        <f>SUM(VS!C78:E78)</f>
        <v>0</v>
      </c>
      <c r="H77" s="169">
        <f>SUM(VS!F78:H78)</f>
        <v>0</v>
      </c>
      <c r="I77" s="169">
        <f>SUM(VS!I78:K78)</f>
        <v>0</v>
      </c>
      <c r="J77" s="170">
        <f>SUM(VS!L78:N78)</f>
        <v>0</v>
      </c>
      <c r="K77" s="411"/>
      <c r="L77" s="171">
        <f t="shared" si="34"/>
        <v>0</v>
      </c>
      <c r="M77" s="171">
        <f t="shared" si="30"/>
        <v>0</v>
      </c>
      <c r="N77" s="171">
        <f t="shared" si="30"/>
        <v>0</v>
      </c>
      <c r="O77" s="171">
        <f t="shared" si="30"/>
        <v>0</v>
      </c>
    </row>
    <row r="78" spans="1:15" x14ac:dyDescent="0.25">
      <c r="A78" s="152" t="s">
        <v>464</v>
      </c>
      <c r="B78" s="169">
        <f>SUM('TRANSFERENCIA CORRIENTE'!C79:E79)</f>
        <v>0</v>
      </c>
      <c r="C78" s="169">
        <f>SUM('TRANSFERENCIA CORRIENTE'!F79:H79)</f>
        <v>0</v>
      </c>
      <c r="D78" s="169">
        <f>SUM('TRANSFERENCIA CORRIENTE'!I79:K79)</f>
        <v>0</v>
      </c>
      <c r="E78" s="169">
        <f>SUM('TRANSFERENCIA CORRIENTE'!L79:N79)</f>
        <v>0</v>
      </c>
      <c r="F78" s="411"/>
      <c r="G78" s="169">
        <f>SUM(VS!C79:E79)</f>
        <v>0</v>
      </c>
      <c r="H78" s="169">
        <f>SUM(VS!F79:H79)</f>
        <v>0</v>
      </c>
      <c r="I78" s="169">
        <f>SUM(VS!I79:K79)</f>
        <v>0</v>
      </c>
      <c r="J78" s="170">
        <f>SUM(VS!L79:N79)</f>
        <v>0</v>
      </c>
      <c r="K78" s="411"/>
      <c r="L78" s="171">
        <f t="shared" si="34"/>
        <v>0</v>
      </c>
      <c r="M78" s="171">
        <f t="shared" si="30"/>
        <v>0</v>
      </c>
      <c r="N78" s="171">
        <f t="shared" si="30"/>
        <v>0</v>
      </c>
      <c r="O78" s="171">
        <f t="shared" si="30"/>
        <v>0</v>
      </c>
    </row>
    <row r="79" spans="1:15" x14ac:dyDescent="0.25">
      <c r="A79" s="152" t="s">
        <v>463</v>
      </c>
      <c r="B79" s="169">
        <f>SUM('TRANSFERENCIA CORRIENTE'!C80:E80)</f>
        <v>0</v>
      </c>
      <c r="C79" s="169">
        <f>SUM('TRANSFERENCIA CORRIENTE'!F80:H80)</f>
        <v>0</v>
      </c>
      <c r="D79" s="169">
        <f>SUM('TRANSFERENCIA CORRIENTE'!I80:K80)</f>
        <v>0</v>
      </c>
      <c r="E79" s="169">
        <f>SUM('TRANSFERENCIA CORRIENTE'!L80:N80)</f>
        <v>0</v>
      </c>
      <c r="F79" s="411"/>
      <c r="G79" s="169">
        <f>SUM(VS!C80:E80)</f>
        <v>0</v>
      </c>
      <c r="H79" s="169">
        <f>SUM(VS!F80:H80)</f>
        <v>0</v>
      </c>
      <c r="I79" s="169">
        <f>SUM(VS!I80:K80)</f>
        <v>0</v>
      </c>
      <c r="J79" s="170">
        <f>SUM(VS!L80:N80)</f>
        <v>0</v>
      </c>
      <c r="K79" s="411"/>
      <c r="L79" s="171">
        <f t="shared" si="34"/>
        <v>0</v>
      </c>
      <c r="M79" s="171">
        <f t="shared" si="30"/>
        <v>0</v>
      </c>
      <c r="N79" s="171">
        <f t="shared" si="30"/>
        <v>0</v>
      </c>
      <c r="O79" s="171">
        <f t="shared" si="30"/>
        <v>0</v>
      </c>
    </row>
    <row r="80" spans="1:15" x14ac:dyDescent="0.25">
      <c r="A80" s="154" t="s">
        <v>462</v>
      </c>
      <c r="B80" s="169">
        <f>SUM('TRANSFERENCIA CORRIENTE'!C81:E81)</f>
        <v>0</v>
      </c>
      <c r="C80" s="169">
        <f>SUM('TRANSFERENCIA CORRIENTE'!F81:H81)</f>
        <v>0</v>
      </c>
      <c r="D80" s="169">
        <f>SUM('TRANSFERENCIA CORRIENTE'!I81:K81)</f>
        <v>0</v>
      </c>
      <c r="E80" s="169">
        <f>SUM('TRANSFERENCIA CORRIENTE'!L81:N81)</f>
        <v>0</v>
      </c>
      <c r="F80" s="411"/>
      <c r="G80" s="169">
        <f>SUM(VS!C81:E81)</f>
        <v>0</v>
      </c>
      <c r="H80" s="169">
        <f>SUM(VS!F81:H81)</f>
        <v>0</v>
      </c>
      <c r="I80" s="169">
        <f>SUM(VS!I81:K81)</f>
        <v>0</v>
      </c>
      <c r="J80" s="170">
        <f>SUM(VS!L81:N81)</f>
        <v>0</v>
      </c>
      <c r="K80" s="411"/>
      <c r="L80" s="171">
        <f t="shared" si="34"/>
        <v>0</v>
      </c>
      <c r="M80" s="171">
        <f t="shared" si="30"/>
        <v>0</v>
      </c>
      <c r="N80" s="171">
        <f t="shared" si="30"/>
        <v>0</v>
      </c>
      <c r="O80" s="171">
        <f t="shared" si="30"/>
        <v>0</v>
      </c>
    </row>
    <row r="81" spans="1:15" x14ac:dyDescent="0.25">
      <c r="A81" s="152" t="s">
        <v>461</v>
      </c>
      <c r="B81" s="169">
        <f>SUM('TRANSFERENCIA CORRIENTE'!C82:E82)</f>
        <v>0</v>
      </c>
      <c r="C81" s="169">
        <f>SUM('TRANSFERENCIA CORRIENTE'!F82:H82)</f>
        <v>0</v>
      </c>
      <c r="D81" s="169">
        <f>SUM('TRANSFERENCIA CORRIENTE'!I82:K82)</f>
        <v>0</v>
      </c>
      <c r="E81" s="169">
        <f>SUM('TRANSFERENCIA CORRIENTE'!L82:N82)</f>
        <v>0</v>
      </c>
      <c r="F81" s="411"/>
      <c r="G81" s="169">
        <f>SUM(VS!C82:E82)</f>
        <v>0</v>
      </c>
      <c r="H81" s="169">
        <f>SUM(VS!F82:H82)</f>
        <v>0</v>
      </c>
      <c r="I81" s="169">
        <f>SUM(VS!I82:K82)</f>
        <v>0</v>
      </c>
      <c r="J81" s="170">
        <f>SUM(VS!L82:N82)</f>
        <v>0</v>
      </c>
      <c r="K81" s="411"/>
      <c r="L81" s="171">
        <f t="shared" si="34"/>
        <v>0</v>
      </c>
      <c r="M81" s="171">
        <f t="shared" si="30"/>
        <v>0</v>
      </c>
      <c r="N81" s="171">
        <f t="shared" si="30"/>
        <v>0</v>
      </c>
      <c r="O81" s="171">
        <f t="shared" si="30"/>
        <v>0</v>
      </c>
    </row>
    <row r="82" spans="1:15" s="172" customFormat="1" x14ac:dyDescent="0.25">
      <c r="A82" s="158" t="s">
        <v>460</v>
      </c>
      <c r="B82" s="167">
        <f>SUM(B83)</f>
        <v>271880250.56999999</v>
      </c>
      <c r="C82" s="167">
        <f t="shared" ref="C82:E82" si="35">SUM(C83)</f>
        <v>277231645.53999996</v>
      </c>
      <c r="D82" s="167">
        <f t="shared" si="35"/>
        <v>310036407.86000001</v>
      </c>
      <c r="E82" s="167">
        <f t="shared" si="35"/>
        <v>299616335.81999999</v>
      </c>
      <c r="F82" s="411"/>
      <c r="G82" s="167">
        <f>SUM(G83)</f>
        <v>26194615.630000003</v>
      </c>
      <c r="H82" s="167">
        <f t="shared" ref="H82:J82" si="36">SUM(H83)</f>
        <v>20399506.549999997</v>
      </c>
      <c r="I82" s="167">
        <f t="shared" si="36"/>
        <v>29377123.809999995</v>
      </c>
      <c r="J82" s="167">
        <f t="shared" si="36"/>
        <v>0</v>
      </c>
      <c r="K82" s="411"/>
      <c r="L82" s="173">
        <f>SUM(B82+G82)</f>
        <v>298074866.19999999</v>
      </c>
      <c r="M82" s="173">
        <f t="shared" si="30"/>
        <v>297631152.08999997</v>
      </c>
      <c r="N82" s="173">
        <f t="shared" si="30"/>
        <v>339413531.67000002</v>
      </c>
      <c r="O82" s="173">
        <f t="shared" si="30"/>
        <v>299616335.81999999</v>
      </c>
    </row>
    <row r="83" spans="1:15" ht="15.75" x14ac:dyDescent="0.25">
      <c r="A83" s="174" t="s">
        <v>459</v>
      </c>
      <c r="B83" s="169">
        <f>SUM('TRANSFERENCIA CORRIENTE'!C85:E85)</f>
        <v>271880250.56999999</v>
      </c>
      <c r="C83" s="169">
        <f>SUM('TRANSFERENCIA CORRIENTE'!F85:H85)</f>
        <v>277231645.53999996</v>
      </c>
      <c r="D83" s="169">
        <f>SUM('TRANSFERENCIA CORRIENTE'!I85:K85)</f>
        <v>310036407.86000001</v>
      </c>
      <c r="E83" s="169">
        <f>SUM('TRANSFERENCIA CORRIENTE'!L85:N85)</f>
        <v>299616335.81999999</v>
      </c>
      <c r="F83" s="412"/>
      <c r="G83" s="169">
        <f>SUM(VS!C85:E85)</f>
        <v>26194615.630000003</v>
      </c>
      <c r="H83" s="169">
        <f>SUM(VS!F85:H85)</f>
        <v>20399506.549999997</v>
      </c>
      <c r="I83" s="169">
        <f>SUM(VS!I85:K85)</f>
        <v>29377123.809999995</v>
      </c>
      <c r="J83" s="169">
        <f>SUM(VS!L85:N85)</f>
        <v>0</v>
      </c>
      <c r="K83" s="412"/>
      <c r="L83" s="171">
        <f>SUM(B83+G83)</f>
        <v>298074866.19999999</v>
      </c>
      <c r="M83" s="171">
        <f>SUM(C83+H83)</f>
        <v>297631152.08999997</v>
      </c>
      <c r="N83" s="171">
        <f>SUM(D83+I83)</f>
        <v>339413531.67000002</v>
      </c>
      <c r="O83" s="171">
        <f>SUM(E83+J83)</f>
        <v>299616335.81999999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7" right="0.7" top="0.75" bottom="0.75" header="0.3" footer="0.3"/>
  <pageSetup scale="35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2D20-A474-403D-B3AE-761E42171B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8"/>
  <sheetViews>
    <sheetView view="pageBreakPreview" topLeftCell="A56" zoomScale="60" zoomScaleNormal="64" workbookViewId="0">
      <selection activeCell="A89" sqref="A89"/>
    </sheetView>
  </sheetViews>
  <sheetFormatPr defaultColWidth="9.140625" defaultRowHeight="15" x14ac:dyDescent="0.25"/>
  <cols>
    <col min="1" max="1" width="48.28515625" bestFit="1" customWidth="1"/>
    <col min="2" max="2" width="21.28515625" bestFit="1" customWidth="1"/>
    <col min="3" max="3" width="19.140625" bestFit="1" customWidth="1"/>
    <col min="4" max="5" width="20.140625" bestFit="1" customWidth="1"/>
    <col min="6" max="6" width="19.7109375" bestFit="1" customWidth="1"/>
    <col min="7" max="7" width="19.140625" bestFit="1" customWidth="1"/>
    <col min="8" max="8" width="19.7109375" bestFit="1" customWidth="1"/>
    <col min="9" max="9" width="20.140625" bestFit="1" customWidth="1"/>
    <col min="10" max="10" width="18.7109375" bestFit="1" customWidth="1"/>
    <col min="11" max="11" width="19.7109375" bestFit="1" customWidth="1"/>
    <col min="12" max="14" width="18.7109375" bestFit="1" customWidth="1"/>
  </cols>
  <sheetData>
    <row r="1" spans="1:14" ht="18.75" x14ac:dyDescent="0.25">
      <c r="A1" s="406" t="s">
        <v>77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</row>
    <row r="2" spans="1:14" ht="18.75" x14ac:dyDescent="0.25">
      <c r="A2" s="406" t="s">
        <v>688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</row>
    <row r="3" spans="1:14" ht="18.75" x14ac:dyDescent="0.25">
      <c r="A3" s="406" t="s">
        <v>551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</row>
    <row r="4" spans="1:14" ht="15.75" x14ac:dyDescent="0.25">
      <c r="A4" s="407" t="s">
        <v>671</v>
      </c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</row>
    <row r="5" spans="1:14" x14ac:dyDescent="0.25">
      <c r="A5" s="344" t="s">
        <v>550</v>
      </c>
      <c r="B5" s="344"/>
      <c r="C5" s="344"/>
      <c r="D5" s="344"/>
      <c r="E5" s="344"/>
      <c r="F5" s="344"/>
      <c r="G5" s="344"/>
      <c r="H5" s="344"/>
      <c r="I5" s="344"/>
      <c r="J5" s="344"/>
      <c r="K5" s="344"/>
      <c r="L5" s="344"/>
      <c r="M5" s="344"/>
      <c r="N5" s="344"/>
    </row>
    <row r="7" spans="1:14" ht="15.75" x14ac:dyDescent="0.25">
      <c r="A7" s="161" t="s">
        <v>549</v>
      </c>
      <c r="B7" s="160" t="s">
        <v>548</v>
      </c>
      <c r="C7" s="160" t="s">
        <v>547</v>
      </c>
      <c r="D7" s="160" t="s">
        <v>546</v>
      </c>
      <c r="E7" s="160" t="s">
        <v>545</v>
      </c>
      <c r="F7" s="160" t="s">
        <v>544</v>
      </c>
      <c r="G7" s="160" t="s">
        <v>543</v>
      </c>
      <c r="H7" s="160" t="s">
        <v>542</v>
      </c>
      <c r="I7" s="160" t="s">
        <v>541</v>
      </c>
      <c r="J7" s="160" t="s">
        <v>540</v>
      </c>
      <c r="K7" s="160" t="s">
        <v>539</v>
      </c>
      <c r="L7" s="160" t="s">
        <v>538</v>
      </c>
      <c r="M7" s="160" t="s">
        <v>537</v>
      </c>
      <c r="N7" s="160" t="s">
        <v>536</v>
      </c>
    </row>
    <row r="8" spans="1:14" x14ac:dyDescent="0.25">
      <c r="A8" s="154" t="s">
        <v>535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</row>
    <row r="9" spans="1:14" x14ac:dyDescent="0.25">
      <c r="A9" s="158" t="s">
        <v>534</v>
      </c>
      <c r="B9" s="296">
        <v>541497994.45000005</v>
      </c>
      <c r="C9" s="156">
        <v>65091179.920000002</v>
      </c>
      <c r="D9" s="156">
        <v>67131935.939999998</v>
      </c>
      <c r="E9" s="156">
        <v>66337619.82</v>
      </c>
      <c r="F9" s="156">
        <v>66556155.68</v>
      </c>
      <c r="G9" s="156">
        <v>66630550.850000001</v>
      </c>
      <c r="H9" s="156">
        <v>66583615.279999994</v>
      </c>
      <c r="I9" s="156">
        <v>71335675.949999988</v>
      </c>
      <c r="J9" s="156">
        <v>71831261.010000005</v>
      </c>
      <c r="K9" s="156">
        <f>SUM(K10:K14)</f>
        <v>71591503.879999995</v>
      </c>
      <c r="L9" s="156">
        <v>0</v>
      </c>
      <c r="M9" s="156">
        <v>0</v>
      </c>
      <c r="N9" s="156">
        <v>0</v>
      </c>
    </row>
    <row r="10" spans="1:14" x14ac:dyDescent="0.25">
      <c r="A10" s="152" t="s">
        <v>533</v>
      </c>
      <c r="B10" s="155">
        <v>446365762.45999998</v>
      </c>
      <c r="C10" s="151">
        <v>53640338.710000001</v>
      </c>
      <c r="D10" s="151">
        <v>55586128.810000002</v>
      </c>
      <c r="E10" s="151">
        <v>54718737.07</v>
      </c>
      <c r="F10" s="151">
        <v>54771097.32</v>
      </c>
      <c r="G10" s="151">
        <v>54445140.43</v>
      </c>
      <c r="H10" s="151">
        <v>54868542.939999998</v>
      </c>
      <c r="I10" s="151">
        <v>58925421.189999998</v>
      </c>
      <c r="J10" s="151">
        <v>59410355.990000002</v>
      </c>
      <c r="K10" s="151">
        <v>59165424.859999999</v>
      </c>
      <c r="L10" s="151"/>
      <c r="M10" s="151"/>
      <c r="N10" s="151"/>
    </row>
    <row r="11" spans="1:14" x14ac:dyDescent="0.25">
      <c r="A11" s="152" t="s">
        <v>532</v>
      </c>
      <c r="B11" s="155">
        <v>26843183.550000001</v>
      </c>
      <c r="C11" s="151">
        <v>3196999.6</v>
      </c>
      <c r="D11" s="151">
        <v>3197999.6</v>
      </c>
      <c r="E11" s="151">
        <v>3199399.6</v>
      </c>
      <c r="F11" s="151">
        <v>3384964.48</v>
      </c>
      <c r="G11" s="151">
        <v>3807608.31</v>
      </c>
      <c r="H11" s="151">
        <v>3343226.16</v>
      </c>
      <c r="I11" s="151">
        <v>3344880.19</v>
      </c>
      <c r="J11" s="151">
        <v>3368105.61</v>
      </c>
      <c r="K11" s="151">
        <v>3321905.61</v>
      </c>
      <c r="L11" s="151"/>
      <c r="M11" s="151"/>
      <c r="N11" s="151"/>
    </row>
    <row r="12" spans="1:14" x14ac:dyDescent="0.25">
      <c r="A12" s="152" t="s">
        <v>531</v>
      </c>
      <c r="B12" s="155">
        <v>0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</row>
    <row r="13" spans="1:14" x14ac:dyDescent="0.25">
      <c r="A13" s="152" t="s">
        <v>530</v>
      </c>
      <c r="B13" s="155">
        <v>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</row>
    <row r="14" spans="1:14" x14ac:dyDescent="0.25">
      <c r="A14" s="152" t="s">
        <v>529</v>
      </c>
      <c r="B14" s="155">
        <v>68289048.439999998</v>
      </c>
      <c r="C14" s="151">
        <v>8253841.6100000003</v>
      </c>
      <c r="D14" s="151">
        <v>8347807.5300000003</v>
      </c>
      <c r="E14" s="151">
        <v>8419483.1500000004</v>
      </c>
      <c r="F14" s="151">
        <v>8400093.8800000008</v>
      </c>
      <c r="G14" s="151">
        <v>8377802.1100000003</v>
      </c>
      <c r="H14" s="151">
        <v>8371846.1799999997</v>
      </c>
      <c r="I14" s="151">
        <v>9065374.5700000003</v>
      </c>
      <c r="J14" s="151">
        <v>9052799.4100000001</v>
      </c>
      <c r="K14" s="151">
        <v>9104173.4100000001</v>
      </c>
      <c r="L14" s="151"/>
      <c r="M14" s="151"/>
      <c r="N14" s="151"/>
    </row>
    <row r="15" spans="1:14" x14ac:dyDescent="0.25">
      <c r="A15" s="158" t="s">
        <v>528</v>
      </c>
      <c r="B15" s="157">
        <v>26078081.660000004</v>
      </c>
      <c r="C15" s="156">
        <v>0</v>
      </c>
      <c r="D15" s="156">
        <v>1336968.6400000001</v>
      </c>
      <c r="E15" s="156">
        <v>7971396.2400000002</v>
      </c>
      <c r="F15" s="156">
        <v>210535</v>
      </c>
      <c r="G15" s="156">
        <v>1680824.82</v>
      </c>
      <c r="H15" s="156">
        <v>8240458.3799999999</v>
      </c>
      <c r="I15" s="156">
        <v>3509565.78</v>
      </c>
      <c r="J15" s="156">
        <v>3128332.8</v>
      </c>
      <c r="K15" s="156">
        <f>SUM(K16:K24)</f>
        <v>7782458.8300000001</v>
      </c>
      <c r="L15" s="156">
        <v>0</v>
      </c>
      <c r="M15" s="156">
        <v>0</v>
      </c>
      <c r="N15" s="156">
        <v>0</v>
      </c>
    </row>
    <row r="16" spans="1:14" x14ac:dyDescent="0.25">
      <c r="A16" s="152" t="s">
        <v>527</v>
      </c>
      <c r="B16" s="155">
        <v>2322699.2999999998</v>
      </c>
      <c r="C16" s="151"/>
      <c r="D16" s="151"/>
      <c r="E16" s="151">
        <v>2020024.3</v>
      </c>
      <c r="F16" s="151">
        <v>60535</v>
      </c>
      <c r="G16" s="151">
        <v>60535</v>
      </c>
      <c r="H16" s="151">
        <v>60535</v>
      </c>
      <c r="I16" s="151">
        <v>60535</v>
      </c>
      <c r="J16" s="151">
        <v>60535</v>
      </c>
      <c r="K16" s="151">
        <v>60535</v>
      </c>
      <c r="L16" s="151"/>
      <c r="M16" s="151"/>
      <c r="N16" s="151"/>
    </row>
    <row r="17" spans="1:14" ht="30" x14ac:dyDescent="0.25">
      <c r="A17" s="152" t="s">
        <v>526</v>
      </c>
      <c r="B17" s="155">
        <v>764995.66</v>
      </c>
      <c r="C17" s="151"/>
      <c r="D17" s="151">
        <v>324206.83</v>
      </c>
      <c r="E17" s="151"/>
      <c r="F17" s="151"/>
      <c r="G17" s="151">
        <v>32889.839999999997</v>
      </c>
      <c r="H17" s="151">
        <v>319103.99</v>
      </c>
      <c r="I17" s="151"/>
      <c r="J17" s="151">
        <v>88795</v>
      </c>
      <c r="K17" s="151">
        <v>47633.3</v>
      </c>
      <c r="L17" s="151"/>
      <c r="M17" s="151"/>
      <c r="N17" s="151"/>
    </row>
    <row r="18" spans="1:14" x14ac:dyDescent="0.25">
      <c r="A18" s="152" t="s">
        <v>525</v>
      </c>
      <c r="B18" s="155">
        <v>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</row>
    <row r="19" spans="1:14" x14ac:dyDescent="0.25">
      <c r="A19" s="152" t="s">
        <v>524</v>
      </c>
      <c r="B19" s="155">
        <v>0</v>
      </c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</row>
    <row r="20" spans="1:14" x14ac:dyDescent="0.25">
      <c r="A20" s="152" t="s">
        <v>523</v>
      </c>
      <c r="B20" s="155">
        <v>300000</v>
      </c>
      <c r="C20" s="151"/>
      <c r="D20" s="151"/>
      <c r="E20" s="151"/>
      <c r="F20" s="151">
        <v>150000</v>
      </c>
      <c r="G20" s="151"/>
      <c r="H20" s="151"/>
      <c r="I20" s="151"/>
      <c r="J20" s="151">
        <v>150000</v>
      </c>
      <c r="K20" s="151"/>
      <c r="L20" s="151"/>
      <c r="M20" s="151"/>
      <c r="N20" s="151"/>
    </row>
    <row r="21" spans="1:14" x14ac:dyDescent="0.25">
      <c r="A21" s="152" t="s">
        <v>522</v>
      </c>
      <c r="B21" s="155">
        <v>0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</row>
    <row r="22" spans="1:14" ht="45" x14ac:dyDescent="0.25">
      <c r="A22" s="152" t="s">
        <v>521</v>
      </c>
      <c r="B22" s="155">
        <v>18363941.66</v>
      </c>
      <c r="C22" s="151"/>
      <c r="D22" s="151">
        <v>523061.81</v>
      </c>
      <c r="E22" s="151">
        <v>5951371.9400000004</v>
      </c>
      <c r="F22" s="151"/>
      <c r="G22" s="151">
        <v>1174399.98</v>
      </c>
      <c r="H22" s="151">
        <v>4437074.3499999996</v>
      </c>
      <c r="I22" s="151">
        <v>3449030.78</v>
      </c>
      <c r="J22" s="151">
        <v>2829002.8</v>
      </c>
      <c r="K22" s="151">
        <v>1580779.53</v>
      </c>
      <c r="L22" s="151"/>
      <c r="M22" s="151"/>
      <c r="N22" s="151"/>
    </row>
    <row r="23" spans="1:14" ht="30" x14ac:dyDescent="0.25">
      <c r="A23" s="152" t="s">
        <v>520</v>
      </c>
      <c r="B23" s="155">
        <v>902700</v>
      </c>
      <c r="C23" s="151"/>
      <c r="D23" s="151">
        <v>489700</v>
      </c>
      <c r="E23" s="151"/>
      <c r="F23" s="151"/>
      <c r="G23" s="151">
        <v>413000</v>
      </c>
      <c r="H23" s="151"/>
      <c r="I23" s="151"/>
      <c r="J23" s="151"/>
      <c r="K23" s="151">
        <v>3779000</v>
      </c>
      <c r="L23" s="151"/>
      <c r="M23" s="151"/>
      <c r="N23" s="151"/>
    </row>
    <row r="24" spans="1:14" x14ac:dyDescent="0.25">
      <c r="A24" s="152" t="s">
        <v>519</v>
      </c>
      <c r="B24" s="155">
        <v>3423745.04</v>
      </c>
      <c r="C24" s="151"/>
      <c r="D24" s="151"/>
      <c r="E24" s="151"/>
      <c r="F24" s="151"/>
      <c r="G24" s="151"/>
      <c r="H24" s="151">
        <v>3423745.04</v>
      </c>
      <c r="I24" s="151"/>
      <c r="J24" s="151"/>
      <c r="K24" s="151">
        <v>2314511</v>
      </c>
      <c r="L24" s="151"/>
      <c r="M24" s="151"/>
      <c r="N24" s="151"/>
    </row>
    <row r="25" spans="1:14" x14ac:dyDescent="0.25">
      <c r="A25" s="158" t="s">
        <v>518</v>
      </c>
      <c r="B25" s="157">
        <v>139006893.16</v>
      </c>
      <c r="C25" s="156">
        <v>4970600.3900000006</v>
      </c>
      <c r="D25" s="156">
        <v>14433131.48</v>
      </c>
      <c r="E25" s="156">
        <v>26749551.519999996</v>
      </c>
      <c r="F25" s="156">
        <v>20368607.43</v>
      </c>
      <c r="G25" s="156">
        <v>16608512.82</v>
      </c>
      <c r="H25" s="156">
        <v>15408530.41</v>
      </c>
      <c r="I25" s="156">
        <v>26146219.530000001</v>
      </c>
      <c r="J25" s="156">
        <v>14321739.58</v>
      </c>
      <c r="K25" s="156">
        <f>SUM(K26:K34)</f>
        <v>25141648.079999998</v>
      </c>
      <c r="L25" s="156">
        <v>0</v>
      </c>
      <c r="M25" s="156">
        <v>0</v>
      </c>
      <c r="N25" s="156">
        <v>0</v>
      </c>
    </row>
    <row r="26" spans="1:14" ht="30" x14ac:dyDescent="0.25">
      <c r="A26" s="152" t="s">
        <v>517</v>
      </c>
      <c r="B26" s="155"/>
      <c r="C26" s="151"/>
      <c r="D26" s="151">
        <v>591460.4</v>
      </c>
      <c r="E26" s="151">
        <v>3122436.84</v>
      </c>
      <c r="F26" s="151">
        <v>812515</v>
      </c>
      <c r="G26" s="151">
        <v>1657538</v>
      </c>
      <c r="H26" s="151">
        <v>2396946.25</v>
      </c>
      <c r="I26" s="151">
        <v>1787251.81</v>
      </c>
      <c r="J26" s="151">
        <v>2077230.72</v>
      </c>
      <c r="K26" s="151">
        <v>2180362.58</v>
      </c>
      <c r="L26" s="151"/>
      <c r="M26" s="151"/>
      <c r="N26" s="151"/>
    </row>
    <row r="27" spans="1:14" x14ac:dyDescent="0.25">
      <c r="A27" s="152" t="s">
        <v>516</v>
      </c>
      <c r="B27" s="155"/>
      <c r="C27" s="151"/>
      <c r="D27" s="151">
        <v>61630.73</v>
      </c>
      <c r="E27" s="151"/>
      <c r="F27" s="151">
        <v>1562980.47</v>
      </c>
      <c r="G27" s="151"/>
      <c r="H27" s="151">
        <v>812418.96</v>
      </c>
      <c r="I27" s="151">
        <v>1577150.69</v>
      </c>
      <c r="J27" s="151">
        <v>180540</v>
      </c>
      <c r="K27" s="151">
        <v>1258116.06</v>
      </c>
      <c r="L27" s="151"/>
      <c r="M27" s="151"/>
      <c r="N27" s="151"/>
    </row>
    <row r="28" spans="1:14" ht="30" x14ac:dyDescent="0.25">
      <c r="A28" s="152" t="s">
        <v>515</v>
      </c>
      <c r="B28" s="155"/>
      <c r="C28" s="151"/>
      <c r="D28" s="151">
        <v>352366.67</v>
      </c>
      <c r="E28" s="151">
        <v>1474545.17</v>
      </c>
      <c r="F28" s="151">
        <v>1510942.21</v>
      </c>
      <c r="G28" s="151">
        <v>765138.96</v>
      </c>
      <c r="H28" s="151">
        <v>715614.54</v>
      </c>
      <c r="I28" s="151">
        <v>1579886.66</v>
      </c>
      <c r="J28" s="151">
        <v>912967.7</v>
      </c>
      <c r="K28" s="151">
        <v>366980</v>
      </c>
      <c r="L28" s="151"/>
      <c r="M28" s="151"/>
      <c r="N28" s="151"/>
    </row>
    <row r="29" spans="1:14" x14ac:dyDescent="0.25">
      <c r="A29" s="152" t="s">
        <v>514</v>
      </c>
      <c r="B29" s="155"/>
      <c r="C29" s="151">
        <v>1862880</v>
      </c>
      <c r="D29" s="151">
        <v>2014526.8</v>
      </c>
      <c r="E29" s="151">
        <v>6919929</v>
      </c>
      <c r="F29" s="151">
        <v>6349109</v>
      </c>
      <c r="G29" s="151">
        <v>2637285.6</v>
      </c>
      <c r="H29" s="151">
        <v>3022962</v>
      </c>
      <c r="I29" s="151">
        <v>6806505</v>
      </c>
      <c r="J29" s="151">
        <v>2962573</v>
      </c>
      <c r="K29" s="151">
        <v>9434300</v>
      </c>
      <c r="L29" s="151"/>
      <c r="M29" s="151"/>
      <c r="N29" s="151"/>
    </row>
    <row r="30" spans="1:14" ht="30" x14ac:dyDescent="0.25">
      <c r="A30" s="152" t="s">
        <v>513</v>
      </c>
      <c r="B30" s="155"/>
      <c r="C30" s="151"/>
      <c r="D30" s="151"/>
      <c r="E30" s="151">
        <v>334708.95</v>
      </c>
      <c r="F30" s="151">
        <v>506546.35</v>
      </c>
      <c r="G30" s="151">
        <v>384413.08</v>
      </c>
      <c r="H30" s="151">
        <v>133281</v>
      </c>
      <c r="I30" s="151">
        <v>655140.22</v>
      </c>
      <c r="J30" s="151">
        <v>18313.599999999999</v>
      </c>
      <c r="K30" s="151"/>
      <c r="L30" s="151"/>
      <c r="M30" s="151"/>
      <c r="N30" s="151"/>
    </row>
    <row r="31" spans="1:14" ht="30" x14ac:dyDescent="0.25">
      <c r="A31" s="152" t="s">
        <v>512</v>
      </c>
      <c r="B31" s="155"/>
      <c r="C31" s="151"/>
      <c r="D31" s="151">
        <v>11630.98</v>
      </c>
      <c r="E31" s="151"/>
      <c r="F31" s="151">
        <v>351015.88</v>
      </c>
      <c r="G31" s="151">
        <v>215177.81</v>
      </c>
      <c r="H31" s="151">
        <v>101426.9</v>
      </c>
      <c r="I31" s="151"/>
      <c r="J31" s="151">
        <v>286504</v>
      </c>
      <c r="K31" s="151"/>
      <c r="L31" s="151"/>
      <c r="M31" s="151"/>
      <c r="N31" s="151"/>
    </row>
    <row r="32" spans="1:14" ht="30" x14ac:dyDescent="0.25">
      <c r="A32" s="152" t="s">
        <v>511</v>
      </c>
      <c r="B32" s="155"/>
      <c r="C32" s="151">
        <v>1844663.41</v>
      </c>
      <c r="D32" s="151">
        <v>3902915.53</v>
      </c>
      <c r="E32" s="151">
        <v>3162523.02</v>
      </c>
      <c r="F32" s="151">
        <v>2759191.89</v>
      </c>
      <c r="G32" s="151">
        <v>4409677.4800000004</v>
      </c>
      <c r="H32" s="151">
        <v>2900109.81</v>
      </c>
      <c r="I32" s="151">
        <v>4028536.75</v>
      </c>
      <c r="J32" s="151">
        <v>2398943.98</v>
      </c>
      <c r="K32" s="151">
        <v>5003060.22</v>
      </c>
      <c r="L32" s="151"/>
      <c r="M32" s="151"/>
      <c r="N32" s="151"/>
    </row>
    <row r="33" spans="1:14" ht="30" x14ac:dyDescent="0.25">
      <c r="A33" s="152" t="s">
        <v>510</v>
      </c>
      <c r="B33" s="155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</row>
    <row r="34" spans="1:14" x14ac:dyDescent="0.25">
      <c r="A34" s="152" t="s">
        <v>509</v>
      </c>
      <c r="B34" s="155"/>
      <c r="C34" s="151">
        <v>1263056.98</v>
      </c>
      <c r="D34" s="151">
        <v>7498600.3700000001</v>
      </c>
      <c r="E34" s="151">
        <v>11735408.539999999</v>
      </c>
      <c r="F34" s="151">
        <v>6516306.6299999999</v>
      </c>
      <c r="G34" s="151">
        <v>6539281.8899999997</v>
      </c>
      <c r="H34" s="151">
        <v>5325770.95</v>
      </c>
      <c r="I34" s="151">
        <v>9711748.4000000004</v>
      </c>
      <c r="J34" s="151">
        <v>5484666.5800000001</v>
      </c>
      <c r="K34" s="151">
        <v>6898829.2199999997</v>
      </c>
      <c r="L34" s="151"/>
      <c r="M34" s="151"/>
      <c r="N34" s="151"/>
    </row>
    <row r="35" spans="1:14" x14ac:dyDescent="0.25">
      <c r="A35" s="158" t="s">
        <v>508</v>
      </c>
      <c r="B35" s="157">
        <v>0</v>
      </c>
      <c r="C35" s="156">
        <v>0</v>
      </c>
      <c r="D35" s="156">
        <v>0</v>
      </c>
      <c r="E35" s="156">
        <v>0</v>
      </c>
      <c r="F35" s="156">
        <v>0</v>
      </c>
      <c r="G35" s="156">
        <v>0</v>
      </c>
      <c r="H35" s="156">
        <v>0</v>
      </c>
      <c r="I35" s="156">
        <v>0</v>
      </c>
      <c r="J35" s="156">
        <v>0</v>
      </c>
      <c r="K35" s="156">
        <f>SUM(K36:K42)</f>
        <v>0</v>
      </c>
      <c r="L35" s="156">
        <v>0</v>
      </c>
      <c r="M35" s="156">
        <v>0</v>
      </c>
      <c r="N35" s="156">
        <v>0</v>
      </c>
    </row>
    <row r="36" spans="1:14" ht="30" x14ac:dyDescent="0.25">
      <c r="A36" s="152" t="s">
        <v>507</v>
      </c>
      <c r="B36" s="155">
        <v>0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</row>
    <row r="37" spans="1:14" ht="30" x14ac:dyDescent="0.25">
      <c r="A37" s="152" t="s">
        <v>506</v>
      </c>
      <c r="B37" s="155">
        <v>0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</row>
    <row r="38" spans="1:14" ht="30" x14ac:dyDescent="0.25">
      <c r="A38" s="152" t="s">
        <v>505</v>
      </c>
      <c r="B38" s="155">
        <v>0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</row>
    <row r="39" spans="1:14" ht="30" x14ac:dyDescent="0.25">
      <c r="A39" s="152" t="s">
        <v>504</v>
      </c>
      <c r="B39" s="155">
        <v>0</v>
      </c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</row>
    <row r="40" spans="1:14" ht="30" x14ac:dyDescent="0.25">
      <c r="A40" s="152" t="s">
        <v>503</v>
      </c>
      <c r="B40" s="155">
        <v>0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</row>
    <row r="41" spans="1:14" ht="30" x14ac:dyDescent="0.25">
      <c r="A41" s="152" t="s">
        <v>502</v>
      </c>
      <c r="B41" s="155">
        <v>0</v>
      </c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</row>
    <row r="42" spans="1:14" ht="30" x14ac:dyDescent="0.25">
      <c r="A42" s="152" t="s">
        <v>501</v>
      </c>
      <c r="B42" s="155">
        <v>0</v>
      </c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</row>
    <row r="43" spans="1:14" x14ac:dyDescent="0.25">
      <c r="A43" s="158" t="s">
        <v>500</v>
      </c>
      <c r="B43" s="157">
        <v>0</v>
      </c>
      <c r="C43" s="156">
        <v>0</v>
      </c>
      <c r="D43" s="156">
        <v>0</v>
      </c>
      <c r="E43" s="156">
        <v>0</v>
      </c>
      <c r="F43" s="156">
        <v>0</v>
      </c>
      <c r="G43" s="156">
        <v>0</v>
      </c>
      <c r="H43" s="156">
        <v>0</v>
      </c>
      <c r="I43" s="156">
        <v>0</v>
      </c>
      <c r="J43" s="156">
        <v>0</v>
      </c>
      <c r="K43" s="156">
        <f>SUM(K44:K50)</f>
        <v>0</v>
      </c>
      <c r="L43" s="156">
        <v>0</v>
      </c>
      <c r="M43" s="156">
        <v>0</v>
      </c>
      <c r="N43" s="156">
        <v>0</v>
      </c>
    </row>
    <row r="44" spans="1:14" ht="30" x14ac:dyDescent="0.25">
      <c r="A44" s="152" t="s">
        <v>499</v>
      </c>
      <c r="B44" s="155">
        <v>0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</row>
    <row r="45" spans="1:14" ht="30" x14ac:dyDescent="0.25">
      <c r="A45" s="152" t="s">
        <v>498</v>
      </c>
      <c r="B45" s="155">
        <v>0</v>
      </c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</row>
    <row r="46" spans="1:14" ht="30" x14ac:dyDescent="0.25">
      <c r="A46" s="152" t="s">
        <v>497</v>
      </c>
      <c r="B46" s="155">
        <v>0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</row>
    <row r="47" spans="1:14" ht="30" x14ac:dyDescent="0.25">
      <c r="A47" s="152" t="s">
        <v>496</v>
      </c>
      <c r="B47" s="155">
        <v>0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</row>
    <row r="48" spans="1:14" ht="30" x14ac:dyDescent="0.25">
      <c r="A48" s="152" t="s">
        <v>495</v>
      </c>
      <c r="B48" s="155">
        <v>0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</row>
    <row r="49" spans="1:14" ht="30" x14ac:dyDescent="0.25">
      <c r="A49" s="152" t="s">
        <v>494</v>
      </c>
      <c r="B49" s="155">
        <v>0</v>
      </c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</row>
    <row r="50" spans="1:14" ht="30" x14ac:dyDescent="0.25">
      <c r="A50" s="152" t="s">
        <v>493</v>
      </c>
      <c r="B50" s="155">
        <v>0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</row>
    <row r="51" spans="1:14" x14ac:dyDescent="0.25">
      <c r="A51" s="158" t="s">
        <v>492</v>
      </c>
      <c r="B51" s="157">
        <v>52693222.760000005</v>
      </c>
      <c r="C51" s="156">
        <v>0</v>
      </c>
      <c r="D51" s="156">
        <v>6461017.2600000007</v>
      </c>
      <c r="E51" s="156">
        <v>11396849.360000001</v>
      </c>
      <c r="F51" s="156">
        <v>4665041.3900000006</v>
      </c>
      <c r="G51" s="156">
        <v>6580673.1400000006</v>
      </c>
      <c r="H51" s="156">
        <v>3698140.34</v>
      </c>
      <c r="I51" s="156">
        <v>9300722.7199999988</v>
      </c>
      <c r="J51" s="156">
        <v>10590778.550000001</v>
      </c>
      <c r="K51" s="156">
        <f>SUM(K52:K60)</f>
        <v>5819603.3499999996</v>
      </c>
      <c r="L51" s="156">
        <v>0</v>
      </c>
      <c r="M51" s="156">
        <v>0</v>
      </c>
      <c r="N51" s="156">
        <v>0</v>
      </c>
    </row>
    <row r="52" spans="1:14" x14ac:dyDescent="0.25">
      <c r="A52" s="152" t="s">
        <v>491</v>
      </c>
      <c r="B52" s="155">
        <v>9670028.2599999998</v>
      </c>
      <c r="C52" s="151"/>
      <c r="D52" s="151">
        <v>432420.86</v>
      </c>
      <c r="E52" s="151">
        <v>678205</v>
      </c>
      <c r="F52" s="151">
        <v>1812434.48</v>
      </c>
      <c r="G52" s="151">
        <v>231484.25</v>
      </c>
      <c r="H52" s="151">
        <v>1542516.34</v>
      </c>
      <c r="I52" s="151">
        <v>2268904.39</v>
      </c>
      <c r="J52" s="151">
        <v>2704062.94</v>
      </c>
      <c r="K52" s="151">
        <v>1146269.97</v>
      </c>
      <c r="L52" s="151"/>
      <c r="M52" s="151"/>
      <c r="N52" s="151"/>
    </row>
    <row r="53" spans="1:14" ht="30" x14ac:dyDescent="0.25">
      <c r="A53" s="152" t="s">
        <v>490</v>
      </c>
      <c r="B53" s="155">
        <v>182926.74</v>
      </c>
      <c r="C53" s="151"/>
      <c r="D53" s="151"/>
      <c r="E53" s="151"/>
      <c r="F53" s="151"/>
      <c r="G53" s="151">
        <v>182926.74</v>
      </c>
      <c r="H53" s="151"/>
      <c r="I53" s="151"/>
      <c r="J53" s="151"/>
      <c r="K53" s="151"/>
      <c r="L53" s="151"/>
      <c r="M53" s="151"/>
      <c r="N53" s="151"/>
    </row>
    <row r="54" spans="1:14" ht="30" x14ac:dyDescent="0.25">
      <c r="A54" s="152" t="s">
        <v>489</v>
      </c>
      <c r="B54" s="155">
        <v>29728570.25</v>
      </c>
      <c r="C54" s="151"/>
      <c r="D54" s="151">
        <v>6028596.4000000004</v>
      </c>
      <c r="E54" s="151">
        <v>10715444.390000001</v>
      </c>
      <c r="F54" s="151">
        <v>2635786.91</v>
      </c>
      <c r="G54" s="151">
        <v>2285211.66</v>
      </c>
      <c r="H54" s="151">
        <v>1742624</v>
      </c>
      <c r="I54" s="151">
        <v>5025506.72</v>
      </c>
      <c r="J54" s="151">
        <v>1295400.17</v>
      </c>
      <c r="K54" s="151">
        <v>4197628.18</v>
      </c>
      <c r="L54" s="151"/>
      <c r="M54" s="151"/>
      <c r="N54" s="151"/>
    </row>
    <row r="55" spans="1:14" ht="30" x14ac:dyDescent="0.25">
      <c r="A55" s="152" t="s">
        <v>488</v>
      </c>
      <c r="B55" s="155">
        <v>0</v>
      </c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</row>
    <row r="56" spans="1:14" ht="30" x14ac:dyDescent="0.25">
      <c r="A56" s="152" t="s">
        <v>487</v>
      </c>
      <c r="B56" s="155">
        <v>12766136.57</v>
      </c>
      <c r="C56" s="151"/>
      <c r="D56" s="151"/>
      <c r="E56" s="151">
        <v>3199.97</v>
      </c>
      <c r="F56" s="151">
        <v>216820</v>
      </c>
      <c r="G56" s="151">
        <v>3535489.55</v>
      </c>
      <c r="H56" s="151">
        <v>413000</v>
      </c>
      <c r="I56" s="151">
        <v>2006311.61</v>
      </c>
      <c r="J56" s="151">
        <v>6591315.4400000004</v>
      </c>
      <c r="K56" s="151">
        <v>409625.2</v>
      </c>
      <c r="L56" s="151"/>
      <c r="M56" s="151"/>
      <c r="N56" s="151"/>
    </row>
    <row r="57" spans="1:14" x14ac:dyDescent="0.25">
      <c r="A57" s="152" t="s">
        <v>486</v>
      </c>
      <c r="B57" s="155">
        <v>0</v>
      </c>
      <c r="C57" s="151"/>
      <c r="D57" s="151"/>
      <c r="E57" s="151"/>
      <c r="F57" s="151"/>
      <c r="G57" s="151"/>
      <c r="H57" s="151"/>
      <c r="I57" s="151"/>
      <c r="J57" s="151"/>
      <c r="K57" s="151">
        <v>66080</v>
      </c>
      <c r="L57" s="151"/>
      <c r="M57" s="151"/>
      <c r="N57" s="151"/>
    </row>
    <row r="58" spans="1:14" x14ac:dyDescent="0.25">
      <c r="A58" s="152" t="s">
        <v>485</v>
      </c>
      <c r="B58" s="155">
        <v>0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</row>
    <row r="59" spans="1:14" x14ac:dyDescent="0.25">
      <c r="A59" s="152" t="s">
        <v>484</v>
      </c>
      <c r="B59" s="155">
        <v>0</v>
      </c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</row>
    <row r="60" spans="1:14" ht="30" x14ac:dyDescent="0.25">
      <c r="A60" s="152" t="s">
        <v>483</v>
      </c>
      <c r="B60" s="155">
        <v>345560.94</v>
      </c>
      <c r="C60" s="151"/>
      <c r="D60" s="151"/>
      <c r="E60" s="151"/>
      <c r="F60" s="151"/>
      <c r="G60" s="151">
        <v>345560.94</v>
      </c>
      <c r="H60" s="151"/>
      <c r="I60" s="151"/>
      <c r="J60" s="151"/>
      <c r="K60" s="151"/>
      <c r="L60" s="151"/>
      <c r="M60" s="151"/>
      <c r="N60" s="151"/>
    </row>
    <row r="61" spans="1:14" x14ac:dyDescent="0.25">
      <c r="A61" s="158" t="s">
        <v>482</v>
      </c>
      <c r="B61" s="157">
        <v>0</v>
      </c>
      <c r="C61" s="156">
        <v>0</v>
      </c>
      <c r="D61" s="156">
        <v>0</v>
      </c>
      <c r="E61" s="156">
        <v>0</v>
      </c>
      <c r="F61" s="156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  <c r="L61" s="156">
        <v>0</v>
      </c>
      <c r="M61" s="156">
        <v>0</v>
      </c>
      <c r="N61" s="156">
        <v>0</v>
      </c>
    </row>
    <row r="62" spans="1:14" x14ac:dyDescent="0.25">
      <c r="A62" s="152" t="s">
        <v>481</v>
      </c>
      <c r="B62" s="155">
        <v>0</v>
      </c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</row>
    <row r="63" spans="1:14" x14ac:dyDescent="0.25">
      <c r="A63" s="152" t="s">
        <v>480</v>
      </c>
      <c r="B63" s="155">
        <v>0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</row>
    <row r="64" spans="1:14" ht="30" x14ac:dyDescent="0.25">
      <c r="A64" s="152" t="s">
        <v>479</v>
      </c>
      <c r="B64" s="155">
        <v>0</v>
      </c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</row>
    <row r="65" spans="1:14" ht="45" x14ac:dyDescent="0.25">
      <c r="A65" s="152" t="s">
        <v>478</v>
      </c>
      <c r="B65" s="155">
        <v>0</v>
      </c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</row>
    <row r="66" spans="1:14" ht="30" x14ac:dyDescent="0.25">
      <c r="A66" s="158" t="s">
        <v>477</v>
      </c>
      <c r="B66" s="157">
        <v>0</v>
      </c>
      <c r="C66" s="156">
        <v>0</v>
      </c>
      <c r="D66" s="156">
        <v>0</v>
      </c>
      <c r="E66" s="156">
        <v>0</v>
      </c>
      <c r="F66" s="156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  <c r="L66" s="156">
        <v>0</v>
      </c>
      <c r="M66" s="156">
        <v>0</v>
      </c>
      <c r="N66" s="156">
        <v>0</v>
      </c>
    </row>
    <row r="67" spans="1:14" x14ac:dyDescent="0.25">
      <c r="A67" s="152" t="s">
        <v>476</v>
      </c>
      <c r="B67" s="155">
        <v>0</v>
      </c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</row>
    <row r="68" spans="1:14" ht="30" x14ac:dyDescent="0.25">
      <c r="A68" s="152" t="s">
        <v>475</v>
      </c>
      <c r="B68" s="155">
        <v>0</v>
      </c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</row>
    <row r="69" spans="1:14" x14ac:dyDescent="0.25">
      <c r="A69" s="158" t="s">
        <v>474</v>
      </c>
      <c r="B69" s="157">
        <v>0</v>
      </c>
      <c r="C69" s="156">
        <v>0</v>
      </c>
      <c r="D69" s="156">
        <v>0</v>
      </c>
      <c r="E69" s="156">
        <v>0</v>
      </c>
      <c r="F69" s="156">
        <v>0</v>
      </c>
      <c r="G69" s="156">
        <v>0</v>
      </c>
      <c r="H69" s="156">
        <v>0</v>
      </c>
      <c r="I69" s="156">
        <v>0</v>
      </c>
      <c r="J69" s="156">
        <v>0</v>
      </c>
      <c r="K69" s="156">
        <v>0</v>
      </c>
      <c r="L69" s="156">
        <v>0</v>
      </c>
      <c r="M69" s="156">
        <v>0</v>
      </c>
      <c r="N69" s="156">
        <v>0</v>
      </c>
    </row>
    <row r="70" spans="1:14" x14ac:dyDescent="0.25">
      <c r="A70" s="152" t="s">
        <v>473</v>
      </c>
      <c r="B70" s="155">
        <v>0</v>
      </c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</row>
    <row r="71" spans="1:14" x14ac:dyDescent="0.25">
      <c r="A71" s="152" t="s">
        <v>472</v>
      </c>
      <c r="B71" s="155">
        <v>0</v>
      </c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</row>
    <row r="72" spans="1:14" ht="30" x14ac:dyDescent="0.25">
      <c r="A72" s="152" t="s">
        <v>471</v>
      </c>
      <c r="B72" s="155">
        <v>0</v>
      </c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</row>
    <row r="73" spans="1:14" x14ac:dyDescent="0.25">
      <c r="A73" s="150" t="s">
        <v>470</v>
      </c>
      <c r="B73" s="149">
        <v>759276192.02999997</v>
      </c>
      <c r="C73" s="149">
        <v>70061780.310000002</v>
      </c>
      <c r="D73" s="149">
        <v>89363053.320000008</v>
      </c>
      <c r="E73" s="149">
        <v>112455416.94</v>
      </c>
      <c r="F73" s="149">
        <v>91800339.5</v>
      </c>
      <c r="G73" s="149">
        <v>91500561.63000001</v>
      </c>
      <c r="H73" s="149">
        <v>93930744.409999996</v>
      </c>
      <c r="I73" s="149">
        <v>110292183.97999999</v>
      </c>
      <c r="J73" s="149">
        <f>+J69+J66+J61+J51+J43+J35+J25+J15+J9</f>
        <v>99872111.940000013</v>
      </c>
      <c r="K73" s="149">
        <f>+K69+K66+K61+K51+K43+K35+K25+K15+K9</f>
        <v>110335214.13999999</v>
      </c>
      <c r="L73" s="149"/>
      <c r="M73" s="149"/>
      <c r="N73" s="149">
        <v>0</v>
      </c>
    </row>
    <row r="74" spans="1:14" x14ac:dyDescent="0.25">
      <c r="A74" s="154" t="s">
        <v>469</v>
      </c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</row>
    <row r="75" spans="1:14" x14ac:dyDescent="0.25">
      <c r="A75" s="154" t="s">
        <v>468</v>
      </c>
      <c r="B75" s="125"/>
      <c r="C75" s="153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30" x14ac:dyDescent="0.25">
      <c r="A76" s="152" t="s">
        <v>467</v>
      </c>
      <c r="B76" s="125"/>
      <c r="C76" s="151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30" x14ac:dyDescent="0.25">
      <c r="A77" s="152" t="s">
        <v>466</v>
      </c>
      <c r="B77" s="125"/>
      <c r="C77" s="151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 x14ac:dyDescent="0.25">
      <c r="A78" s="154" t="s">
        <v>465</v>
      </c>
      <c r="B78" s="125"/>
      <c r="C78" s="153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 x14ac:dyDescent="0.25">
      <c r="A79" s="152" t="s">
        <v>464</v>
      </c>
      <c r="B79" s="125"/>
      <c r="C79" s="151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 x14ac:dyDescent="0.25">
      <c r="A80" s="152" t="s">
        <v>463</v>
      </c>
      <c r="B80" s="125"/>
      <c r="C80" s="151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 x14ac:dyDescent="0.25">
      <c r="A81" s="154" t="s">
        <v>462</v>
      </c>
      <c r="B81" s="125"/>
      <c r="C81" s="153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30" x14ac:dyDescent="0.25">
      <c r="A82" s="152" t="s">
        <v>461</v>
      </c>
      <c r="B82" s="125"/>
      <c r="C82" s="151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 x14ac:dyDescent="0.25">
      <c r="A83" s="150" t="s">
        <v>460</v>
      </c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</row>
    <row r="84" spans="1:14" x14ac:dyDescent="0.25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15.75" x14ac:dyDescent="0.25">
      <c r="A85" s="148" t="s">
        <v>459</v>
      </c>
      <c r="B85" s="147">
        <v>759276192.02999997</v>
      </c>
      <c r="C85" s="147">
        <v>70061780.310000002</v>
      </c>
      <c r="D85" s="147">
        <v>89363053.320000008</v>
      </c>
      <c r="E85" s="147">
        <v>112455416.94</v>
      </c>
      <c r="F85" s="147">
        <v>91800339.5</v>
      </c>
      <c r="G85" s="147">
        <v>91500561.63000001</v>
      </c>
      <c r="H85" s="147">
        <v>93930744.409999996</v>
      </c>
      <c r="I85" s="147">
        <v>110292183.97999999</v>
      </c>
      <c r="J85" s="147">
        <v>99872111.939999998</v>
      </c>
      <c r="K85" s="147">
        <v>99872111.939999998</v>
      </c>
      <c r="L85" s="147">
        <v>99872111.939999998</v>
      </c>
      <c r="M85" s="147">
        <v>99872111.939999998</v>
      </c>
      <c r="N85" s="147">
        <v>99872111.939999998</v>
      </c>
    </row>
    <row r="86" spans="1:14" x14ac:dyDescent="0.25">
      <c r="A86" t="s">
        <v>458</v>
      </c>
      <c r="B86" s="227"/>
    </row>
    <row r="87" spans="1:14" x14ac:dyDescent="0.25">
      <c r="A87" t="s">
        <v>940</v>
      </c>
    </row>
    <row r="88" spans="1:14" x14ac:dyDescent="0.25">
      <c r="A88" t="s">
        <v>1288</v>
      </c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scale="39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8"/>
  <sheetViews>
    <sheetView view="pageBreakPreview" zoomScale="60" zoomScaleNormal="90" workbookViewId="0">
      <pane xSplit="2" ySplit="7" topLeftCell="C32" activePane="bottomRight" state="frozen"/>
      <selection pane="topRight" activeCell="C1" sqref="C1"/>
      <selection pane="bottomLeft" activeCell="A8" sqref="A8"/>
      <selection pane="bottomRight" activeCell="D40" sqref="D40"/>
    </sheetView>
  </sheetViews>
  <sheetFormatPr defaultColWidth="9.140625" defaultRowHeight="15" x14ac:dyDescent="0.25"/>
  <cols>
    <col min="1" max="1" width="70.140625" bestFit="1" customWidth="1"/>
    <col min="2" max="2" width="20.140625" bestFit="1" customWidth="1"/>
    <col min="3" max="7" width="18.7109375" bestFit="1" customWidth="1"/>
    <col min="8" max="8" width="18.28515625" bestFit="1" customWidth="1"/>
    <col min="9" max="10" width="18.7109375" bestFit="1" customWidth="1"/>
    <col min="11" max="11" width="19.140625" bestFit="1" customWidth="1"/>
    <col min="12" max="12" width="12.7109375" bestFit="1" customWidth="1"/>
    <col min="13" max="13" width="15.85546875" bestFit="1" customWidth="1"/>
    <col min="14" max="14" width="15.140625" bestFit="1" customWidth="1"/>
  </cols>
  <sheetData>
    <row r="1" spans="1:14" ht="18.75" x14ac:dyDescent="0.25">
      <c r="A1" s="406" t="s">
        <v>77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</row>
    <row r="2" spans="1:14" ht="18.75" x14ac:dyDescent="0.25">
      <c r="A2" s="406" t="s">
        <v>688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</row>
    <row r="3" spans="1:14" ht="18.75" x14ac:dyDescent="0.25">
      <c r="A3" s="406" t="s">
        <v>551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</row>
    <row r="4" spans="1:14" ht="15.75" x14ac:dyDescent="0.25">
      <c r="A4" s="407" t="s">
        <v>939</v>
      </c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</row>
    <row r="5" spans="1:14" x14ac:dyDescent="0.25">
      <c r="A5" s="344" t="s">
        <v>550</v>
      </c>
      <c r="B5" s="344"/>
      <c r="C5" s="344"/>
      <c r="D5" s="344"/>
      <c r="E5" s="344"/>
      <c r="F5" s="344"/>
      <c r="G5" s="344"/>
      <c r="H5" s="344"/>
      <c r="I5" s="344"/>
      <c r="J5" s="344"/>
      <c r="K5" s="344"/>
      <c r="L5" s="344"/>
      <c r="M5" s="344"/>
      <c r="N5" s="344"/>
    </row>
    <row r="7" spans="1:14" ht="15.75" x14ac:dyDescent="0.25">
      <c r="A7" s="161" t="s">
        <v>549</v>
      </c>
      <c r="B7" s="295" t="s">
        <v>548</v>
      </c>
      <c r="C7" s="295" t="s">
        <v>547</v>
      </c>
      <c r="D7" s="295" t="s">
        <v>546</v>
      </c>
      <c r="E7" s="160" t="s">
        <v>545</v>
      </c>
      <c r="F7" s="160" t="s">
        <v>544</v>
      </c>
      <c r="G7" s="160" t="s">
        <v>543</v>
      </c>
      <c r="H7" s="160" t="s">
        <v>542</v>
      </c>
      <c r="I7" s="160" t="s">
        <v>541</v>
      </c>
      <c r="J7" s="160" t="s">
        <v>540</v>
      </c>
      <c r="K7" s="160" t="s">
        <v>539</v>
      </c>
      <c r="L7" s="160" t="s">
        <v>538</v>
      </c>
      <c r="M7" s="160" t="s">
        <v>537</v>
      </c>
      <c r="N7" s="160" t="s">
        <v>536</v>
      </c>
    </row>
    <row r="8" spans="1:14" x14ac:dyDescent="0.25">
      <c r="A8" s="154" t="s">
        <v>535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</row>
    <row r="9" spans="1:14" x14ac:dyDescent="0.25">
      <c r="A9" s="158" t="s">
        <v>534</v>
      </c>
      <c r="B9" s="156">
        <f>SUM(C9:N9)</f>
        <v>9644681.1400000006</v>
      </c>
      <c r="C9" s="156">
        <v>0</v>
      </c>
      <c r="D9" s="156">
        <v>0</v>
      </c>
      <c r="E9" s="156">
        <v>5231553.59</v>
      </c>
      <c r="F9" s="156">
        <v>0</v>
      </c>
      <c r="G9" s="156">
        <v>0</v>
      </c>
      <c r="H9" s="156">
        <v>0</v>
      </c>
      <c r="I9" s="156">
        <v>0</v>
      </c>
      <c r="J9" s="156">
        <v>0</v>
      </c>
      <c r="K9" s="156">
        <f>SUM(K10:K14)</f>
        <v>4413127.5500000007</v>
      </c>
      <c r="L9" s="156">
        <v>0</v>
      </c>
      <c r="M9" s="156">
        <v>0</v>
      </c>
      <c r="N9" s="156">
        <v>0</v>
      </c>
    </row>
    <row r="10" spans="1:14" x14ac:dyDescent="0.25">
      <c r="A10" s="152" t="s">
        <v>533</v>
      </c>
      <c r="B10" s="151">
        <f t="shared" ref="B10:B72" si="0">SUM(C10:N10)</f>
        <v>0</v>
      </c>
      <c r="C10" s="151"/>
      <c r="D10" s="151"/>
      <c r="E10" s="151"/>
      <c r="F10" s="151"/>
      <c r="G10" s="151"/>
      <c r="H10" s="151"/>
      <c r="I10" s="151"/>
      <c r="J10" s="151"/>
      <c r="K10" s="122"/>
      <c r="L10" s="151"/>
      <c r="M10" s="151"/>
      <c r="N10" s="151"/>
    </row>
    <row r="11" spans="1:14" x14ac:dyDescent="0.25">
      <c r="A11" s="152" t="s">
        <v>532</v>
      </c>
      <c r="B11" s="151">
        <f t="shared" si="0"/>
        <v>9644681.1400000006</v>
      </c>
      <c r="C11" s="151"/>
      <c r="D11" s="151"/>
      <c r="E11" s="151">
        <v>5231553.59</v>
      </c>
      <c r="F11" s="151"/>
      <c r="G11" s="151"/>
      <c r="H11" s="151"/>
      <c r="I11" s="151"/>
      <c r="J11" s="151"/>
      <c r="K11" s="122">
        <v>4413127.5500000007</v>
      </c>
      <c r="L11" s="151"/>
      <c r="M11" s="151"/>
      <c r="N11" s="151"/>
    </row>
    <row r="12" spans="1:14" x14ac:dyDescent="0.25">
      <c r="A12" s="152" t="s">
        <v>531</v>
      </c>
      <c r="B12" s="151">
        <f t="shared" si="0"/>
        <v>0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</row>
    <row r="13" spans="1:14" x14ac:dyDescent="0.25">
      <c r="A13" s="152" t="s">
        <v>530</v>
      </c>
      <c r="B13" s="151">
        <f t="shared" si="0"/>
        <v>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</row>
    <row r="14" spans="1:14" x14ac:dyDescent="0.25">
      <c r="A14" s="152" t="s">
        <v>529</v>
      </c>
      <c r="B14" s="151">
        <f t="shared" si="0"/>
        <v>0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</row>
    <row r="15" spans="1:14" x14ac:dyDescent="0.25">
      <c r="A15" s="158" t="s">
        <v>528</v>
      </c>
      <c r="B15" s="156">
        <f t="shared" si="0"/>
        <v>25924513.390000001</v>
      </c>
      <c r="C15" s="156">
        <v>2733844.2800000003</v>
      </c>
      <c r="D15" s="156">
        <v>1213383.3500000001</v>
      </c>
      <c r="E15" s="156">
        <v>4359456.22</v>
      </c>
      <c r="F15" s="156">
        <v>1256712.0899999999</v>
      </c>
      <c r="G15" s="156">
        <v>2044062.6</v>
      </c>
      <c r="H15" s="156">
        <v>3938639.0999999996</v>
      </c>
      <c r="I15" s="156">
        <v>5012155.75</v>
      </c>
      <c r="J15" s="156">
        <v>3808523.8099999996</v>
      </c>
      <c r="K15" s="156">
        <f>SUM(K16:K24)</f>
        <v>1557736.19</v>
      </c>
      <c r="L15" s="156">
        <v>0</v>
      </c>
      <c r="M15" s="156">
        <v>0</v>
      </c>
      <c r="N15" s="156">
        <v>0</v>
      </c>
    </row>
    <row r="16" spans="1:14" x14ac:dyDescent="0.25">
      <c r="A16" s="152" t="s">
        <v>527</v>
      </c>
      <c r="B16" s="151">
        <f t="shared" si="0"/>
        <v>7567080.1999999993</v>
      </c>
      <c r="C16" s="151">
        <v>351316.33</v>
      </c>
      <c r="D16" s="151">
        <v>259054.4</v>
      </c>
      <c r="E16" s="151">
        <v>1731191.19</v>
      </c>
      <c r="F16" s="151">
        <v>285608.3</v>
      </c>
      <c r="G16" s="151">
        <v>1098463.42</v>
      </c>
      <c r="H16" s="151">
        <v>964509</v>
      </c>
      <c r="I16" s="151">
        <v>1781904.05</v>
      </c>
      <c r="J16" s="151">
        <v>933611.83</v>
      </c>
      <c r="K16" s="151">
        <v>161421.68</v>
      </c>
      <c r="L16" s="151"/>
      <c r="M16" s="151"/>
      <c r="N16" s="151"/>
    </row>
    <row r="17" spans="1:14" x14ac:dyDescent="0.25">
      <c r="A17" s="152" t="s">
        <v>526</v>
      </c>
      <c r="B17" s="151">
        <f t="shared" si="0"/>
        <v>1497864.57</v>
      </c>
      <c r="C17" s="151"/>
      <c r="D17" s="151"/>
      <c r="E17" s="151"/>
      <c r="F17" s="151"/>
      <c r="G17" s="151"/>
      <c r="H17" s="151">
        <v>310139.40000000002</v>
      </c>
      <c r="I17" s="151">
        <v>581445</v>
      </c>
      <c r="J17" s="151">
        <v>336559.6</v>
      </c>
      <c r="K17" s="151">
        <v>269720.57</v>
      </c>
      <c r="L17" s="151"/>
      <c r="M17" s="151"/>
      <c r="N17" s="151"/>
    </row>
    <row r="18" spans="1:14" x14ac:dyDescent="0.25">
      <c r="A18" s="152" t="s">
        <v>525</v>
      </c>
      <c r="B18" s="151">
        <f t="shared" si="0"/>
        <v>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</row>
    <row r="19" spans="1:14" ht="18" customHeight="1" x14ac:dyDescent="0.25">
      <c r="A19" s="152" t="s">
        <v>524</v>
      </c>
      <c r="B19" s="151">
        <f t="shared" si="0"/>
        <v>228000</v>
      </c>
      <c r="C19" s="151"/>
      <c r="D19" s="151">
        <v>24000</v>
      </c>
      <c r="E19" s="151">
        <v>32000</v>
      </c>
      <c r="F19" s="151"/>
      <c r="G19" s="151">
        <v>76000</v>
      </c>
      <c r="H19" s="151">
        <v>20000</v>
      </c>
      <c r="I19" s="151">
        <v>8000</v>
      </c>
      <c r="J19" s="151"/>
      <c r="K19" s="151">
        <v>68000</v>
      </c>
      <c r="L19" s="151"/>
      <c r="M19" s="151"/>
      <c r="N19" s="151"/>
    </row>
    <row r="20" spans="1:14" x14ac:dyDescent="0.25">
      <c r="A20" s="152" t="s">
        <v>523</v>
      </c>
      <c r="B20" s="151">
        <f t="shared" si="0"/>
        <v>2205821.21</v>
      </c>
      <c r="C20" s="151">
        <v>266664.25</v>
      </c>
      <c r="D20" s="151">
        <v>252960.9</v>
      </c>
      <c r="E20" s="151"/>
      <c r="F20" s="151">
        <v>229519.78</v>
      </c>
      <c r="G20" s="151">
        <v>529650.64</v>
      </c>
      <c r="H20" s="151"/>
      <c r="I20" s="151">
        <v>298861.53999999998</v>
      </c>
      <c r="J20" s="151">
        <v>628164.1</v>
      </c>
      <c r="K20" s="151"/>
      <c r="L20" s="151"/>
      <c r="M20" s="151"/>
      <c r="N20" s="151"/>
    </row>
    <row r="21" spans="1:14" x14ac:dyDescent="0.25">
      <c r="A21" s="152" t="s">
        <v>522</v>
      </c>
      <c r="B21" s="151">
        <f t="shared" si="0"/>
        <v>0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</row>
    <row r="22" spans="1:14" ht="30" x14ac:dyDescent="0.25">
      <c r="A22" s="152" t="s">
        <v>521</v>
      </c>
      <c r="B22" s="151">
        <f t="shared" si="0"/>
        <v>8957936.4400000013</v>
      </c>
      <c r="C22" s="151">
        <v>2064518.35</v>
      </c>
      <c r="D22" s="151">
        <v>472756.61000000004</v>
      </c>
      <c r="E22" s="151">
        <v>2019575.16</v>
      </c>
      <c r="F22" s="151">
        <v>199877.53</v>
      </c>
      <c r="G22" s="151">
        <v>205899.14</v>
      </c>
      <c r="H22" s="151">
        <v>635040.9</v>
      </c>
      <c r="I22" s="151">
        <v>1632573.28</v>
      </c>
      <c r="J22" s="151">
        <v>925675.21</v>
      </c>
      <c r="K22" s="151">
        <v>802020.26</v>
      </c>
      <c r="L22" s="151"/>
      <c r="M22" s="151"/>
      <c r="N22" s="151"/>
    </row>
    <row r="23" spans="1:14" x14ac:dyDescent="0.25">
      <c r="A23" s="152" t="s">
        <v>520</v>
      </c>
      <c r="B23" s="151">
        <f t="shared" si="0"/>
        <v>4007794.02</v>
      </c>
      <c r="C23" s="151">
        <v>51345.35</v>
      </c>
      <c r="D23" s="151">
        <v>204611.44</v>
      </c>
      <c r="E23" s="151">
        <v>576689.87</v>
      </c>
      <c r="F23" s="151">
        <v>541706.48</v>
      </c>
      <c r="G23" s="151">
        <v>134049.4</v>
      </c>
      <c r="H23" s="151">
        <v>1098662.3999999999</v>
      </c>
      <c r="I23" s="151">
        <v>709371.88</v>
      </c>
      <c r="J23" s="151">
        <v>524832.27</v>
      </c>
      <c r="K23" s="151">
        <v>166524.93</v>
      </c>
      <c r="L23" s="151"/>
      <c r="M23" s="151"/>
      <c r="N23" s="151"/>
    </row>
    <row r="24" spans="1:14" x14ac:dyDescent="0.25">
      <c r="A24" s="152" t="s">
        <v>519</v>
      </c>
      <c r="B24" s="151">
        <f t="shared" si="0"/>
        <v>1460016.95</v>
      </c>
      <c r="C24" s="151"/>
      <c r="D24" s="151"/>
      <c r="E24" s="151"/>
      <c r="F24" s="151"/>
      <c r="G24" s="151"/>
      <c r="H24" s="151">
        <v>910287.4</v>
      </c>
      <c r="I24" s="151"/>
      <c r="J24" s="151">
        <v>459680.8</v>
      </c>
      <c r="K24" s="151">
        <v>90048.75</v>
      </c>
      <c r="L24" s="151"/>
      <c r="M24" s="151"/>
      <c r="N24" s="151"/>
    </row>
    <row r="25" spans="1:14" x14ac:dyDescent="0.25">
      <c r="A25" s="158" t="s">
        <v>518</v>
      </c>
      <c r="B25" s="156">
        <f t="shared" si="0"/>
        <v>22937084.959999997</v>
      </c>
      <c r="C25" s="156">
        <v>3062630.67</v>
      </c>
      <c r="D25" s="156">
        <v>2432378.29</v>
      </c>
      <c r="E25" s="156">
        <v>1797538.3199999998</v>
      </c>
      <c r="F25" s="156">
        <v>2995765.1999999997</v>
      </c>
      <c r="G25" s="156">
        <v>2557401.6</v>
      </c>
      <c r="H25" s="156">
        <v>999513.81</v>
      </c>
      <c r="I25" s="156">
        <v>3444623.87</v>
      </c>
      <c r="J25" s="156">
        <v>2478357.52</v>
      </c>
      <c r="K25" s="156">
        <f>SUM(K26:K34)</f>
        <v>3168875.6799999997</v>
      </c>
      <c r="L25" s="156">
        <v>0</v>
      </c>
      <c r="M25" s="156">
        <v>0</v>
      </c>
      <c r="N25" s="156">
        <v>0</v>
      </c>
    </row>
    <row r="26" spans="1:14" x14ac:dyDescent="0.25">
      <c r="A26" s="152" t="s">
        <v>517</v>
      </c>
      <c r="B26" s="151">
        <f t="shared" si="0"/>
        <v>3738411.46</v>
      </c>
      <c r="C26" s="151">
        <v>541265</v>
      </c>
      <c r="D26" s="151">
        <v>300691.8</v>
      </c>
      <c r="E26" s="151">
        <v>658799</v>
      </c>
      <c r="F26" s="151">
        <v>94850</v>
      </c>
      <c r="G26" s="151">
        <v>355075</v>
      </c>
      <c r="H26" s="151">
        <v>213305</v>
      </c>
      <c r="I26" s="151">
        <v>360730</v>
      </c>
      <c r="J26" s="151">
        <v>166750</v>
      </c>
      <c r="K26" s="151">
        <v>1046945.66</v>
      </c>
      <c r="L26" s="151"/>
      <c r="M26" s="151"/>
      <c r="N26" s="151"/>
    </row>
    <row r="27" spans="1:14" x14ac:dyDescent="0.25">
      <c r="A27" s="152" t="s">
        <v>516</v>
      </c>
      <c r="B27" s="151">
        <f t="shared" si="0"/>
        <v>346306.4</v>
      </c>
      <c r="C27" s="151"/>
      <c r="D27" s="151"/>
      <c r="E27" s="151"/>
      <c r="F27" s="151"/>
      <c r="G27" s="151">
        <v>141128</v>
      </c>
      <c r="H27" s="151">
        <v>205178.4</v>
      </c>
      <c r="I27" s="151"/>
      <c r="J27" s="151"/>
      <c r="K27" s="151"/>
      <c r="L27" s="151"/>
      <c r="M27" s="151"/>
      <c r="N27" s="151"/>
    </row>
    <row r="28" spans="1:14" x14ac:dyDescent="0.25">
      <c r="A28" s="152" t="s">
        <v>515</v>
      </c>
      <c r="B28" s="151">
        <f t="shared" si="0"/>
        <v>1789484.03</v>
      </c>
      <c r="C28" s="151">
        <v>85550</v>
      </c>
      <c r="D28" s="151">
        <v>107616</v>
      </c>
      <c r="E28" s="151">
        <v>57997</v>
      </c>
      <c r="F28" s="151">
        <v>196824</v>
      </c>
      <c r="G28" s="151">
        <v>607165</v>
      </c>
      <c r="H28" s="151"/>
      <c r="I28" s="151">
        <v>26550</v>
      </c>
      <c r="J28" s="151">
        <v>690182</v>
      </c>
      <c r="K28" s="151">
        <v>17600.03</v>
      </c>
      <c r="L28" s="151"/>
      <c r="M28" s="151"/>
      <c r="N28" s="151"/>
    </row>
    <row r="29" spans="1:14" x14ac:dyDescent="0.25">
      <c r="A29" s="152" t="s">
        <v>514</v>
      </c>
      <c r="B29" s="151">
        <f t="shared" si="0"/>
        <v>1456220.76</v>
      </c>
      <c r="C29" s="151">
        <v>308000</v>
      </c>
      <c r="D29" s="151"/>
      <c r="E29" s="151">
        <v>250000</v>
      </c>
      <c r="F29" s="151">
        <v>92000</v>
      </c>
      <c r="G29" s="151">
        <v>130100</v>
      </c>
      <c r="H29" s="151">
        <v>180120.76</v>
      </c>
      <c r="I29" s="151">
        <v>152800</v>
      </c>
      <c r="J29" s="151">
        <v>269200</v>
      </c>
      <c r="K29" s="151">
        <v>74000</v>
      </c>
      <c r="L29" s="151"/>
      <c r="M29" s="151"/>
      <c r="N29" s="151"/>
    </row>
    <row r="30" spans="1:14" x14ac:dyDescent="0.25">
      <c r="A30" s="152" t="s">
        <v>513</v>
      </c>
      <c r="B30" s="151">
        <f t="shared" si="0"/>
        <v>707809.65</v>
      </c>
      <c r="C30" s="151"/>
      <c r="D30" s="151">
        <v>249831.2</v>
      </c>
      <c r="E30" s="151">
        <v>317663.67</v>
      </c>
      <c r="F30" s="151"/>
      <c r="G30" s="151"/>
      <c r="H30" s="151"/>
      <c r="I30" s="151">
        <v>77390.009999999995</v>
      </c>
      <c r="J30" s="151">
        <v>62924.77</v>
      </c>
      <c r="K30" s="151"/>
      <c r="L30" s="151"/>
      <c r="M30" s="151"/>
      <c r="N30" s="151"/>
    </row>
    <row r="31" spans="1:14" x14ac:dyDescent="0.25">
      <c r="A31" s="152" t="s">
        <v>512</v>
      </c>
      <c r="B31" s="151">
        <f t="shared" si="0"/>
        <v>505509.36</v>
      </c>
      <c r="C31" s="151"/>
      <c r="D31" s="151">
        <v>183732.33</v>
      </c>
      <c r="E31" s="151">
        <v>110224.97</v>
      </c>
      <c r="F31" s="151"/>
      <c r="G31" s="151"/>
      <c r="H31" s="151"/>
      <c r="I31" s="151">
        <v>24157.95</v>
      </c>
      <c r="J31" s="151">
        <v>187394.11</v>
      </c>
      <c r="K31" s="151"/>
      <c r="L31" s="151"/>
      <c r="M31" s="151"/>
      <c r="N31" s="151"/>
    </row>
    <row r="32" spans="1:14" x14ac:dyDescent="0.25">
      <c r="A32" s="152" t="s">
        <v>511</v>
      </c>
      <c r="B32" s="151">
        <f t="shared" si="0"/>
        <v>5484997.5800000001</v>
      </c>
      <c r="C32" s="151">
        <v>228412.84</v>
      </c>
      <c r="D32" s="151">
        <v>1114592.73</v>
      </c>
      <c r="E32" s="151">
        <v>317328.99</v>
      </c>
      <c r="F32" s="151">
        <v>226537</v>
      </c>
      <c r="G32" s="151">
        <v>1065923</v>
      </c>
      <c r="H32" s="151">
        <v>207742</v>
      </c>
      <c r="I32" s="151">
        <v>1044515</v>
      </c>
      <c r="J32" s="151">
        <v>250850.02</v>
      </c>
      <c r="K32" s="151">
        <v>1029096</v>
      </c>
      <c r="L32" s="151"/>
      <c r="M32" s="151"/>
      <c r="N32" s="151"/>
    </row>
    <row r="33" spans="1:14" ht="30" x14ac:dyDescent="0.25">
      <c r="A33" s="152" t="s">
        <v>510</v>
      </c>
      <c r="B33" s="151">
        <f t="shared" si="0"/>
        <v>0</v>
      </c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</row>
    <row r="34" spans="1:14" x14ac:dyDescent="0.25">
      <c r="A34" s="152" t="s">
        <v>509</v>
      </c>
      <c r="B34" s="151">
        <f t="shared" si="0"/>
        <v>8908345.7199999988</v>
      </c>
      <c r="C34" s="151">
        <v>1899402.83</v>
      </c>
      <c r="D34" s="151">
        <v>475914.23</v>
      </c>
      <c r="E34" s="151">
        <v>85524.69</v>
      </c>
      <c r="F34" s="151">
        <v>2385554.1999999997</v>
      </c>
      <c r="G34" s="151">
        <v>258010.6</v>
      </c>
      <c r="H34" s="151">
        <v>193167.65</v>
      </c>
      <c r="I34" s="151">
        <v>1758480.91</v>
      </c>
      <c r="J34" s="151">
        <v>851056.62</v>
      </c>
      <c r="K34" s="151">
        <v>1001233.99</v>
      </c>
      <c r="L34" s="151"/>
      <c r="M34" s="151"/>
      <c r="N34" s="151"/>
    </row>
    <row r="35" spans="1:14" x14ac:dyDescent="0.25">
      <c r="A35" s="158" t="s">
        <v>508</v>
      </c>
      <c r="B35" s="156">
        <f t="shared" si="0"/>
        <v>1634538.7</v>
      </c>
      <c r="C35" s="156">
        <v>136966.70000000001</v>
      </c>
      <c r="D35" s="156">
        <v>23400</v>
      </c>
      <c r="E35" s="156">
        <v>127420</v>
      </c>
      <c r="F35" s="156">
        <v>624573</v>
      </c>
      <c r="G35" s="156">
        <v>480808</v>
      </c>
      <c r="H35" s="156">
        <v>118600</v>
      </c>
      <c r="I35" s="156">
        <v>67571</v>
      </c>
      <c r="J35" s="156">
        <f>SUM(J36)</f>
        <v>33600</v>
      </c>
      <c r="K35" s="156">
        <f>SUM(K36:K42)</f>
        <v>21600</v>
      </c>
      <c r="L35" s="156">
        <v>0</v>
      </c>
      <c r="M35" s="156">
        <v>0</v>
      </c>
      <c r="N35" s="156">
        <v>0</v>
      </c>
    </row>
    <row r="36" spans="1:14" x14ac:dyDescent="0.25">
      <c r="A36" s="152" t="s">
        <v>507</v>
      </c>
      <c r="B36" s="151">
        <f t="shared" si="0"/>
        <v>1634538.7</v>
      </c>
      <c r="C36" s="151">
        <v>136966.70000000001</v>
      </c>
      <c r="D36" s="151">
        <v>23400</v>
      </c>
      <c r="E36" s="151">
        <v>127420</v>
      </c>
      <c r="F36" s="151">
        <v>624573</v>
      </c>
      <c r="G36" s="151">
        <v>480808</v>
      </c>
      <c r="H36" s="151">
        <v>118600</v>
      </c>
      <c r="I36" s="151">
        <v>67571</v>
      </c>
      <c r="J36" s="151">
        <v>33600</v>
      </c>
      <c r="K36" s="151">
        <v>21600</v>
      </c>
      <c r="L36" s="151"/>
      <c r="M36" s="151"/>
      <c r="N36" s="151"/>
    </row>
    <row r="37" spans="1:14" x14ac:dyDescent="0.25">
      <c r="A37" s="152" t="s">
        <v>506</v>
      </c>
      <c r="B37" s="151">
        <f t="shared" si="0"/>
        <v>0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</row>
    <row r="38" spans="1:14" x14ac:dyDescent="0.25">
      <c r="A38" s="152" t="s">
        <v>505</v>
      </c>
      <c r="B38" s="151">
        <f t="shared" si="0"/>
        <v>0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</row>
    <row r="39" spans="1:14" ht="30" x14ac:dyDescent="0.25">
      <c r="A39" s="152" t="s">
        <v>504</v>
      </c>
      <c r="B39" s="151">
        <f t="shared" si="0"/>
        <v>0</v>
      </c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</row>
    <row r="40" spans="1:14" ht="30" x14ac:dyDescent="0.25">
      <c r="A40" s="152" t="s">
        <v>503</v>
      </c>
      <c r="B40" s="151">
        <f t="shared" si="0"/>
        <v>0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</row>
    <row r="41" spans="1:14" x14ac:dyDescent="0.25">
      <c r="A41" s="152" t="s">
        <v>502</v>
      </c>
      <c r="B41" s="151">
        <f t="shared" si="0"/>
        <v>0</v>
      </c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</row>
    <row r="42" spans="1:14" x14ac:dyDescent="0.25">
      <c r="A42" s="152" t="s">
        <v>501</v>
      </c>
      <c r="B42" s="151">
        <f t="shared" si="0"/>
        <v>0</v>
      </c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</row>
    <row r="43" spans="1:14" x14ac:dyDescent="0.25">
      <c r="A43" s="158" t="s">
        <v>500</v>
      </c>
      <c r="B43" s="156">
        <f t="shared" si="0"/>
        <v>0</v>
      </c>
      <c r="C43" s="156">
        <v>0</v>
      </c>
      <c r="D43" s="156">
        <v>0</v>
      </c>
      <c r="E43" s="156">
        <v>0</v>
      </c>
      <c r="F43" s="156">
        <v>0</v>
      </c>
      <c r="G43" s="156">
        <v>0</v>
      </c>
      <c r="H43" s="156">
        <v>0</v>
      </c>
      <c r="I43" s="156">
        <v>0</v>
      </c>
      <c r="J43" s="156">
        <v>0</v>
      </c>
      <c r="K43" s="156">
        <f>SUM(K44:K50)</f>
        <v>0</v>
      </c>
      <c r="L43" s="156">
        <v>0</v>
      </c>
      <c r="M43" s="156">
        <v>0</v>
      </c>
      <c r="N43" s="156">
        <v>0</v>
      </c>
    </row>
    <row r="44" spans="1:14" x14ac:dyDescent="0.25">
      <c r="A44" s="152" t="s">
        <v>499</v>
      </c>
      <c r="B44" s="151">
        <f t="shared" si="0"/>
        <v>0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</row>
    <row r="45" spans="1:14" x14ac:dyDescent="0.25">
      <c r="A45" s="152" t="s">
        <v>498</v>
      </c>
      <c r="B45" s="151">
        <f t="shared" si="0"/>
        <v>0</v>
      </c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</row>
    <row r="46" spans="1:14" x14ac:dyDescent="0.25">
      <c r="A46" s="152" t="s">
        <v>497</v>
      </c>
      <c r="B46" s="151">
        <f t="shared" si="0"/>
        <v>0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</row>
    <row r="47" spans="1:14" ht="30" x14ac:dyDescent="0.25">
      <c r="A47" s="152" t="s">
        <v>496</v>
      </c>
      <c r="B47" s="151">
        <f t="shared" si="0"/>
        <v>0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</row>
    <row r="48" spans="1:14" ht="30" x14ac:dyDescent="0.25">
      <c r="A48" s="152" t="s">
        <v>495</v>
      </c>
      <c r="B48" s="151">
        <f t="shared" si="0"/>
        <v>0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</row>
    <row r="49" spans="1:14" x14ac:dyDescent="0.25">
      <c r="A49" s="152" t="s">
        <v>494</v>
      </c>
      <c r="B49" s="151">
        <f t="shared" si="0"/>
        <v>0</v>
      </c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</row>
    <row r="50" spans="1:14" x14ac:dyDescent="0.25">
      <c r="A50" s="152" t="s">
        <v>493</v>
      </c>
      <c r="B50" s="151">
        <f t="shared" si="0"/>
        <v>0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</row>
    <row r="51" spans="1:14" x14ac:dyDescent="0.25">
      <c r="A51" s="158" t="s">
        <v>492</v>
      </c>
      <c r="B51" s="156">
        <f t="shared" si="0"/>
        <v>15830427.799999999</v>
      </c>
      <c r="C51" s="156">
        <v>887994.84</v>
      </c>
      <c r="D51" s="156">
        <v>3887510</v>
      </c>
      <c r="E51" s="156">
        <v>300539.37</v>
      </c>
      <c r="F51" s="156">
        <v>0</v>
      </c>
      <c r="G51" s="156">
        <v>3927042.19</v>
      </c>
      <c r="H51" s="156">
        <v>1456388.96</v>
      </c>
      <c r="I51" s="156">
        <v>730510.01</v>
      </c>
      <c r="J51" s="156">
        <v>2395076.41</v>
      </c>
      <c r="K51" s="156">
        <f>SUM(K52:K60)</f>
        <v>2245366.02</v>
      </c>
      <c r="L51" s="156">
        <v>0</v>
      </c>
      <c r="M51" s="156">
        <v>0</v>
      </c>
      <c r="N51" s="156">
        <v>0</v>
      </c>
    </row>
    <row r="52" spans="1:14" x14ac:dyDescent="0.25">
      <c r="A52" s="152" t="s">
        <v>491</v>
      </c>
      <c r="B52" s="151">
        <f t="shared" si="0"/>
        <v>2937992.98</v>
      </c>
      <c r="C52" s="151"/>
      <c r="D52" s="151"/>
      <c r="E52" s="151"/>
      <c r="F52" s="151"/>
      <c r="G52" s="151"/>
      <c r="H52" s="151">
        <v>7995.01</v>
      </c>
      <c r="I52" s="151"/>
      <c r="J52" s="151">
        <v>684631.95</v>
      </c>
      <c r="K52" s="151">
        <v>2245366.02</v>
      </c>
      <c r="L52" s="151"/>
      <c r="M52" s="151"/>
      <c r="N52" s="151"/>
    </row>
    <row r="53" spans="1:14" x14ac:dyDescent="0.25">
      <c r="A53" s="152" t="s">
        <v>490</v>
      </c>
      <c r="B53" s="151">
        <f t="shared" si="0"/>
        <v>1788880</v>
      </c>
      <c r="C53" s="151"/>
      <c r="D53" s="151"/>
      <c r="E53" s="151"/>
      <c r="F53" s="151"/>
      <c r="G53" s="151"/>
      <c r="H53" s="151">
        <v>1399834</v>
      </c>
      <c r="I53" s="151">
        <v>389046</v>
      </c>
      <c r="J53" s="151"/>
      <c r="K53" s="151"/>
      <c r="L53" s="151"/>
      <c r="M53" s="151"/>
      <c r="N53" s="151"/>
    </row>
    <row r="54" spans="1:14" x14ac:dyDescent="0.25">
      <c r="A54" s="152" t="s">
        <v>489</v>
      </c>
      <c r="B54" s="151">
        <f t="shared" si="0"/>
        <v>8649071.4399999995</v>
      </c>
      <c r="C54" s="151">
        <v>887994.84</v>
      </c>
      <c r="D54" s="151">
        <v>2075030</v>
      </c>
      <c r="E54" s="151"/>
      <c r="F54" s="151"/>
      <c r="G54" s="151">
        <v>3927042.19</v>
      </c>
      <c r="H54" s="151">
        <v>48559.95</v>
      </c>
      <c r="I54" s="151"/>
      <c r="J54" s="151">
        <v>1710444.46</v>
      </c>
      <c r="K54" s="151"/>
      <c r="L54" s="151"/>
      <c r="M54" s="151"/>
      <c r="N54" s="151"/>
    </row>
    <row r="55" spans="1:14" x14ac:dyDescent="0.25">
      <c r="A55" s="152" t="s">
        <v>488</v>
      </c>
      <c r="B55" s="151">
        <f t="shared" si="0"/>
        <v>107609.37</v>
      </c>
      <c r="C55" s="151"/>
      <c r="D55" s="151"/>
      <c r="E55" s="151">
        <v>107609.37</v>
      </c>
      <c r="F55" s="151"/>
      <c r="G55" s="151"/>
      <c r="H55" s="151"/>
      <c r="I55" s="151"/>
      <c r="J55" s="151"/>
      <c r="K55" s="151"/>
      <c r="L55" s="151"/>
      <c r="M55" s="151"/>
      <c r="N55" s="151"/>
    </row>
    <row r="56" spans="1:14" x14ac:dyDescent="0.25">
      <c r="A56" s="152" t="s">
        <v>487</v>
      </c>
      <c r="B56" s="151">
        <f t="shared" si="0"/>
        <v>2288110.0099999998</v>
      </c>
      <c r="C56" s="151"/>
      <c r="D56" s="151">
        <v>1812480</v>
      </c>
      <c r="E56" s="151">
        <v>192930</v>
      </c>
      <c r="F56" s="151"/>
      <c r="G56" s="151"/>
      <c r="H56" s="151"/>
      <c r="I56" s="151">
        <v>282700.01</v>
      </c>
      <c r="J56" s="151"/>
      <c r="K56" s="151"/>
      <c r="L56" s="151"/>
      <c r="M56" s="151"/>
      <c r="N56" s="151"/>
    </row>
    <row r="57" spans="1:14" x14ac:dyDescent="0.25">
      <c r="A57" s="152" t="s">
        <v>486</v>
      </c>
      <c r="B57" s="151">
        <f t="shared" si="0"/>
        <v>58764</v>
      </c>
      <c r="C57" s="151"/>
      <c r="D57" s="151"/>
      <c r="E57" s="151"/>
      <c r="F57" s="151"/>
      <c r="G57" s="151"/>
      <c r="H57" s="151"/>
      <c r="I57" s="151">
        <v>58764</v>
      </c>
      <c r="J57" s="151"/>
      <c r="K57" s="151"/>
      <c r="L57" s="151"/>
      <c r="M57" s="151"/>
      <c r="N57" s="151"/>
    </row>
    <row r="58" spans="1:14" x14ac:dyDescent="0.25">
      <c r="A58" s="152" t="s">
        <v>485</v>
      </c>
      <c r="B58" s="151">
        <f t="shared" si="0"/>
        <v>0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</row>
    <row r="59" spans="1:14" x14ac:dyDescent="0.25">
      <c r="A59" s="152" t="s">
        <v>484</v>
      </c>
      <c r="B59" s="151">
        <f t="shared" si="0"/>
        <v>0</v>
      </c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</row>
    <row r="60" spans="1:14" x14ac:dyDescent="0.25">
      <c r="A60" s="152" t="s">
        <v>483</v>
      </c>
      <c r="B60" s="151">
        <f t="shared" si="0"/>
        <v>0</v>
      </c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</row>
    <row r="61" spans="1:14" x14ac:dyDescent="0.25">
      <c r="A61" s="158" t="s">
        <v>482</v>
      </c>
      <c r="B61" s="156">
        <f t="shared" si="0"/>
        <v>0</v>
      </c>
      <c r="C61" s="156">
        <v>0</v>
      </c>
      <c r="D61" s="156">
        <v>0</v>
      </c>
      <c r="E61" s="156">
        <v>0</v>
      </c>
      <c r="F61" s="156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f>SUM(K62:K65)</f>
        <v>0</v>
      </c>
      <c r="L61" s="156">
        <v>0</v>
      </c>
      <c r="M61" s="156">
        <v>0</v>
      </c>
      <c r="N61" s="156">
        <v>0</v>
      </c>
    </row>
    <row r="62" spans="1:14" x14ac:dyDescent="0.25">
      <c r="A62" s="152" t="s">
        <v>481</v>
      </c>
      <c r="B62" s="151">
        <f t="shared" si="0"/>
        <v>0</v>
      </c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</row>
    <row r="63" spans="1:14" x14ac:dyDescent="0.25">
      <c r="A63" s="152" t="s">
        <v>480</v>
      </c>
      <c r="B63" s="151">
        <f t="shared" si="0"/>
        <v>0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</row>
    <row r="64" spans="1:14" x14ac:dyDescent="0.25">
      <c r="A64" s="152" t="s">
        <v>479</v>
      </c>
      <c r="B64" s="151">
        <f t="shared" si="0"/>
        <v>0</v>
      </c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</row>
    <row r="65" spans="1:14" ht="30" x14ac:dyDescent="0.25">
      <c r="A65" s="152" t="s">
        <v>478</v>
      </c>
      <c r="B65" s="151">
        <f t="shared" si="0"/>
        <v>0</v>
      </c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</row>
    <row r="66" spans="1:14" x14ac:dyDescent="0.25">
      <c r="A66" s="158" t="s">
        <v>477</v>
      </c>
      <c r="B66" s="156">
        <f t="shared" si="0"/>
        <v>0</v>
      </c>
      <c r="C66" s="156">
        <v>0</v>
      </c>
      <c r="D66" s="156">
        <v>0</v>
      </c>
      <c r="E66" s="156">
        <v>0</v>
      </c>
      <c r="F66" s="156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  <c r="L66" s="156">
        <v>0</v>
      </c>
      <c r="M66" s="156">
        <v>0</v>
      </c>
      <c r="N66" s="156">
        <v>0</v>
      </c>
    </row>
    <row r="67" spans="1:14" x14ac:dyDescent="0.25">
      <c r="A67" s="152" t="s">
        <v>476</v>
      </c>
      <c r="B67" s="151">
        <f t="shared" si="0"/>
        <v>0</v>
      </c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</row>
    <row r="68" spans="1:14" x14ac:dyDescent="0.25">
      <c r="A68" s="152" t="s">
        <v>475</v>
      </c>
      <c r="B68" s="151">
        <f t="shared" si="0"/>
        <v>0</v>
      </c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</row>
    <row r="69" spans="1:14" x14ac:dyDescent="0.25">
      <c r="A69" s="158" t="s">
        <v>474</v>
      </c>
      <c r="B69" s="156">
        <f t="shared" si="0"/>
        <v>0</v>
      </c>
      <c r="C69" s="156">
        <v>0</v>
      </c>
      <c r="D69" s="156">
        <v>0</v>
      </c>
      <c r="E69" s="156">
        <v>0</v>
      </c>
      <c r="F69" s="156">
        <v>0</v>
      </c>
      <c r="G69" s="156">
        <v>0</v>
      </c>
      <c r="H69" s="156">
        <v>0</v>
      </c>
      <c r="I69" s="156">
        <v>0</v>
      </c>
      <c r="J69" s="156">
        <v>0</v>
      </c>
      <c r="K69" s="156">
        <v>0</v>
      </c>
      <c r="L69" s="156">
        <v>0</v>
      </c>
      <c r="M69" s="156">
        <v>0</v>
      </c>
      <c r="N69" s="156">
        <v>0</v>
      </c>
    </row>
    <row r="70" spans="1:14" x14ac:dyDescent="0.25">
      <c r="A70" s="152" t="s">
        <v>473</v>
      </c>
      <c r="B70" s="151">
        <f t="shared" si="0"/>
        <v>0</v>
      </c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</row>
    <row r="71" spans="1:14" x14ac:dyDescent="0.25">
      <c r="A71" s="152" t="s">
        <v>472</v>
      </c>
      <c r="B71" s="151">
        <f t="shared" si="0"/>
        <v>0</v>
      </c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</row>
    <row r="72" spans="1:14" x14ac:dyDescent="0.25">
      <c r="A72" s="152" t="s">
        <v>471</v>
      </c>
      <c r="B72" s="151">
        <f t="shared" si="0"/>
        <v>0</v>
      </c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</row>
    <row r="73" spans="1:14" x14ac:dyDescent="0.25">
      <c r="A73" s="150" t="s">
        <v>470</v>
      </c>
      <c r="B73" s="149">
        <f>+B69+B66+B61+B51+B43+B35+B25+B15+B9</f>
        <v>75971245.989999995</v>
      </c>
      <c r="C73" s="149">
        <f t="shared" ref="C73:N73" si="1">+C69+C66+C61+C51+C43+C35+C25+C15+C9</f>
        <v>6821436.4900000002</v>
      </c>
      <c r="D73" s="149">
        <f t="shared" si="1"/>
        <v>7556671.6400000006</v>
      </c>
      <c r="E73" s="149">
        <f t="shared" si="1"/>
        <v>11816507.5</v>
      </c>
      <c r="F73" s="149">
        <f t="shared" si="1"/>
        <v>4877050.2899999991</v>
      </c>
      <c r="G73" s="149">
        <f t="shared" si="1"/>
        <v>9009314.3899999987</v>
      </c>
      <c r="H73" s="149">
        <f t="shared" si="1"/>
        <v>6513141.8699999992</v>
      </c>
      <c r="I73" s="149">
        <f t="shared" si="1"/>
        <v>9254860.629999999</v>
      </c>
      <c r="J73" s="149">
        <f t="shared" si="1"/>
        <v>8715557.7399999984</v>
      </c>
      <c r="K73" s="149">
        <f t="shared" si="1"/>
        <v>11406705.439999999</v>
      </c>
      <c r="L73" s="149">
        <f t="shared" si="1"/>
        <v>0</v>
      </c>
      <c r="M73" s="149">
        <f t="shared" si="1"/>
        <v>0</v>
      </c>
      <c r="N73" s="149">
        <f t="shared" si="1"/>
        <v>0</v>
      </c>
    </row>
    <row r="74" spans="1:14" x14ac:dyDescent="0.25">
      <c r="A74" s="154" t="s">
        <v>469</v>
      </c>
      <c r="B74" s="153">
        <f t="shared" ref="B74:B84" si="2">SUM(C74:N74)</f>
        <v>0</v>
      </c>
      <c r="C74" s="153"/>
      <c r="D74" s="153"/>
      <c r="E74" s="162"/>
      <c r="F74" s="162"/>
      <c r="G74" s="162"/>
      <c r="H74" s="162"/>
      <c r="I74" s="162"/>
      <c r="J74" s="162"/>
      <c r="K74" s="162"/>
      <c r="L74" s="162"/>
      <c r="M74" s="162"/>
      <c r="N74" s="162"/>
    </row>
    <row r="75" spans="1:14" x14ac:dyDescent="0.25">
      <c r="A75" s="154" t="s">
        <v>468</v>
      </c>
      <c r="B75" s="153">
        <f t="shared" si="2"/>
        <v>0</v>
      </c>
      <c r="C75" s="153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52" t="s">
        <v>467</v>
      </c>
      <c r="B76" s="151">
        <f t="shared" si="2"/>
        <v>0</v>
      </c>
      <c r="C76" s="151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52" t="s">
        <v>466</v>
      </c>
      <c r="B77" s="151">
        <f t="shared" si="2"/>
        <v>0</v>
      </c>
      <c r="C77" s="151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54" t="s">
        <v>465</v>
      </c>
      <c r="B78" s="153">
        <f t="shared" si="2"/>
        <v>0</v>
      </c>
      <c r="C78" s="153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52" t="s">
        <v>464</v>
      </c>
      <c r="B79" s="151">
        <f t="shared" si="2"/>
        <v>0</v>
      </c>
      <c r="C79" s="151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52" t="s">
        <v>463</v>
      </c>
      <c r="B80" s="151">
        <f t="shared" si="2"/>
        <v>0</v>
      </c>
      <c r="C80" s="151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54" t="s">
        <v>462</v>
      </c>
      <c r="B81" s="153">
        <f t="shared" si="2"/>
        <v>0</v>
      </c>
      <c r="C81" s="153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52" t="s">
        <v>461</v>
      </c>
      <c r="B82" s="151">
        <f t="shared" si="2"/>
        <v>0</v>
      </c>
      <c r="C82" s="151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50" t="s">
        <v>460</v>
      </c>
      <c r="B83" s="149">
        <f t="shared" si="2"/>
        <v>0</v>
      </c>
      <c r="C83" s="149"/>
      <c r="D83" s="149"/>
      <c r="E83" s="163"/>
      <c r="F83" s="163"/>
      <c r="G83" s="163"/>
      <c r="H83" s="163"/>
      <c r="I83" s="163"/>
      <c r="J83" s="163"/>
      <c r="K83" s="163"/>
      <c r="L83" s="163"/>
      <c r="M83" s="163"/>
      <c r="N83" s="163"/>
    </row>
    <row r="84" spans="1:14" x14ac:dyDescent="0.25">
      <c r="A84" s="1"/>
      <c r="B84" s="125">
        <f t="shared" si="2"/>
        <v>0</v>
      </c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48" t="s">
        <v>459</v>
      </c>
      <c r="B85" s="147">
        <f>+B83+B73</f>
        <v>75971245.989999995</v>
      </c>
      <c r="C85" s="147">
        <f t="shared" ref="C85:K85" si="3">+C83+C73</f>
        <v>6821436.4900000002</v>
      </c>
      <c r="D85" s="147">
        <f t="shared" si="3"/>
        <v>7556671.6400000006</v>
      </c>
      <c r="E85" s="147">
        <f t="shared" si="3"/>
        <v>11816507.5</v>
      </c>
      <c r="F85" s="147">
        <f t="shared" si="3"/>
        <v>4877050.2899999991</v>
      </c>
      <c r="G85" s="147">
        <f t="shared" si="3"/>
        <v>9009314.3899999987</v>
      </c>
      <c r="H85" s="147">
        <f t="shared" si="3"/>
        <v>6513141.8699999992</v>
      </c>
      <c r="I85" s="147">
        <f t="shared" si="3"/>
        <v>9254860.629999999</v>
      </c>
      <c r="J85" s="147">
        <f t="shared" si="3"/>
        <v>8715557.7399999984</v>
      </c>
      <c r="K85" s="147">
        <f t="shared" si="3"/>
        <v>11406705.439999999</v>
      </c>
      <c r="L85" s="164"/>
      <c r="M85" s="164"/>
      <c r="N85" s="164"/>
    </row>
    <row r="86" spans="1:14" x14ac:dyDescent="0.25">
      <c r="A86" t="s">
        <v>458</v>
      </c>
    </row>
    <row r="87" spans="1:14" x14ac:dyDescent="0.25">
      <c r="A87" t="s">
        <v>940</v>
      </c>
      <c r="E87" s="227"/>
    </row>
    <row r="88" spans="1:14" x14ac:dyDescent="0.25">
      <c r="A88" t="s">
        <v>1288</v>
      </c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scale="39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I34"/>
  <sheetViews>
    <sheetView zoomScale="90" zoomScaleNormal="90" workbookViewId="0">
      <selection activeCell="D12" sqref="D12"/>
    </sheetView>
  </sheetViews>
  <sheetFormatPr defaultColWidth="11.42578125" defaultRowHeight="15" x14ac:dyDescent="0.25"/>
  <cols>
    <col min="1" max="1" width="103.85546875" bestFit="1" customWidth="1"/>
    <col min="3" max="3" width="13.140625" customWidth="1"/>
    <col min="4" max="4" width="23.28515625" customWidth="1"/>
    <col min="5" max="5" width="15.42578125" customWidth="1"/>
    <col min="6" max="6" width="16.85546875" customWidth="1"/>
    <col min="7" max="7" width="17.5703125" customWidth="1"/>
  </cols>
  <sheetData>
    <row r="4" spans="1:9" ht="18.75" x14ac:dyDescent="0.3">
      <c r="A4" s="357" t="s">
        <v>561</v>
      </c>
      <c r="B4" s="357"/>
      <c r="C4" s="357"/>
      <c r="D4" s="357"/>
      <c r="E4" s="357"/>
      <c r="F4" s="357"/>
      <c r="G4" s="357"/>
    </row>
    <row r="5" spans="1:9" ht="18.75" x14ac:dyDescent="0.3">
      <c r="A5" s="357" t="s">
        <v>1268</v>
      </c>
      <c r="B5" s="357"/>
      <c r="C5" s="357"/>
      <c r="D5" s="357"/>
      <c r="E5" s="357"/>
      <c r="F5" s="357"/>
      <c r="G5" s="357"/>
    </row>
    <row r="6" spans="1:9" ht="18.75" x14ac:dyDescent="0.3">
      <c r="A6" s="357" t="s">
        <v>1270</v>
      </c>
      <c r="B6" s="357"/>
      <c r="C6" s="357"/>
      <c r="D6" s="357"/>
      <c r="E6" s="357"/>
      <c r="F6" s="357"/>
      <c r="G6" s="357"/>
    </row>
    <row r="7" spans="1:9" ht="19.5" thickBot="1" x14ac:dyDescent="0.35">
      <c r="A7" s="427" t="s">
        <v>688</v>
      </c>
      <c r="B7" s="427"/>
      <c r="C7" s="427"/>
      <c r="D7" s="427"/>
      <c r="E7" s="427"/>
      <c r="F7" s="427"/>
      <c r="G7" s="427"/>
    </row>
    <row r="8" spans="1:9" ht="15.75" x14ac:dyDescent="0.25">
      <c r="A8" s="175" t="s">
        <v>562</v>
      </c>
      <c r="B8" s="428" t="s">
        <v>563</v>
      </c>
      <c r="C8" s="429"/>
      <c r="D8" s="315" t="s">
        <v>564</v>
      </c>
      <c r="E8" s="316" t="s">
        <v>565</v>
      </c>
      <c r="F8" s="317" t="s">
        <v>566</v>
      </c>
      <c r="G8" s="318" t="s">
        <v>567</v>
      </c>
    </row>
    <row r="9" spans="1:9" ht="15.75" x14ac:dyDescent="0.25">
      <c r="A9" s="419" t="s">
        <v>446</v>
      </c>
      <c r="B9" s="421" t="s">
        <v>568</v>
      </c>
      <c r="C9" s="422"/>
      <c r="D9" s="319"/>
      <c r="E9" s="423" t="s">
        <v>569</v>
      </c>
      <c r="F9" s="424"/>
      <c r="G9" s="425"/>
    </row>
    <row r="10" spans="1:9" ht="31.5" x14ac:dyDescent="0.25">
      <c r="A10" s="420"/>
      <c r="B10" s="319" t="s">
        <v>570</v>
      </c>
      <c r="C10" s="319" t="s">
        <v>571</v>
      </c>
      <c r="D10" s="319" t="s">
        <v>444</v>
      </c>
      <c r="E10" s="320" t="s">
        <v>572</v>
      </c>
      <c r="F10" s="176" t="s">
        <v>573</v>
      </c>
      <c r="G10" s="177" t="s">
        <v>574</v>
      </c>
    </row>
    <row r="11" spans="1:9" x14ac:dyDescent="0.25">
      <c r="A11" s="179" t="s">
        <v>1269</v>
      </c>
      <c r="B11" s="321"/>
      <c r="C11" s="183"/>
      <c r="D11" s="125"/>
      <c r="E11" s="2"/>
      <c r="F11" s="2"/>
      <c r="G11" s="178"/>
    </row>
    <row r="12" spans="1:9" x14ac:dyDescent="0.25">
      <c r="A12" s="179" t="s">
        <v>575</v>
      </c>
      <c r="B12" s="311">
        <v>44470</v>
      </c>
      <c r="C12" s="312" t="s">
        <v>1264</v>
      </c>
      <c r="D12" s="125">
        <v>13514741.059999999</v>
      </c>
      <c r="E12" s="2"/>
      <c r="F12" s="2"/>
      <c r="G12" s="178"/>
      <c r="H12" s="188"/>
    </row>
    <row r="13" spans="1:9" x14ac:dyDescent="0.25">
      <c r="A13" s="179" t="s">
        <v>576</v>
      </c>
      <c r="B13" s="311">
        <v>45505</v>
      </c>
      <c r="C13" s="312" t="s">
        <v>1264</v>
      </c>
      <c r="D13" s="278">
        <f>4817972.08-4413127.55+1227716.05</f>
        <v>1632560.5800000003</v>
      </c>
      <c r="E13" s="322"/>
      <c r="F13" s="2"/>
      <c r="G13" s="178"/>
      <c r="H13" s="188"/>
    </row>
    <row r="14" spans="1:9" x14ac:dyDescent="0.25">
      <c r="A14" s="179" t="s">
        <v>577</v>
      </c>
      <c r="B14" s="183"/>
      <c r="C14" s="183"/>
      <c r="D14" s="278"/>
      <c r="E14" s="2"/>
      <c r="F14" s="2"/>
      <c r="G14" s="178"/>
      <c r="H14" s="188"/>
    </row>
    <row r="15" spans="1:9" x14ac:dyDescent="0.25">
      <c r="A15" s="179" t="s">
        <v>578</v>
      </c>
      <c r="B15" s="183"/>
      <c r="C15" s="183"/>
      <c r="D15" s="278"/>
      <c r="E15" s="323"/>
      <c r="F15" s="2"/>
      <c r="G15" s="178"/>
      <c r="I15" s="182"/>
    </row>
    <row r="16" spans="1:9" x14ac:dyDescent="0.25">
      <c r="A16" s="179" t="s">
        <v>579</v>
      </c>
      <c r="B16" s="183"/>
      <c r="C16" s="311"/>
      <c r="D16" s="278"/>
      <c r="E16" s="2"/>
      <c r="F16" s="2"/>
      <c r="G16" s="178"/>
    </row>
    <row r="17" spans="1:7" x14ac:dyDescent="0.25">
      <c r="A17" s="179" t="s">
        <v>580</v>
      </c>
      <c r="B17" s="183"/>
      <c r="C17" s="183"/>
      <c r="D17" s="278"/>
      <c r="E17" s="2"/>
      <c r="F17" s="2"/>
      <c r="G17" s="178"/>
    </row>
    <row r="18" spans="1:7" x14ac:dyDescent="0.25">
      <c r="A18" s="179" t="s">
        <v>581</v>
      </c>
      <c r="B18" s="1"/>
      <c r="C18" s="1"/>
      <c r="D18" s="1"/>
      <c r="E18" s="1"/>
      <c r="F18" s="1"/>
      <c r="G18" s="180"/>
    </row>
    <row r="19" spans="1:7" ht="15.75" thickBot="1" x14ac:dyDescent="0.3">
      <c r="A19" s="324" t="s">
        <v>328</v>
      </c>
      <c r="B19" s="325"/>
      <c r="C19" s="325"/>
      <c r="D19" s="326">
        <v>18332713.140000001</v>
      </c>
      <c r="E19" s="326"/>
      <c r="F19" s="326"/>
      <c r="G19" s="327"/>
    </row>
    <row r="20" spans="1:7" ht="18" customHeight="1" x14ac:dyDescent="0.25"/>
    <row r="21" spans="1:7" ht="15.75" x14ac:dyDescent="0.25">
      <c r="A21" s="181" t="s">
        <v>582</v>
      </c>
    </row>
    <row r="23" spans="1:7" x14ac:dyDescent="0.25">
      <c r="E23" s="188"/>
    </row>
    <row r="25" spans="1:7" x14ac:dyDescent="0.25">
      <c r="A25" s="342" t="s">
        <v>583</v>
      </c>
      <c r="B25" s="342"/>
      <c r="D25" s="342" t="s">
        <v>584</v>
      </c>
      <c r="E25" s="342"/>
      <c r="F25" s="342"/>
      <c r="G25" s="342"/>
    </row>
    <row r="27" spans="1:7" x14ac:dyDescent="0.25">
      <c r="A27" s="282"/>
      <c r="C27" s="282"/>
      <c r="D27" s="282"/>
    </row>
    <row r="28" spans="1:7" x14ac:dyDescent="0.25">
      <c r="A28" s="417"/>
      <c r="B28" s="417"/>
      <c r="D28" s="417"/>
      <c r="E28" s="417"/>
      <c r="F28" s="417"/>
      <c r="G28" s="417"/>
    </row>
    <row r="29" spans="1:7" x14ac:dyDescent="0.25">
      <c r="A29" s="426"/>
      <c r="B29" s="426"/>
      <c r="D29" s="426"/>
      <c r="E29" s="426"/>
    </row>
    <row r="30" spans="1:7" x14ac:dyDescent="0.25">
      <c r="A30" s="284"/>
      <c r="C30" s="417"/>
      <c r="D30" s="417"/>
    </row>
    <row r="31" spans="1:7" x14ac:dyDescent="0.25">
      <c r="A31" s="285"/>
      <c r="C31" s="418"/>
      <c r="D31" s="418"/>
    </row>
    <row r="32" spans="1:7" x14ac:dyDescent="0.25">
      <c r="A32" s="143"/>
    </row>
    <row r="33" spans="1:7" x14ac:dyDescent="0.25">
      <c r="A33" s="342"/>
      <c r="B33" s="342"/>
      <c r="C33" s="342"/>
      <c r="D33" s="342"/>
      <c r="E33" s="342"/>
      <c r="F33" s="342"/>
      <c r="G33" s="342"/>
    </row>
    <row r="34" spans="1:7" x14ac:dyDescent="0.25">
      <c r="A34" s="282" t="s">
        <v>585</v>
      </c>
      <c r="B34" s="282"/>
      <c r="C34" s="282"/>
      <c r="D34" s="282"/>
    </row>
  </sheetData>
  <mergeCells count="17">
    <mergeCell ref="A4:G4"/>
    <mergeCell ref="A5:G5"/>
    <mergeCell ref="A6:G6"/>
    <mergeCell ref="A7:G7"/>
    <mergeCell ref="B8:C8"/>
    <mergeCell ref="C30:D30"/>
    <mergeCell ref="C31:D31"/>
    <mergeCell ref="A33:G33"/>
    <mergeCell ref="A9:A10"/>
    <mergeCell ref="B9:C9"/>
    <mergeCell ref="E9:G9"/>
    <mergeCell ref="A25:B25"/>
    <mergeCell ref="D25:G25"/>
    <mergeCell ref="A28:B28"/>
    <mergeCell ref="D28:G28"/>
    <mergeCell ref="A29:B29"/>
    <mergeCell ref="D29:E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59"/>
  <sheetViews>
    <sheetView view="pageBreakPreview" topLeftCell="A10" zoomScale="60" zoomScaleNormal="100" workbookViewId="0">
      <selection activeCell="A13" sqref="A13:E30"/>
    </sheetView>
  </sheetViews>
  <sheetFormatPr defaultColWidth="11.42578125" defaultRowHeight="15" x14ac:dyDescent="0.25"/>
  <cols>
    <col min="1" max="1" width="21.5703125" customWidth="1"/>
    <col min="2" max="2" width="24.7109375" customWidth="1"/>
    <col min="3" max="3" width="24.42578125" bestFit="1" customWidth="1"/>
    <col min="4" max="4" width="44.7109375" bestFit="1" customWidth="1"/>
    <col min="5" max="5" width="19.5703125" customWidth="1"/>
    <col min="6" max="6" width="13.28515625" bestFit="1" customWidth="1"/>
  </cols>
  <sheetData>
    <row r="3" spans="1:11" ht="23.25" x14ac:dyDescent="0.35">
      <c r="A3" s="431" t="s">
        <v>586</v>
      </c>
      <c r="B3" s="431"/>
      <c r="C3" s="431"/>
      <c r="D3" s="431"/>
      <c r="E3" s="431"/>
    </row>
    <row r="4" spans="1:11" ht="18.75" x14ac:dyDescent="0.3">
      <c r="A4" s="357" t="s">
        <v>587</v>
      </c>
      <c r="B4" s="357"/>
      <c r="C4" s="357"/>
      <c r="D4" s="357"/>
      <c r="E4" s="357"/>
    </row>
    <row r="5" spans="1:11" ht="18.75" x14ac:dyDescent="0.3">
      <c r="A5" s="146"/>
      <c r="B5" s="146"/>
      <c r="C5" s="146"/>
      <c r="D5" s="146"/>
      <c r="E5" s="146"/>
    </row>
    <row r="6" spans="1:11" x14ac:dyDescent="0.25">
      <c r="A6" s="432" t="s">
        <v>588</v>
      </c>
      <c r="B6" s="432"/>
      <c r="C6" s="432"/>
      <c r="D6" s="432"/>
      <c r="E6" s="432"/>
    </row>
    <row r="7" spans="1:11" ht="15.75" thickBot="1" x14ac:dyDescent="0.3">
      <c r="A7" s="433" t="s">
        <v>1316</v>
      </c>
      <c r="B7" s="433"/>
      <c r="C7" s="433"/>
      <c r="D7" s="433"/>
      <c r="E7" s="433"/>
    </row>
    <row r="8" spans="1:11" x14ac:dyDescent="0.25">
      <c r="A8" s="453" t="s">
        <v>589</v>
      </c>
      <c r="B8" s="454" t="s">
        <v>590</v>
      </c>
      <c r="C8" s="454" t="s">
        <v>591</v>
      </c>
      <c r="D8" s="455" t="s">
        <v>592</v>
      </c>
      <c r="E8" s="455" t="s">
        <v>593</v>
      </c>
    </row>
    <row r="9" spans="1:11" s="131" customFormat="1" x14ac:dyDescent="0.25">
      <c r="A9" s="456" t="s">
        <v>594</v>
      </c>
      <c r="B9" s="457" t="s">
        <v>672</v>
      </c>
      <c r="C9" s="458"/>
      <c r="D9" s="459"/>
      <c r="E9" s="460">
        <f>5424573.16+84553321.83</f>
        <v>89977894.989999995</v>
      </c>
    </row>
    <row r="10" spans="1:11" x14ac:dyDescent="0.25">
      <c r="A10" s="461"/>
      <c r="B10" s="457" t="s">
        <v>1253</v>
      </c>
      <c r="C10" s="458"/>
      <c r="D10" s="459"/>
      <c r="E10" s="460">
        <v>12593841.17</v>
      </c>
    </row>
    <row r="11" spans="1:11" x14ac:dyDescent="0.25">
      <c r="A11" s="461"/>
      <c r="B11" s="457" t="s">
        <v>1254</v>
      </c>
      <c r="C11" s="458"/>
      <c r="D11" s="459"/>
      <c r="E11" s="460">
        <v>3169632.08</v>
      </c>
    </row>
    <row r="12" spans="1:11" x14ac:dyDescent="0.25">
      <c r="A12" s="462" t="s">
        <v>595</v>
      </c>
      <c r="B12" s="462"/>
      <c r="C12" s="463"/>
      <c r="D12" s="463"/>
      <c r="E12" s="464">
        <f>SUM(E9:E11)</f>
        <v>105741368.23999999</v>
      </c>
    </row>
    <row r="13" spans="1:11" x14ac:dyDescent="0.25">
      <c r="A13" s="465" t="s">
        <v>596</v>
      </c>
      <c r="B13" s="499" t="s">
        <v>597</v>
      </c>
      <c r="C13" s="466">
        <v>45666</v>
      </c>
      <c r="D13" s="467"/>
      <c r="E13" s="468">
        <v>7386343.7400000002</v>
      </c>
      <c r="K13" s="184"/>
    </row>
    <row r="14" spans="1:11" x14ac:dyDescent="0.25">
      <c r="A14" s="469"/>
      <c r="B14" s="499" t="s">
        <v>598</v>
      </c>
      <c r="C14" s="466">
        <v>45970</v>
      </c>
      <c r="D14" s="470"/>
      <c r="E14" s="468">
        <v>2528895.81</v>
      </c>
      <c r="K14" s="184"/>
    </row>
    <row r="15" spans="1:11" s="131" customFormat="1" ht="22.5" x14ac:dyDescent="0.25">
      <c r="A15" s="469"/>
      <c r="B15" s="500" t="s">
        <v>667</v>
      </c>
      <c r="C15" s="471">
        <v>45666</v>
      </c>
      <c r="D15" s="459"/>
      <c r="E15" s="472">
        <v>50000</v>
      </c>
      <c r="K15" s="269"/>
    </row>
    <row r="16" spans="1:11" s="131" customFormat="1" x14ac:dyDescent="0.25">
      <c r="A16" s="469"/>
      <c r="B16" s="500" t="s">
        <v>1257</v>
      </c>
      <c r="C16" s="471">
        <v>45909</v>
      </c>
      <c r="D16" s="459"/>
      <c r="E16" s="472">
        <v>372910.21</v>
      </c>
      <c r="K16" s="269"/>
    </row>
    <row r="17" spans="1:6" x14ac:dyDescent="0.25">
      <c r="A17" s="469"/>
      <c r="B17" s="501"/>
      <c r="C17" s="473">
        <v>46000</v>
      </c>
      <c r="D17" s="474"/>
      <c r="E17" s="475">
        <v>203400.6</v>
      </c>
    </row>
    <row r="18" spans="1:6" x14ac:dyDescent="0.25">
      <c r="A18" s="469"/>
      <c r="B18" s="502" t="s">
        <v>600</v>
      </c>
      <c r="C18" s="466" t="s">
        <v>881</v>
      </c>
      <c r="D18" s="142"/>
      <c r="E18" s="468">
        <v>201903.47</v>
      </c>
    </row>
    <row r="19" spans="1:6" x14ac:dyDescent="0.25">
      <c r="A19" s="469"/>
      <c r="B19" s="502" t="s">
        <v>601</v>
      </c>
      <c r="C19" s="466" t="s">
        <v>882</v>
      </c>
      <c r="D19" s="142"/>
      <c r="E19" s="468">
        <v>11667.45</v>
      </c>
    </row>
    <row r="20" spans="1:6" x14ac:dyDescent="0.25">
      <c r="A20" s="469"/>
      <c r="B20" s="502" t="s">
        <v>1258</v>
      </c>
      <c r="C20" s="466" t="s">
        <v>883</v>
      </c>
      <c r="D20" s="142"/>
      <c r="E20" s="468">
        <v>87151.82</v>
      </c>
    </row>
    <row r="21" spans="1:6" x14ac:dyDescent="0.25">
      <c r="A21" s="469"/>
      <c r="B21" s="502" t="s">
        <v>1258</v>
      </c>
      <c r="C21" s="466" t="s">
        <v>883</v>
      </c>
      <c r="D21" s="142"/>
      <c r="E21" s="468">
        <v>48471.199999999997</v>
      </c>
    </row>
    <row r="22" spans="1:6" x14ac:dyDescent="0.25">
      <c r="A22" s="469"/>
      <c r="B22" s="502" t="s">
        <v>1258</v>
      </c>
      <c r="C22" s="466" t="s">
        <v>883</v>
      </c>
      <c r="D22" s="142"/>
      <c r="E22" s="468">
        <v>133968.57999999999</v>
      </c>
    </row>
    <row r="23" spans="1:6" x14ac:dyDescent="0.25">
      <c r="A23" s="469"/>
      <c r="B23" s="502" t="s">
        <v>1258</v>
      </c>
      <c r="C23" s="466" t="s">
        <v>883</v>
      </c>
      <c r="D23" s="142"/>
      <c r="E23" s="468">
        <v>5754</v>
      </c>
    </row>
    <row r="24" spans="1:6" x14ac:dyDescent="0.25">
      <c r="A24" s="469"/>
      <c r="B24" s="502" t="s">
        <v>1259</v>
      </c>
      <c r="C24" s="466" t="s">
        <v>884</v>
      </c>
      <c r="D24" s="142"/>
      <c r="E24" s="468">
        <v>28902.560000000001</v>
      </c>
    </row>
    <row r="25" spans="1:6" x14ac:dyDescent="0.25">
      <c r="A25" s="469"/>
      <c r="B25" s="502" t="s">
        <v>1260</v>
      </c>
      <c r="C25" s="466" t="s">
        <v>885</v>
      </c>
      <c r="D25" s="142"/>
      <c r="E25" s="468">
        <v>88060.19</v>
      </c>
    </row>
    <row r="26" spans="1:6" x14ac:dyDescent="0.25">
      <c r="A26" s="476"/>
      <c r="B26" s="501"/>
      <c r="C26" s="473" t="s">
        <v>886</v>
      </c>
      <c r="D26" s="474"/>
      <c r="E26" s="475">
        <v>12148</v>
      </c>
    </row>
    <row r="27" spans="1:6" x14ac:dyDescent="0.25">
      <c r="A27" s="477"/>
      <c r="B27" s="502" t="s">
        <v>1261</v>
      </c>
      <c r="C27" s="466" t="s">
        <v>888</v>
      </c>
      <c r="D27" s="142"/>
      <c r="E27" s="468">
        <v>36338.959999999999</v>
      </c>
    </row>
    <row r="28" spans="1:6" x14ac:dyDescent="0.25">
      <c r="A28" s="477"/>
      <c r="B28" s="502" t="s">
        <v>1262</v>
      </c>
      <c r="C28" s="466" t="s">
        <v>921</v>
      </c>
      <c r="D28" s="142"/>
      <c r="E28" s="468">
        <v>1062055.58</v>
      </c>
    </row>
    <row r="29" spans="1:6" x14ac:dyDescent="0.25">
      <c r="A29" s="477"/>
      <c r="B29" s="502" t="s">
        <v>1263</v>
      </c>
      <c r="C29" s="466">
        <v>45666</v>
      </c>
      <c r="D29" s="142"/>
      <c r="E29" s="468">
        <v>19188.28</v>
      </c>
    </row>
    <row r="30" spans="1:6" ht="22.5" x14ac:dyDescent="0.25">
      <c r="A30" s="477"/>
      <c r="B30" s="503" t="s">
        <v>668</v>
      </c>
      <c r="C30" s="478"/>
      <c r="D30" s="478"/>
      <c r="E30" s="479">
        <f>SUM(E13:E29)</f>
        <v>12277160.450000001</v>
      </c>
      <c r="F30" s="188"/>
    </row>
    <row r="31" spans="1:6" x14ac:dyDescent="0.25">
      <c r="A31" s="462" t="s">
        <v>595</v>
      </c>
      <c r="B31" s="462"/>
      <c r="C31" s="463"/>
      <c r="D31" s="463"/>
      <c r="E31" s="464"/>
    </row>
    <row r="32" spans="1:6" x14ac:dyDescent="0.25">
      <c r="A32" s="480"/>
      <c r="B32" s="142" t="s">
        <v>607</v>
      </c>
      <c r="C32" s="142"/>
      <c r="D32" s="470"/>
      <c r="E32" s="142"/>
    </row>
    <row r="33" spans="1:10" ht="23.25" x14ac:dyDescent="0.25">
      <c r="A33" s="480"/>
      <c r="B33" s="481" t="s">
        <v>679</v>
      </c>
      <c r="C33" s="482" t="s">
        <v>1256</v>
      </c>
      <c r="D33" s="483"/>
      <c r="E33" s="484">
        <v>185750</v>
      </c>
      <c r="F33" s="140"/>
      <c r="G33" s="140"/>
      <c r="H33" s="140"/>
      <c r="I33" s="140"/>
      <c r="J33" s="140"/>
    </row>
    <row r="34" spans="1:10" x14ac:dyDescent="0.25">
      <c r="A34" s="480"/>
      <c r="B34" s="485" t="s">
        <v>608</v>
      </c>
      <c r="C34" s="485"/>
      <c r="D34" s="483"/>
      <c r="E34" s="485"/>
    </row>
    <row r="35" spans="1:10" ht="19.5" customHeight="1" x14ac:dyDescent="0.25">
      <c r="A35" s="480"/>
      <c r="B35" s="486" t="s">
        <v>609</v>
      </c>
      <c r="C35" s="485"/>
      <c r="D35" s="483"/>
      <c r="E35" s="485"/>
    </row>
    <row r="36" spans="1:10" ht="23.25" x14ac:dyDescent="0.25">
      <c r="A36" s="487"/>
      <c r="B36" s="486" t="s">
        <v>610</v>
      </c>
      <c r="C36" s="488" t="s">
        <v>1256</v>
      </c>
      <c r="D36" s="483"/>
      <c r="E36" s="489"/>
    </row>
    <row r="37" spans="1:10" ht="19.5" customHeight="1" x14ac:dyDescent="0.25">
      <c r="A37" s="487"/>
      <c r="B37" s="490" t="s">
        <v>1255</v>
      </c>
      <c r="C37" s="491"/>
      <c r="D37" s="470"/>
      <c r="E37" s="492">
        <v>303550</v>
      </c>
    </row>
    <row r="38" spans="1:10" x14ac:dyDescent="0.25">
      <c r="A38" s="493" t="s">
        <v>595</v>
      </c>
      <c r="B38" s="494"/>
      <c r="C38" s="463"/>
      <c r="D38" s="463"/>
      <c r="E38" s="464">
        <f>+E33+E37</f>
        <v>489300</v>
      </c>
    </row>
    <row r="39" spans="1:10" x14ac:dyDescent="0.25">
      <c r="A39" s="495" t="s">
        <v>611</v>
      </c>
      <c r="B39" s="496"/>
      <c r="C39" s="497"/>
      <c r="D39" s="497"/>
      <c r="E39" s="498">
        <f>+E12+E30+E38</f>
        <v>118507828.69</v>
      </c>
      <c r="F39" s="184"/>
    </row>
    <row r="40" spans="1:10" x14ac:dyDescent="0.25">
      <c r="A40" s="185"/>
      <c r="B40" s="185"/>
      <c r="C40" s="186"/>
      <c r="D40" s="186"/>
      <c r="E40" s="187"/>
    </row>
    <row r="41" spans="1:10" x14ac:dyDescent="0.25">
      <c r="A41" s="185"/>
      <c r="B41" s="185"/>
      <c r="C41" s="186"/>
      <c r="D41" s="186"/>
      <c r="E41" s="187"/>
    </row>
    <row r="42" spans="1:10" x14ac:dyDescent="0.25">
      <c r="A42" s="430" t="s">
        <v>1265</v>
      </c>
      <c r="B42" s="430"/>
      <c r="C42" s="430"/>
      <c r="D42" s="430"/>
      <c r="E42" s="430"/>
      <c r="F42" s="184"/>
    </row>
    <row r="43" spans="1:10" x14ac:dyDescent="0.25">
      <c r="A43" s="430"/>
      <c r="B43" s="430"/>
      <c r="C43" s="430"/>
      <c r="D43" s="430"/>
      <c r="E43" s="430"/>
    </row>
    <row r="45" spans="1:10" x14ac:dyDescent="0.25">
      <c r="A45" s="434" t="s">
        <v>1266</v>
      </c>
      <c r="B45" s="434"/>
      <c r="C45" s="434"/>
      <c r="D45" s="434"/>
      <c r="E45" s="434"/>
    </row>
    <row r="46" spans="1:10" hidden="1" x14ac:dyDescent="0.25"/>
    <row r="47" spans="1:10" x14ac:dyDescent="0.25">
      <c r="A47" s="272" t="s">
        <v>686</v>
      </c>
      <c r="B47" s="272" t="s">
        <v>685</v>
      </c>
      <c r="C47" s="272" t="s">
        <v>684</v>
      </c>
      <c r="D47" s="271" t="s">
        <v>683</v>
      </c>
      <c r="E47" s="270"/>
    </row>
    <row r="48" spans="1:10" x14ac:dyDescent="0.25">
      <c r="A48" s="124" t="s">
        <v>1267</v>
      </c>
      <c r="B48" s="297">
        <v>209079.81</v>
      </c>
      <c r="C48" s="313">
        <v>557413.1</v>
      </c>
      <c r="D48" s="297">
        <v>209079.81</v>
      </c>
      <c r="E48" s="143"/>
    </row>
    <row r="49" spans="1:5" x14ac:dyDescent="0.25">
      <c r="A49" s="124" t="s">
        <v>1272</v>
      </c>
      <c r="B49" s="328">
        <v>322182022.90000004</v>
      </c>
      <c r="C49" s="328">
        <v>342554473.85000002</v>
      </c>
      <c r="D49" s="328">
        <f>342554473.85-20372450.95</f>
        <v>322182022.90000004</v>
      </c>
      <c r="E49" s="130"/>
    </row>
    <row r="50" spans="1:5" x14ac:dyDescent="0.25">
      <c r="A50" s="124" t="s">
        <v>1273</v>
      </c>
      <c r="B50" s="328">
        <v>-474137.1799999997</v>
      </c>
      <c r="C50" s="328">
        <v>2274478.4700000002</v>
      </c>
      <c r="D50" s="328">
        <f>2274478.47-2748615.65</f>
        <v>-474137.1799999997</v>
      </c>
      <c r="E50" s="130"/>
    </row>
    <row r="51" spans="1:5" x14ac:dyDescent="0.25">
      <c r="A51" s="124" t="s">
        <v>1274</v>
      </c>
      <c r="B51" s="328">
        <v>4178472.85</v>
      </c>
      <c r="C51" s="328">
        <v>4178472.85</v>
      </c>
      <c r="D51" s="328">
        <v>4178472.85</v>
      </c>
      <c r="E51" s="282"/>
    </row>
    <row r="52" spans="1:5" x14ac:dyDescent="0.25">
      <c r="A52" s="124"/>
      <c r="B52" s="329">
        <f t="shared" ref="B52:C52" si="0">SUM(B48:B51)</f>
        <v>326095438.38000005</v>
      </c>
      <c r="C52" s="329">
        <f t="shared" si="0"/>
        <v>349564838.2700001</v>
      </c>
      <c r="D52" s="329">
        <f>SUM(D48:D51)</f>
        <v>326095438.38000005</v>
      </c>
      <c r="E52" s="282"/>
    </row>
    <row r="53" spans="1:5" x14ac:dyDescent="0.25">
      <c r="A53" s="314"/>
      <c r="B53" s="314"/>
      <c r="C53" s="314"/>
      <c r="D53" s="314"/>
      <c r="E53" s="282"/>
    </row>
    <row r="54" spans="1:5" x14ac:dyDescent="0.25">
      <c r="A54" s="314"/>
      <c r="B54" s="314"/>
      <c r="C54" s="314"/>
      <c r="D54" s="314"/>
      <c r="E54" s="282"/>
    </row>
    <row r="55" spans="1:5" x14ac:dyDescent="0.25">
      <c r="A55" s="314"/>
      <c r="B55" s="314"/>
      <c r="C55" s="314"/>
      <c r="D55" s="314"/>
      <c r="E55" s="282"/>
    </row>
    <row r="56" spans="1:5" x14ac:dyDescent="0.25">
      <c r="A56" s="342" t="s">
        <v>583</v>
      </c>
      <c r="B56" s="342"/>
      <c r="D56" s="342" t="s">
        <v>584</v>
      </c>
      <c r="E56" s="342"/>
    </row>
    <row r="57" spans="1:5" x14ac:dyDescent="0.25">
      <c r="A57" s="143"/>
      <c r="B57" s="143" t="s">
        <v>682</v>
      </c>
      <c r="D57" t="s">
        <v>681</v>
      </c>
    </row>
    <row r="58" spans="1:5" x14ac:dyDescent="0.25">
      <c r="A58" s="342" t="s">
        <v>612</v>
      </c>
      <c r="B58" s="342"/>
      <c r="C58" s="342"/>
      <c r="D58" s="342"/>
      <c r="E58" s="342"/>
    </row>
    <row r="59" spans="1:5" x14ac:dyDescent="0.25">
      <c r="A59" s="130"/>
      <c r="B59" s="342" t="s">
        <v>680</v>
      </c>
      <c r="C59" s="342"/>
      <c r="D59" s="342"/>
      <c r="E59" s="342"/>
    </row>
  </sheetData>
  <mergeCells count="16">
    <mergeCell ref="A56:B56"/>
    <mergeCell ref="D56:E56"/>
    <mergeCell ref="A58:E58"/>
    <mergeCell ref="B59:E59"/>
    <mergeCell ref="A45:E45"/>
    <mergeCell ref="A42:E43"/>
    <mergeCell ref="A3:E3"/>
    <mergeCell ref="A4:E4"/>
    <mergeCell ref="A6:E6"/>
    <mergeCell ref="A7:E7"/>
    <mergeCell ref="A12:B12"/>
    <mergeCell ref="A13:A26"/>
    <mergeCell ref="A31:B31"/>
    <mergeCell ref="A32:A35"/>
    <mergeCell ref="A38:B38"/>
    <mergeCell ref="A39:B39"/>
  </mergeCells>
  <pageMargins left="0.7" right="0.7" top="0.75" bottom="0.75" header="0.3" footer="0.3"/>
  <pageSetup scale="61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E746-F09D-48E4-8A36-AE66589B96BD}">
  <dimension ref="A1:D33"/>
  <sheetViews>
    <sheetView topLeftCell="A10" workbookViewId="0">
      <selection activeCell="B31" sqref="B31"/>
    </sheetView>
  </sheetViews>
  <sheetFormatPr defaultRowHeight="15" x14ac:dyDescent="0.25"/>
  <cols>
    <col min="1" max="2" width="11.5703125" style="188" bestFit="1" customWidth="1"/>
  </cols>
  <sheetData>
    <row r="1" spans="1:4" x14ac:dyDescent="0.25">
      <c r="A1" s="188">
        <v>7800</v>
      </c>
      <c r="B1" s="188">
        <v>11000</v>
      </c>
      <c r="D1">
        <v>11000</v>
      </c>
    </row>
    <row r="2" spans="1:4" x14ac:dyDescent="0.25">
      <c r="A2" s="188">
        <v>5100</v>
      </c>
      <c r="B2" s="188">
        <v>45000</v>
      </c>
      <c r="D2">
        <v>45000</v>
      </c>
    </row>
    <row r="3" spans="1:4" x14ac:dyDescent="0.25">
      <c r="A3" s="188">
        <v>900</v>
      </c>
      <c r="B3" s="188">
        <v>13100</v>
      </c>
      <c r="D3">
        <v>13100</v>
      </c>
    </row>
    <row r="4" spans="1:4" x14ac:dyDescent="0.25">
      <c r="A4" s="188">
        <v>5100</v>
      </c>
      <c r="B4" s="188">
        <v>74050</v>
      </c>
      <c r="D4">
        <v>74050</v>
      </c>
    </row>
    <row r="5" spans="1:4" x14ac:dyDescent="0.25">
      <c r="A5" s="188">
        <v>11400</v>
      </c>
      <c r="B5" s="188">
        <v>42900</v>
      </c>
      <c r="D5">
        <v>42900</v>
      </c>
    </row>
    <row r="6" spans="1:4" x14ac:dyDescent="0.25">
      <c r="A6" s="188">
        <v>11500</v>
      </c>
      <c r="B6" s="188">
        <v>43800</v>
      </c>
      <c r="D6">
        <v>43800</v>
      </c>
    </row>
    <row r="7" spans="1:4" x14ac:dyDescent="0.25">
      <c r="A7" s="188">
        <v>4600</v>
      </c>
      <c r="B7" s="188">
        <v>57000</v>
      </c>
      <c r="D7">
        <v>57000</v>
      </c>
    </row>
    <row r="8" spans="1:4" x14ac:dyDescent="0.25">
      <c r="A8" s="188">
        <v>5000</v>
      </c>
      <c r="B8" s="188">
        <v>12200</v>
      </c>
    </row>
    <row r="9" spans="1:4" x14ac:dyDescent="0.25">
      <c r="A9" s="188">
        <v>13200</v>
      </c>
      <c r="B9" s="188">
        <v>4500</v>
      </c>
    </row>
    <row r="10" spans="1:4" x14ac:dyDescent="0.25">
      <c r="A10" s="188">
        <v>5300</v>
      </c>
    </row>
    <row r="11" spans="1:4" x14ac:dyDescent="0.25">
      <c r="A11" s="188">
        <v>1400</v>
      </c>
    </row>
    <row r="12" spans="1:4" x14ac:dyDescent="0.25">
      <c r="A12" s="188">
        <v>3300</v>
      </c>
    </row>
    <row r="13" spans="1:4" x14ac:dyDescent="0.25">
      <c r="A13" s="188">
        <v>4700</v>
      </c>
    </row>
    <row r="14" spans="1:4" x14ac:dyDescent="0.25">
      <c r="A14" s="188">
        <v>7300</v>
      </c>
    </row>
    <row r="15" spans="1:4" x14ac:dyDescent="0.25">
      <c r="A15" s="188">
        <v>2750</v>
      </c>
    </row>
    <row r="16" spans="1:4" x14ac:dyDescent="0.25">
      <c r="A16" s="188">
        <v>5400</v>
      </c>
    </row>
    <row r="17" spans="1:2" x14ac:dyDescent="0.25">
      <c r="A17" s="188">
        <v>5000</v>
      </c>
    </row>
    <row r="18" spans="1:2" x14ac:dyDescent="0.25">
      <c r="A18" s="188">
        <v>4500</v>
      </c>
    </row>
    <row r="19" spans="1:2" x14ac:dyDescent="0.25">
      <c r="A19" s="188">
        <v>5300</v>
      </c>
    </row>
    <row r="20" spans="1:2" x14ac:dyDescent="0.25">
      <c r="A20" s="188">
        <v>5450</v>
      </c>
    </row>
    <row r="21" spans="1:2" x14ac:dyDescent="0.25">
      <c r="A21" s="188">
        <v>8800</v>
      </c>
    </row>
    <row r="22" spans="1:2" x14ac:dyDescent="0.25">
      <c r="A22" s="188">
        <v>2500</v>
      </c>
    </row>
    <row r="23" spans="1:2" x14ac:dyDescent="0.25">
      <c r="A23" s="188">
        <v>8150</v>
      </c>
    </row>
    <row r="24" spans="1:2" x14ac:dyDescent="0.25">
      <c r="A24" s="188">
        <v>5600</v>
      </c>
    </row>
    <row r="25" spans="1:2" x14ac:dyDescent="0.25">
      <c r="A25" s="188">
        <v>8400</v>
      </c>
    </row>
    <row r="26" spans="1:2" x14ac:dyDescent="0.25">
      <c r="A26" s="188">
        <v>7000</v>
      </c>
    </row>
    <row r="27" spans="1:2" x14ac:dyDescent="0.25">
      <c r="A27" s="188">
        <v>6900</v>
      </c>
    </row>
    <row r="28" spans="1:2" x14ac:dyDescent="0.25">
      <c r="A28" s="188">
        <v>6200</v>
      </c>
    </row>
    <row r="29" spans="1:2" x14ac:dyDescent="0.25">
      <c r="A29" s="188">
        <v>14000</v>
      </c>
    </row>
    <row r="30" spans="1:2" x14ac:dyDescent="0.25">
      <c r="A30" s="188">
        <v>3200</v>
      </c>
    </row>
    <row r="31" spans="1:2" x14ac:dyDescent="0.25">
      <c r="A31" s="188">
        <f>SUM(A1:A30)</f>
        <v>185750</v>
      </c>
      <c r="B31" s="188">
        <f>SUM(B1:B30)</f>
        <v>303550</v>
      </c>
    </row>
    <row r="32" spans="1:2" x14ac:dyDescent="0.25">
      <c r="A32" s="188">
        <v>191950</v>
      </c>
    </row>
    <row r="33" spans="1:1" x14ac:dyDescent="0.25">
      <c r="A33" s="188">
        <f>+A31-A32</f>
        <v>-6200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0"/>
  <sheetViews>
    <sheetView view="pageBreakPreview" topLeftCell="G1" zoomScale="60" zoomScaleNormal="69" workbookViewId="0">
      <pane ySplit="6" topLeftCell="A7" activePane="bottomLeft" state="frozen"/>
      <selection activeCell="C1" sqref="C1"/>
      <selection pane="bottomLeft" activeCell="G1" sqref="A1:XFD1048576"/>
    </sheetView>
  </sheetViews>
  <sheetFormatPr defaultColWidth="23.5703125" defaultRowHeight="15" x14ac:dyDescent="0.25"/>
  <cols>
    <col min="2" max="2" width="34.5703125" bestFit="1" customWidth="1"/>
    <col min="5" max="5" width="16.28515625" customWidth="1"/>
  </cols>
  <sheetData>
    <row r="1" spans="1:19" ht="22.5" x14ac:dyDescent="0.3">
      <c r="A1" s="341" t="s">
        <v>586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</row>
    <row r="2" spans="1:19" ht="15.75" x14ac:dyDescent="0.25">
      <c r="A2" s="435" t="s">
        <v>666</v>
      </c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</row>
    <row r="3" spans="1:19" ht="15.75" x14ac:dyDescent="0.25">
      <c r="A3" s="435" t="s">
        <v>658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</row>
    <row r="4" spans="1:19" x14ac:dyDescent="0.25">
      <c r="A4" s="130" t="s">
        <v>689</v>
      </c>
      <c r="B4" s="253"/>
    </row>
    <row r="5" spans="1:19" x14ac:dyDescent="0.25">
      <c r="A5" t="s">
        <v>1317</v>
      </c>
    </row>
    <row r="6" spans="1:19" s="254" customFormat="1" ht="30" x14ac:dyDescent="0.25">
      <c r="A6" s="338" t="s">
        <v>659</v>
      </c>
      <c r="B6" s="339" t="s">
        <v>660</v>
      </c>
      <c r="C6" s="339" t="s">
        <v>661</v>
      </c>
      <c r="D6" s="339" t="s">
        <v>662</v>
      </c>
      <c r="E6" s="338" t="s">
        <v>673</v>
      </c>
      <c r="F6" s="338" t="s">
        <v>663</v>
      </c>
      <c r="G6" s="338" t="s">
        <v>664</v>
      </c>
      <c r="H6" s="338" t="s">
        <v>674</v>
      </c>
      <c r="I6" s="338" t="s">
        <v>675</v>
      </c>
      <c r="J6" s="340" t="s">
        <v>1306</v>
      </c>
      <c r="K6" s="340" t="s">
        <v>1307</v>
      </c>
      <c r="L6" s="340" t="s">
        <v>1308</v>
      </c>
      <c r="M6" s="340" t="s">
        <v>1309</v>
      </c>
      <c r="N6" s="340" t="s">
        <v>1310</v>
      </c>
      <c r="O6" s="340" t="s">
        <v>1311</v>
      </c>
      <c r="P6" s="340" t="s">
        <v>1312</v>
      </c>
      <c r="Q6" s="340" t="s">
        <v>1314</v>
      </c>
      <c r="R6" s="340" t="s">
        <v>1313</v>
      </c>
      <c r="S6" s="338" t="s">
        <v>665</v>
      </c>
    </row>
    <row r="7" spans="1:19" x14ac:dyDescent="0.25">
      <c r="A7" s="2">
        <v>1</v>
      </c>
      <c r="B7" s="255" t="s">
        <v>1291</v>
      </c>
      <c r="C7" s="256"/>
      <c r="D7" s="336" t="s">
        <v>1315</v>
      </c>
      <c r="E7" s="258"/>
      <c r="F7" s="258"/>
      <c r="G7" s="258"/>
      <c r="H7" s="258">
        <v>94965</v>
      </c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>
        <f t="shared" ref="S7:S38" si="0">SUM(E7:R7)</f>
        <v>94965</v>
      </c>
    </row>
    <row r="8" spans="1:19" x14ac:dyDescent="0.25">
      <c r="A8" s="2">
        <v>2</v>
      </c>
      <c r="B8" s="259" t="s">
        <v>1291</v>
      </c>
      <c r="C8" s="257"/>
      <c r="D8" s="336" t="s">
        <v>1315</v>
      </c>
      <c r="E8" s="258"/>
      <c r="F8" s="258"/>
      <c r="G8" s="258"/>
      <c r="H8" s="258">
        <v>11375</v>
      </c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>
        <f t="shared" si="0"/>
        <v>11375</v>
      </c>
    </row>
    <row r="9" spans="1:19" x14ac:dyDescent="0.25">
      <c r="A9" s="2">
        <v>3</v>
      </c>
      <c r="B9" s="259" t="s">
        <v>1292</v>
      </c>
      <c r="C9" s="260"/>
      <c r="D9" s="336" t="s">
        <v>1315</v>
      </c>
      <c r="E9" s="258"/>
      <c r="F9" s="258"/>
      <c r="G9" s="258"/>
      <c r="H9" s="258">
        <v>287920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>
        <f t="shared" si="0"/>
        <v>287920</v>
      </c>
    </row>
    <row r="10" spans="1:19" x14ac:dyDescent="0.25">
      <c r="A10" s="2">
        <v>4</v>
      </c>
      <c r="B10" s="259" t="s">
        <v>1293</v>
      </c>
      <c r="C10" s="256"/>
      <c r="D10" s="336" t="s">
        <v>1315</v>
      </c>
      <c r="E10" s="258"/>
      <c r="F10" s="258"/>
      <c r="G10" s="258"/>
      <c r="H10" s="258">
        <v>220483.05</v>
      </c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>
        <f t="shared" si="0"/>
        <v>220483.05</v>
      </c>
    </row>
    <row r="11" spans="1:19" x14ac:dyDescent="0.25">
      <c r="A11" s="2">
        <v>5</v>
      </c>
      <c r="B11" s="259" t="s">
        <v>1294</v>
      </c>
      <c r="C11" s="257"/>
      <c r="D11" s="336" t="s">
        <v>1315</v>
      </c>
      <c r="E11" s="258"/>
      <c r="F11" s="258"/>
      <c r="G11" s="258"/>
      <c r="H11" s="258">
        <v>58382.86</v>
      </c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>
        <f t="shared" si="0"/>
        <v>58382.86</v>
      </c>
    </row>
    <row r="12" spans="1:19" x14ac:dyDescent="0.25">
      <c r="A12" s="2">
        <v>6</v>
      </c>
      <c r="B12" s="261" t="s">
        <v>895</v>
      </c>
      <c r="C12" s="257"/>
      <c r="D12" s="336" t="s">
        <v>1315</v>
      </c>
      <c r="E12" s="258"/>
      <c r="F12" s="258"/>
      <c r="G12" s="258"/>
      <c r="H12" s="258">
        <v>4182</v>
      </c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>
        <f t="shared" si="0"/>
        <v>4182</v>
      </c>
    </row>
    <row r="13" spans="1:19" x14ac:dyDescent="0.25">
      <c r="A13" s="2">
        <v>7</v>
      </c>
      <c r="B13" s="259" t="s">
        <v>1228</v>
      </c>
      <c r="C13" s="257"/>
      <c r="D13" s="336" t="s">
        <v>1315</v>
      </c>
      <c r="E13" s="258"/>
      <c r="F13" s="258"/>
      <c r="G13" s="258"/>
      <c r="H13" s="258">
        <v>213260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>
        <f t="shared" si="0"/>
        <v>213260</v>
      </c>
    </row>
    <row r="14" spans="1:19" x14ac:dyDescent="0.25">
      <c r="A14" s="2">
        <v>8</v>
      </c>
      <c r="B14" s="259" t="s">
        <v>1295</v>
      </c>
      <c r="C14" s="257"/>
      <c r="D14" s="336" t="s">
        <v>1315</v>
      </c>
      <c r="E14" s="258"/>
      <c r="F14" s="258"/>
      <c r="G14" s="258"/>
      <c r="H14" s="258"/>
      <c r="I14" s="258">
        <v>48852</v>
      </c>
      <c r="J14" s="258"/>
      <c r="K14" s="258"/>
      <c r="L14" s="258"/>
      <c r="M14" s="258"/>
      <c r="N14" s="258"/>
      <c r="O14" s="258"/>
      <c r="P14" s="258"/>
      <c r="Q14" s="258"/>
      <c r="R14" s="258"/>
      <c r="S14" s="258">
        <f t="shared" si="0"/>
        <v>48852</v>
      </c>
    </row>
    <row r="15" spans="1:19" x14ac:dyDescent="0.25">
      <c r="A15" s="2">
        <v>9</v>
      </c>
      <c r="B15" s="259" t="s">
        <v>1295</v>
      </c>
      <c r="C15" s="260"/>
      <c r="D15" s="336" t="s">
        <v>1315</v>
      </c>
      <c r="E15" s="258"/>
      <c r="F15" s="258"/>
      <c r="G15" s="258"/>
      <c r="H15" s="258"/>
      <c r="I15" s="258">
        <v>48852</v>
      </c>
      <c r="J15" s="258"/>
      <c r="K15" s="258"/>
      <c r="L15" s="258"/>
      <c r="M15" s="258"/>
      <c r="N15" s="258"/>
      <c r="O15" s="258"/>
      <c r="P15" s="258"/>
      <c r="Q15" s="258"/>
      <c r="R15" s="258"/>
      <c r="S15" s="258">
        <f t="shared" si="0"/>
        <v>48852</v>
      </c>
    </row>
    <row r="16" spans="1:19" x14ac:dyDescent="0.25">
      <c r="A16" s="2">
        <v>10</v>
      </c>
      <c r="B16" s="262" t="s">
        <v>1295</v>
      </c>
      <c r="C16" s="257"/>
      <c r="D16" s="336" t="s">
        <v>1315</v>
      </c>
      <c r="E16" s="258"/>
      <c r="F16" s="258"/>
      <c r="G16" s="258"/>
      <c r="H16" s="258"/>
      <c r="I16" s="258">
        <v>48852</v>
      </c>
      <c r="J16" s="258"/>
      <c r="K16" s="258"/>
      <c r="L16" s="258"/>
      <c r="M16" s="258"/>
      <c r="N16" s="258"/>
      <c r="O16" s="258"/>
      <c r="P16" s="258"/>
      <c r="Q16" s="258"/>
      <c r="R16" s="258"/>
      <c r="S16" s="258">
        <f t="shared" si="0"/>
        <v>48852</v>
      </c>
    </row>
    <row r="17" spans="1:19" x14ac:dyDescent="0.25">
      <c r="A17" s="2">
        <v>11</v>
      </c>
      <c r="B17" s="263" t="s">
        <v>1295</v>
      </c>
      <c r="C17" s="264"/>
      <c r="D17" s="336" t="s">
        <v>1315</v>
      </c>
      <c r="E17" s="258"/>
      <c r="F17" s="258"/>
      <c r="G17" s="258"/>
      <c r="H17" s="258"/>
      <c r="I17" s="258">
        <v>48852</v>
      </c>
      <c r="J17" s="258"/>
      <c r="K17" s="258"/>
      <c r="L17" s="258"/>
      <c r="M17" s="258"/>
      <c r="N17" s="258"/>
      <c r="O17" s="258"/>
      <c r="P17" s="258"/>
      <c r="Q17" s="258"/>
      <c r="R17" s="258"/>
      <c r="S17" s="258">
        <f t="shared" si="0"/>
        <v>48852</v>
      </c>
    </row>
    <row r="18" spans="1:19" x14ac:dyDescent="0.25">
      <c r="A18" s="2">
        <v>12</v>
      </c>
      <c r="B18" s="259" t="s">
        <v>1296</v>
      </c>
      <c r="C18" s="257"/>
      <c r="D18" s="336" t="s">
        <v>1315</v>
      </c>
      <c r="E18" s="258"/>
      <c r="F18" s="258"/>
      <c r="G18" s="258"/>
      <c r="H18" s="258"/>
      <c r="I18" s="258">
        <v>112271.1</v>
      </c>
      <c r="J18" s="258"/>
      <c r="K18" s="258"/>
      <c r="L18" s="258"/>
      <c r="M18" s="258"/>
      <c r="N18" s="258"/>
      <c r="O18" s="258"/>
      <c r="P18" s="258"/>
      <c r="Q18" s="258"/>
      <c r="R18" s="258"/>
      <c r="S18" s="258">
        <f t="shared" si="0"/>
        <v>112271.1</v>
      </c>
    </row>
    <row r="19" spans="1:19" x14ac:dyDescent="0.25">
      <c r="A19" s="2">
        <v>13</v>
      </c>
      <c r="B19" s="259" t="s">
        <v>1297</v>
      </c>
      <c r="C19" s="257"/>
      <c r="D19" s="336" t="s">
        <v>1315</v>
      </c>
      <c r="E19" s="258"/>
      <c r="F19" s="258"/>
      <c r="G19" s="258"/>
      <c r="H19" s="258"/>
      <c r="I19" s="258">
        <v>16520</v>
      </c>
      <c r="J19" s="258"/>
      <c r="K19" s="258"/>
      <c r="L19" s="258"/>
      <c r="M19" s="258"/>
      <c r="N19" s="258"/>
      <c r="O19" s="258"/>
      <c r="P19" s="258"/>
      <c r="Q19" s="258"/>
      <c r="R19" s="258"/>
      <c r="S19" s="258">
        <f t="shared" si="0"/>
        <v>16520</v>
      </c>
    </row>
    <row r="20" spans="1:19" x14ac:dyDescent="0.25">
      <c r="A20" s="2">
        <v>14</v>
      </c>
      <c r="B20" s="259" t="s">
        <v>1298</v>
      </c>
      <c r="C20" s="265"/>
      <c r="D20" s="336" t="s">
        <v>1315</v>
      </c>
      <c r="E20" s="258"/>
      <c r="F20" s="258"/>
      <c r="G20" s="258"/>
      <c r="H20" s="258"/>
      <c r="I20" s="258"/>
      <c r="J20" s="258">
        <v>23625</v>
      </c>
      <c r="K20" s="258"/>
      <c r="L20" s="258"/>
      <c r="M20" s="258"/>
      <c r="N20" s="258"/>
      <c r="O20" s="258"/>
      <c r="P20" s="258"/>
      <c r="Q20" s="258"/>
      <c r="R20" s="258"/>
      <c r="S20" s="258">
        <f t="shared" si="0"/>
        <v>23625</v>
      </c>
    </row>
    <row r="21" spans="1:19" x14ac:dyDescent="0.25">
      <c r="A21" s="2">
        <v>15</v>
      </c>
      <c r="B21" s="259" t="s">
        <v>1299</v>
      </c>
      <c r="C21" s="257"/>
      <c r="D21" s="336" t="s">
        <v>1315</v>
      </c>
      <c r="E21" s="258"/>
      <c r="F21" s="258"/>
      <c r="G21" s="258"/>
      <c r="H21" s="258"/>
      <c r="I21" s="258"/>
      <c r="J21" s="258">
        <v>5691.23</v>
      </c>
      <c r="K21" s="258"/>
      <c r="L21" s="258"/>
      <c r="M21" s="258"/>
      <c r="N21" s="258"/>
      <c r="O21" s="258"/>
      <c r="P21" s="258"/>
      <c r="Q21" s="258"/>
      <c r="R21" s="258"/>
      <c r="S21" s="258">
        <f t="shared" si="0"/>
        <v>5691.23</v>
      </c>
    </row>
    <row r="22" spans="1:19" x14ac:dyDescent="0.25">
      <c r="A22" s="2">
        <v>16</v>
      </c>
      <c r="B22" s="259" t="s">
        <v>1300</v>
      </c>
      <c r="C22" s="256"/>
      <c r="D22" s="336" t="s">
        <v>1315</v>
      </c>
      <c r="E22" s="258"/>
      <c r="F22" s="258"/>
      <c r="G22" s="258"/>
      <c r="H22" s="258"/>
      <c r="I22" s="258"/>
      <c r="J22" s="258"/>
      <c r="K22" s="258">
        <v>137691.84</v>
      </c>
      <c r="L22" s="258"/>
      <c r="M22" s="258"/>
      <c r="N22" s="258"/>
      <c r="O22" s="258"/>
      <c r="P22" s="258"/>
      <c r="Q22" s="258"/>
      <c r="R22" s="258"/>
      <c r="S22" s="258">
        <f t="shared" si="0"/>
        <v>137691.84</v>
      </c>
    </row>
    <row r="23" spans="1:19" x14ac:dyDescent="0.25">
      <c r="A23" s="2">
        <v>17</v>
      </c>
      <c r="B23" s="259" t="s">
        <v>1301</v>
      </c>
      <c r="C23" s="257"/>
      <c r="D23" s="336" t="s">
        <v>1315</v>
      </c>
      <c r="E23" s="258"/>
      <c r="F23" s="258"/>
      <c r="G23" s="258"/>
      <c r="H23" s="258"/>
      <c r="I23" s="258"/>
      <c r="J23" s="258"/>
      <c r="K23" s="258"/>
      <c r="L23" s="258">
        <v>9500</v>
      </c>
      <c r="M23" s="258"/>
      <c r="N23" s="258"/>
      <c r="O23" s="258"/>
      <c r="P23" s="258"/>
      <c r="Q23" s="258"/>
      <c r="R23" s="258"/>
      <c r="S23" s="258">
        <f t="shared" si="0"/>
        <v>9500</v>
      </c>
    </row>
    <row r="24" spans="1:19" x14ac:dyDescent="0.25">
      <c r="A24" s="2">
        <v>18</v>
      </c>
      <c r="B24" s="259" t="s">
        <v>1301</v>
      </c>
      <c r="C24" s="257"/>
      <c r="D24" s="336" t="s">
        <v>1315</v>
      </c>
      <c r="E24" s="258"/>
      <c r="F24" s="258"/>
      <c r="G24" s="258"/>
      <c r="H24" s="258"/>
      <c r="I24" s="258"/>
      <c r="J24" s="258"/>
      <c r="K24" s="258"/>
      <c r="L24" s="258">
        <v>9060</v>
      </c>
      <c r="M24" s="258"/>
      <c r="N24" s="258"/>
      <c r="O24" s="258"/>
      <c r="P24" s="258"/>
      <c r="Q24" s="258"/>
      <c r="R24" s="258"/>
      <c r="S24" s="258">
        <f t="shared" si="0"/>
        <v>9060</v>
      </c>
    </row>
    <row r="25" spans="1:19" x14ac:dyDescent="0.25">
      <c r="A25" s="2">
        <v>19</v>
      </c>
      <c r="B25" s="259" t="s">
        <v>1301</v>
      </c>
      <c r="C25" s="257"/>
      <c r="D25" s="336" t="s">
        <v>1315</v>
      </c>
      <c r="E25" s="258"/>
      <c r="F25" s="258"/>
      <c r="G25" s="258"/>
      <c r="H25" s="258"/>
      <c r="I25" s="258"/>
      <c r="J25" s="258"/>
      <c r="K25" s="258"/>
      <c r="L25" s="258">
        <v>9120</v>
      </c>
      <c r="M25" s="258"/>
      <c r="N25" s="258"/>
      <c r="O25" s="258"/>
      <c r="P25" s="258"/>
      <c r="Q25" s="258"/>
      <c r="R25" s="258"/>
      <c r="S25" s="258">
        <f t="shared" si="0"/>
        <v>9120</v>
      </c>
    </row>
    <row r="26" spans="1:19" x14ac:dyDescent="0.25">
      <c r="A26" s="2">
        <v>20</v>
      </c>
      <c r="B26" s="259" t="s">
        <v>1298</v>
      </c>
      <c r="C26" s="257"/>
      <c r="D26" s="336" t="s">
        <v>1315</v>
      </c>
      <c r="E26" s="258"/>
      <c r="F26" s="258"/>
      <c r="G26" s="258"/>
      <c r="H26" s="258"/>
      <c r="I26" s="258"/>
      <c r="J26" s="258"/>
      <c r="K26" s="258"/>
      <c r="L26" s="258"/>
      <c r="M26" s="258">
        <v>13900</v>
      </c>
      <c r="N26" s="258"/>
      <c r="O26" s="258"/>
      <c r="P26" s="258"/>
      <c r="Q26" s="258"/>
      <c r="R26" s="258"/>
      <c r="S26" s="258">
        <f t="shared" si="0"/>
        <v>13900</v>
      </c>
    </row>
    <row r="27" spans="1:19" x14ac:dyDescent="0.25">
      <c r="A27" s="2">
        <v>21</v>
      </c>
      <c r="B27" s="266" t="s">
        <v>1298</v>
      </c>
      <c r="C27" s="257"/>
      <c r="D27" s="336" t="s">
        <v>1315</v>
      </c>
      <c r="E27" s="258"/>
      <c r="F27" s="258"/>
      <c r="G27" s="258"/>
      <c r="H27" s="258"/>
      <c r="I27" s="258"/>
      <c r="J27" s="258"/>
      <c r="K27" s="258"/>
      <c r="L27" s="258"/>
      <c r="M27" s="258"/>
      <c r="N27" s="258">
        <v>18500</v>
      </c>
      <c r="O27" s="258"/>
      <c r="P27" s="258"/>
      <c r="Q27" s="258"/>
      <c r="R27" s="258"/>
      <c r="S27" s="258">
        <f t="shared" si="0"/>
        <v>18500</v>
      </c>
    </row>
    <row r="28" spans="1:19" x14ac:dyDescent="0.25">
      <c r="A28" s="2">
        <v>22</v>
      </c>
      <c r="B28" s="259" t="s">
        <v>1301</v>
      </c>
      <c r="C28" s="257"/>
      <c r="D28" s="336" t="s">
        <v>1315</v>
      </c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>
        <v>15750</v>
      </c>
      <c r="P28" s="258"/>
      <c r="Q28" s="258"/>
      <c r="R28" s="258"/>
      <c r="S28" s="258">
        <f t="shared" si="0"/>
        <v>15750</v>
      </c>
    </row>
    <row r="29" spans="1:19" x14ac:dyDescent="0.25">
      <c r="A29" s="2">
        <v>23</v>
      </c>
      <c r="B29" s="259" t="s">
        <v>1301</v>
      </c>
      <c r="C29" s="257"/>
      <c r="D29" s="336" t="s">
        <v>1315</v>
      </c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>
        <v>2700</v>
      </c>
      <c r="P29" s="258"/>
      <c r="Q29" s="258"/>
      <c r="R29" s="258"/>
      <c r="S29" s="258">
        <f t="shared" si="0"/>
        <v>2700</v>
      </c>
    </row>
    <row r="30" spans="1:19" x14ac:dyDescent="0.25">
      <c r="A30" s="2">
        <v>24</v>
      </c>
      <c r="B30" s="259" t="s">
        <v>1302</v>
      </c>
      <c r="C30" s="256"/>
      <c r="D30" s="336" t="s">
        <v>1315</v>
      </c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>
        <v>165375</v>
      </c>
      <c r="P30" s="258"/>
      <c r="Q30" s="258"/>
      <c r="R30" s="258"/>
      <c r="S30" s="258">
        <f t="shared" si="0"/>
        <v>165375</v>
      </c>
    </row>
    <row r="31" spans="1:19" x14ac:dyDescent="0.25">
      <c r="A31" s="2">
        <v>25</v>
      </c>
      <c r="B31" s="259" t="s">
        <v>1301</v>
      </c>
      <c r="C31" s="257"/>
      <c r="D31" s="336" t="s">
        <v>1315</v>
      </c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>
        <v>12660</v>
      </c>
      <c r="Q31" s="258"/>
      <c r="R31" s="258"/>
      <c r="S31" s="258">
        <f t="shared" si="0"/>
        <v>12660</v>
      </c>
    </row>
    <row r="32" spans="1:19" x14ac:dyDescent="0.25">
      <c r="A32" s="2">
        <v>26</v>
      </c>
      <c r="B32" s="259" t="s">
        <v>1298</v>
      </c>
      <c r="C32" s="257"/>
      <c r="D32" s="336" t="s">
        <v>1315</v>
      </c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>
        <v>16100</v>
      </c>
      <c r="Q32" s="258"/>
      <c r="R32" s="258"/>
      <c r="S32" s="258">
        <f t="shared" si="0"/>
        <v>16100</v>
      </c>
    </row>
    <row r="33" spans="1:19" x14ac:dyDescent="0.25">
      <c r="A33" s="2">
        <v>27</v>
      </c>
      <c r="B33" s="259" t="s">
        <v>1300</v>
      </c>
      <c r="C33" s="257"/>
      <c r="D33" s="336" t="s">
        <v>1315</v>
      </c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>
        <v>199998.2</v>
      </c>
      <c r="Q33" s="258"/>
      <c r="R33" s="258"/>
      <c r="S33" s="258">
        <f t="shared" si="0"/>
        <v>199998.2</v>
      </c>
    </row>
    <row r="34" spans="1:19" x14ac:dyDescent="0.25">
      <c r="A34" s="2">
        <v>28</v>
      </c>
      <c r="B34" s="261" t="s">
        <v>1298</v>
      </c>
      <c r="C34" s="257"/>
      <c r="D34" s="336" t="s">
        <v>1315</v>
      </c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>
        <v>950</v>
      </c>
      <c r="R34" s="258"/>
      <c r="S34" s="258">
        <f t="shared" si="0"/>
        <v>950</v>
      </c>
    </row>
    <row r="35" spans="1:19" x14ac:dyDescent="0.25">
      <c r="A35" s="2">
        <v>29</v>
      </c>
      <c r="B35" s="259" t="s">
        <v>1303</v>
      </c>
      <c r="C35" s="256"/>
      <c r="D35" s="336" t="s">
        <v>1315</v>
      </c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>
        <v>16520</v>
      </c>
      <c r="R35" s="258"/>
      <c r="S35" s="258">
        <f t="shared" si="0"/>
        <v>16520</v>
      </c>
    </row>
    <row r="36" spans="1:19" x14ac:dyDescent="0.25">
      <c r="A36" s="2">
        <v>30</v>
      </c>
      <c r="B36" s="259" t="s">
        <v>1304</v>
      </c>
      <c r="C36" s="257"/>
      <c r="D36" s="336" t="s">
        <v>1315</v>
      </c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>
        <v>23681.25</v>
      </c>
      <c r="S36" s="258">
        <f t="shared" si="0"/>
        <v>23681.25</v>
      </c>
    </row>
    <row r="37" spans="1:19" x14ac:dyDescent="0.25">
      <c r="A37" s="2">
        <v>31</v>
      </c>
      <c r="B37" s="259" t="s">
        <v>1305</v>
      </c>
      <c r="C37" s="257"/>
      <c r="D37" s="336" t="s">
        <v>1315</v>
      </c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>
        <v>15000</v>
      </c>
      <c r="S37" s="258">
        <f t="shared" si="0"/>
        <v>15000</v>
      </c>
    </row>
    <row r="38" spans="1:19" x14ac:dyDescent="0.25">
      <c r="A38" s="2">
        <v>32</v>
      </c>
      <c r="B38" s="259" t="s">
        <v>1301</v>
      </c>
      <c r="C38" s="257"/>
      <c r="D38" s="336" t="s">
        <v>1315</v>
      </c>
      <c r="E38" s="258"/>
      <c r="F38" s="258"/>
      <c r="G38" s="258"/>
      <c r="H38" s="258"/>
      <c r="I38" s="258"/>
      <c r="J38" s="258"/>
      <c r="K38" s="258"/>
      <c r="L38" s="258">
        <v>3900</v>
      </c>
      <c r="M38" s="258"/>
      <c r="N38" s="258"/>
      <c r="O38" s="258"/>
      <c r="P38" s="258"/>
      <c r="Q38" s="258"/>
      <c r="R38" s="258"/>
      <c r="S38" s="258">
        <f t="shared" si="0"/>
        <v>3900</v>
      </c>
    </row>
    <row r="39" spans="1:19" ht="15.75" thickBot="1" x14ac:dyDescent="0.3">
      <c r="A39" s="436" t="s">
        <v>894</v>
      </c>
      <c r="B39" s="437"/>
      <c r="C39" s="437"/>
      <c r="D39" s="438"/>
      <c r="E39" s="337">
        <f>SUM(E7:E38)</f>
        <v>0</v>
      </c>
      <c r="F39" s="337">
        <f t="shared" ref="F39:S39" si="1">SUM(F7:F38)</f>
        <v>0</v>
      </c>
      <c r="G39" s="337">
        <f t="shared" si="1"/>
        <v>0</v>
      </c>
      <c r="H39" s="337">
        <f t="shared" si="1"/>
        <v>890567.91</v>
      </c>
      <c r="I39" s="337">
        <f t="shared" si="1"/>
        <v>324199.09999999998</v>
      </c>
      <c r="J39" s="337">
        <f t="shared" si="1"/>
        <v>29316.23</v>
      </c>
      <c r="K39" s="337">
        <f t="shared" si="1"/>
        <v>137691.84</v>
      </c>
      <c r="L39" s="337">
        <f t="shared" si="1"/>
        <v>31580</v>
      </c>
      <c r="M39" s="337">
        <f t="shared" si="1"/>
        <v>13900</v>
      </c>
      <c r="N39" s="337">
        <f t="shared" si="1"/>
        <v>18500</v>
      </c>
      <c r="O39" s="337">
        <f t="shared" si="1"/>
        <v>183825</v>
      </c>
      <c r="P39" s="337">
        <f t="shared" si="1"/>
        <v>228758.2</v>
      </c>
      <c r="Q39" s="337">
        <f t="shared" si="1"/>
        <v>17470</v>
      </c>
      <c r="R39" s="337">
        <f t="shared" si="1"/>
        <v>38681.25</v>
      </c>
      <c r="S39" s="337">
        <f t="shared" si="1"/>
        <v>1914489.5300000003</v>
      </c>
    </row>
    <row r="40" spans="1:19" ht="15.75" thickTop="1" x14ac:dyDescent="0.25"/>
  </sheetData>
  <mergeCells count="3">
    <mergeCell ref="A2:S2"/>
    <mergeCell ref="A3:S3"/>
    <mergeCell ref="A39:D39"/>
  </mergeCells>
  <phoneticPr fontId="44" type="noConversion"/>
  <pageMargins left="0.7" right="0.7" top="0.75" bottom="0.75" header="0.3" footer="0.3"/>
  <pageSetup scale="25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69"/>
  <sheetViews>
    <sheetView view="pageBreakPreview" zoomScale="60" zoomScaleNormal="100" workbookViewId="0">
      <selection activeCell="C13" sqref="C13"/>
    </sheetView>
  </sheetViews>
  <sheetFormatPr defaultColWidth="11.42578125" defaultRowHeight="15" x14ac:dyDescent="0.25"/>
  <cols>
    <col min="1" max="1" width="26.140625" bestFit="1" customWidth="1"/>
    <col min="2" max="2" width="71.7109375" customWidth="1"/>
    <col min="3" max="3" width="24.42578125" customWidth="1"/>
    <col min="4" max="15" width="21.85546875" bestFit="1" customWidth="1"/>
    <col min="16" max="17" width="23.42578125" bestFit="1" customWidth="1"/>
    <col min="18" max="18" width="21.85546875" bestFit="1" customWidth="1"/>
    <col min="19" max="20" width="23.42578125" bestFit="1" customWidth="1"/>
    <col min="21" max="21" width="15.42578125" bestFit="1" customWidth="1"/>
    <col min="22" max="22" width="13.28515625" bestFit="1" customWidth="1"/>
    <col min="23" max="23" width="15.42578125" bestFit="1" customWidth="1"/>
    <col min="24" max="24" width="13.28515625" bestFit="1" customWidth="1"/>
    <col min="25" max="25" width="15.42578125" bestFit="1" customWidth="1"/>
    <col min="26" max="26" width="13.28515625" bestFit="1" customWidth="1"/>
    <col min="27" max="27" width="16" customWidth="1"/>
  </cols>
  <sheetData>
    <row r="1" spans="1:26" x14ac:dyDescent="0.25">
      <c r="A1" s="283"/>
      <c r="J1" s="188"/>
      <c r="M1" s="188"/>
    </row>
    <row r="2" spans="1:26" ht="28.5" x14ac:dyDescent="0.45">
      <c r="A2" s="442" t="s">
        <v>613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189"/>
      <c r="M2" s="188"/>
    </row>
    <row r="3" spans="1:26" ht="23.25" x14ac:dyDescent="0.35">
      <c r="A3" s="443" t="s">
        <v>614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189"/>
      <c r="M3" s="188"/>
    </row>
    <row r="4" spans="1:26" ht="18.75" x14ac:dyDescent="0.3">
      <c r="A4" s="444" t="s">
        <v>615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189"/>
      <c r="M4" s="188"/>
    </row>
    <row r="5" spans="1:26" x14ac:dyDescent="0.25">
      <c r="A5" s="283"/>
      <c r="E5" s="445" t="s">
        <v>616</v>
      </c>
      <c r="F5" s="344"/>
      <c r="J5" s="188"/>
      <c r="M5" s="188"/>
    </row>
    <row r="6" spans="1:26" ht="23.25" x14ac:dyDescent="0.35">
      <c r="A6" s="190" t="s">
        <v>617</v>
      </c>
      <c r="B6" s="190" t="s">
        <v>688</v>
      </c>
      <c r="C6" s="190" t="s">
        <v>688</v>
      </c>
      <c r="D6" s="190"/>
      <c r="E6" s="190"/>
      <c r="F6" s="190"/>
      <c r="G6" s="190"/>
      <c r="H6" s="190"/>
      <c r="I6" s="190"/>
      <c r="J6" s="191"/>
      <c r="K6" s="192"/>
      <c r="L6" s="193"/>
      <c r="M6" s="194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6"/>
    </row>
    <row r="7" spans="1:26" ht="15.75" thickBot="1" x14ac:dyDescent="0.3">
      <c r="A7" s="197"/>
      <c r="B7" s="198"/>
      <c r="C7" s="198"/>
      <c r="D7" s="198"/>
      <c r="E7" s="198"/>
      <c r="F7" s="198"/>
      <c r="G7" s="198"/>
      <c r="H7" s="198"/>
      <c r="I7" s="198"/>
      <c r="J7" s="199"/>
      <c r="K7" s="198"/>
      <c r="L7" s="198"/>
      <c r="M7" s="188"/>
    </row>
    <row r="8" spans="1:26" ht="18.75" x14ac:dyDescent="0.25">
      <c r="A8" s="446" t="s">
        <v>590</v>
      </c>
      <c r="B8" s="447"/>
      <c r="C8" s="448" t="s">
        <v>618</v>
      </c>
      <c r="D8" s="449"/>
      <c r="E8" s="439" t="s">
        <v>619</v>
      </c>
      <c r="F8" s="439"/>
      <c r="G8" s="439" t="s">
        <v>620</v>
      </c>
      <c r="H8" s="439"/>
      <c r="I8" s="439" t="s">
        <v>621</v>
      </c>
      <c r="J8" s="439"/>
      <c r="K8" s="439" t="s">
        <v>622</v>
      </c>
      <c r="L8" s="439"/>
      <c r="M8" s="439" t="s">
        <v>623</v>
      </c>
      <c r="N8" s="439"/>
      <c r="O8" s="439" t="s">
        <v>624</v>
      </c>
      <c r="P8" s="439"/>
      <c r="Q8" s="439" t="s">
        <v>625</v>
      </c>
      <c r="R8" s="439"/>
      <c r="S8" s="439" t="s">
        <v>626</v>
      </c>
      <c r="T8" s="439"/>
      <c r="U8" s="439" t="s">
        <v>627</v>
      </c>
      <c r="V8" s="439"/>
      <c r="W8" s="439" t="s">
        <v>628</v>
      </c>
      <c r="X8" s="439"/>
      <c r="Y8" s="439" t="s">
        <v>629</v>
      </c>
      <c r="Z8" s="439"/>
    </row>
    <row r="9" spans="1:26" ht="18.75" x14ac:dyDescent="0.25">
      <c r="A9" s="200"/>
      <c r="B9" s="200"/>
      <c r="C9" s="286" t="s">
        <v>630</v>
      </c>
      <c r="D9" s="286" t="s">
        <v>631</v>
      </c>
      <c r="E9" s="286" t="s">
        <v>630</v>
      </c>
      <c r="F9" s="286" t="s">
        <v>631</v>
      </c>
      <c r="G9" s="286" t="s">
        <v>630</v>
      </c>
      <c r="H9" s="286" t="s">
        <v>631</v>
      </c>
      <c r="I9" s="286" t="s">
        <v>630</v>
      </c>
      <c r="J9" s="201" t="s">
        <v>631</v>
      </c>
      <c r="K9" s="286" t="s">
        <v>630</v>
      </c>
      <c r="L9" s="286" t="s">
        <v>631</v>
      </c>
      <c r="M9" s="201" t="s">
        <v>630</v>
      </c>
      <c r="N9" s="286" t="s">
        <v>631</v>
      </c>
      <c r="O9" s="286" t="s">
        <v>630</v>
      </c>
      <c r="P9" s="286" t="s">
        <v>631</v>
      </c>
      <c r="Q9" s="286" t="s">
        <v>630</v>
      </c>
      <c r="R9" s="286" t="s">
        <v>631</v>
      </c>
      <c r="S9" s="286" t="s">
        <v>630</v>
      </c>
      <c r="T9" s="286" t="s">
        <v>631</v>
      </c>
      <c r="U9" s="286" t="s">
        <v>630</v>
      </c>
      <c r="V9" s="286" t="s">
        <v>631</v>
      </c>
      <c r="W9" s="286" t="s">
        <v>630</v>
      </c>
      <c r="X9" s="286" t="s">
        <v>631</v>
      </c>
      <c r="Y9" s="286" t="s">
        <v>630</v>
      </c>
      <c r="Z9" s="286" t="s">
        <v>631</v>
      </c>
    </row>
    <row r="10" spans="1:26" ht="18.75" x14ac:dyDescent="0.3">
      <c r="A10" s="202">
        <v>1</v>
      </c>
      <c r="B10" s="203" t="s">
        <v>632</v>
      </c>
      <c r="C10" s="204">
        <v>4027257.33</v>
      </c>
      <c r="D10" s="204">
        <v>4833111.5</v>
      </c>
      <c r="E10" s="205">
        <v>4840265.29</v>
      </c>
      <c r="F10" s="205">
        <v>5841673.1500000004</v>
      </c>
      <c r="G10" s="205">
        <v>3159909.72</v>
      </c>
      <c r="H10" s="205">
        <v>4645181.3899999997</v>
      </c>
      <c r="I10" s="206">
        <v>1946482.71</v>
      </c>
      <c r="J10" s="205">
        <v>3053879.97</v>
      </c>
      <c r="K10" s="206">
        <v>3199661.24</v>
      </c>
      <c r="L10" s="205">
        <v>3249661.24</v>
      </c>
      <c r="M10" s="205">
        <v>5356651.46</v>
      </c>
      <c r="N10" s="205"/>
      <c r="O10" s="207">
        <v>4812753.51</v>
      </c>
      <c r="P10" s="207">
        <v>5346295.1399999997</v>
      </c>
      <c r="Q10" s="207">
        <v>7413343.7400000002</v>
      </c>
      <c r="R10" s="207">
        <v>4903253.51</v>
      </c>
      <c r="S10" s="207">
        <v>5095748.9000000004</v>
      </c>
      <c r="T10" s="207">
        <v>7386343.7400000002</v>
      </c>
      <c r="U10" s="206"/>
      <c r="V10" s="206"/>
      <c r="W10" s="206"/>
      <c r="X10" s="206"/>
      <c r="Y10" s="206"/>
      <c r="Z10" s="208"/>
    </row>
    <row r="11" spans="1:26" ht="18.75" x14ac:dyDescent="0.3">
      <c r="A11" s="202">
        <v>2</v>
      </c>
      <c r="B11" s="203" t="s">
        <v>633</v>
      </c>
      <c r="C11" s="204">
        <v>1094583.75</v>
      </c>
      <c r="D11" s="204"/>
      <c r="E11" s="205">
        <v>2417181.13</v>
      </c>
      <c r="F11" s="205">
        <v>2152926.5099999998</v>
      </c>
      <c r="G11" s="205">
        <v>2645113.9</v>
      </c>
      <c r="H11" s="205">
        <v>1041144.31</v>
      </c>
      <c r="I11" s="206">
        <v>3267715.24</v>
      </c>
      <c r="J11" s="205">
        <v>2326714.9500000002</v>
      </c>
      <c r="K11" s="206">
        <v>2490193.7200000002</v>
      </c>
      <c r="L11" s="205">
        <v>2588374.06</v>
      </c>
      <c r="M11" s="205">
        <v>1240459.8799999999</v>
      </c>
      <c r="N11" s="205">
        <v>2927464.43</v>
      </c>
      <c r="O11" s="207">
        <v>2661675.0099999998</v>
      </c>
      <c r="P11" s="207">
        <v>2432528.0099999998</v>
      </c>
      <c r="Q11" s="207">
        <v>2570895.81</v>
      </c>
      <c r="R11" s="207">
        <v>1219321.3899999999</v>
      </c>
      <c r="S11" s="207">
        <v>2390951.16</v>
      </c>
      <c r="T11" s="207">
        <f>2528895.81+50000</f>
        <v>2578895.81</v>
      </c>
      <c r="U11" s="206"/>
      <c r="V11" s="206"/>
      <c r="W11" s="206"/>
      <c r="X11" s="206"/>
      <c r="Y11" s="206"/>
      <c r="Z11" s="208"/>
    </row>
    <row r="12" spans="1:26" ht="18.75" x14ac:dyDescent="0.3">
      <c r="A12" s="202">
        <v>3</v>
      </c>
      <c r="B12" s="203" t="s">
        <v>634</v>
      </c>
      <c r="C12" s="204">
        <v>0</v>
      </c>
      <c r="D12" s="204">
        <v>0</v>
      </c>
      <c r="E12" s="205">
        <v>10985.64</v>
      </c>
      <c r="F12" s="205"/>
      <c r="G12" s="205">
        <v>0</v>
      </c>
      <c r="H12" s="205"/>
      <c r="I12" s="205"/>
      <c r="J12" s="205"/>
      <c r="K12" s="206">
        <v>2134.86</v>
      </c>
      <c r="L12" s="205">
        <v>13000</v>
      </c>
      <c r="M12" s="205">
        <v>30812.76</v>
      </c>
      <c r="N12" s="205"/>
      <c r="O12" s="207">
        <v>21145.63</v>
      </c>
      <c r="P12" s="207"/>
      <c r="Q12" s="207">
        <v>30463.1</v>
      </c>
      <c r="R12" s="207">
        <v>30468.55</v>
      </c>
      <c r="S12" s="207">
        <v>18188.8</v>
      </c>
      <c r="T12" s="207"/>
      <c r="U12" s="206"/>
      <c r="V12" s="206"/>
      <c r="W12" s="206"/>
      <c r="X12" s="206"/>
      <c r="Y12" s="206"/>
      <c r="Z12" s="206"/>
    </row>
    <row r="13" spans="1:26" ht="18.75" x14ac:dyDescent="0.3">
      <c r="A13" s="202">
        <v>4</v>
      </c>
      <c r="B13" s="203" t="s">
        <v>937</v>
      </c>
      <c r="C13" s="204"/>
      <c r="D13" s="204"/>
      <c r="E13" s="205"/>
      <c r="F13" s="205"/>
      <c r="G13" s="205"/>
      <c r="H13" s="205"/>
      <c r="I13" s="205"/>
      <c r="J13" s="205"/>
      <c r="K13" s="206"/>
      <c r="L13" s="205"/>
      <c r="M13" s="205">
        <v>2580</v>
      </c>
      <c r="N13" s="205"/>
      <c r="O13" s="207"/>
      <c r="P13" s="207"/>
      <c r="Q13" s="207"/>
      <c r="R13" s="207">
        <v>2580</v>
      </c>
      <c r="S13" s="207"/>
      <c r="T13" s="207"/>
      <c r="U13" s="206"/>
      <c r="V13" s="206"/>
      <c r="W13" s="206"/>
      <c r="X13" s="206"/>
      <c r="Y13" s="206"/>
      <c r="Z13" s="206"/>
    </row>
    <row r="14" spans="1:26" ht="18.75" x14ac:dyDescent="0.3">
      <c r="A14" s="440" t="s">
        <v>635</v>
      </c>
      <c r="B14" s="440"/>
      <c r="C14" s="209">
        <v>5121841.08</v>
      </c>
      <c r="D14" s="209">
        <v>4833111.5</v>
      </c>
      <c r="E14" s="210">
        <v>7268432.0599999996</v>
      </c>
      <c r="F14" s="210">
        <v>7994599.6600000001</v>
      </c>
      <c r="G14" s="210">
        <v>5805023.6200000001</v>
      </c>
      <c r="H14" s="210">
        <v>5686325.6999999993</v>
      </c>
      <c r="I14" s="210">
        <v>5214197.95</v>
      </c>
      <c r="J14" s="211">
        <v>5380594.9199999999</v>
      </c>
      <c r="K14" s="212">
        <v>5691989.8200000012</v>
      </c>
      <c r="L14" s="210">
        <v>5851035.3000000007</v>
      </c>
      <c r="M14" s="211">
        <v>6630504.0999999996</v>
      </c>
      <c r="N14" s="210">
        <v>2927464.43</v>
      </c>
      <c r="O14" s="291">
        <v>7495574.1499999994</v>
      </c>
      <c r="P14" s="212">
        <v>7778823.1499999994</v>
      </c>
      <c r="Q14" s="212">
        <v>10014702.65</v>
      </c>
      <c r="R14" s="212">
        <v>6153043.4499999993</v>
      </c>
      <c r="S14" s="212">
        <f>SUM(S10:S13)</f>
        <v>7504888.8600000003</v>
      </c>
      <c r="T14" s="212">
        <f t="shared" ref="T14:Z14" si="0">SUM(T10:T13)</f>
        <v>9965239.5500000007</v>
      </c>
      <c r="U14" s="212">
        <f t="shared" si="0"/>
        <v>0</v>
      </c>
      <c r="V14" s="212">
        <f t="shared" si="0"/>
        <v>0</v>
      </c>
      <c r="W14" s="212">
        <f t="shared" si="0"/>
        <v>0</v>
      </c>
      <c r="X14" s="212">
        <f t="shared" si="0"/>
        <v>0</v>
      </c>
      <c r="Y14" s="212">
        <f t="shared" si="0"/>
        <v>0</v>
      </c>
      <c r="Z14" s="212">
        <f t="shared" si="0"/>
        <v>0</v>
      </c>
    </row>
    <row r="15" spans="1:26" ht="18.75" x14ac:dyDescent="0.3">
      <c r="A15" s="202">
        <v>5</v>
      </c>
      <c r="B15" s="203" t="s">
        <v>636</v>
      </c>
      <c r="C15" s="204">
        <v>211714.57</v>
      </c>
      <c r="D15" s="213">
        <v>206908.45</v>
      </c>
      <c r="E15" s="205">
        <v>389860</v>
      </c>
      <c r="F15" s="205"/>
      <c r="G15" s="205">
        <v>189915.47999999998</v>
      </c>
      <c r="H15" s="205">
        <v>606511.88</v>
      </c>
      <c r="I15" s="206">
        <v>448858.04</v>
      </c>
      <c r="J15" s="205">
        <v>187591.59999999998</v>
      </c>
      <c r="K15" s="206">
        <v>173257.12</v>
      </c>
      <c r="L15" s="205">
        <v>442756.63</v>
      </c>
      <c r="M15" s="205">
        <v>274846.74</v>
      </c>
      <c r="N15" s="214"/>
      <c r="O15" s="206">
        <v>265950.63</v>
      </c>
      <c r="P15" s="206">
        <v>441505.67000000004</v>
      </c>
      <c r="Q15" s="206">
        <v>142766.48000000001</v>
      </c>
      <c r="R15" s="206">
        <v>130717.94</v>
      </c>
      <c r="S15" s="206">
        <f>80190.4+6545.23+196009.12</f>
        <v>282744.75</v>
      </c>
      <c r="T15" s="206">
        <f>87151.82+48471.2+133968.58+5754</f>
        <v>275345.59999999998</v>
      </c>
      <c r="U15" s="206"/>
      <c r="V15" s="206"/>
      <c r="W15" s="206"/>
      <c r="X15" s="206"/>
      <c r="Y15" s="206"/>
      <c r="Z15" s="206"/>
    </row>
    <row r="16" spans="1:26" ht="18.75" x14ac:dyDescent="0.3">
      <c r="A16" s="202">
        <v>6</v>
      </c>
      <c r="B16" s="203" t="s">
        <v>637</v>
      </c>
      <c r="C16" s="204"/>
      <c r="D16" s="204"/>
      <c r="E16" s="205"/>
      <c r="F16" s="205"/>
      <c r="G16" s="205"/>
      <c r="H16" s="205"/>
      <c r="I16" s="206"/>
      <c r="J16" s="205"/>
      <c r="K16" s="206"/>
      <c r="L16" s="214"/>
      <c r="M16" s="205"/>
      <c r="N16" s="205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 spans="1:26" ht="18.75" x14ac:dyDescent="0.3">
      <c r="A17" s="202">
        <v>7</v>
      </c>
      <c r="B17" s="203" t="s">
        <v>638</v>
      </c>
      <c r="C17" s="204">
        <v>275352.44</v>
      </c>
      <c r="D17" s="204">
        <v>156983.54999999999</v>
      </c>
      <c r="E17" s="205">
        <v>222716.34</v>
      </c>
      <c r="F17" s="205">
        <v>272552.44</v>
      </c>
      <c r="G17" s="205">
        <v>73918.679999999993</v>
      </c>
      <c r="H17" s="205">
        <v>222620.34</v>
      </c>
      <c r="I17" s="206"/>
      <c r="J17" s="205">
        <v>73057.08</v>
      </c>
      <c r="K17" s="205"/>
      <c r="L17" s="205"/>
      <c r="M17" s="205">
        <v>443337.56</v>
      </c>
      <c r="N17" s="205"/>
      <c r="O17" s="205"/>
      <c r="P17" s="205">
        <v>417359.58</v>
      </c>
      <c r="Q17" s="205">
        <v>378719.69</v>
      </c>
      <c r="R17" s="205"/>
      <c r="S17" s="205">
        <v>356377.87</v>
      </c>
      <c r="T17" s="205">
        <v>372910.21</v>
      </c>
      <c r="U17" s="205"/>
      <c r="V17" s="205"/>
      <c r="W17" s="205"/>
      <c r="X17" s="205"/>
      <c r="Y17" s="205"/>
      <c r="Z17" s="205"/>
    </row>
    <row r="18" spans="1:26" ht="18.75" x14ac:dyDescent="0.3">
      <c r="A18" s="202">
        <v>8</v>
      </c>
      <c r="B18" s="203" t="s">
        <v>603</v>
      </c>
      <c r="C18" s="204">
        <v>7848.94</v>
      </c>
      <c r="D18" s="204">
        <v>55135.74</v>
      </c>
      <c r="E18" s="205">
        <v>14338.35</v>
      </c>
      <c r="F18" s="205">
        <v>7848.94</v>
      </c>
      <c r="G18" s="205">
        <v>162551.53</v>
      </c>
      <c r="H18" s="205">
        <v>14338.35</v>
      </c>
      <c r="I18" s="206">
        <v>37897.65</v>
      </c>
      <c r="J18" s="205">
        <v>19489.759999999998</v>
      </c>
      <c r="K18" s="205">
        <v>45390.42</v>
      </c>
      <c r="L18" s="205">
        <v>155606.87</v>
      </c>
      <c r="M18" s="205">
        <v>166835.63</v>
      </c>
      <c r="N18" s="205">
        <v>79214.03</v>
      </c>
      <c r="O18" s="205">
        <v>19360.439999999999</v>
      </c>
      <c r="P18" s="205">
        <v>86993.18</v>
      </c>
      <c r="Q18" s="205">
        <v>13119.97</v>
      </c>
      <c r="R18" s="205">
        <v>77589.09</v>
      </c>
      <c r="S18" s="205">
        <v>66096.600000000006</v>
      </c>
      <c r="T18" s="205">
        <v>19188.28</v>
      </c>
      <c r="U18" s="206"/>
      <c r="V18" s="206"/>
      <c r="W18" s="206"/>
      <c r="X18" s="206"/>
      <c r="Y18" s="206"/>
      <c r="Z18" s="206"/>
    </row>
    <row r="19" spans="1:26" ht="18.75" x14ac:dyDescent="0.3">
      <c r="A19" s="202">
        <v>9</v>
      </c>
      <c r="B19" s="203" t="s">
        <v>604</v>
      </c>
      <c r="C19" s="204"/>
      <c r="D19" s="204"/>
      <c r="E19" s="205"/>
      <c r="F19" s="205"/>
      <c r="G19" s="205"/>
      <c r="H19" s="205"/>
      <c r="I19" s="206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6"/>
      <c r="V19" s="206"/>
      <c r="W19" s="215"/>
      <c r="X19" s="215"/>
      <c r="Y19" s="206"/>
      <c r="Z19" s="206"/>
    </row>
    <row r="20" spans="1:26" ht="18.75" x14ac:dyDescent="0.3">
      <c r="A20" s="202">
        <v>10</v>
      </c>
      <c r="B20" s="203" t="s">
        <v>639</v>
      </c>
      <c r="C20" s="204">
        <v>44770.98</v>
      </c>
      <c r="D20" s="204"/>
      <c r="E20" s="205">
        <v>16720.82</v>
      </c>
      <c r="F20" s="205">
        <v>97648.3</v>
      </c>
      <c r="G20" s="205">
        <v>83376.61</v>
      </c>
      <c r="H20" s="205">
        <v>34117.68</v>
      </c>
      <c r="I20" s="206">
        <v>77617.279999999999</v>
      </c>
      <c r="J20" s="205">
        <v>97704.2</v>
      </c>
      <c r="K20" s="205">
        <v>29761.8</v>
      </c>
      <c r="L20" s="205"/>
      <c r="M20" s="205">
        <v>50732.77</v>
      </c>
      <c r="N20" s="205">
        <v>102719.16</v>
      </c>
      <c r="O20" s="205">
        <v>38168.82</v>
      </c>
      <c r="P20" s="205">
        <v>48385.69</v>
      </c>
      <c r="Q20" s="205">
        <v>45135.37</v>
      </c>
      <c r="R20" s="205">
        <v>38168.82</v>
      </c>
      <c r="S20" s="205">
        <v>37253.629999999997</v>
      </c>
      <c r="T20" s="205"/>
      <c r="U20" s="206"/>
      <c r="V20" s="206"/>
      <c r="W20" s="206"/>
      <c r="X20" s="206"/>
      <c r="Y20" s="206"/>
      <c r="Z20" s="206"/>
    </row>
    <row r="21" spans="1:26" ht="18.75" x14ac:dyDescent="0.3">
      <c r="A21" s="202">
        <v>11</v>
      </c>
      <c r="B21" s="203" t="s">
        <v>640</v>
      </c>
      <c r="C21" s="204"/>
      <c r="D21" s="204"/>
      <c r="E21" s="205"/>
      <c r="F21" s="205"/>
      <c r="G21" s="205"/>
      <c r="H21" s="205"/>
      <c r="I21" s="206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6"/>
      <c r="V21" s="206"/>
      <c r="W21" s="206"/>
      <c r="X21" s="206"/>
      <c r="Y21" s="206"/>
      <c r="Z21" s="206"/>
    </row>
    <row r="22" spans="1:26" ht="18.75" x14ac:dyDescent="0.3">
      <c r="A22" s="202">
        <v>12</v>
      </c>
      <c r="B22" s="203" t="s">
        <v>641</v>
      </c>
      <c r="C22" s="204">
        <v>7193.05</v>
      </c>
      <c r="D22" s="204">
        <v>15993.02</v>
      </c>
      <c r="E22" s="205">
        <v>28868.13</v>
      </c>
      <c r="F22" s="205">
        <v>9531.6</v>
      </c>
      <c r="G22" s="205">
        <v>10657.5</v>
      </c>
      <c r="H22" s="205">
        <v>77169.399999999994</v>
      </c>
      <c r="I22" s="206">
        <v>27941.11</v>
      </c>
      <c r="J22" s="205">
        <v>35261.18</v>
      </c>
      <c r="K22" s="205">
        <v>99169.27</v>
      </c>
      <c r="L22" s="205"/>
      <c r="M22" s="205">
        <v>36644.9</v>
      </c>
      <c r="N22" s="205">
        <v>8860.1</v>
      </c>
      <c r="O22" s="205">
        <v>19740.54</v>
      </c>
      <c r="P22" s="205"/>
      <c r="Q22" s="205">
        <v>13301.87</v>
      </c>
      <c r="R22" s="205">
        <v>26210.35</v>
      </c>
      <c r="S22" s="205">
        <v>72979.17</v>
      </c>
      <c r="T22" s="205">
        <v>36338.959999999999</v>
      </c>
      <c r="U22" s="216"/>
      <c r="V22" s="206"/>
      <c r="W22" s="206"/>
      <c r="X22" s="206"/>
      <c r="Y22" s="206"/>
      <c r="Z22" s="206"/>
    </row>
    <row r="23" spans="1:26" ht="18.75" x14ac:dyDescent="0.3">
      <c r="A23" s="202">
        <v>13</v>
      </c>
      <c r="B23" s="203" t="s">
        <v>606</v>
      </c>
      <c r="C23" s="204">
        <v>269639.73</v>
      </c>
      <c r="D23" s="204">
        <v>234503.89</v>
      </c>
      <c r="E23" s="205">
        <v>617068.65</v>
      </c>
      <c r="F23" s="205"/>
      <c r="G23" s="205">
        <v>366095.18</v>
      </c>
      <c r="H23" s="205">
        <v>356314.76</v>
      </c>
      <c r="I23" s="206">
        <v>395799.78</v>
      </c>
      <c r="J23" s="205">
        <v>388735.9</v>
      </c>
      <c r="K23" s="205">
        <v>525599.56000000006</v>
      </c>
      <c r="L23" s="205">
        <v>493974.92</v>
      </c>
      <c r="M23" s="205">
        <v>236054.2</v>
      </c>
      <c r="N23" s="205">
        <v>213364.69</v>
      </c>
      <c r="O23" s="205">
        <v>651828.66</v>
      </c>
      <c r="P23" s="205">
        <v>649331.98</v>
      </c>
      <c r="Q23" s="205">
        <v>389838.41</v>
      </c>
      <c r="R23" s="205"/>
      <c r="S23" s="205">
        <v>1040980.33</v>
      </c>
      <c r="T23" s="205">
        <v>1062055.58</v>
      </c>
      <c r="U23" s="206"/>
      <c r="V23" s="206"/>
      <c r="W23" s="206"/>
      <c r="X23" s="206"/>
      <c r="Y23" s="206"/>
      <c r="Z23" s="206"/>
    </row>
    <row r="24" spans="1:26" ht="18.75" x14ac:dyDescent="0.3">
      <c r="A24" s="202">
        <v>14</v>
      </c>
      <c r="B24" s="203" t="s">
        <v>600</v>
      </c>
      <c r="C24" s="204">
        <v>69588.33</v>
      </c>
      <c r="D24" s="204"/>
      <c r="E24" s="205">
        <v>122630.62</v>
      </c>
      <c r="F24" s="205">
        <v>8262.07</v>
      </c>
      <c r="G24" s="205">
        <v>43770.8</v>
      </c>
      <c r="H24" s="205">
        <v>212345.21</v>
      </c>
      <c r="I24" s="206">
        <v>55860.67</v>
      </c>
      <c r="J24" s="205"/>
      <c r="K24" s="205">
        <v>109234.31</v>
      </c>
      <c r="L24" s="205"/>
      <c r="M24" s="205">
        <v>229878</v>
      </c>
      <c r="N24" s="205"/>
      <c r="O24" s="205">
        <v>216887.67</v>
      </c>
      <c r="P24" s="205"/>
      <c r="Q24" s="205">
        <v>178852.56</v>
      </c>
      <c r="R24" s="205"/>
      <c r="S24" s="205">
        <v>246860.42</v>
      </c>
      <c r="T24" s="205">
        <v>201903.47</v>
      </c>
      <c r="U24" s="206"/>
      <c r="V24" s="206"/>
      <c r="W24" s="206"/>
      <c r="X24" s="206"/>
      <c r="Y24" s="206"/>
      <c r="Z24" s="206"/>
    </row>
    <row r="25" spans="1:26" ht="18.75" x14ac:dyDescent="0.3">
      <c r="A25" s="202">
        <v>15</v>
      </c>
      <c r="B25" s="203" t="s">
        <v>599</v>
      </c>
      <c r="C25" s="204"/>
      <c r="D25" s="204"/>
      <c r="E25" s="205"/>
      <c r="F25" s="205"/>
      <c r="G25" s="205"/>
      <c r="H25" s="205"/>
      <c r="I25" s="206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6"/>
      <c r="V25" s="206"/>
      <c r="W25" s="206"/>
      <c r="X25" s="206"/>
      <c r="Y25" s="206"/>
      <c r="Z25" s="206"/>
    </row>
    <row r="26" spans="1:26" ht="18.75" x14ac:dyDescent="0.3">
      <c r="A26" s="202">
        <v>16</v>
      </c>
      <c r="B26" s="203" t="s">
        <v>642</v>
      </c>
      <c r="C26" s="204"/>
      <c r="D26" s="204"/>
      <c r="E26" s="205"/>
      <c r="F26" s="205"/>
      <c r="G26" s="205"/>
      <c r="H26" s="205"/>
      <c r="I26" s="206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6"/>
      <c r="V26" s="206"/>
      <c r="W26" s="206"/>
      <c r="X26" s="206"/>
      <c r="Y26" s="206"/>
      <c r="Z26" s="206"/>
    </row>
    <row r="27" spans="1:26" ht="18.75" x14ac:dyDescent="0.3">
      <c r="A27" s="202">
        <v>17</v>
      </c>
      <c r="B27" s="203" t="s">
        <v>643</v>
      </c>
      <c r="C27" s="204">
        <v>1396</v>
      </c>
      <c r="D27" s="204"/>
      <c r="E27" s="205">
        <v>20821.36</v>
      </c>
      <c r="F27" s="205">
        <v>31949.94</v>
      </c>
      <c r="G27" s="205">
        <v>80842.17</v>
      </c>
      <c r="H27" s="205">
        <v>1396</v>
      </c>
      <c r="I27" s="206">
        <v>32922.74</v>
      </c>
      <c r="J27" s="205"/>
      <c r="K27" s="205">
        <v>3500</v>
      </c>
      <c r="L27" s="205">
        <v>32863.839999999997</v>
      </c>
      <c r="M27" s="205">
        <v>41032.92</v>
      </c>
      <c r="N27" s="205"/>
      <c r="O27" s="205">
        <v>11961.97</v>
      </c>
      <c r="P27" s="205"/>
      <c r="Q27" s="205">
        <v>12148</v>
      </c>
      <c r="R27" s="205">
        <v>12030.35</v>
      </c>
      <c r="S27" s="205">
        <v>22455.91</v>
      </c>
      <c r="T27" s="205"/>
      <c r="U27" s="206"/>
      <c r="V27" s="206"/>
      <c r="W27" s="206"/>
      <c r="X27" s="206"/>
      <c r="Y27" s="206"/>
      <c r="Z27" s="206"/>
    </row>
    <row r="28" spans="1:26" ht="18.75" x14ac:dyDescent="0.3">
      <c r="A28" s="202">
        <v>18</v>
      </c>
      <c r="B28" s="203" t="s">
        <v>644</v>
      </c>
      <c r="C28" s="204">
        <v>4869.5200000000004</v>
      </c>
      <c r="D28" s="204">
        <v>6475.14</v>
      </c>
      <c r="E28" s="205">
        <v>102975.46</v>
      </c>
      <c r="F28" s="205">
        <v>4869.5200000000004</v>
      </c>
      <c r="G28" s="205">
        <v>6619.63</v>
      </c>
      <c r="H28" s="205">
        <v>102672.34</v>
      </c>
      <c r="I28" s="206">
        <v>12257.4</v>
      </c>
      <c r="J28" s="205">
        <v>6619.63</v>
      </c>
      <c r="K28" s="205">
        <v>111906.17</v>
      </c>
      <c r="L28" s="205">
        <v>12182.4</v>
      </c>
      <c r="M28" s="205">
        <v>7768.47</v>
      </c>
      <c r="N28" s="205"/>
      <c r="O28" s="205">
        <v>11676.13</v>
      </c>
      <c r="P28" s="205">
        <v>118687.31</v>
      </c>
      <c r="Q28" s="205">
        <v>28902.560000000001</v>
      </c>
      <c r="R28" s="205">
        <v>7768.46</v>
      </c>
      <c r="S28" s="205">
        <v>7856.59</v>
      </c>
      <c r="T28" s="205">
        <v>28902.560000000001</v>
      </c>
      <c r="U28" s="206"/>
      <c r="V28" s="206"/>
      <c r="W28" s="206"/>
      <c r="X28" s="206"/>
      <c r="Y28" s="206"/>
      <c r="Z28" s="206"/>
    </row>
    <row r="29" spans="1:26" ht="18.75" x14ac:dyDescent="0.3">
      <c r="A29" s="202">
        <v>19</v>
      </c>
      <c r="B29" s="203" t="s">
        <v>602</v>
      </c>
      <c r="C29" s="204">
        <v>76159.34</v>
      </c>
      <c r="D29" s="204"/>
      <c r="E29" s="205">
        <v>186957.88</v>
      </c>
      <c r="F29" s="205"/>
      <c r="G29" s="205">
        <v>136798.59</v>
      </c>
      <c r="H29" s="205"/>
      <c r="I29" s="206">
        <v>83229.31</v>
      </c>
      <c r="J29" s="205"/>
      <c r="K29" s="205">
        <v>9976.34</v>
      </c>
      <c r="L29" s="205"/>
      <c r="M29" s="205">
        <v>108970.25</v>
      </c>
      <c r="N29" s="205"/>
      <c r="O29" s="205">
        <v>49885.59</v>
      </c>
      <c r="P29" s="205">
        <v>444038.71</v>
      </c>
      <c r="Q29" s="205">
        <v>26648.23</v>
      </c>
      <c r="R29" s="205"/>
      <c r="S29" s="205">
        <v>12927.61</v>
      </c>
      <c r="T29" s="205"/>
      <c r="U29" s="206"/>
      <c r="V29" s="206"/>
      <c r="W29" s="206"/>
      <c r="X29" s="206"/>
      <c r="Y29" s="206"/>
      <c r="Z29" s="206"/>
    </row>
    <row r="30" spans="1:26" ht="18.75" x14ac:dyDescent="0.3">
      <c r="A30" s="202">
        <v>20</v>
      </c>
      <c r="B30" s="203" t="s">
        <v>605</v>
      </c>
      <c r="C30" s="204">
        <v>75131.09</v>
      </c>
      <c r="D30" s="204">
        <v>71992.2</v>
      </c>
      <c r="E30" s="205">
        <v>146560.32000000001</v>
      </c>
      <c r="F30" s="205"/>
      <c r="G30" s="205">
        <v>85258.31</v>
      </c>
      <c r="H30" s="205">
        <v>237322.18</v>
      </c>
      <c r="I30" s="206">
        <v>119188.62</v>
      </c>
      <c r="J30" s="205">
        <v>146560.32000000001</v>
      </c>
      <c r="K30" s="205">
        <v>58287.88</v>
      </c>
      <c r="L30" s="205">
        <v>84594.85</v>
      </c>
      <c r="M30" s="205">
        <v>97214.78</v>
      </c>
      <c r="N30" s="205"/>
      <c r="O30" s="205">
        <v>108900.79</v>
      </c>
      <c r="P30" s="205">
        <v>125937.38</v>
      </c>
      <c r="Q30" s="205">
        <v>40745.74</v>
      </c>
      <c r="R30" s="205"/>
      <c r="S30" s="205">
        <v>105146.53</v>
      </c>
      <c r="T30" s="205"/>
      <c r="U30" s="206"/>
      <c r="V30" s="206"/>
      <c r="W30" s="206"/>
      <c r="X30" s="206"/>
      <c r="Y30" s="206"/>
      <c r="Z30" s="206"/>
    </row>
    <row r="31" spans="1:26" ht="18.75" x14ac:dyDescent="0.3">
      <c r="A31" s="202">
        <v>21</v>
      </c>
      <c r="B31" s="203" t="s">
        <v>645</v>
      </c>
      <c r="C31" s="204">
        <v>273646.7</v>
      </c>
      <c r="D31" s="204">
        <v>273646.7</v>
      </c>
      <c r="E31" s="205">
        <v>41285.9</v>
      </c>
      <c r="F31" s="205">
        <v>41071.9</v>
      </c>
      <c r="G31" s="205">
        <v>22435.77</v>
      </c>
      <c r="H31" s="205">
        <v>11220.43</v>
      </c>
      <c r="I31" s="206">
        <v>61608.05</v>
      </c>
      <c r="J31" s="205">
        <v>22435.77</v>
      </c>
      <c r="K31" s="205">
        <v>31245</v>
      </c>
      <c r="L31" s="205">
        <v>61607.99</v>
      </c>
      <c r="M31" s="205">
        <v>237194.17</v>
      </c>
      <c r="N31" s="205">
        <v>31240</v>
      </c>
      <c r="O31" s="205">
        <v>63128.33</v>
      </c>
      <c r="P31" s="205">
        <v>300322.5</v>
      </c>
      <c r="Q31" s="205">
        <v>88200.19</v>
      </c>
      <c r="R31" s="205"/>
      <c r="S31" s="205">
        <v>282288.73</v>
      </c>
      <c r="T31" s="205">
        <v>88060.19</v>
      </c>
      <c r="U31" s="206"/>
      <c r="V31" s="206"/>
      <c r="W31" s="206"/>
      <c r="X31" s="206"/>
      <c r="Y31" s="206"/>
      <c r="Z31" s="206"/>
    </row>
    <row r="32" spans="1:26" ht="18.75" x14ac:dyDescent="0.3">
      <c r="A32" s="202">
        <v>22</v>
      </c>
      <c r="B32" s="203" t="s">
        <v>646</v>
      </c>
      <c r="C32" s="204">
        <v>48081.02</v>
      </c>
      <c r="D32" s="204">
        <v>48081.02</v>
      </c>
      <c r="E32" s="205">
        <v>217047.26</v>
      </c>
      <c r="F32" s="205"/>
      <c r="G32" s="205">
        <v>79962.77</v>
      </c>
      <c r="H32" s="205"/>
      <c r="I32" s="206">
        <v>61346.15</v>
      </c>
      <c r="J32" s="205"/>
      <c r="K32" s="205">
        <v>57351.74</v>
      </c>
      <c r="L32" s="205">
        <v>79987.570000000007</v>
      </c>
      <c r="M32" s="205">
        <v>10000</v>
      </c>
      <c r="N32" s="205"/>
      <c r="O32" s="205">
        <v>18399.990000000002</v>
      </c>
      <c r="P32" s="205">
        <v>36534.850000000006</v>
      </c>
      <c r="Q32" s="205">
        <v>38168.699999999997</v>
      </c>
      <c r="R32" s="205">
        <v>38168.699999999997</v>
      </c>
      <c r="S32" s="205">
        <v>165161.13</v>
      </c>
      <c r="T32" s="205"/>
      <c r="U32" s="206"/>
      <c r="V32" s="206"/>
      <c r="W32" s="207"/>
      <c r="X32" s="207"/>
      <c r="Y32" s="206"/>
      <c r="Z32" s="206"/>
    </row>
    <row r="33" spans="1:26" ht="18.75" x14ac:dyDescent="0.3">
      <c r="A33" s="202">
        <v>23</v>
      </c>
      <c r="B33" s="203" t="s">
        <v>601</v>
      </c>
      <c r="C33" s="204">
        <v>28637.51</v>
      </c>
      <c r="D33" s="204"/>
      <c r="E33" s="205">
        <v>92478.63</v>
      </c>
      <c r="F33" s="205"/>
      <c r="G33" s="205">
        <v>2821.24</v>
      </c>
      <c r="H33" s="205"/>
      <c r="I33" s="206">
        <v>1604</v>
      </c>
      <c r="J33" s="205"/>
      <c r="K33" s="205">
        <v>3360</v>
      </c>
      <c r="L33" s="205"/>
      <c r="M33" s="205">
        <v>3319.22</v>
      </c>
      <c r="N33" s="205"/>
      <c r="O33" s="205">
        <v>4368.41</v>
      </c>
      <c r="P33" s="205">
        <v>181158.69</v>
      </c>
      <c r="Q33" s="205">
        <v>54351.55</v>
      </c>
      <c r="R33" s="205"/>
      <c r="S33" s="205">
        <v>2500</v>
      </c>
      <c r="T33" s="205">
        <v>11667.45</v>
      </c>
      <c r="U33" s="206"/>
      <c r="V33" s="206"/>
      <c r="W33" s="207"/>
      <c r="X33" s="207"/>
      <c r="Y33" s="206"/>
      <c r="Z33" s="206"/>
    </row>
    <row r="34" spans="1:26" ht="18.75" x14ac:dyDescent="0.3">
      <c r="A34" s="202">
        <v>24</v>
      </c>
      <c r="B34" s="203" t="s">
        <v>647</v>
      </c>
      <c r="C34" s="204"/>
      <c r="D34" s="204"/>
      <c r="E34" s="205"/>
      <c r="F34" s="205"/>
      <c r="G34" s="205"/>
      <c r="H34" s="205"/>
      <c r="I34" s="206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6"/>
      <c r="V34" s="206"/>
      <c r="W34" s="217"/>
      <c r="X34" s="217"/>
      <c r="Y34" s="206"/>
      <c r="Z34" s="206"/>
    </row>
    <row r="35" spans="1:26" ht="18.75" x14ac:dyDescent="0.3">
      <c r="A35" s="202">
        <v>25</v>
      </c>
      <c r="B35" s="203" t="s">
        <v>648</v>
      </c>
      <c r="C35" s="204"/>
      <c r="D35" s="204"/>
      <c r="E35" s="205"/>
      <c r="F35" s="205"/>
      <c r="G35" s="205"/>
      <c r="H35" s="205"/>
      <c r="I35" s="206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6"/>
      <c r="V35" s="206"/>
      <c r="W35" s="217"/>
      <c r="X35" s="217"/>
      <c r="Y35" s="206"/>
      <c r="Z35" s="206"/>
    </row>
    <row r="36" spans="1:26" ht="18.75" x14ac:dyDescent="0.3">
      <c r="A36" s="202">
        <v>26</v>
      </c>
      <c r="B36" s="203" t="s">
        <v>649</v>
      </c>
      <c r="C36" s="204">
        <v>259154.57</v>
      </c>
      <c r="D36" s="204"/>
      <c r="E36" s="205">
        <v>439967.13</v>
      </c>
      <c r="F36" s="205">
        <v>870590.25</v>
      </c>
      <c r="G36" s="205">
        <v>404678.83</v>
      </c>
      <c r="H36" s="205">
        <v>262926.38</v>
      </c>
      <c r="I36" s="206">
        <v>432554.37</v>
      </c>
      <c r="J36" s="205">
        <v>534014.43000000005</v>
      </c>
      <c r="K36" s="205">
        <v>317521.34000000003</v>
      </c>
      <c r="L36" s="205">
        <v>304098.74</v>
      </c>
      <c r="M36" s="205">
        <v>374483.12</v>
      </c>
      <c r="N36" s="205">
        <v>268649.03000000003</v>
      </c>
      <c r="O36" s="205">
        <v>442825.83</v>
      </c>
      <c r="P36" s="205">
        <v>313059.93</v>
      </c>
      <c r="Q36" s="205">
        <v>399800.36</v>
      </c>
      <c r="R36" s="205">
        <v>401045.51</v>
      </c>
      <c r="S36" s="205">
        <v>634790.11</v>
      </c>
      <c r="T36" s="205"/>
      <c r="U36" s="206"/>
      <c r="V36" s="206"/>
      <c r="W36" s="218"/>
      <c r="X36" s="218"/>
      <c r="Y36" s="206"/>
      <c r="Z36" s="206"/>
    </row>
    <row r="37" spans="1:26" ht="18.75" x14ac:dyDescent="0.3">
      <c r="A37" s="202"/>
      <c r="B37" s="203" t="s">
        <v>938</v>
      </c>
      <c r="C37" s="204"/>
      <c r="D37" s="204"/>
      <c r="E37" s="205"/>
      <c r="F37" s="205"/>
      <c r="G37" s="205"/>
      <c r="H37" s="205"/>
      <c r="I37" s="206"/>
      <c r="J37" s="205"/>
      <c r="K37" s="205">
        <v>80323.320000000007</v>
      </c>
      <c r="L37" s="205"/>
      <c r="M37" s="205">
        <v>436800</v>
      </c>
      <c r="N37" s="205">
        <v>423700</v>
      </c>
      <c r="O37" s="205"/>
      <c r="P37" s="205"/>
      <c r="Q37" s="205"/>
      <c r="R37" s="205"/>
      <c r="S37" s="205"/>
      <c r="T37" s="205"/>
      <c r="U37" s="206"/>
      <c r="V37" s="206"/>
      <c r="W37" s="218"/>
      <c r="X37" s="218"/>
      <c r="Y37" s="206"/>
      <c r="Z37" s="206"/>
    </row>
    <row r="38" spans="1:26" ht="18.75" x14ac:dyDescent="0.3">
      <c r="A38" s="440" t="s">
        <v>650</v>
      </c>
      <c r="B38" s="440"/>
      <c r="C38" s="209">
        <v>1653183.79</v>
      </c>
      <c r="D38" s="209">
        <v>1069719.71</v>
      </c>
      <c r="E38" s="209">
        <v>2660296.85</v>
      </c>
      <c r="F38" s="209">
        <v>1344324.96</v>
      </c>
      <c r="G38" s="209">
        <v>1749703.0900000003</v>
      </c>
      <c r="H38" s="209">
        <v>2138954.9500000002</v>
      </c>
      <c r="I38" s="210">
        <v>1848685.17</v>
      </c>
      <c r="J38" s="211">
        <v>1511469.87</v>
      </c>
      <c r="K38" s="212">
        <v>1655884.27</v>
      </c>
      <c r="L38" s="210">
        <v>1667673.81</v>
      </c>
      <c r="M38" s="210">
        <v>2755112.73</v>
      </c>
      <c r="N38" s="210">
        <v>1127747.01</v>
      </c>
      <c r="O38" s="291">
        <v>1923083.8</v>
      </c>
      <c r="P38" s="212">
        <v>3163315.47</v>
      </c>
      <c r="Q38" s="212">
        <v>1850699.6800000002</v>
      </c>
      <c r="R38" s="212">
        <v>731699.22</v>
      </c>
      <c r="S38" s="212">
        <f>SUM(S15:S36)</f>
        <v>3336419.3799999994</v>
      </c>
      <c r="T38" s="212">
        <f t="shared" ref="T38:Z38" si="1">SUM(T15:T36)</f>
        <v>2096372.3</v>
      </c>
      <c r="U38" s="212">
        <f t="shared" si="1"/>
        <v>0</v>
      </c>
      <c r="V38" s="212">
        <f t="shared" si="1"/>
        <v>0</v>
      </c>
      <c r="W38" s="212">
        <f t="shared" si="1"/>
        <v>0</v>
      </c>
      <c r="X38" s="212">
        <f t="shared" si="1"/>
        <v>0</v>
      </c>
      <c r="Y38" s="212">
        <f t="shared" si="1"/>
        <v>0</v>
      </c>
      <c r="Z38" s="212">
        <f t="shared" si="1"/>
        <v>0</v>
      </c>
    </row>
    <row r="39" spans="1:26" ht="18.75" x14ac:dyDescent="0.25">
      <c r="A39" s="441" t="s">
        <v>556</v>
      </c>
      <c r="B39" s="441"/>
      <c r="C39" s="219">
        <v>6775024.8700000001</v>
      </c>
      <c r="D39" s="219">
        <v>5902831.21</v>
      </c>
      <c r="E39" s="219">
        <v>9928728.9100000001</v>
      </c>
      <c r="F39" s="219">
        <v>9338924.620000001</v>
      </c>
      <c r="G39" s="219">
        <v>7554726.7100000009</v>
      </c>
      <c r="H39" s="219">
        <v>7825280.6499999994</v>
      </c>
      <c r="I39" s="219">
        <v>7062883.1200000001</v>
      </c>
      <c r="J39" s="201">
        <v>6892064.79</v>
      </c>
      <c r="K39" s="219">
        <v>7347874.0900000017</v>
      </c>
      <c r="L39" s="219">
        <v>7518709.1100000013</v>
      </c>
      <c r="M39" s="201">
        <v>9385616.8300000001</v>
      </c>
      <c r="N39" s="219">
        <v>4055211.4400000004</v>
      </c>
      <c r="O39" s="219">
        <v>9418657.9499999993</v>
      </c>
      <c r="P39" s="219">
        <v>10942138.619999999</v>
      </c>
      <c r="Q39" s="219">
        <v>11865402.33</v>
      </c>
      <c r="R39" s="219">
        <v>6884742.669999999</v>
      </c>
      <c r="S39" s="219">
        <f>+S38+S14</f>
        <v>10841308.24</v>
      </c>
      <c r="T39" s="219">
        <f t="shared" ref="T39:Z39" si="2">+T38+T14</f>
        <v>12061611.850000001</v>
      </c>
      <c r="U39" s="219">
        <f t="shared" si="2"/>
        <v>0</v>
      </c>
      <c r="V39" s="219">
        <f t="shared" si="2"/>
        <v>0</v>
      </c>
      <c r="W39" s="219">
        <f t="shared" si="2"/>
        <v>0</v>
      </c>
      <c r="X39" s="219">
        <f t="shared" si="2"/>
        <v>0</v>
      </c>
      <c r="Y39" s="219">
        <f t="shared" si="2"/>
        <v>0</v>
      </c>
      <c r="Z39" s="219">
        <f t="shared" si="2"/>
        <v>0</v>
      </c>
    </row>
    <row r="40" spans="1:26" ht="18.75" hidden="1" x14ac:dyDescent="0.25">
      <c r="A40" s="220"/>
      <c r="B40" s="220"/>
      <c r="C40" s="221"/>
      <c r="D40" s="221"/>
      <c r="E40" s="221"/>
      <c r="F40" s="221"/>
      <c r="G40" s="221"/>
      <c r="H40" s="221"/>
      <c r="I40" s="221"/>
      <c r="J40" s="222"/>
      <c r="K40" s="221"/>
      <c r="L40" s="221"/>
      <c r="M40" s="222"/>
      <c r="N40" s="221"/>
      <c r="O40" s="292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</row>
    <row r="41" spans="1:26" ht="18.75" hidden="1" x14ac:dyDescent="0.3">
      <c r="A41" s="223"/>
      <c r="C41" s="224"/>
      <c r="D41" s="224"/>
      <c r="E41" s="189"/>
      <c r="F41" s="224"/>
      <c r="G41" s="189"/>
      <c r="H41" s="189"/>
      <c r="I41" s="189"/>
      <c r="J41" s="225"/>
      <c r="K41" s="189"/>
      <c r="L41" s="226"/>
      <c r="M41" s="188" t="s">
        <v>616</v>
      </c>
      <c r="Q41" s="227"/>
      <c r="W41" s="227"/>
      <c r="Y41" s="227"/>
    </row>
    <row r="42" spans="1:26" ht="18.75" hidden="1" x14ac:dyDescent="0.3">
      <c r="A42" s="228"/>
      <c r="B42" s="143"/>
      <c r="C42" s="224"/>
      <c r="D42" s="224"/>
      <c r="E42" s="229"/>
      <c r="F42" s="224"/>
      <c r="G42" s="189"/>
      <c r="H42" s="189"/>
      <c r="I42" s="189"/>
      <c r="J42" s="225"/>
      <c r="K42" s="189"/>
      <c r="L42" s="226"/>
      <c r="M42" s="188"/>
    </row>
    <row r="43" spans="1:26" ht="18.75" hidden="1" x14ac:dyDescent="0.25">
      <c r="B43" s="230"/>
      <c r="C43" s="231"/>
      <c r="D43" s="231"/>
      <c r="E43" s="231"/>
      <c r="F43" s="231"/>
      <c r="G43" s="231"/>
      <c r="H43" s="231"/>
      <c r="I43" s="231"/>
      <c r="J43" s="232"/>
      <c r="K43" s="231"/>
      <c r="L43" s="230"/>
      <c r="M43" s="188"/>
    </row>
    <row r="44" spans="1:26" ht="18.75" hidden="1" x14ac:dyDescent="0.3">
      <c r="B44" s="233"/>
      <c r="C44" s="234"/>
      <c r="D44" s="234"/>
      <c r="E44" s="234"/>
      <c r="F44" s="235"/>
      <c r="G44" s="236"/>
      <c r="H44" s="236"/>
      <c r="I44" s="236"/>
      <c r="J44" s="237"/>
      <c r="K44" s="236"/>
      <c r="L44" s="233"/>
      <c r="M44" s="188"/>
    </row>
    <row r="45" spans="1:26" ht="18.75" hidden="1" x14ac:dyDescent="0.3">
      <c r="B45" s="233"/>
      <c r="C45" s="234"/>
      <c r="D45" s="234"/>
      <c r="E45" s="234"/>
      <c r="F45" s="235"/>
      <c r="G45" s="236"/>
      <c r="H45" s="236"/>
      <c r="I45" s="236"/>
      <c r="J45" s="237"/>
      <c r="K45" s="236"/>
      <c r="L45" s="233"/>
      <c r="M45" s="188"/>
    </row>
    <row r="46" spans="1:26" ht="18.75" hidden="1" x14ac:dyDescent="0.3">
      <c r="B46" s="233"/>
      <c r="C46" s="234"/>
      <c r="D46" s="234"/>
      <c r="E46" s="234"/>
      <c r="F46" s="235"/>
      <c r="G46" s="236"/>
      <c r="H46" s="236"/>
      <c r="I46" s="236"/>
      <c r="J46" s="237"/>
      <c r="K46" s="236"/>
      <c r="L46" s="233"/>
      <c r="M46" s="188"/>
    </row>
    <row r="47" spans="1:26" ht="18.75" hidden="1" x14ac:dyDescent="0.3">
      <c r="B47" s="233"/>
      <c r="C47" s="234"/>
      <c r="D47" s="234"/>
      <c r="E47" s="234"/>
      <c r="F47" s="235"/>
      <c r="G47" s="236"/>
      <c r="H47" s="236"/>
      <c r="I47" s="236"/>
      <c r="J47" s="237"/>
      <c r="K47" s="236"/>
      <c r="L47" s="233"/>
      <c r="M47" s="188"/>
    </row>
    <row r="48" spans="1:26" ht="18.75" hidden="1" x14ac:dyDescent="0.3">
      <c r="B48" s="233"/>
      <c r="C48" s="234"/>
      <c r="D48" s="234"/>
      <c r="E48" s="234"/>
      <c r="F48" s="235"/>
      <c r="G48" s="236"/>
      <c r="H48" s="236"/>
      <c r="I48" s="236"/>
      <c r="J48" s="237"/>
      <c r="K48" s="236"/>
      <c r="L48" s="233"/>
      <c r="M48" s="188"/>
    </row>
    <row r="49" spans="2:13" ht="18.75" hidden="1" x14ac:dyDescent="0.3">
      <c r="B49" s="233"/>
      <c r="C49" s="234"/>
      <c r="D49" s="234"/>
      <c r="E49" s="234"/>
      <c r="F49" s="235"/>
      <c r="G49" s="236"/>
      <c r="H49" s="236"/>
      <c r="I49" s="236"/>
      <c r="J49" s="237"/>
      <c r="K49" s="236"/>
      <c r="L49" s="233"/>
      <c r="M49" s="188"/>
    </row>
    <row r="50" spans="2:13" ht="18.75" hidden="1" x14ac:dyDescent="0.3">
      <c r="B50" s="233"/>
      <c r="C50" s="234"/>
      <c r="D50" s="234"/>
      <c r="E50" s="234"/>
      <c r="F50" s="235"/>
      <c r="G50" s="236"/>
      <c r="H50" s="236"/>
      <c r="I50" s="236"/>
      <c r="J50" s="237"/>
      <c r="K50" s="236"/>
      <c r="L50" s="233"/>
      <c r="M50" s="188"/>
    </row>
    <row r="51" spans="2:13" ht="18.75" hidden="1" x14ac:dyDescent="0.3">
      <c r="B51" s="233"/>
      <c r="C51" s="234"/>
      <c r="D51" s="234"/>
      <c r="E51" s="234"/>
      <c r="F51" s="235"/>
      <c r="G51" s="236"/>
      <c r="H51" s="236"/>
      <c r="I51" s="236"/>
      <c r="J51" s="237"/>
      <c r="K51" s="236"/>
      <c r="L51" s="233"/>
      <c r="M51" s="188"/>
    </row>
    <row r="52" spans="2:13" ht="18.75" hidden="1" x14ac:dyDescent="0.3">
      <c r="B52" s="233"/>
      <c r="C52" s="234"/>
      <c r="D52" s="234"/>
      <c r="E52" s="234"/>
      <c r="F52" s="235"/>
      <c r="G52" s="236"/>
      <c r="H52" s="236"/>
      <c r="I52" s="236"/>
      <c r="J52" s="237"/>
      <c r="K52" s="236"/>
      <c r="L52" s="233"/>
      <c r="M52" s="188"/>
    </row>
    <row r="53" spans="2:13" ht="18.75" hidden="1" x14ac:dyDescent="0.3">
      <c r="B53" s="233"/>
      <c r="C53" s="234"/>
      <c r="D53" s="234"/>
      <c r="E53" s="234"/>
      <c r="F53" s="235"/>
      <c r="G53" s="236"/>
      <c r="H53" s="236"/>
      <c r="I53" s="236"/>
      <c r="J53" s="237"/>
      <c r="K53" s="236"/>
      <c r="L53" s="233"/>
      <c r="M53" s="188"/>
    </row>
    <row r="54" spans="2:13" ht="18.75" hidden="1" x14ac:dyDescent="0.3">
      <c r="B54" s="233"/>
      <c r="C54" s="234"/>
      <c r="D54" s="234"/>
      <c r="E54" s="234"/>
      <c r="F54" s="235"/>
      <c r="G54" s="236"/>
      <c r="H54" s="236"/>
      <c r="I54" s="236"/>
      <c r="J54" s="237"/>
      <c r="K54" s="236"/>
      <c r="L54" s="233"/>
      <c r="M54" s="188"/>
    </row>
    <row r="55" spans="2:13" ht="18.75" hidden="1" x14ac:dyDescent="0.3">
      <c r="B55" s="233"/>
      <c r="C55" s="234"/>
      <c r="D55" s="234"/>
      <c r="E55" s="234"/>
      <c r="F55" s="235"/>
      <c r="G55" s="236"/>
      <c r="H55" s="236"/>
      <c r="I55" s="236"/>
      <c r="J55" s="237"/>
      <c r="K55" s="236"/>
      <c r="L55" s="233"/>
      <c r="M55" s="188"/>
    </row>
    <row r="56" spans="2:13" ht="18.75" hidden="1" x14ac:dyDescent="0.3">
      <c r="B56" s="238"/>
      <c r="C56" s="239"/>
      <c r="D56" s="239"/>
      <c r="E56" s="239"/>
      <c r="F56" s="239"/>
      <c r="G56" s="189"/>
      <c r="H56" s="189"/>
      <c r="I56" s="189"/>
      <c r="J56" s="225"/>
      <c r="K56" s="189"/>
      <c r="L56" s="238"/>
      <c r="M56" s="188"/>
    </row>
    <row r="57" spans="2:13" ht="18.75" hidden="1" x14ac:dyDescent="0.3">
      <c r="B57" s="240"/>
      <c r="C57" s="189"/>
      <c r="D57" s="189"/>
      <c r="E57" s="189"/>
      <c r="F57" s="189"/>
      <c r="G57" s="189"/>
      <c r="H57" s="189"/>
      <c r="I57" s="189"/>
      <c r="J57" s="225"/>
      <c r="K57" s="189"/>
      <c r="L57" s="240"/>
      <c r="M57" s="188"/>
    </row>
    <row r="58" spans="2:13" ht="18.75" hidden="1" x14ac:dyDescent="0.25">
      <c r="B58" s="230"/>
      <c r="C58" s="231"/>
      <c r="D58" s="231"/>
      <c r="E58" s="231"/>
      <c r="F58" s="231"/>
      <c r="G58" s="231"/>
      <c r="H58" s="231"/>
      <c r="I58" s="231"/>
      <c r="J58" s="232"/>
      <c r="K58" s="231"/>
      <c r="L58" s="230"/>
      <c r="M58" s="188"/>
    </row>
    <row r="59" spans="2:13" ht="18.75" hidden="1" x14ac:dyDescent="0.3">
      <c r="B59" s="226"/>
      <c r="C59" s="224"/>
      <c r="D59" s="224"/>
      <c r="E59" s="189"/>
      <c r="F59" s="224"/>
      <c r="G59" s="189"/>
      <c r="H59" s="189"/>
      <c r="I59" s="189"/>
      <c r="J59" s="225"/>
      <c r="K59" s="189"/>
      <c r="L59" s="226"/>
      <c r="M59" s="188"/>
    </row>
    <row r="60" spans="2:13" ht="18.75" hidden="1" x14ac:dyDescent="0.3">
      <c r="B60" s="226"/>
      <c r="C60" s="224"/>
      <c r="D60" s="224"/>
      <c r="E60" s="189"/>
      <c r="F60" s="224"/>
      <c r="G60" s="189"/>
      <c r="H60" s="189"/>
      <c r="I60" s="189"/>
      <c r="J60" s="225"/>
      <c r="K60" s="189"/>
      <c r="L60" s="226"/>
      <c r="M60" s="188"/>
    </row>
    <row r="61" spans="2:13" ht="18.75" hidden="1" x14ac:dyDescent="0.3">
      <c r="B61" s="226"/>
      <c r="C61" s="224"/>
      <c r="D61" s="224"/>
      <c r="E61" s="189"/>
      <c r="F61" s="224"/>
      <c r="G61" s="189"/>
      <c r="H61" s="189"/>
      <c r="I61" s="189"/>
      <c r="J61" s="225"/>
      <c r="K61" s="189"/>
      <c r="L61" s="226"/>
      <c r="M61" s="188"/>
    </row>
    <row r="62" spans="2:13" ht="18.75" hidden="1" x14ac:dyDescent="0.3">
      <c r="B62" s="226" t="s">
        <v>616</v>
      </c>
      <c r="C62" s="224"/>
      <c r="D62" s="224"/>
      <c r="E62" s="189"/>
      <c r="F62" s="224"/>
      <c r="G62" s="189"/>
      <c r="H62" s="189"/>
      <c r="I62" s="189"/>
      <c r="J62" s="225"/>
      <c r="K62" s="189"/>
      <c r="L62" s="226"/>
      <c r="M62" s="188"/>
    </row>
    <row r="63" spans="2:13" ht="18.75" x14ac:dyDescent="0.3">
      <c r="B63" s="226"/>
      <c r="C63" s="224"/>
      <c r="D63" s="224"/>
      <c r="E63" s="189"/>
      <c r="F63" s="224"/>
      <c r="G63" s="189"/>
      <c r="H63" s="189"/>
      <c r="I63" s="189"/>
      <c r="J63" s="225"/>
      <c r="K63" s="189"/>
      <c r="L63" s="226"/>
      <c r="M63" s="188"/>
    </row>
    <row r="64" spans="2:13" ht="18.75" x14ac:dyDescent="0.3">
      <c r="B64" s="226"/>
      <c r="C64" s="224"/>
      <c r="D64" s="224"/>
      <c r="E64" s="189"/>
      <c r="F64" s="224"/>
      <c r="G64" s="189"/>
      <c r="H64" s="189"/>
      <c r="I64" s="189"/>
      <c r="J64" s="225"/>
      <c r="K64" s="189"/>
      <c r="L64" s="226"/>
      <c r="M64" s="188"/>
    </row>
    <row r="65" spans="2:13" ht="18.75" x14ac:dyDescent="0.3">
      <c r="B65" s="226"/>
      <c r="C65" s="224"/>
      <c r="D65" s="224"/>
      <c r="E65" s="189"/>
      <c r="F65" s="224"/>
      <c r="G65" s="189"/>
      <c r="H65" s="189"/>
      <c r="I65" s="189"/>
      <c r="J65" s="225"/>
      <c r="K65" s="189"/>
      <c r="L65" s="226"/>
      <c r="M65" s="188"/>
    </row>
    <row r="66" spans="2:13" ht="18.75" x14ac:dyDescent="0.3">
      <c r="B66" s="240"/>
      <c r="C66" s="189"/>
      <c r="D66" s="189"/>
      <c r="E66" s="189"/>
      <c r="F66" s="189"/>
      <c r="G66" s="189"/>
      <c r="H66" s="189"/>
      <c r="I66" s="189"/>
      <c r="J66" s="225"/>
      <c r="K66" s="189"/>
      <c r="L66" s="240"/>
      <c r="M66" s="188"/>
    </row>
    <row r="67" spans="2:13" ht="18.75" x14ac:dyDescent="0.3">
      <c r="B67" s="240"/>
      <c r="C67" s="189"/>
      <c r="D67" s="189"/>
      <c r="E67" s="189"/>
      <c r="F67" s="189"/>
      <c r="G67" s="189"/>
      <c r="H67" s="189"/>
      <c r="I67" s="189"/>
      <c r="J67" s="225"/>
      <c r="K67" s="189"/>
      <c r="L67" s="240"/>
      <c r="M67" s="188"/>
    </row>
    <row r="68" spans="2:13" ht="18.75" x14ac:dyDescent="0.3">
      <c r="B68" s="240"/>
      <c r="C68" s="189"/>
      <c r="D68" s="189"/>
      <c r="E68" s="189"/>
      <c r="F68" s="189"/>
      <c r="G68" s="189"/>
      <c r="H68" s="189"/>
      <c r="I68" s="189"/>
      <c r="J68" s="225"/>
      <c r="K68" s="189"/>
      <c r="L68" s="240"/>
      <c r="M68" s="188"/>
    </row>
    <row r="69" spans="2:13" ht="18.75" x14ac:dyDescent="0.3">
      <c r="B69" s="240"/>
      <c r="C69" s="189"/>
      <c r="D69" s="189"/>
      <c r="E69" s="189"/>
      <c r="F69" s="189"/>
      <c r="G69" s="189"/>
      <c r="H69" s="189"/>
      <c r="I69" s="189"/>
      <c r="J69" s="225"/>
      <c r="K69" s="189"/>
      <c r="L69" s="240"/>
      <c r="M69" s="188"/>
    </row>
  </sheetData>
  <mergeCells count="20">
    <mergeCell ref="A38:B38"/>
    <mergeCell ref="A39:B39"/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A14:B14"/>
    <mergeCell ref="Y8:Z8"/>
    <mergeCell ref="M8:N8"/>
    <mergeCell ref="O8:P8"/>
    <mergeCell ref="Q8:R8"/>
    <mergeCell ref="S8:T8"/>
    <mergeCell ref="U8:V8"/>
    <mergeCell ref="W8:X8"/>
  </mergeCells>
  <pageMargins left="0.7" right="0.7" top="0.75" bottom="0.75" header="0.3" footer="0.3"/>
  <pageSetup scale="67" orientation="portrait" horizontalDpi="360" verticalDpi="36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tabSelected="1" workbookViewId="0">
      <selection activeCell="H15" sqref="H15"/>
    </sheetView>
  </sheetViews>
  <sheetFormatPr defaultColWidth="11.42578125" defaultRowHeight="15" x14ac:dyDescent="0.25"/>
  <cols>
    <col min="1" max="1" width="27.7109375" customWidth="1"/>
    <col min="2" max="2" width="17.5703125" customWidth="1"/>
    <col min="3" max="3" width="17.85546875" bestFit="1" customWidth="1"/>
    <col min="4" max="4" width="18.5703125" customWidth="1"/>
    <col min="5" max="5" width="20.140625" customWidth="1"/>
  </cols>
  <sheetData>
    <row r="1" spans="1:6" ht="22.5" x14ac:dyDescent="0.3">
      <c r="A1" s="450" t="s">
        <v>653</v>
      </c>
      <c r="B1" s="450"/>
      <c r="C1" s="450"/>
      <c r="D1" s="450"/>
      <c r="E1" s="450"/>
      <c r="F1" s="450"/>
    </row>
    <row r="2" spans="1:6" ht="22.5" customHeight="1" x14ac:dyDescent="0.3">
      <c r="A2" s="451" t="s">
        <v>587</v>
      </c>
      <c r="B2" s="451"/>
      <c r="C2" s="451"/>
      <c r="D2" s="451"/>
      <c r="E2" s="451"/>
    </row>
    <row r="3" spans="1:6" ht="22.5" x14ac:dyDescent="0.3">
      <c r="A3" s="452" t="s">
        <v>654</v>
      </c>
      <c r="B3" s="452"/>
      <c r="C3" s="452"/>
      <c r="D3" s="452"/>
      <c r="E3" s="452"/>
    </row>
    <row r="4" spans="1:6" ht="18.75" x14ac:dyDescent="0.25">
      <c r="A4" s="241" t="s">
        <v>655</v>
      </c>
      <c r="B4" s="241" t="s">
        <v>656</v>
      </c>
      <c r="C4" s="241" t="s">
        <v>631</v>
      </c>
      <c r="D4" s="241" t="s">
        <v>657</v>
      </c>
      <c r="E4" s="241" t="s">
        <v>72</v>
      </c>
    </row>
    <row r="5" spans="1:6" ht="15.75" x14ac:dyDescent="0.25">
      <c r="A5" s="242" t="s">
        <v>676</v>
      </c>
      <c r="B5" s="243">
        <v>6775024.8700000001</v>
      </c>
      <c r="C5" s="244">
        <v>5902831.21</v>
      </c>
      <c r="D5" s="244">
        <v>102835</v>
      </c>
      <c r="E5" s="293">
        <v>1.7421301125091802E-2</v>
      </c>
    </row>
    <row r="6" spans="1:6" ht="15.75" x14ac:dyDescent="0.25">
      <c r="A6" s="242" t="s">
        <v>677</v>
      </c>
      <c r="B6" s="245">
        <v>9928728.9100000001</v>
      </c>
      <c r="C6" s="244">
        <v>9338924.6199999992</v>
      </c>
      <c r="D6" s="245">
        <v>221056.08000000002</v>
      </c>
      <c r="E6" s="293">
        <v>2.3670399858094156E-2</v>
      </c>
    </row>
    <row r="7" spans="1:6" ht="15.75" x14ac:dyDescent="0.25">
      <c r="A7" s="242" t="s">
        <v>545</v>
      </c>
      <c r="B7" s="245">
        <v>7643032.2199999997</v>
      </c>
      <c r="C7" s="244">
        <v>7825280.6500000004</v>
      </c>
      <c r="D7" s="245">
        <v>99442.51</v>
      </c>
      <c r="E7" s="293">
        <v>1.2707852209747902E-2</v>
      </c>
    </row>
    <row r="8" spans="1:6" ht="15.75" x14ac:dyDescent="0.25">
      <c r="A8" s="242" t="s">
        <v>544</v>
      </c>
      <c r="B8" s="245">
        <v>6994829.1200000001</v>
      </c>
      <c r="C8" s="245">
        <v>6892064.790000001</v>
      </c>
      <c r="D8" s="245">
        <v>68054</v>
      </c>
      <c r="E8" s="293">
        <v>9.8742542436255874E-3</v>
      </c>
    </row>
    <row r="9" spans="1:6" ht="15.75" x14ac:dyDescent="0.25">
      <c r="A9" s="242" t="s">
        <v>543</v>
      </c>
      <c r="B9" s="247">
        <v>7347874.0899999999</v>
      </c>
      <c r="C9" s="247">
        <v>7518709.1100000013</v>
      </c>
      <c r="D9" s="245">
        <v>116253.22</v>
      </c>
      <c r="E9" s="293">
        <v>1.5461858983928689E-2</v>
      </c>
    </row>
    <row r="10" spans="1:6" ht="15.75" x14ac:dyDescent="0.25">
      <c r="A10" s="242" t="s">
        <v>542</v>
      </c>
      <c r="B10" s="247">
        <v>9385616.4299999997</v>
      </c>
      <c r="C10" s="247">
        <v>4055211.4400000004</v>
      </c>
      <c r="D10" s="245">
        <v>67756.320000000007</v>
      </c>
      <c r="E10" s="293">
        <v>1.6708455527537178E-2</v>
      </c>
    </row>
    <row r="11" spans="1:6" ht="15.75" x14ac:dyDescent="0.25">
      <c r="A11" s="242" t="s">
        <v>541</v>
      </c>
      <c r="B11" s="247">
        <v>9418657.9499999993</v>
      </c>
      <c r="C11" s="247">
        <v>10942138.619999999</v>
      </c>
      <c r="D11" s="245">
        <v>116253.22</v>
      </c>
      <c r="E11" s="293">
        <v>1.0624360011991879E-2</v>
      </c>
    </row>
    <row r="12" spans="1:6" ht="15.75" x14ac:dyDescent="0.25">
      <c r="A12" s="242" t="s">
        <v>540</v>
      </c>
      <c r="B12" s="247">
        <v>11865402.33</v>
      </c>
      <c r="C12" s="247">
        <v>6884742.669999999</v>
      </c>
      <c r="D12" s="245">
        <v>36950</v>
      </c>
      <c r="E12" s="293">
        <v>5.3669398801219114E-3</v>
      </c>
    </row>
    <row r="13" spans="1:6" ht="15.75" x14ac:dyDescent="0.25">
      <c r="A13" s="242" t="s">
        <v>539</v>
      </c>
      <c r="B13" s="247">
        <v>11178188.24</v>
      </c>
      <c r="C13" s="247">
        <f>+'INGR SEGUN ORIGEN'!E30</f>
        <v>12277160.450000001</v>
      </c>
      <c r="D13" s="245">
        <v>88793.31</v>
      </c>
      <c r="E13" s="293">
        <v>5.3669398801219114E-3</v>
      </c>
    </row>
    <row r="14" spans="1:6" ht="15.75" x14ac:dyDescent="0.25">
      <c r="A14" s="242" t="s">
        <v>678</v>
      </c>
      <c r="B14" s="247"/>
      <c r="C14" s="247"/>
      <c r="D14" s="245"/>
      <c r="E14" s="246"/>
    </row>
    <row r="15" spans="1:6" ht="15.75" x14ac:dyDescent="0.25">
      <c r="A15" s="242" t="s">
        <v>537</v>
      </c>
      <c r="B15" s="247"/>
      <c r="C15" s="247"/>
      <c r="D15" s="245"/>
      <c r="E15" s="246"/>
    </row>
    <row r="16" spans="1:6" ht="15.75" x14ac:dyDescent="0.25">
      <c r="A16" s="242" t="s">
        <v>536</v>
      </c>
      <c r="B16" s="247"/>
      <c r="C16" s="247"/>
      <c r="D16" s="245"/>
      <c r="E16" s="246"/>
    </row>
    <row r="17" spans="1:5" ht="18.75" x14ac:dyDescent="0.3">
      <c r="A17" s="248" t="s">
        <v>348</v>
      </c>
      <c r="B17" s="249">
        <v>69359165.920000002</v>
      </c>
      <c r="C17" s="249">
        <v>59359903.109999992</v>
      </c>
      <c r="D17" s="249">
        <v>828600.35000000009</v>
      </c>
      <c r="E17" s="294">
        <v>1.395892355930094E-2</v>
      </c>
    </row>
    <row r="18" spans="1:5" ht="15.75" x14ac:dyDescent="0.25">
      <c r="A18" s="250"/>
      <c r="B18" s="251"/>
      <c r="C18" s="251"/>
      <c r="D18" s="251"/>
      <c r="E18" s="252"/>
    </row>
    <row r="19" spans="1:5" ht="15.75" x14ac:dyDescent="0.25">
      <c r="A19" s="223" t="s">
        <v>651</v>
      </c>
      <c r="B19" s="251"/>
      <c r="C19" s="251"/>
      <c r="D19" s="251"/>
      <c r="E19" s="252"/>
    </row>
    <row r="20" spans="1:5" ht="15.75" x14ac:dyDescent="0.25">
      <c r="A20" s="228" t="s">
        <v>652</v>
      </c>
      <c r="B20" s="251"/>
      <c r="C20" s="251"/>
      <c r="D20" s="251"/>
      <c r="E20" s="252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2CB089-94A8-429F-A92D-B88DDF68251D}">
  <ds:schemaRefs>
    <ds:schemaRef ds:uri="http://schemas.microsoft.com/sharepoint/v3"/>
    <ds:schemaRef ds:uri="http://schemas.microsoft.com/office/2006/documentManagement/types"/>
    <ds:schemaRef ds:uri="http://purl.org/dc/elements/1.1/"/>
    <ds:schemaRef ds:uri="07c79e06-4b95-4bd7-9f70-1708916ba346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66a0fbff-63c5-42e0-aeb3-a526626be49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RELACION DE PAGOS EMITIDOS</vt:lpstr>
      <vt:lpstr>RELACION ORDENES DE COMPRAS</vt:lpstr>
      <vt:lpstr>CONS. FUENTES FINAN</vt:lpstr>
      <vt:lpstr>CUENTA T FONDO 100</vt:lpstr>
      <vt:lpstr>CUENTA T VS</vt:lpstr>
      <vt:lpstr>GASTOS X ATENCION</vt:lpstr>
      <vt:lpstr>PLANTILLA PRESUPUESTO</vt:lpstr>
      <vt:lpstr>Sheet2</vt:lpstr>
      <vt:lpstr>TRANSFERENCIA CORRIENTE</vt:lpstr>
      <vt:lpstr>VS</vt:lpstr>
      <vt:lpstr>OBLIGACIONES PENDIENTES</vt:lpstr>
      <vt:lpstr>INGR SEGUN ORIGEN</vt:lpstr>
      <vt:lpstr>Sheet1</vt:lpstr>
      <vt:lpstr>DEUDA</vt:lpstr>
      <vt:lpstr>INGRESOS POR A.R.S</vt:lpstr>
      <vt:lpstr>GLOSA</vt:lpstr>
      <vt:lpstr>'CONS. FUENTES FINAN'!Print_Area</vt:lpstr>
      <vt:lpstr>'INGR SEGUN ORIGEN'!Print_Area</vt:lpstr>
      <vt:lpstr>'RELACION DE PAGOS EMITIDOS'!Print_Area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contabilidad</cp:lastModifiedBy>
  <cp:lastPrinted>2025-10-03T18:41:53Z</cp:lastPrinted>
  <dcterms:created xsi:type="dcterms:W3CDTF">2021-03-19T19:51:23Z</dcterms:created>
  <dcterms:modified xsi:type="dcterms:W3CDTF">2025-10-03T18:56:39Z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
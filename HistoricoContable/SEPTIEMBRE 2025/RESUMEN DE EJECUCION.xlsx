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SEPTIEMBRE 2025\"/>
    </mc:Choice>
  </mc:AlternateContent>
  <xr:revisionPtr revIDLastSave="0" documentId="13_ncr:1_{0BE52BEE-7063-421F-9047-0E421A6764E9}" xr6:coauthVersionLast="47" xr6:coauthVersionMax="47" xr10:uidLastSave="{00000000-0000-0000-0000-000000000000}"/>
  <bookViews>
    <workbookView xWindow="-120" yWindow="-120" windowWidth="24240" windowHeight="13140" firstSheet="4" activeTab="7" xr2:uid="{E4467EEE-A6B5-4546-9617-A2A5EF2DB044}"/>
  </bookViews>
  <sheets>
    <sheet name="RESUMEN" sheetId="4" state="hidden" r:id="rId1"/>
    <sheet name="SEPTIEMBRE" sheetId="1" state="hidden" r:id="rId2"/>
    <sheet name="AGOSTO " sheetId="2" state="hidden" r:id="rId3"/>
    <sheet name="JULIO" sheetId="3" state="hidden" r:id="rId4"/>
    <sheet name="OCTUBRE " sheetId="5" r:id="rId5"/>
    <sheet name="NOVIEMBRE" sheetId="7" r:id="rId6"/>
    <sheet name="DICIEMBRE 2025" sheetId="8" r:id="rId7"/>
    <sheet name="RESUMEN TRIMESTRE OCTUBRE-DIC" sheetId="9" r:id="rId8"/>
    <sheet name="ENERO-JUNIO 2025" sheetId="6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RESUMEN!$A$1:$J$501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4" l="1"/>
  <c r="I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I229" i="9" s="1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I373" i="9" s="1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I399" i="9" s="1"/>
  <c r="H400" i="9"/>
  <c r="H401" i="9"/>
  <c r="H402" i="9"/>
  <c r="H403" i="9"/>
  <c r="H404" i="9"/>
  <c r="H405" i="9"/>
  <c r="H406" i="9"/>
  <c r="H407" i="9"/>
  <c r="H408" i="9"/>
  <c r="H409" i="9"/>
  <c r="I409" i="9" s="1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I460" i="9" s="1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I477" i="9" s="1"/>
  <c r="H478" i="9"/>
  <c r="H479" i="9"/>
  <c r="H480" i="9"/>
  <c r="H481" i="9"/>
  <c r="H482" i="9"/>
  <c r="I482" i="9" s="1"/>
  <c r="H483" i="9"/>
  <c r="H484" i="9"/>
  <c r="H485" i="9"/>
  <c r="H486" i="9"/>
  <c r="H487" i="9"/>
  <c r="H488" i="9"/>
  <c r="H489" i="9"/>
  <c r="I489" i="9" s="1"/>
  <c r="H490" i="9"/>
  <c r="H491" i="9"/>
  <c r="H492" i="9"/>
  <c r="H493" i="9"/>
  <c r="H494" i="9"/>
  <c r="I494" i="9" s="1"/>
  <c r="H495" i="9"/>
  <c r="H496" i="9"/>
  <c r="H497" i="9"/>
  <c r="H498" i="9"/>
  <c r="H499" i="9"/>
  <c r="H500" i="9"/>
  <c r="H501" i="9"/>
  <c r="I501" i="9" s="1"/>
  <c r="H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I168" i="9" s="1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I192" i="9" s="1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I264" i="9" s="1"/>
  <c r="G265" i="9"/>
  <c r="G266" i="9"/>
  <c r="G267" i="9"/>
  <c r="G268" i="9"/>
  <c r="G269" i="9"/>
  <c r="G270" i="9"/>
  <c r="G271" i="9"/>
  <c r="G272" i="9"/>
  <c r="G273" i="9"/>
  <c r="G274" i="9"/>
  <c r="G275" i="9"/>
  <c r="G276" i="9"/>
  <c r="I276" i="9" s="1"/>
  <c r="G277" i="9"/>
  <c r="G278" i="9"/>
  <c r="G279" i="9"/>
  <c r="G280" i="9"/>
  <c r="G281" i="9"/>
  <c r="G282" i="9"/>
  <c r="G283" i="9"/>
  <c r="G284" i="9"/>
  <c r="G285" i="9"/>
  <c r="G286" i="9"/>
  <c r="G287" i="9"/>
  <c r="I287" i="9" s="1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I311" i="9" s="1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I324" i="9" s="1"/>
  <c r="G325" i="9"/>
  <c r="G326" i="9"/>
  <c r="G327" i="9"/>
  <c r="G328" i="9"/>
  <c r="G329" i="9"/>
  <c r="G330" i="9"/>
  <c r="G331" i="9"/>
  <c r="G332" i="9"/>
  <c r="G333" i="9"/>
  <c r="G334" i="9"/>
  <c r="G335" i="9"/>
  <c r="I335" i="9" s="1"/>
  <c r="G336" i="9"/>
  <c r="G337" i="9"/>
  <c r="G338" i="9"/>
  <c r="G339" i="9"/>
  <c r="G340" i="9"/>
  <c r="G341" i="9"/>
  <c r="G342" i="9"/>
  <c r="G343" i="9"/>
  <c r="G344" i="9"/>
  <c r="G345" i="9"/>
  <c r="G346" i="9"/>
  <c r="G347" i="9"/>
  <c r="I347" i="9" s="1"/>
  <c r="G348" i="9"/>
  <c r="G349" i="9"/>
  <c r="G350" i="9"/>
  <c r="G351" i="9"/>
  <c r="G352" i="9"/>
  <c r="G353" i="9"/>
  <c r="G354" i="9"/>
  <c r="G355" i="9"/>
  <c r="G356" i="9"/>
  <c r="G357" i="9"/>
  <c r="G358" i="9"/>
  <c r="G359" i="9"/>
  <c r="I359" i="9" s="1"/>
  <c r="G360" i="9"/>
  <c r="I360" i="9" s="1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I384" i="9" s="1"/>
  <c r="G385" i="9"/>
  <c r="G386" i="9"/>
  <c r="G387" i="9"/>
  <c r="G388" i="9"/>
  <c r="G389" i="9"/>
  <c r="G390" i="9"/>
  <c r="G391" i="9"/>
  <c r="G392" i="9"/>
  <c r="G393" i="9"/>
  <c r="G394" i="9"/>
  <c r="G395" i="9"/>
  <c r="I395" i="9" s="1"/>
  <c r="G396" i="9"/>
  <c r="G397" i="9"/>
  <c r="G398" i="9"/>
  <c r="G399" i="9"/>
  <c r="G400" i="9"/>
  <c r="G401" i="9"/>
  <c r="G402" i="9"/>
  <c r="G403" i="9"/>
  <c r="G404" i="9"/>
  <c r="G405" i="9"/>
  <c r="G406" i="9"/>
  <c r="G407" i="9"/>
  <c r="I407" i="9" s="1"/>
  <c r="G408" i="9"/>
  <c r="I408" i="9" s="1"/>
  <c r="G409" i="9"/>
  <c r="G410" i="9"/>
  <c r="G411" i="9"/>
  <c r="G412" i="9"/>
  <c r="G413" i="9"/>
  <c r="G414" i="9"/>
  <c r="G415" i="9"/>
  <c r="G416" i="9"/>
  <c r="G417" i="9"/>
  <c r="G418" i="9"/>
  <c r="G419" i="9"/>
  <c r="G420" i="9"/>
  <c r="I420" i="9" s="1"/>
  <c r="G421" i="9"/>
  <c r="G422" i="9"/>
  <c r="G423" i="9"/>
  <c r="G424" i="9"/>
  <c r="G425" i="9"/>
  <c r="G426" i="9"/>
  <c r="G427" i="9"/>
  <c r="G428" i="9"/>
  <c r="G429" i="9"/>
  <c r="G430" i="9"/>
  <c r="G431" i="9"/>
  <c r="I431" i="9" s="1"/>
  <c r="G432" i="9"/>
  <c r="I432" i="9" s="1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I456" i="9" s="1"/>
  <c r="G457" i="9"/>
  <c r="G458" i="9"/>
  <c r="G459" i="9"/>
  <c r="G460" i="9"/>
  <c r="G461" i="9"/>
  <c r="G462" i="9"/>
  <c r="G463" i="9"/>
  <c r="G464" i="9"/>
  <c r="G465" i="9"/>
  <c r="G466" i="9"/>
  <c r="G467" i="9"/>
  <c r="G468" i="9"/>
  <c r="I468" i="9" s="1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I488" i="9" s="1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25" i="9"/>
  <c r="I498" i="9"/>
  <c r="I496" i="9"/>
  <c r="I495" i="9"/>
  <c r="I490" i="9"/>
  <c r="I487" i="9"/>
  <c r="I484" i="9"/>
  <c r="I483" i="9"/>
  <c r="I475" i="9"/>
  <c r="I472" i="9"/>
  <c r="I470" i="9"/>
  <c r="I465" i="9"/>
  <c r="I462" i="9"/>
  <c r="I461" i="9"/>
  <c r="I459" i="9"/>
  <c r="I458" i="9"/>
  <c r="I455" i="9"/>
  <c r="I452" i="9"/>
  <c r="I450" i="9"/>
  <c r="I449" i="9"/>
  <c r="I448" i="9"/>
  <c r="I443" i="9"/>
  <c r="I440" i="9"/>
  <c r="I439" i="9"/>
  <c r="I438" i="9"/>
  <c r="I435" i="9"/>
  <c r="I429" i="9"/>
  <c r="I430" i="9"/>
  <c r="I428" i="9"/>
  <c r="I427" i="9"/>
  <c r="I426" i="9"/>
  <c r="I423" i="9"/>
  <c r="I422" i="9"/>
  <c r="I419" i="9"/>
  <c r="I416" i="9"/>
  <c r="I415" i="9"/>
  <c r="I414" i="9"/>
  <c r="I411" i="9"/>
  <c r="I404" i="9"/>
  <c r="I402" i="9"/>
  <c r="I398" i="9"/>
  <c r="I392" i="9"/>
  <c r="I391" i="9"/>
  <c r="I390" i="9"/>
  <c r="I387" i="9"/>
  <c r="I380" i="9"/>
  <c r="I378" i="9"/>
  <c r="I377" i="9"/>
  <c r="I376" i="9"/>
  <c r="I375" i="9"/>
  <c r="I374" i="9"/>
  <c r="I370" i="9"/>
  <c r="I368" i="9"/>
  <c r="I367" i="9"/>
  <c r="I363" i="9"/>
  <c r="I362" i="9"/>
  <c r="I356" i="9"/>
  <c r="I354" i="9"/>
  <c r="I353" i="9"/>
  <c r="I352" i="9"/>
  <c r="I351" i="9"/>
  <c r="I350" i="9"/>
  <c r="I346" i="9"/>
  <c r="I345" i="9"/>
  <c r="I344" i="9"/>
  <c r="I343" i="9"/>
  <c r="I340" i="9"/>
  <c r="I339" i="9"/>
  <c r="I338" i="9"/>
  <c r="I334" i="9"/>
  <c r="I333" i="9"/>
  <c r="I332" i="9"/>
  <c r="I329" i="9"/>
  <c r="I326" i="9"/>
  <c r="I323" i="9"/>
  <c r="I322" i="9"/>
  <c r="I319" i="9"/>
  <c r="I317" i="9"/>
  <c r="I316" i="9"/>
  <c r="I315" i="9"/>
  <c r="I310" i="9"/>
  <c r="I307" i="9"/>
  <c r="I306" i="9"/>
  <c r="I305" i="9"/>
  <c r="I302" i="9"/>
  <c r="I299" i="9"/>
  <c r="I298" i="9"/>
  <c r="I297" i="9"/>
  <c r="I296" i="9"/>
  <c r="I294" i="9"/>
  <c r="I293" i="9"/>
  <c r="I292" i="9"/>
  <c r="I291" i="9"/>
  <c r="I290" i="9"/>
  <c r="I288" i="9"/>
  <c r="I283" i="9"/>
  <c r="I282" i="9"/>
  <c r="I281" i="9"/>
  <c r="I280" i="9"/>
  <c r="I279" i="9"/>
  <c r="I278" i="9"/>
  <c r="I275" i="9"/>
  <c r="I274" i="9"/>
  <c r="I272" i="9"/>
  <c r="I273" i="9"/>
  <c r="I271" i="9"/>
  <c r="I270" i="9"/>
  <c r="I267" i="9"/>
  <c r="I266" i="9"/>
  <c r="I260" i="9"/>
  <c r="I258" i="9"/>
  <c r="I254" i="9"/>
  <c r="I252" i="9"/>
  <c r="I251" i="9"/>
  <c r="I247" i="9"/>
  <c r="I243" i="9"/>
  <c r="I244" i="9"/>
  <c r="I238" i="9"/>
  <c r="I237" i="9"/>
  <c r="I236" i="9"/>
  <c r="I234" i="9"/>
  <c r="I231" i="9"/>
  <c r="I230" i="9"/>
  <c r="I227" i="9"/>
  <c r="I224" i="9"/>
  <c r="I223" i="9"/>
  <c r="I222" i="9"/>
  <c r="I221" i="9"/>
  <c r="I220" i="9"/>
  <c r="I214" i="9"/>
  <c r="I211" i="9"/>
  <c r="I210" i="9"/>
  <c r="I207" i="9"/>
  <c r="I206" i="9"/>
  <c r="I203" i="9"/>
  <c r="I202" i="9"/>
  <c r="I201" i="9"/>
  <c r="I200" i="9"/>
  <c r="I199" i="9"/>
  <c r="I198" i="9"/>
  <c r="I197" i="9"/>
  <c r="I196" i="9"/>
  <c r="I194" i="9"/>
  <c r="I191" i="9"/>
  <c r="I190" i="9"/>
  <c r="I187" i="9"/>
  <c r="I185" i="9"/>
  <c r="I184" i="9"/>
  <c r="I183" i="9"/>
  <c r="I182" i="9"/>
  <c r="I178" i="9"/>
  <c r="I177" i="9"/>
  <c r="I176" i="9"/>
  <c r="I175" i="9"/>
  <c r="I174" i="9"/>
  <c r="I173" i="9"/>
  <c r="I171" i="9"/>
  <c r="I170" i="9"/>
  <c r="I166" i="9"/>
  <c r="I165" i="9"/>
  <c r="I164" i="9"/>
  <c r="I163" i="9"/>
  <c r="I162" i="9"/>
  <c r="I160" i="9"/>
  <c r="I159" i="9"/>
  <c r="I156" i="9"/>
  <c r="I155" i="9"/>
  <c r="I154" i="9"/>
  <c r="I153" i="9"/>
  <c r="I152" i="9"/>
  <c r="I151" i="9"/>
  <c r="I148" i="9"/>
  <c r="I147" i="9"/>
  <c r="I146" i="9"/>
  <c r="I144" i="9"/>
  <c r="I142" i="9"/>
  <c r="I141" i="9"/>
  <c r="I140" i="9"/>
  <c r="I137" i="9"/>
  <c r="I135" i="9"/>
  <c r="I134" i="9"/>
  <c r="I132" i="9"/>
  <c r="I129" i="9"/>
  <c r="I128" i="9"/>
  <c r="I127" i="9"/>
  <c r="I122" i="9"/>
  <c r="I120" i="9"/>
  <c r="I118" i="9"/>
  <c r="I115" i="9"/>
  <c r="I114" i="9"/>
  <c r="I113" i="9"/>
  <c r="I108" i="9"/>
  <c r="I107" i="9"/>
  <c r="I101" i="9"/>
  <c r="I100" i="9"/>
  <c r="I94" i="9"/>
  <c r="I92" i="9"/>
  <c r="I91" i="9"/>
  <c r="I90" i="9"/>
  <c r="I86" i="9"/>
  <c r="I84" i="9"/>
  <c r="I83" i="9"/>
  <c r="I82" i="9"/>
  <c r="I81" i="9"/>
  <c r="I77" i="9"/>
  <c r="I76" i="9"/>
  <c r="I75" i="9"/>
  <c r="I70" i="9"/>
  <c r="I69" i="9"/>
  <c r="I66" i="9"/>
  <c r="I63" i="9"/>
  <c r="I62" i="9"/>
  <c r="I60" i="9"/>
  <c r="I59" i="9"/>
  <c r="I58" i="9"/>
  <c r="I57" i="9"/>
  <c r="I56" i="9"/>
  <c r="I55" i="9"/>
  <c r="I53" i="9"/>
  <c r="I50" i="9"/>
  <c r="I45" i="9"/>
  <c r="I44" i="9"/>
  <c r="I43" i="9"/>
  <c r="I41" i="9"/>
  <c r="I40" i="9"/>
  <c r="I39" i="9"/>
  <c r="I38" i="9"/>
  <c r="I36" i="9"/>
  <c r="I34" i="9"/>
  <c r="I33" i="9"/>
  <c r="I32" i="9"/>
  <c r="I31" i="9"/>
  <c r="I30" i="9"/>
  <c r="I29" i="9"/>
  <c r="N20" i="9"/>
  <c r="M20" i="9"/>
  <c r="N18" i="9"/>
  <c r="N17" i="9"/>
  <c r="M17" i="9"/>
  <c r="G16" i="9"/>
  <c r="G15" i="9"/>
  <c r="I17" i="9" s="1"/>
  <c r="H501" i="8"/>
  <c r="H500" i="8" s="1"/>
  <c r="I500" i="8" s="1"/>
  <c r="G501" i="8"/>
  <c r="I501" i="8" s="1"/>
  <c r="G500" i="8"/>
  <c r="H499" i="8"/>
  <c r="H498" i="8" s="1"/>
  <c r="H497" i="8" s="1"/>
  <c r="G499" i="8"/>
  <c r="H496" i="8"/>
  <c r="G496" i="8"/>
  <c r="I496" i="8" s="1"/>
  <c r="H495" i="8"/>
  <c r="G495" i="8"/>
  <c r="G492" i="8" s="1"/>
  <c r="H494" i="8"/>
  <c r="H493" i="8" s="1"/>
  <c r="G494" i="8"/>
  <c r="I494" i="8" s="1"/>
  <c r="G493" i="8"/>
  <c r="I491" i="8"/>
  <c r="H491" i="8"/>
  <c r="G491" i="8"/>
  <c r="H490" i="8"/>
  <c r="G490" i="8"/>
  <c r="I490" i="8" s="1"/>
  <c r="H489" i="8"/>
  <c r="G489" i="8"/>
  <c r="I489" i="8" s="1"/>
  <c r="I488" i="8"/>
  <c r="H488" i="8"/>
  <c r="G488" i="8"/>
  <c r="H487" i="8"/>
  <c r="H486" i="8" s="1"/>
  <c r="I486" i="8" s="1"/>
  <c r="G487" i="8"/>
  <c r="I487" i="8" s="1"/>
  <c r="G486" i="8"/>
  <c r="H485" i="8"/>
  <c r="H484" i="8" s="1"/>
  <c r="G485" i="8"/>
  <c r="H483" i="8"/>
  <c r="I483" i="8" s="1"/>
  <c r="G483" i="8"/>
  <c r="G482" i="8"/>
  <c r="I481" i="8"/>
  <c r="H481" i="8"/>
  <c r="H480" i="8" s="1"/>
  <c r="G481" i="8"/>
  <c r="G480" i="8"/>
  <c r="I480" i="8" s="1"/>
  <c r="H479" i="8"/>
  <c r="G479" i="8"/>
  <c r="I479" i="8" s="1"/>
  <c r="H478" i="8"/>
  <c r="G478" i="8"/>
  <c r="I478" i="8" s="1"/>
  <c r="H477" i="8"/>
  <c r="G477" i="8"/>
  <c r="I477" i="8" s="1"/>
  <c r="H476" i="8"/>
  <c r="H475" i="8"/>
  <c r="G475" i="8"/>
  <c r="H474" i="8"/>
  <c r="H472" i="8"/>
  <c r="G472" i="8"/>
  <c r="I472" i="8" s="1"/>
  <c r="H471" i="8"/>
  <c r="G471" i="8"/>
  <c r="I471" i="8" s="1"/>
  <c r="H470" i="8"/>
  <c r="G470" i="8"/>
  <c r="I470" i="8" s="1"/>
  <c r="H469" i="8"/>
  <c r="H468" i="8"/>
  <c r="G468" i="8"/>
  <c r="H467" i="8"/>
  <c r="H466" i="8"/>
  <c r="G466" i="8"/>
  <c r="I466" i="8" s="1"/>
  <c r="H465" i="8"/>
  <c r="H464" i="8"/>
  <c r="I462" i="8"/>
  <c r="H462" i="8"/>
  <c r="G462" i="8"/>
  <c r="H461" i="8"/>
  <c r="G461" i="8"/>
  <c r="I461" i="8" s="1"/>
  <c r="I460" i="8"/>
  <c r="H460" i="8"/>
  <c r="G460" i="8"/>
  <c r="H459" i="8"/>
  <c r="I459" i="8" s="1"/>
  <c r="G459" i="8"/>
  <c r="H458" i="8"/>
  <c r="G458" i="8"/>
  <c r="H457" i="8"/>
  <c r="H456" i="8"/>
  <c r="G456" i="8"/>
  <c r="I456" i="8" s="1"/>
  <c r="H455" i="8"/>
  <c r="H454" i="8"/>
  <c r="H453" i="8" s="1"/>
  <c r="G454" i="8"/>
  <c r="G453" i="8" s="1"/>
  <c r="I452" i="8"/>
  <c r="H452" i="8"/>
  <c r="G452" i="8"/>
  <c r="H451" i="8"/>
  <c r="H450" i="8" s="1"/>
  <c r="G451" i="8"/>
  <c r="H449" i="8"/>
  <c r="I449" i="8" s="1"/>
  <c r="G449" i="8"/>
  <c r="H448" i="8"/>
  <c r="G448" i="8"/>
  <c r="H447" i="8"/>
  <c r="H445" i="8"/>
  <c r="G445" i="8"/>
  <c r="I445" i="8" s="1"/>
  <c r="H444" i="8"/>
  <c r="G444" i="8"/>
  <c r="I444" i="8" s="1"/>
  <c r="H443" i="8"/>
  <c r="G443" i="8"/>
  <c r="I443" i="8" s="1"/>
  <c r="I442" i="8"/>
  <c r="H442" i="8"/>
  <c r="G442" i="8"/>
  <c r="H441" i="8"/>
  <c r="H440" i="8" s="1"/>
  <c r="G441" i="8"/>
  <c r="H439" i="8"/>
  <c r="H438" i="8" s="1"/>
  <c r="G439" i="8"/>
  <c r="I439" i="8" s="1"/>
  <c r="G438" i="8"/>
  <c r="I438" i="8" s="1"/>
  <c r="I437" i="8"/>
  <c r="H437" i="8"/>
  <c r="H436" i="8" s="1"/>
  <c r="G437" i="8"/>
  <c r="G436" i="8" s="1"/>
  <c r="I436" i="8" s="1"/>
  <c r="H435" i="8"/>
  <c r="G435" i="8"/>
  <c r="I435" i="8" s="1"/>
  <c r="H434" i="8"/>
  <c r="G434" i="8"/>
  <c r="H433" i="8"/>
  <c r="G433" i="8"/>
  <c r="I433" i="8" s="1"/>
  <c r="H432" i="8"/>
  <c r="H431" i="8"/>
  <c r="G431" i="8"/>
  <c r="I430" i="8"/>
  <c r="H430" i="8"/>
  <c r="H429" i="8" s="1"/>
  <c r="G430" i="8"/>
  <c r="H428" i="8"/>
  <c r="G428" i="8"/>
  <c r="I428" i="8" s="1"/>
  <c r="H427" i="8"/>
  <c r="G427" i="8"/>
  <c r="I427" i="8" s="1"/>
  <c r="H426" i="8"/>
  <c r="H425" i="8" s="1"/>
  <c r="H424" i="8" s="1"/>
  <c r="G426" i="8"/>
  <c r="I426" i="8" s="1"/>
  <c r="I423" i="8"/>
  <c r="H423" i="8"/>
  <c r="G423" i="8"/>
  <c r="H422" i="8"/>
  <c r="G422" i="8"/>
  <c r="I422" i="8" s="1"/>
  <c r="H421" i="8"/>
  <c r="G421" i="8"/>
  <c r="I421" i="8" s="1"/>
  <c r="H420" i="8"/>
  <c r="G420" i="8"/>
  <c r="I420" i="8" s="1"/>
  <c r="H419" i="8"/>
  <c r="H418" i="8" s="1"/>
  <c r="G419" i="8"/>
  <c r="I419" i="8" s="1"/>
  <c r="H417" i="8"/>
  <c r="H416" i="8" s="1"/>
  <c r="G417" i="8"/>
  <c r="H415" i="8"/>
  <c r="H414" i="8" s="1"/>
  <c r="G415" i="8"/>
  <c r="I415" i="8" s="1"/>
  <c r="G414" i="8"/>
  <c r="I414" i="8" s="1"/>
  <c r="H413" i="8"/>
  <c r="H412" i="8" s="1"/>
  <c r="G413" i="8"/>
  <c r="G412" i="8"/>
  <c r="I411" i="8"/>
  <c r="H411" i="8"/>
  <c r="G411" i="8"/>
  <c r="H410" i="8"/>
  <c r="G410" i="8"/>
  <c r="I410" i="8" s="1"/>
  <c r="H409" i="8"/>
  <c r="G409" i="8"/>
  <c r="I409" i="8" s="1"/>
  <c r="H408" i="8"/>
  <c r="H407" i="8"/>
  <c r="G407" i="8"/>
  <c r="H406" i="8"/>
  <c r="I404" i="8"/>
  <c r="H404" i="8"/>
  <c r="G404" i="8"/>
  <c r="H403" i="8"/>
  <c r="G403" i="8"/>
  <c r="I403" i="8" s="1"/>
  <c r="H402" i="8"/>
  <c r="G402" i="8"/>
  <c r="I402" i="8" s="1"/>
  <c r="H401" i="8"/>
  <c r="H400" i="8" s="1"/>
  <c r="I399" i="8"/>
  <c r="H399" i="8"/>
  <c r="H398" i="8" s="1"/>
  <c r="G399" i="8"/>
  <c r="G398" i="8"/>
  <c r="I398" i="8" s="1"/>
  <c r="H397" i="8"/>
  <c r="G397" i="8"/>
  <c r="I397" i="8" s="1"/>
  <c r="H396" i="8"/>
  <c r="G396" i="8"/>
  <c r="I396" i="8" s="1"/>
  <c r="H395" i="8"/>
  <c r="H394" i="8" s="1"/>
  <c r="G395" i="8"/>
  <c r="I395" i="8" s="1"/>
  <c r="H393" i="8"/>
  <c r="H392" i="8" s="1"/>
  <c r="G393" i="8"/>
  <c r="H391" i="8"/>
  <c r="H390" i="8" s="1"/>
  <c r="G391" i="8"/>
  <c r="I391" i="8" s="1"/>
  <c r="G390" i="8"/>
  <c r="I390" i="8" s="1"/>
  <c r="H389" i="8"/>
  <c r="H388" i="8" s="1"/>
  <c r="G389" i="8"/>
  <c r="G388" i="8"/>
  <c r="I388" i="8" s="1"/>
  <c r="I387" i="8"/>
  <c r="H387" i="8"/>
  <c r="G387" i="8"/>
  <c r="H386" i="8"/>
  <c r="G386" i="8"/>
  <c r="H385" i="8"/>
  <c r="G385" i="8"/>
  <c r="I385" i="8" s="1"/>
  <c r="H384" i="8"/>
  <c r="H382" i="8"/>
  <c r="H381" i="8" s="1"/>
  <c r="G382" i="8"/>
  <c r="G381" i="8"/>
  <c r="I380" i="8"/>
  <c r="H380" i="8"/>
  <c r="G380" i="8"/>
  <c r="H379" i="8"/>
  <c r="G379" i="8"/>
  <c r="I379" i="8" s="1"/>
  <c r="H378" i="8"/>
  <c r="G378" i="8"/>
  <c r="I378" i="8" s="1"/>
  <c r="H377" i="8"/>
  <c r="H376" i="8"/>
  <c r="G376" i="8"/>
  <c r="H375" i="8"/>
  <c r="H374" i="8"/>
  <c r="H373" i="8" s="1"/>
  <c r="G374" i="8"/>
  <c r="I374" i="8" s="1"/>
  <c r="H372" i="8"/>
  <c r="H371" i="8" s="1"/>
  <c r="G372" i="8"/>
  <c r="G371" i="8" s="1"/>
  <c r="I371" i="8" s="1"/>
  <c r="I370" i="8"/>
  <c r="H370" i="8"/>
  <c r="G370" i="8"/>
  <c r="H369" i="8"/>
  <c r="G369" i="8"/>
  <c r="I369" i="8" s="1"/>
  <c r="I368" i="8"/>
  <c r="H368" i="8"/>
  <c r="G368" i="8"/>
  <c r="H367" i="8"/>
  <c r="G367" i="8"/>
  <c r="I367" i="8" s="1"/>
  <c r="I365" i="8"/>
  <c r="H365" i="8"/>
  <c r="H364" i="8" s="1"/>
  <c r="G365" i="8"/>
  <c r="G364" i="8" s="1"/>
  <c r="I364" i="8" s="1"/>
  <c r="I363" i="8"/>
  <c r="H363" i="8"/>
  <c r="H362" i="8" s="1"/>
  <c r="G363" i="8"/>
  <c r="G362" i="8"/>
  <c r="I361" i="8"/>
  <c r="H361" i="8"/>
  <c r="G361" i="8"/>
  <c r="H360" i="8"/>
  <c r="G360" i="8"/>
  <c r="I360" i="8" s="1"/>
  <c r="H359" i="8"/>
  <c r="G359" i="8"/>
  <c r="I359" i="8" s="1"/>
  <c r="H358" i="8"/>
  <c r="H357" i="8" s="1"/>
  <c r="G358" i="8"/>
  <c r="G357" i="8" s="1"/>
  <c r="I357" i="8" s="1"/>
  <c r="I356" i="8"/>
  <c r="H356" i="8"/>
  <c r="G356" i="8"/>
  <c r="H355" i="8"/>
  <c r="G355" i="8"/>
  <c r="I355" i="8" s="1"/>
  <c r="I354" i="8"/>
  <c r="H354" i="8"/>
  <c r="H353" i="8" s="1"/>
  <c r="G354" i="8"/>
  <c r="G353" i="8"/>
  <c r="I353" i="8" s="1"/>
  <c r="H352" i="8"/>
  <c r="G352" i="8"/>
  <c r="I352" i="8" s="1"/>
  <c r="I351" i="8"/>
  <c r="H351" i="8"/>
  <c r="G351" i="8"/>
  <c r="H350" i="8"/>
  <c r="H349" i="8" s="1"/>
  <c r="G350" i="8"/>
  <c r="I350" i="8" s="1"/>
  <c r="I347" i="8"/>
  <c r="H347" i="8"/>
  <c r="G347" i="8"/>
  <c r="I346" i="8"/>
  <c r="H346" i="8"/>
  <c r="G346" i="8"/>
  <c r="H345" i="8"/>
  <c r="G345" i="8"/>
  <c r="I345" i="8" s="1"/>
  <c r="H344" i="8"/>
  <c r="G344" i="8"/>
  <c r="I344" i="8" s="1"/>
  <c r="H343" i="8"/>
  <c r="H342" i="8" s="1"/>
  <c r="G343" i="8"/>
  <c r="I343" i="8" s="1"/>
  <c r="H341" i="8"/>
  <c r="H340" i="8" s="1"/>
  <c r="G341" i="8"/>
  <c r="H339" i="8"/>
  <c r="H338" i="8" s="1"/>
  <c r="H337" i="8" s="1"/>
  <c r="G339" i="8"/>
  <c r="I339" i="8" s="1"/>
  <c r="H335" i="8"/>
  <c r="I335" i="8" s="1"/>
  <c r="G335" i="8"/>
  <c r="I334" i="8"/>
  <c r="H334" i="8"/>
  <c r="G334" i="8"/>
  <c r="H333" i="8"/>
  <c r="G333" i="8"/>
  <c r="I333" i="8" s="1"/>
  <c r="H332" i="8"/>
  <c r="I332" i="8" s="1"/>
  <c r="G332" i="8"/>
  <c r="H331" i="8"/>
  <c r="G331" i="8"/>
  <c r="H329" i="8"/>
  <c r="G329" i="8"/>
  <c r="I329" i="8" s="1"/>
  <c r="I328" i="8"/>
  <c r="H328" i="8"/>
  <c r="H327" i="8" s="1"/>
  <c r="G328" i="8"/>
  <c r="G327" i="8" s="1"/>
  <c r="I327" i="8" s="1"/>
  <c r="H326" i="8"/>
  <c r="G326" i="8"/>
  <c r="I326" i="8" s="1"/>
  <c r="H325" i="8"/>
  <c r="H324" i="8" s="1"/>
  <c r="G325" i="8"/>
  <c r="H323" i="8"/>
  <c r="H322" i="8" s="1"/>
  <c r="G323" i="8"/>
  <c r="I323" i="8" s="1"/>
  <c r="H321" i="8"/>
  <c r="H320" i="8" s="1"/>
  <c r="G321" i="8"/>
  <c r="G320" i="8" s="1"/>
  <c r="I319" i="8"/>
  <c r="H319" i="8"/>
  <c r="G319" i="8"/>
  <c r="H318" i="8"/>
  <c r="G318" i="8"/>
  <c r="H317" i="8"/>
  <c r="H316" i="8" s="1"/>
  <c r="G317" i="8"/>
  <c r="I317" i="8" s="1"/>
  <c r="G316" i="8"/>
  <c r="I316" i="8" s="1"/>
  <c r="H315" i="8"/>
  <c r="G315" i="8"/>
  <c r="H314" i="8"/>
  <c r="H313" i="8"/>
  <c r="G313" i="8"/>
  <c r="I313" i="8" s="1"/>
  <c r="H312" i="8"/>
  <c r="G312" i="8"/>
  <c r="I312" i="8" s="1"/>
  <c r="H311" i="8"/>
  <c r="H309" i="8" s="1"/>
  <c r="G311" i="8"/>
  <c r="I311" i="8" s="1"/>
  <c r="H310" i="8"/>
  <c r="G310" i="8"/>
  <c r="I310" i="8" s="1"/>
  <c r="I307" i="8"/>
  <c r="H307" i="8"/>
  <c r="G307" i="8"/>
  <c r="H306" i="8"/>
  <c r="G306" i="8"/>
  <c r="I306" i="8" s="1"/>
  <c r="H305" i="8"/>
  <c r="G305" i="8"/>
  <c r="I305" i="8" s="1"/>
  <c r="H304" i="8"/>
  <c r="H303" i="8" s="1"/>
  <c r="G304" i="8"/>
  <c r="G303" i="8" s="1"/>
  <c r="I303" i="8" s="1"/>
  <c r="H302" i="8"/>
  <c r="I302" i="8" s="1"/>
  <c r="G302" i="8"/>
  <c r="H301" i="8"/>
  <c r="G301" i="8"/>
  <c r="I301" i="8" s="1"/>
  <c r="I300" i="8"/>
  <c r="H300" i="8"/>
  <c r="G300" i="8"/>
  <c r="H299" i="8"/>
  <c r="G299" i="8"/>
  <c r="I299" i="8" s="1"/>
  <c r="H298" i="8"/>
  <c r="G298" i="8"/>
  <c r="I298" i="8" s="1"/>
  <c r="I297" i="8"/>
  <c r="H297" i="8"/>
  <c r="G297" i="8"/>
  <c r="H296" i="8"/>
  <c r="I296" i="8" s="1"/>
  <c r="G296" i="8"/>
  <c r="I294" i="8"/>
  <c r="H294" i="8"/>
  <c r="G294" i="8"/>
  <c r="H293" i="8"/>
  <c r="G293" i="8"/>
  <c r="I293" i="8" s="1"/>
  <c r="H292" i="8"/>
  <c r="G292" i="8"/>
  <c r="I292" i="8" s="1"/>
  <c r="I291" i="8"/>
  <c r="H291" i="8"/>
  <c r="G291" i="8"/>
  <c r="H290" i="8"/>
  <c r="G290" i="8"/>
  <c r="I290" i="8" s="1"/>
  <c r="H289" i="8"/>
  <c r="G289" i="8"/>
  <c r="I288" i="8"/>
  <c r="H288" i="8"/>
  <c r="G288" i="8"/>
  <c r="H287" i="8"/>
  <c r="H285" i="8"/>
  <c r="H284" i="8" s="1"/>
  <c r="G285" i="8"/>
  <c r="G284" i="8" s="1"/>
  <c r="H283" i="8"/>
  <c r="I283" i="8" s="1"/>
  <c r="G283" i="8"/>
  <c r="H282" i="8"/>
  <c r="G282" i="8"/>
  <c r="I282" i="8" s="1"/>
  <c r="H281" i="8"/>
  <c r="G281" i="8"/>
  <c r="I281" i="8" s="1"/>
  <c r="H280" i="8"/>
  <c r="I280" i="8" s="1"/>
  <c r="G280" i="8"/>
  <c r="H279" i="8"/>
  <c r="G279" i="8"/>
  <c r="I279" i="8" s="1"/>
  <c r="H278" i="8"/>
  <c r="G278" i="8"/>
  <c r="I278" i="8" s="1"/>
  <c r="H277" i="8"/>
  <c r="G277" i="8"/>
  <c r="I277" i="8" s="1"/>
  <c r="I275" i="8"/>
  <c r="H275" i="8"/>
  <c r="G275" i="8"/>
  <c r="H274" i="8"/>
  <c r="G274" i="8"/>
  <c r="I274" i="8" s="1"/>
  <c r="H273" i="8"/>
  <c r="G273" i="8"/>
  <c r="H272" i="8"/>
  <c r="I271" i="8"/>
  <c r="H271" i="8"/>
  <c r="G271" i="8"/>
  <c r="I270" i="8"/>
  <c r="H270" i="8"/>
  <c r="G270" i="8"/>
  <c r="I269" i="8"/>
  <c r="H269" i="8"/>
  <c r="H268" i="8" s="1"/>
  <c r="G269" i="8"/>
  <c r="G268" i="8" s="1"/>
  <c r="H267" i="8"/>
  <c r="I267" i="8" s="1"/>
  <c r="G267" i="8"/>
  <c r="H266" i="8"/>
  <c r="G266" i="8"/>
  <c r="I266" i="8" s="1"/>
  <c r="H265" i="8"/>
  <c r="G265" i="8"/>
  <c r="I265" i="8" s="1"/>
  <c r="H264" i="8"/>
  <c r="G264" i="8"/>
  <c r="I264" i="8" s="1"/>
  <c r="I263" i="8"/>
  <c r="H263" i="8"/>
  <c r="G263" i="8"/>
  <c r="H260" i="8"/>
  <c r="G260" i="8"/>
  <c r="H259" i="8"/>
  <c r="H258" i="8"/>
  <c r="G258" i="8"/>
  <c r="I258" i="8" s="1"/>
  <c r="H257" i="8"/>
  <c r="H256" i="8"/>
  <c r="H255" i="8" s="1"/>
  <c r="G256" i="8"/>
  <c r="G255" i="8" s="1"/>
  <c r="I255" i="8" s="1"/>
  <c r="H254" i="8"/>
  <c r="H253" i="8" s="1"/>
  <c r="G254" i="8"/>
  <c r="I254" i="8" s="1"/>
  <c r="G253" i="8"/>
  <c r="I252" i="8"/>
  <c r="H252" i="8"/>
  <c r="H251" i="8" s="1"/>
  <c r="G252" i="8"/>
  <c r="G251" i="8"/>
  <c r="I251" i="8" s="1"/>
  <c r="H249" i="8"/>
  <c r="H248" i="8" s="1"/>
  <c r="G249" i="8"/>
  <c r="G248" i="8" s="1"/>
  <c r="I248" i="8" s="1"/>
  <c r="H247" i="8"/>
  <c r="H246" i="8" s="1"/>
  <c r="H245" i="8" s="1"/>
  <c r="G247" i="8"/>
  <c r="I247" i="8" s="1"/>
  <c r="G246" i="8"/>
  <c r="H244" i="8"/>
  <c r="G244" i="8"/>
  <c r="I244" i="8" s="1"/>
  <c r="H243" i="8"/>
  <c r="H242" i="8"/>
  <c r="H241" i="8" s="1"/>
  <c r="G242" i="8"/>
  <c r="G241" i="8" s="1"/>
  <c r="I241" i="8" s="1"/>
  <c r="H240" i="8"/>
  <c r="G240" i="8"/>
  <c r="I240" i="8" s="1"/>
  <c r="H239" i="8"/>
  <c r="G239" i="8"/>
  <c r="I239" i="8" s="1"/>
  <c r="I238" i="8"/>
  <c r="H238" i="8"/>
  <c r="H237" i="8" s="1"/>
  <c r="G238" i="8"/>
  <c r="G237" i="8" s="1"/>
  <c r="I237" i="8" s="1"/>
  <c r="H236" i="8"/>
  <c r="G236" i="8"/>
  <c r="I236" i="8" s="1"/>
  <c r="H235" i="8"/>
  <c r="H232" i="8" s="1"/>
  <c r="G235" i="8"/>
  <c r="I234" i="8"/>
  <c r="H234" i="8"/>
  <c r="G234" i="8"/>
  <c r="H233" i="8"/>
  <c r="G233" i="8"/>
  <c r="I233" i="8" s="1"/>
  <c r="I231" i="8"/>
  <c r="H231" i="8"/>
  <c r="H230" i="8" s="1"/>
  <c r="G231" i="8"/>
  <c r="G230" i="8" s="1"/>
  <c r="I230" i="8" s="1"/>
  <c r="H229" i="8"/>
  <c r="G229" i="8"/>
  <c r="I229" i="8" s="1"/>
  <c r="I228" i="8"/>
  <c r="H228" i="8"/>
  <c r="G228" i="8"/>
  <c r="I227" i="8"/>
  <c r="H227" i="8"/>
  <c r="G227" i="8"/>
  <c r="H226" i="8"/>
  <c r="G226" i="8"/>
  <c r="I226" i="8" s="1"/>
  <c r="G225" i="8"/>
  <c r="I224" i="8"/>
  <c r="H224" i="8"/>
  <c r="G224" i="8"/>
  <c r="H223" i="8"/>
  <c r="G223" i="8"/>
  <c r="I223" i="8" s="1"/>
  <c r="H222" i="8"/>
  <c r="G222" i="8"/>
  <c r="I222" i="8" s="1"/>
  <c r="H221" i="8"/>
  <c r="I221" i="8" s="1"/>
  <c r="G221" i="8"/>
  <c r="H220" i="8"/>
  <c r="G220" i="8"/>
  <c r="I220" i="8" s="1"/>
  <c r="H218" i="8"/>
  <c r="H217" i="8" s="1"/>
  <c r="G218" i="8"/>
  <c r="G217" i="8" s="1"/>
  <c r="I216" i="8"/>
  <c r="H216" i="8"/>
  <c r="G216" i="8"/>
  <c r="H215" i="8"/>
  <c r="H214" i="8" s="1"/>
  <c r="G215" i="8"/>
  <c r="H211" i="8"/>
  <c r="I211" i="8" s="1"/>
  <c r="G211" i="8"/>
  <c r="H210" i="8"/>
  <c r="H209" i="8" s="1"/>
  <c r="H208" i="8" s="1"/>
  <c r="G210" i="8"/>
  <c r="I210" i="8" s="1"/>
  <c r="H207" i="8"/>
  <c r="G207" i="8"/>
  <c r="I207" i="8" s="1"/>
  <c r="I206" i="8"/>
  <c r="H206" i="8"/>
  <c r="G206" i="8"/>
  <c r="H205" i="8"/>
  <c r="H204" i="8" s="1"/>
  <c r="G205" i="8"/>
  <c r="H203" i="8"/>
  <c r="G203" i="8"/>
  <c r="I203" i="8" s="1"/>
  <c r="H202" i="8"/>
  <c r="G202" i="8"/>
  <c r="I202" i="8" s="1"/>
  <c r="I201" i="8"/>
  <c r="H201" i="8"/>
  <c r="G201" i="8"/>
  <c r="H200" i="8"/>
  <c r="G200" i="8"/>
  <c r="I200" i="8" s="1"/>
  <c r="H199" i="8"/>
  <c r="G199" i="8"/>
  <c r="I198" i="8"/>
  <c r="H198" i="8"/>
  <c r="H197" i="8" s="1"/>
  <c r="G198" i="8"/>
  <c r="H196" i="8"/>
  <c r="G196" i="8"/>
  <c r="I196" i="8" s="1"/>
  <c r="H195" i="8"/>
  <c r="H192" i="8" s="1"/>
  <c r="G195" i="8"/>
  <c r="H194" i="8"/>
  <c r="G194" i="8"/>
  <c r="I194" i="8" s="1"/>
  <c r="H193" i="8"/>
  <c r="G193" i="8"/>
  <c r="I193" i="8" s="1"/>
  <c r="G192" i="8"/>
  <c r="H191" i="8"/>
  <c r="I191" i="8" s="1"/>
  <c r="G191" i="8"/>
  <c r="H190" i="8"/>
  <c r="G190" i="8"/>
  <c r="I190" i="8" s="1"/>
  <c r="H189" i="8"/>
  <c r="H188" i="8" s="1"/>
  <c r="G189" i="8"/>
  <c r="G188" i="8" s="1"/>
  <c r="I188" i="8" s="1"/>
  <c r="H187" i="8"/>
  <c r="H186" i="8" s="1"/>
  <c r="G187" i="8"/>
  <c r="I187" i="8" s="1"/>
  <c r="G186" i="8"/>
  <c r="I185" i="8"/>
  <c r="H185" i="8"/>
  <c r="H184" i="8" s="1"/>
  <c r="G185" i="8"/>
  <c r="G184" i="8" s="1"/>
  <c r="I183" i="8"/>
  <c r="H183" i="8"/>
  <c r="G183" i="8"/>
  <c r="H182" i="8"/>
  <c r="I182" i="8" s="1"/>
  <c r="G182" i="8"/>
  <c r="H181" i="8"/>
  <c r="G181" i="8"/>
  <c r="I181" i="8" s="1"/>
  <c r="H180" i="8"/>
  <c r="I178" i="8"/>
  <c r="H178" i="8"/>
  <c r="H177" i="8" s="1"/>
  <c r="G178" i="8"/>
  <c r="G177" i="8" s="1"/>
  <c r="I177" i="8" s="1"/>
  <c r="I176" i="8"/>
  <c r="H176" i="8"/>
  <c r="G176" i="8"/>
  <c r="H175" i="8"/>
  <c r="I175" i="8" s="1"/>
  <c r="G175" i="8"/>
  <c r="H174" i="8"/>
  <c r="G174" i="8"/>
  <c r="I174" i="8" s="1"/>
  <c r="I173" i="8"/>
  <c r="H173" i="8"/>
  <c r="G173" i="8"/>
  <c r="H172" i="8"/>
  <c r="I172" i="8" s="1"/>
  <c r="G172" i="8"/>
  <c r="H171" i="8"/>
  <c r="G171" i="8"/>
  <c r="I171" i="8" s="1"/>
  <c r="I170" i="8"/>
  <c r="H170" i="8"/>
  <c r="G170" i="8"/>
  <c r="H169" i="8"/>
  <c r="G169" i="8"/>
  <c r="H168" i="8"/>
  <c r="G168" i="8"/>
  <c r="I168" i="8" s="1"/>
  <c r="H166" i="8"/>
  <c r="G166" i="8"/>
  <c r="I166" i="8" s="1"/>
  <c r="I165" i="8"/>
  <c r="H165" i="8"/>
  <c r="G165" i="8"/>
  <c r="I164" i="8"/>
  <c r="H164" i="8"/>
  <c r="G164" i="8"/>
  <c r="H163" i="8"/>
  <c r="G163" i="8"/>
  <c r="I163" i="8" s="1"/>
  <c r="I162" i="8"/>
  <c r="H162" i="8"/>
  <c r="G162" i="8"/>
  <c r="I161" i="8"/>
  <c r="H161" i="8"/>
  <c r="G161" i="8"/>
  <c r="I160" i="8"/>
  <c r="H160" i="8"/>
  <c r="G160" i="8"/>
  <c r="H159" i="8"/>
  <c r="I159" i="8" s="1"/>
  <c r="G159" i="8"/>
  <c r="I156" i="8"/>
  <c r="H156" i="8"/>
  <c r="G156" i="8"/>
  <c r="G155" i="8" s="1"/>
  <c r="I155" i="8" s="1"/>
  <c r="H155" i="8"/>
  <c r="I154" i="8"/>
  <c r="H154" i="8"/>
  <c r="G154" i="8"/>
  <c r="H153" i="8"/>
  <c r="G153" i="8"/>
  <c r="I153" i="8" s="1"/>
  <c r="H152" i="8"/>
  <c r="I152" i="8" s="1"/>
  <c r="G152" i="8"/>
  <c r="H151" i="8"/>
  <c r="G151" i="8"/>
  <c r="I151" i="8" s="1"/>
  <c r="H150" i="8"/>
  <c r="H149" i="8" s="1"/>
  <c r="G150" i="8"/>
  <c r="H147" i="8"/>
  <c r="G147" i="8"/>
  <c r="I147" i="8" s="1"/>
  <c r="H146" i="8"/>
  <c r="G146" i="8"/>
  <c r="I146" i="8" s="1"/>
  <c r="H145" i="8"/>
  <c r="H144" i="8" s="1"/>
  <c r="G145" i="8"/>
  <c r="I145" i="8" s="1"/>
  <c r="H143" i="8"/>
  <c r="H142" i="8" s="1"/>
  <c r="G143" i="8"/>
  <c r="H141" i="8"/>
  <c r="H140" i="8" s="1"/>
  <c r="G141" i="8"/>
  <c r="I141" i="8" s="1"/>
  <c r="H139" i="8"/>
  <c r="H138" i="8" s="1"/>
  <c r="G139" i="8"/>
  <c r="G138" i="8"/>
  <c r="I138" i="8" s="1"/>
  <c r="H137" i="8"/>
  <c r="I137" i="8" s="1"/>
  <c r="G137" i="8"/>
  <c r="H136" i="8"/>
  <c r="G136" i="8"/>
  <c r="I136" i="8" s="1"/>
  <c r="H135" i="8"/>
  <c r="G135" i="8"/>
  <c r="I135" i="8" s="1"/>
  <c r="H134" i="8"/>
  <c r="G134" i="8"/>
  <c r="I134" i="8" s="1"/>
  <c r="H133" i="8"/>
  <c r="G133" i="8"/>
  <c r="I133" i="8" s="1"/>
  <c r="H132" i="8"/>
  <c r="G132" i="8"/>
  <c r="I132" i="8" s="1"/>
  <c r="H131" i="8"/>
  <c r="G131" i="8"/>
  <c r="I131" i="8" s="1"/>
  <c r="I129" i="8"/>
  <c r="H129" i="8"/>
  <c r="H128" i="8" s="1"/>
  <c r="G129" i="8"/>
  <c r="G128" i="8" s="1"/>
  <c r="I128" i="8" s="1"/>
  <c r="I127" i="8"/>
  <c r="H127" i="8"/>
  <c r="G127" i="8"/>
  <c r="I126" i="8"/>
  <c r="H126" i="8"/>
  <c r="G126" i="8"/>
  <c r="H124" i="8"/>
  <c r="H123" i="8" s="1"/>
  <c r="G124" i="8"/>
  <c r="I124" i="8" s="1"/>
  <c r="G123" i="8"/>
  <c r="I123" i="8" s="1"/>
  <c r="I122" i="8"/>
  <c r="H122" i="8"/>
  <c r="H121" i="8" s="1"/>
  <c r="G122" i="8"/>
  <c r="G121" i="8" s="1"/>
  <c r="I121" i="8" s="1"/>
  <c r="I120" i="8"/>
  <c r="H120" i="8"/>
  <c r="G120" i="8"/>
  <c r="H119" i="8"/>
  <c r="G119" i="8"/>
  <c r="I119" i="8" s="1"/>
  <c r="H118" i="8"/>
  <c r="I118" i="8" s="1"/>
  <c r="G118" i="8"/>
  <c r="H117" i="8"/>
  <c r="H116" i="8" s="1"/>
  <c r="G117" i="8"/>
  <c r="I117" i="8" s="1"/>
  <c r="G116" i="8"/>
  <c r="I115" i="8"/>
  <c r="H115" i="8"/>
  <c r="H114" i="8" s="1"/>
  <c r="G115" i="8"/>
  <c r="G114" i="8" s="1"/>
  <c r="I114" i="8" s="1"/>
  <c r="I113" i="8"/>
  <c r="H113" i="8"/>
  <c r="G113" i="8"/>
  <c r="H112" i="8"/>
  <c r="G112" i="8"/>
  <c r="H110" i="8"/>
  <c r="H109" i="8" s="1"/>
  <c r="G110" i="8"/>
  <c r="I110" i="8" s="1"/>
  <c r="G109" i="8"/>
  <c r="I109" i="8" s="1"/>
  <c r="I108" i="8"/>
  <c r="H108" i="8"/>
  <c r="H107" i="8" s="1"/>
  <c r="H106" i="8" s="1"/>
  <c r="G108" i="8"/>
  <c r="G107" i="8"/>
  <c r="H105" i="8"/>
  <c r="H104" i="8" s="1"/>
  <c r="G105" i="8"/>
  <c r="G104" i="8" s="1"/>
  <c r="I104" i="8" s="1"/>
  <c r="H103" i="8"/>
  <c r="H102" i="8" s="1"/>
  <c r="G103" i="8"/>
  <c r="I103" i="8" s="1"/>
  <c r="G102" i="8"/>
  <c r="I101" i="8"/>
  <c r="H101" i="8"/>
  <c r="G101" i="8"/>
  <c r="H100" i="8"/>
  <c r="H99" i="8" s="1"/>
  <c r="G100" i="8"/>
  <c r="I100" i="8" s="1"/>
  <c r="H98" i="8"/>
  <c r="H97" i="8" s="1"/>
  <c r="G98" i="8"/>
  <c r="G97" i="8" s="1"/>
  <c r="I97" i="8" s="1"/>
  <c r="I96" i="8"/>
  <c r="H96" i="8"/>
  <c r="G96" i="8"/>
  <c r="H95" i="8"/>
  <c r="G95" i="8"/>
  <c r="I95" i="8" s="1"/>
  <c r="I94" i="8"/>
  <c r="H94" i="8"/>
  <c r="G94" i="8"/>
  <c r="H93" i="8"/>
  <c r="G93" i="8"/>
  <c r="I93" i="8" s="1"/>
  <c r="H92" i="8"/>
  <c r="G92" i="8"/>
  <c r="H91" i="8"/>
  <c r="H88" i="8" s="1"/>
  <c r="H90" i="8"/>
  <c r="G90" i="8"/>
  <c r="I90" i="8" s="1"/>
  <c r="H89" i="8"/>
  <c r="H86" i="8"/>
  <c r="H85" i="8" s="1"/>
  <c r="G86" i="8"/>
  <c r="I86" i="8" s="1"/>
  <c r="G85" i="8"/>
  <c r="I85" i="8" s="1"/>
  <c r="I84" i="8"/>
  <c r="H84" i="8"/>
  <c r="H83" i="8" s="1"/>
  <c r="G84" i="8"/>
  <c r="G83" i="8"/>
  <c r="I83" i="8" s="1"/>
  <c r="I82" i="8"/>
  <c r="H82" i="8"/>
  <c r="G82" i="8"/>
  <c r="H81" i="8"/>
  <c r="G81" i="8"/>
  <c r="I81" i="8" s="1"/>
  <c r="H80" i="8"/>
  <c r="G80" i="8"/>
  <c r="G79" i="8" s="1"/>
  <c r="H79" i="8"/>
  <c r="H78" i="8" s="1"/>
  <c r="I77" i="8"/>
  <c r="H77" i="8"/>
  <c r="G77" i="8"/>
  <c r="H76" i="8"/>
  <c r="H74" i="8" s="1"/>
  <c r="G76" i="8"/>
  <c r="G74" i="8" s="1"/>
  <c r="H75" i="8"/>
  <c r="G75" i="8"/>
  <c r="I75" i="8" s="1"/>
  <c r="H73" i="8"/>
  <c r="H72" i="8" s="1"/>
  <c r="H71" i="8" s="1"/>
  <c r="G73" i="8"/>
  <c r="G72" i="8" s="1"/>
  <c r="H70" i="8"/>
  <c r="G70" i="8"/>
  <c r="I70" i="8" s="1"/>
  <c r="H69" i="8"/>
  <c r="H68" i="8" s="1"/>
  <c r="G69" i="8"/>
  <c r="G68" i="8" s="1"/>
  <c r="I68" i="8" s="1"/>
  <c r="H67" i="8"/>
  <c r="G67" i="8"/>
  <c r="I67" i="8" s="1"/>
  <c r="H66" i="8"/>
  <c r="H65" i="8" s="1"/>
  <c r="H64" i="8" s="1"/>
  <c r="G66" i="8"/>
  <c r="G65" i="8" s="1"/>
  <c r="H63" i="8"/>
  <c r="G63" i="8"/>
  <c r="I63" i="8" s="1"/>
  <c r="I62" i="8"/>
  <c r="H62" i="8"/>
  <c r="G62" i="8"/>
  <c r="H61" i="8"/>
  <c r="G61" i="8"/>
  <c r="I61" i="8" s="1"/>
  <c r="H60" i="8"/>
  <c r="G60" i="8"/>
  <c r="I60" i="8" s="1"/>
  <c r="I59" i="8"/>
  <c r="H59" i="8"/>
  <c r="G59" i="8"/>
  <c r="H58" i="8"/>
  <c r="G58" i="8"/>
  <c r="I58" i="8" s="1"/>
  <c r="H57" i="8"/>
  <c r="G57" i="8"/>
  <c r="I57" i="8" s="1"/>
  <c r="I56" i="8"/>
  <c r="H56" i="8"/>
  <c r="G56" i="8"/>
  <c r="H55" i="8"/>
  <c r="G55" i="8"/>
  <c r="I55" i="8" s="1"/>
  <c r="H54" i="8"/>
  <c r="H53" i="8"/>
  <c r="I53" i="8" s="1"/>
  <c r="G53" i="8"/>
  <c r="G52" i="8" s="1"/>
  <c r="H50" i="8"/>
  <c r="G50" i="8"/>
  <c r="I50" i="8" s="1"/>
  <c r="I49" i="8"/>
  <c r="H49" i="8"/>
  <c r="G49" i="8"/>
  <c r="H48" i="8"/>
  <c r="I48" i="8" s="1"/>
  <c r="G48" i="8"/>
  <c r="H47" i="8"/>
  <c r="H46" i="8" s="1"/>
  <c r="G47" i="8"/>
  <c r="G46" i="8" s="1"/>
  <c r="I46" i="8" s="1"/>
  <c r="H45" i="8"/>
  <c r="G45" i="8"/>
  <c r="I45" i="8" s="1"/>
  <c r="H44" i="8"/>
  <c r="H43" i="8"/>
  <c r="H42" i="8" s="1"/>
  <c r="G43" i="8"/>
  <c r="G42" i="8" s="1"/>
  <c r="I42" i="8" s="1"/>
  <c r="I41" i="8"/>
  <c r="H41" i="8"/>
  <c r="G41" i="8"/>
  <c r="H40" i="8"/>
  <c r="G40" i="8"/>
  <c r="I40" i="8" s="1"/>
  <c r="H39" i="8"/>
  <c r="G39" i="8"/>
  <c r="I39" i="8" s="1"/>
  <c r="I38" i="8"/>
  <c r="H38" i="8"/>
  <c r="G38" i="8"/>
  <c r="H37" i="8"/>
  <c r="H35" i="8" s="1"/>
  <c r="G37" i="8"/>
  <c r="G35" i="8" s="1"/>
  <c r="I35" i="8" s="1"/>
  <c r="H36" i="8"/>
  <c r="G36" i="8"/>
  <c r="I36" i="8" s="1"/>
  <c r="H34" i="8"/>
  <c r="G34" i="8"/>
  <c r="I34" i="8" s="1"/>
  <c r="I33" i="8"/>
  <c r="H33" i="8"/>
  <c r="G33" i="8"/>
  <c r="H32" i="8"/>
  <c r="I32" i="8" s="1"/>
  <c r="G32" i="8"/>
  <c r="H31" i="8"/>
  <c r="G31" i="8"/>
  <c r="I31" i="8" s="1"/>
  <c r="I30" i="8"/>
  <c r="H30" i="8"/>
  <c r="G30" i="8"/>
  <c r="H29" i="8"/>
  <c r="I29" i="8" s="1"/>
  <c r="G29" i="8"/>
  <c r="N20" i="8"/>
  <c r="M20" i="8"/>
  <c r="N17" i="8"/>
  <c r="M17" i="8"/>
  <c r="G16" i="8"/>
  <c r="G15" i="8"/>
  <c r="I17" i="8" s="1"/>
  <c r="H501" i="7"/>
  <c r="H500" i="7" s="1"/>
  <c r="G501" i="7"/>
  <c r="I501" i="7" s="1"/>
  <c r="H499" i="7"/>
  <c r="H498" i="7" s="1"/>
  <c r="H497" i="7" s="1"/>
  <c r="G499" i="7"/>
  <c r="G498" i="7" s="1"/>
  <c r="I498" i="7"/>
  <c r="H496" i="7"/>
  <c r="H495" i="7" s="1"/>
  <c r="G496" i="7"/>
  <c r="I496" i="7" s="1"/>
  <c r="G495" i="7"/>
  <c r="I495" i="7" s="1"/>
  <c r="H494" i="7"/>
  <c r="G494" i="7"/>
  <c r="I494" i="7" s="1"/>
  <c r="H493" i="7"/>
  <c r="H492" i="7" s="1"/>
  <c r="I491" i="7"/>
  <c r="H491" i="7"/>
  <c r="H490" i="7" s="1"/>
  <c r="G491" i="7"/>
  <c r="G490" i="7" s="1"/>
  <c r="I490" i="7" s="1"/>
  <c r="H489" i="7"/>
  <c r="H488" i="7" s="1"/>
  <c r="G489" i="7"/>
  <c r="I489" i="7" s="1"/>
  <c r="G488" i="7"/>
  <c r="I488" i="7" s="1"/>
  <c r="H487" i="7"/>
  <c r="G487" i="7"/>
  <c r="I487" i="7" s="1"/>
  <c r="H486" i="7"/>
  <c r="H485" i="7"/>
  <c r="H484" i="7" s="1"/>
  <c r="G485" i="7"/>
  <c r="G484" i="7" s="1"/>
  <c r="I484" i="7"/>
  <c r="H483" i="7"/>
  <c r="G483" i="7"/>
  <c r="I483" i="7" s="1"/>
  <c r="H482" i="7"/>
  <c r="H481" i="7"/>
  <c r="G481" i="7"/>
  <c r="G480" i="7"/>
  <c r="I479" i="7"/>
  <c r="H479" i="7"/>
  <c r="G479" i="7"/>
  <c r="G478" i="7" s="1"/>
  <c r="I478" i="7" s="1"/>
  <c r="H478" i="7"/>
  <c r="H477" i="7"/>
  <c r="G477" i="7"/>
  <c r="I477" i="7" s="1"/>
  <c r="H476" i="7"/>
  <c r="G476" i="7"/>
  <c r="I476" i="7" s="1"/>
  <c r="H475" i="7"/>
  <c r="G475" i="7"/>
  <c r="G474" i="7" s="1"/>
  <c r="H474" i="7"/>
  <c r="I472" i="7"/>
  <c r="H472" i="7"/>
  <c r="G472" i="7"/>
  <c r="G471" i="7" s="1"/>
  <c r="I471" i="7" s="1"/>
  <c r="H471" i="7"/>
  <c r="H470" i="7"/>
  <c r="G470" i="7"/>
  <c r="I470" i="7" s="1"/>
  <c r="H469" i="7"/>
  <c r="G469" i="7"/>
  <c r="I469" i="7" s="1"/>
  <c r="H468" i="7"/>
  <c r="G468" i="7"/>
  <c r="G467" i="7" s="1"/>
  <c r="H467" i="7"/>
  <c r="H466" i="7"/>
  <c r="H465" i="7" s="1"/>
  <c r="G466" i="7"/>
  <c r="I466" i="7" s="1"/>
  <c r="G465" i="7"/>
  <c r="G464" i="7" s="1"/>
  <c r="H462" i="7"/>
  <c r="I462" i="7" s="1"/>
  <c r="G462" i="7"/>
  <c r="G461" i="7"/>
  <c r="I460" i="7"/>
  <c r="H460" i="7"/>
  <c r="G460" i="7"/>
  <c r="H459" i="7"/>
  <c r="G459" i="7"/>
  <c r="I459" i="7" s="1"/>
  <c r="H458" i="7"/>
  <c r="G458" i="7"/>
  <c r="G457" i="7" s="1"/>
  <c r="H457" i="7"/>
  <c r="H456" i="7"/>
  <c r="H455" i="7" s="1"/>
  <c r="I455" i="7" s="1"/>
  <c r="G456" i="7"/>
  <c r="I456" i="7" s="1"/>
  <c r="G455" i="7"/>
  <c r="H454" i="7"/>
  <c r="G454" i="7"/>
  <c r="H453" i="7"/>
  <c r="H452" i="7"/>
  <c r="G452" i="7"/>
  <c r="I452" i="7" s="1"/>
  <c r="H451" i="7"/>
  <c r="H450" i="7" s="1"/>
  <c r="I450" i="7" s="1"/>
  <c r="G451" i="7"/>
  <c r="I451" i="7" s="1"/>
  <c r="G450" i="7"/>
  <c r="H449" i="7"/>
  <c r="G449" i="7"/>
  <c r="I449" i="7" s="1"/>
  <c r="H448" i="7"/>
  <c r="G448" i="7"/>
  <c r="G447" i="7" s="1"/>
  <c r="H447" i="7"/>
  <c r="I445" i="7"/>
  <c r="H445" i="7"/>
  <c r="G445" i="7"/>
  <c r="G444" i="7" s="1"/>
  <c r="I444" i="7" s="1"/>
  <c r="H444" i="7"/>
  <c r="H443" i="7"/>
  <c r="G443" i="7"/>
  <c r="I443" i="7" s="1"/>
  <c r="H442" i="7"/>
  <c r="G442" i="7"/>
  <c r="I442" i="7" s="1"/>
  <c r="H441" i="7"/>
  <c r="H440" i="7" s="1"/>
  <c r="G441" i="7"/>
  <c r="G440" i="7" s="1"/>
  <c r="I440" i="7" s="1"/>
  <c r="H439" i="7"/>
  <c r="G439" i="7"/>
  <c r="I439" i="7" s="1"/>
  <c r="H438" i="7"/>
  <c r="H437" i="7"/>
  <c r="H436" i="7" s="1"/>
  <c r="G437" i="7"/>
  <c r="G436" i="7" s="1"/>
  <c r="I435" i="7"/>
  <c r="H435" i="7"/>
  <c r="G435" i="7"/>
  <c r="H434" i="7"/>
  <c r="G434" i="7"/>
  <c r="I434" i="7" s="1"/>
  <c r="H433" i="7"/>
  <c r="H432" i="7" s="1"/>
  <c r="G433" i="7"/>
  <c r="I433" i="7" s="1"/>
  <c r="G432" i="7"/>
  <c r="I432" i="7" s="1"/>
  <c r="H431" i="7"/>
  <c r="G431" i="7"/>
  <c r="G429" i="7" s="1"/>
  <c r="I429" i="7" s="1"/>
  <c r="I430" i="7"/>
  <c r="H430" i="7"/>
  <c r="G430" i="7"/>
  <c r="H429" i="7"/>
  <c r="H428" i="7"/>
  <c r="H427" i="7" s="1"/>
  <c r="G428" i="7"/>
  <c r="I428" i="7" s="1"/>
  <c r="G427" i="7"/>
  <c r="I427" i="7" s="1"/>
  <c r="H426" i="7"/>
  <c r="G426" i="7"/>
  <c r="I426" i="7" s="1"/>
  <c r="H425" i="7"/>
  <c r="I423" i="7"/>
  <c r="H423" i="7"/>
  <c r="G423" i="7"/>
  <c r="H422" i="7"/>
  <c r="G422" i="7"/>
  <c r="I422" i="7" s="1"/>
  <c r="H421" i="7"/>
  <c r="H420" i="7" s="1"/>
  <c r="G421" i="7"/>
  <c r="I421" i="7" s="1"/>
  <c r="G420" i="7"/>
  <c r="I420" i="7" s="1"/>
  <c r="H419" i="7"/>
  <c r="G419" i="7"/>
  <c r="I419" i="7" s="1"/>
  <c r="H418" i="7"/>
  <c r="H417" i="7"/>
  <c r="H416" i="7" s="1"/>
  <c r="G417" i="7"/>
  <c r="G416" i="7" s="1"/>
  <c r="I416" i="7"/>
  <c r="H415" i="7"/>
  <c r="G415" i="7"/>
  <c r="I415" i="7" s="1"/>
  <c r="H414" i="7"/>
  <c r="H413" i="7"/>
  <c r="G413" i="7"/>
  <c r="G412" i="7"/>
  <c r="I411" i="7"/>
  <c r="H411" i="7"/>
  <c r="G411" i="7"/>
  <c r="G410" i="7" s="1"/>
  <c r="I410" i="7" s="1"/>
  <c r="H410" i="7"/>
  <c r="H409" i="7"/>
  <c r="H408" i="7" s="1"/>
  <c r="G409" i="7"/>
  <c r="I409" i="7" s="1"/>
  <c r="G408" i="7"/>
  <c r="H407" i="7"/>
  <c r="G407" i="7"/>
  <c r="G406" i="7" s="1"/>
  <c r="H406" i="7"/>
  <c r="I404" i="7"/>
  <c r="H404" i="7"/>
  <c r="G404" i="7"/>
  <c r="G403" i="7" s="1"/>
  <c r="H403" i="7"/>
  <c r="H402" i="7"/>
  <c r="H401" i="7" s="1"/>
  <c r="H400" i="7" s="1"/>
  <c r="G402" i="7"/>
  <c r="I402" i="7" s="1"/>
  <c r="G401" i="7"/>
  <c r="I401" i="7" s="1"/>
  <c r="I399" i="7"/>
  <c r="H399" i="7"/>
  <c r="G399" i="7"/>
  <c r="G398" i="7" s="1"/>
  <c r="I398" i="7" s="1"/>
  <c r="H398" i="7"/>
  <c r="H397" i="7"/>
  <c r="H396" i="7" s="1"/>
  <c r="G397" i="7"/>
  <c r="I397" i="7" s="1"/>
  <c r="G396" i="7"/>
  <c r="H395" i="7"/>
  <c r="G395" i="7"/>
  <c r="I395" i="7" s="1"/>
  <c r="H394" i="7"/>
  <c r="G394" i="7"/>
  <c r="I394" i="7" s="1"/>
  <c r="H393" i="7"/>
  <c r="H392" i="7" s="1"/>
  <c r="G393" i="7"/>
  <c r="G392" i="7" s="1"/>
  <c r="I392" i="7"/>
  <c r="H391" i="7"/>
  <c r="H390" i="7" s="1"/>
  <c r="G391" i="7"/>
  <c r="I391" i="7" s="1"/>
  <c r="H389" i="7"/>
  <c r="G389" i="7"/>
  <c r="G388" i="7"/>
  <c r="I387" i="7"/>
  <c r="H387" i="7"/>
  <c r="G387" i="7"/>
  <c r="G386" i="7" s="1"/>
  <c r="I386" i="7" s="1"/>
  <c r="H386" i="7"/>
  <c r="H385" i="7"/>
  <c r="G385" i="7"/>
  <c r="I385" i="7" s="1"/>
  <c r="H384" i="7"/>
  <c r="G384" i="7"/>
  <c r="I384" i="7" s="1"/>
  <c r="H382" i="7"/>
  <c r="G382" i="7"/>
  <c r="G381" i="7"/>
  <c r="I380" i="7"/>
  <c r="H380" i="7"/>
  <c r="G380" i="7"/>
  <c r="G379" i="7" s="1"/>
  <c r="I379" i="7" s="1"/>
  <c r="H379" i="7"/>
  <c r="H378" i="7"/>
  <c r="H377" i="7" s="1"/>
  <c r="G378" i="7"/>
  <c r="I378" i="7" s="1"/>
  <c r="G377" i="7"/>
  <c r="I377" i="7" s="1"/>
  <c r="H376" i="7"/>
  <c r="G376" i="7"/>
  <c r="G375" i="7" s="1"/>
  <c r="H375" i="7"/>
  <c r="I374" i="7"/>
  <c r="H374" i="7"/>
  <c r="H373" i="7" s="1"/>
  <c r="I373" i="7" s="1"/>
  <c r="G374" i="7"/>
  <c r="G373" i="7"/>
  <c r="H372" i="7"/>
  <c r="H371" i="7" s="1"/>
  <c r="G372" i="7"/>
  <c r="H370" i="7"/>
  <c r="H369" i="7" s="1"/>
  <c r="G370" i="7"/>
  <c r="I370" i="7" s="1"/>
  <c r="G369" i="7"/>
  <c r="I369" i="7" s="1"/>
  <c r="I368" i="7"/>
  <c r="H368" i="7"/>
  <c r="G368" i="7"/>
  <c r="I367" i="7"/>
  <c r="H367" i="7"/>
  <c r="G367" i="7"/>
  <c r="H365" i="7"/>
  <c r="H364" i="7" s="1"/>
  <c r="G365" i="7"/>
  <c r="H363" i="7"/>
  <c r="H362" i="7" s="1"/>
  <c r="G363" i="7"/>
  <c r="I363" i="7" s="1"/>
  <c r="G362" i="7"/>
  <c r="I362" i="7" s="1"/>
  <c r="I361" i="7"/>
  <c r="H361" i="7"/>
  <c r="G361" i="7"/>
  <c r="H360" i="7"/>
  <c r="G360" i="7"/>
  <c r="I360" i="7" s="1"/>
  <c r="I359" i="7"/>
  <c r="H359" i="7"/>
  <c r="G359" i="7"/>
  <c r="H358" i="7"/>
  <c r="H357" i="7" s="1"/>
  <c r="G358" i="7"/>
  <c r="H356" i="7"/>
  <c r="H355" i="7" s="1"/>
  <c r="G356" i="7"/>
  <c r="I356" i="7" s="1"/>
  <c r="G355" i="7"/>
  <c r="I355" i="7" s="1"/>
  <c r="I354" i="7"/>
  <c r="H354" i="7"/>
  <c r="G354" i="7"/>
  <c r="H353" i="7"/>
  <c r="G353" i="7"/>
  <c r="I353" i="7" s="1"/>
  <c r="I352" i="7"/>
  <c r="H352" i="7"/>
  <c r="G352" i="7"/>
  <c r="H351" i="7"/>
  <c r="G351" i="7"/>
  <c r="I351" i="7" s="1"/>
  <c r="H350" i="7"/>
  <c r="G350" i="7"/>
  <c r="I350" i="7" s="1"/>
  <c r="H349" i="7"/>
  <c r="H348" i="7" s="1"/>
  <c r="I347" i="7"/>
  <c r="H347" i="7"/>
  <c r="G347" i="7"/>
  <c r="H346" i="7"/>
  <c r="G346" i="7"/>
  <c r="I346" i="7" s="1"/>
  <c r="H345" i="7"/>
  <c r="G345" i="7"/>
  <c r="I345" i="7" s="1"/>
  <c r="H344" i="7"/>
  <c r="G344" i="7"/>
  <c r="I344" i="7" s="1"/>
  <c r="H343" i="7"/>
  <c r="G343" i="7"/>
  <c r="I343" i="7" s="1"/>
  <c r="H342" i="7"/>
  <c r="H341" i="7"/>
  <c r="H340" i="7" s="1"/>
  <c r="I340" i="7" s="1"/>
  <c r="G341" i="7"/>
  <c r="I341" i="7" s="1"/>
  <c r="G340" i="7"/>
  <c r="H339" i="7"/>
  <c r="H338" i="7" s="1"/>
  <c r="G339" i="7"/>
  <c r="I339" i="7" s="1"/>
  <c r="I335" i="7"/>
  <c r="H335" i="7"/>
  <c r="G335" i="7"/>
  <c r="H334" i="7"/>
  <c r="G334" i="7"/>
  <c r="I334" i="7" s="1"/>
  <c r="H333" i="7"/>
  <c r="G333" i="7"/>
  <c r="I333" i="7" s="1"/>
  <c r="I332" i="7"/>
  <c r="H332" i="7"/>
  <c r="G332" i="7"/>
  <c r="H331" i="7"/>
  <c r="G331" i="7"/>
  <c r="H330" i="7"/>
  <c r="I329" i="7"/>
  <c r="H329" i="7"/>
  <c r="G329" i="7"/>
  <c r="H328" i="7"/>
  <c r="H327" i="7" s="1"/>
  <c r="G328" i="7"/>
  <c r="H326" i="7"/>
  <c r="G326" i="7"/>
  <c r="I326" i="7" s="1"/>
  <c r="H325" i="7"/>
  <c r="H324" i="7" s="1"/>
  <c r="G325" i="7"/>
  <c r="G324" i="7" s="1"/>
  <c r="I324" i="7"/>
  <c r="H323" i="7"/>
  <c r="H322" i="7" s="1"/>
  <c r="G323" i="7"/>
  <c r="I323" i="7" s="1"/>
  <c r="H321" i="7"/>
  <c r="G321" i="7"/>
  <c r="G320" i="7"/>
  <c r="I319" i="7"/>
  <c r="H319" i="7"/>
  <c r="G319" i="7"/>
  <c r="H318" i="7"/>
  <c r="G318" i="7"/>
  <c r="I318" i="7" s="1"/>
  <c r="H317" i="7"/>
  <c r="H316" i="7" s="1"/>
  <c r="G317" i="7"/>
  <c r="I317" i="7" s="1"/>
  <c r="G316" i="7"/>
  <c r="I316" i="7" s="1"/>
  <c r="H315" i="7"/>
  <c r="G315" i="7"/>
  <c r="G314" i="7" s="1"/>
  <c r="I314" i="7" s="1"/>
  <c r="H314" i="7"/>
  <c r="I313" i="7"/>
  <c r="H313" i="7"/>
  <c r="H312" i="7" s="1"/>
  <c r="G313" i="7"/>
  <c r="G312" i="7" s="1"/>
  <c r="I312" i="7" s="1"/>
  <c r="H311" i="7"/>
  <c r="G311" i="7"/>
  <c r="I311" i="7" s="1"/>
  <c r="H310" i="7"/>
  <c r="G310" i="7"/>
  <c r="I310" i="7" s="1"/>
  <c r="H309" i="7"/>
  <c r="I307" i="7"/>
  <c r="H307" i="7"/>
  <c r="H306" i="7" s="1"/>
  <c r="G307" i="7"/>
  <c r="G306" i="7" s="1"/>
  <c r="I306" i="7" s="1"/>
  <c r="H305" i="7"/>
  <c r="G305" i="7"/>
  <c r="I305" i="7" s="1"/>
  <c r="H304" i="7"/>
  <c r="H303" i="7" s="1"/>
  <c r="G304" i="7"/>
  <c r="H302" i="7"/>
  <c r="I302" i="7" s="1"/>
  <c r="G302" i="7"/>
  <c r="H301" i="7"/>
  <c r="G301" i="7"/>
  <c r="I301" i="7" s="1"/>
  <c r="H300" i="7"/>
  <c r="G300" i="7"/>
  <c r="I300" i="7" s="1"/>
  <c r="H299" i="7"/>
  <c r="G299" i="7"/>
  <c r="I299" i="7" s="1"/>
  <c r="H298" i="7"/>
  <c r="G298" i="7"/>
  <c r="I298" i="7" s="1"/>
  <c r="H297" i="7"/>
  <c r="G297" i="7"/>
  <c r="I297" i="7" s="1"/>
  <c r="H296" i="7"/>
  <c r="H295" i="7" s="1"/>
  <c r="G296" i="7"/>
  <c r="I296" i="7" s="1"/>
  <c r="G295" i="7"/>
  <c r="I295" i="7" s="1"/>
  <c r="I294" i="7"/>
  <c r="H294" i="7"/>
  <c r="G294" i="7"/>
  <c r="H293" i="7"/>
  <c r="G293" i="7"/>
  <c r="I293" i="7" s="1"/>
  <c r="H292" i="7"/>
  <c r="G292" i="7"/>
  <c r="I292" i="7" s="1"/>
  <c r="I291" i="7"/>
  <c r="H291" i="7"/>
  <c r="G291" i="7"/>
  <c r="H290" i="7"/>
  <c r="G290" i="7"/>
  <c r="I290" i="7" s="1"/>
  <c r="H289" i="7"/>
  <c r="G289" i="7"/>
  <c r="I289" i="7" s="1"/>
  <c r="I288" i="7"/>
  <c r="H288" i="7"/>
  <c r="G288" i="7"/>
  <c r="G287" i="7" s="1"/>
  <c r="H287" i="7"/>
  <c r="H286" i="7" s="1"/>
  <c r="H285" i="7"/>
  <c r="H284" i="7" s="1"/>
  <c r="G285" i="7"/>
  <c r="H283" i="7"/>
  <c r="G283" i="7"/>
  <c r="I283" i="7" s="1"/>
  <c r="H282" i="7"/>
  <c r="G282" i="7"/>
  <c r="I282" i="7" s="1"/>
  <c r="H281" i="7"/>
  <c r="G281" i="7"/>
  <c r="I281" i="7" s="1"/>
  <c r="H280" i="7"/>
  <c r="I280" i="7" s="1"/>
  <c r="G280" i="7"/>
  <c r="H279" i="7"/>
  <c r="G279" i="7"/>
  <c r="I279" i="7" s="1"/>
  <c r="H278" i="7"/>
  <c r="G278" i="7"/>
  <c r="I278" i="7" s="1"/>
  <c r="H277" i="7"/>
  <c r="H276" i="7" s="1"/>
  <c r="G277" i="7"/>
  <c r="I277" i="7" s="1"/>
  <c r="G276" i="7"/>
  <c r="I276" i="7" s="1"/>
  <c r="I275" i="7"/>
  <c r="H275" i="7"/>
  <c r="G275" i="7"/>
  <c r="H274" i="7"/>
  <c r="G274" i="7"/>
  <c r="I274" i="7" s="1"/>
  <c r="H273" i="7"/>
  <c r="G273" i="7"/>
  <c r="G272" i="7" s="1"/>
  <c r="I272" i="7" s="1"/>
  <c r="H272" i="7"/>
  <c r="H271" i="7"/>
  <c r="G271" i="7"/>
  <c r="I271" i="7" s="1"/>
  <c r="H270" i="7"/>
  <c r="G270" i="7"/>
  <c r="I270" i="7" s="1"/>
  <c r="H269" i="7"/>
  <c r="G269" i="7"/>
  <c r="G268" i="7"/>
  <c r="I267" i="7"/>
  <c r="H267" i="7"/>
  <c r="G267" i="7"/>
  <c r="H266" i="7"/>
  <c r="G266" i="7"/>
  <c r="I266" i="7" s="1"/>
  <c r="H265" i="7"/>
  <c r="G265" i="7"/>
  <c r="I265" i="7" s="1"/>
  <c r="I264" i="7"/>
  <c r="H264" i="7"/>
  <c r="G264" i="7"/>
  <c r="H263" i="7"/>
  <c r="H262" i="7" s="1"/>
  <c r="G263" i="7"/>
  <c r="H260" i="7"/>
  <c r="G260" i="7"/>
  <c r="G259" i="7" s="1"/>
  <c r="H259" i="7"/>
  <c r="H258" i="7"/>
  <c r="H257" i="7" s="1"/>
  <c r="G258" i="7"/>
  <c r="I258" i="7" s="1"/>
  <c r="H256" i="7"/>
  <c r="H255" i="7" s="1"/>
  <c r="G256" i="7"/>
  <c r="H254" i="7"/>
  <c r="I254" i="7" s="1"/>
  <c r="G254" i="7"/>
  <c r="G253" i="7"/>
  <c r="I252" i="7"/>
  <c r="H252" i="7"/>
  <c r="G252" i="7"/>
  <c r="H251" i="7"/>
  <c r="G251" i="7"/>
  <c r="I251" i="7" s="1"/>
  <c r="H249" i="7"/>
  <c r="H248" i="7" s="1"/>
  <c r="G249" i="7"/>
  <c r="H247" i="7"/>
  <c r="I247" i="7" s="1"/>
  <c r="G247" i="7"/>
  <c r="G246" i="7"/>
  <c r="H244" i="7"/>
  <c r="H243" i="7" s="1"/>
  <c r="G244" i="7"/>
  <c r="I244" i="7" s="1"/>
  <c r="H242" i="7"/>
  <c r="H241" i="7" s="1"/>
  <c r="G242" i="7"/>
  <c r="H240" i="7"/>
  <c r="I240" i="7" s="1"/>
  <c r="G240" i="7"/>
  <c r="G239" i="7"/>
  <c r="I238" i="7"/>
  <c r="H238" i="7"/>
  <c r="G238" i="7"/>
  <c r="H237" i="7"/>
  <c r="G237" i="7"/>
  <c r="I237" i="7" s="1"/>
  <c r="H236" i="7"/>
  <c r="H235" i="7" s="1"/>
  <c r="G236" i="7"/>
  <c r="I236" i="7" s="1"/>
  <c r="G235" i="7"/>
  <c r="I235" i="7" s="1"/>
  <c r="H234" i="7"/>
  <c r="G234" i="7"/>
  <c r="I234" i="7" s="1"/>
  <c r="H233" i="7"/>
  <c r="I231" i="7"/>
  <c r="H231" i="7"/>
  <c r="G231" i="7"/>
  <c r="I230" i="7"/>
  <c r="H230" i="7"/>
  <c r="G230" i="7"/>
  <c r="H229" i="7"/>
  <c r="I229" i="7" s="1"/>
  <c r="G229" i="7"/>
  <c r="G228" i="7"/>
  <c r="H227" i="7"/>
  <c r="G227" i="7"/>
  <c r="I227" i="7" s="1"/>
  <c r="H226" i="7"/>
  <c r="I224" i="7"/>
  <c r="H224" i="7"/>
  <c r="G224" i="7"/>
  <c r="H223" i="7"/>
  <c r="G223" i="7"/>
  <c r="I223" i="7" s="1"/>
  <c r="H222" i="7"/>
  <c r="I222" i="7" s="1"/>
  <c r="G222" i="7"/>
  <c r="H221" i="7"/>
  <c r="G221" i="7"/>
  <c r="H220" i="7"/>
  <c r="G220" i="7"/>
  <c r="I220" i="7" s="1"/>
  <c r="H218" i="7"/>
  <c r="H217" i="7" s="1"/>
  <c r="G218" i="7"/>
  <c r="H216" i="7"/>
  <c r="I216" i="7" s="1"/>
  <c r="G216" i="7"/>
  <c r="H215" i="7"/>
  <c r="H214" i="7" s="1"/>
  <c r="G215" i="7"/>
  <c r="G214" i="7" s="1"/>
  <c r="I214" i="7" s="1"/>
  <c r="H211" i="7"/>
  <c r="H209" i="7" s="1"/>
  <c r="H208" i="7" s="1"/>
  <c r="G211" i="7"/>
  <c r="I211" i="7" s="1"/>
  <c r="H210" i="7"/>
  <c r="G210" i="7"/>
  <c r="I210" i="7" s="1"/>
  <c r="H207" i="7"/>
  <c r="G207" i="7"/>
  <c r="I207" i="7" s="1"/>
  <c r="H206" i="7"/>
  <c r="G206" i="7"/>
  <c r="I206" i="7" s="1"/>
  <c r="H205" i="7"/>
  <c r="H204" i="7" s="1"/>
  <c r="G205" i="7"/>
  <c r="I204" i="7"/>
  <c r="G204" i="7"/>
  <c r="H203" i="7"/>
  <c r="G203" i="7"/>
  <c r="I203" i="7" s="1"/>
  <c r="H202" i="7"/>
  <c r="G202" i="7"/>
  <c r="I202" i="7" s="1"/>
  <c r="I201" i="7"/>
  <c r="H201" i="7"/>
  <c r="G201" i="7"/>
  <c r="H200" i="7"/>
  <c r="G200" i="7"/>
  <c r="I200" i="7" s="1"/>
  <c r="H199" i="7"/>
  <c r="G199" i="7"/>
  <c r="I199" i="7" s="1"/>
  <c r="I198" i="7"/>
  <c r="H198" i="7"/>
  <c r="G198" i="7"/>
  <c r="G197" i="7" s="1"/>
  <c r="I197" i="7" s="1"/>
  <c r="H197" i="7"/>
  <c r="H196" i="7"/>
  <c r="G196" i="7"/>
  <c r="I196" i="7" s="1"/>
  <c r="H195" i="7"/>
  <c r="G195" i="7"/>
  <c r="H194" i="7"/>
  <c r="G194" i="7"/>
  <c r="I194" i="7" s="1"/>
  <c r="H193" i="7"/>
  <c r="G193" i="7"/>
  <c r="I193" i="7" s="1"/>
  <c r="G192" i="7"/>
  <c r="H191" i="7"/>
  <c r="G191" i="7"/>
  <c r="I191" i="7" s="1"/>
  <c r="H190" i="7"/>
  <c r="I190" i="7" s="1"/>
  <c r="G190" i="7"/>
  <c r="H189" i="7"/>
  <c r="H188" i="7" s="1"/>
  <c r="G189" i="7"/>
  <c r="H187" i="7"/>
  <c r="H186" i="7" s="1"/>
  <c r="G187" i="7"/>
  <c r="I187" i="7" s="1"/>
  <c r="G186" i="7"/>
  <c r="I186" i="7" s="1"/>
  <c r="I185" i="7"/>
  <c r="H185" i="7"/>
  <c r="G185" i="7"/>
  <c r="G184" i="7" s="1"/>
  <c r="I184" i="7" s="1"/>
  <c r="H184" i="7"/>
  <c r="H183" i="7"/>
  <c r="G183" i="7"/>
  <c r="I183" i="7" s="1"/>
  <c r="H182" i="7"/>
  <c r="G182" i="7"/>
  <c r="I182" i="7" s="1"/>
  <c r="H181" i="7"/>
  <c r="G181" i="7"/>
  <c r="I181" i="7" s="1"/>
  <c r="H180" i="7"/>
  <c r="I178" i="7"/>
  <c r="H178" i="7"/>
  <c r="G178" i="7"/>
  <c r="G177" i="7" s="1"/>
  <c r="I177" i="7" s="1"/>
  <c r="H177" i="7"/>
  <c r="H176" i="7"/>
  <c r="G176" i="7"/>
  <c r="I176" i="7" s="1"/>
  <c r="H175" i="7"/>
  <c r="I175" i="7" s="1"/>
  <c r="G175" i="7"/>
  <c r="H174" i="7"/>
  <c r="G174" i="7"/>
  <c r="I174" i="7" s="1"/>
  <c r="H173" i="7"/>
  <c r="G173" i="7"/>
  <c r="I173" i="7" s="1"/>
  <c r="H172" i="7"/>
  <c r="I172" i="7" s="1"/>
  <c r="G172" i="7"/>
  <c r="H171" i="7"/>
  <c r="G171" i="7"/>
  <c r="I171" i="7" s="1"/>
  <c r="H170" i="7"/>
  <c r="G170" i="7"/>
  <c r="I170" i="7" s="1"/>
  <c r="H169" i="7"/>
  <c r="I169" i="7" s="1"/>
  <c r="G169" i="7"/>
  <c r="H168" i="7"/>
  <c r="I168" i="7" s="1"/>
  <c r="G168" i="7"/>
  <c r="G167" i="7"/>
  <c r="H166" i="7"/>
  <c r="G166" i="7"/>
  <c r="I166" i="7" s="1"/>
  <c r="H165" i="7"/>
  <c r="G165" i="7"/>
  <c r="I165" i="7" s="1"/>
  <c r="H164" i="7"/>
  <c r="G164" i="7"/>
  <c r="I164" i="7" s="1"/>
  <c r="H163" i="7"/>
  <c r="G163" i="7"/>
  <c r="I163" i="7" s="1"/>
  <c r="H162" i="7"/>
  <c r="G162" i="7"/>
  <c r="I162" i="7" s="1"/>
  <c r="H161" i="7"/>
  <c r="G161" i="7"/>
  <c r="I161" i="7" s="1"/>
  <c r="H160" i="7"/>
  <c r="G160" i="7"/>
  <c r="I160" i="7" s="1"/>
  <c r="H159" i="7"/>
  <c r="G159" i="7"/>
  <c r="I159" i="7" s="1"/>
  <c r="H158" i="7"/>
  <c r="I156" i="7"/>
  <c r="H156" i="7"/>
  <c r="G156" i="7"/>
  <c r="G155" i="7" s="1"/>
  <c r="I155" i="7" s="1"/>
  <c r="H155" i="7"/>
  <c r="H154" i="7"/>
  <c r="H153" i="7" s="1"/>
  <c r="G154" i="7"/>
  <c r="I154" i="7" s="1"/>
  <c r="G153" i="7"/>
  <c r="I152" i="7"/>
  <c r="H152" i="7"/>
  <c r="G152" i="7"/>
  <c r="G151" i="7" s="1"/>
  <c r="I151" i="7" s="1"/>
  <c r="H151" i="7"/>
  <c r="H150" i="7"/>
  <c r="H149" i="7" s="1"/>
  <c r="G150" i="7"/>
  <c r="I150" i="7" s="1"/>
  <c r="I149" i="7"/>
  <c r="G149" i="7"/>
  <c r="G148" i="7" s="1"/>
  <c r="H147" i="7"/>
  <c r="H146" i="7" s="1"/>
  <c r="G147" i="7"/>
  <c r="I147" i="7" s="1"/>
  <c r="G146" i="7"/>
  <c r="H145" i="7"/>
  <c r="H144" i="7" s="1"/>
  <c r="G145" i="7"/>
  <c r="I145" i="7" s="1"/>
  <c r="H143" i="7"/>
  <c r="H142" i="7" s="1"/>
  <c r="I142" i="7" s="1"/>
  <c r="G143" i="7"/>
  <c r="I143" i="7" s="1"/>
  <c r="G142" i="7"/>
  <c r="H141" i="7"/>
  <c r="H140" i="7" s="1"/>
  <c r="G141" i="7"/>
  <c r="I141" i="7" s="1"/>
  <c r="G140" i="7"/>
  <c r="I140" i="7" s="1"/>
  <c r="H139" i="7"/>
  <c r="G139" i="7"/>
  <c r="G138" i="7"/>
  <c r="H137" i="7"/>
  <c r="G137" i="7"/>
  <c r="I137" i="7" s="1"/>
  <c r="H136" i="7"/>
  <c r="G136" i="7"/>
  <c r="I136" i="7" s="1"/>
  <c r="H135" i="7"/>
  <c r="G135" i="7"/>
  <c r="I135" i="7" s="1"/>
  <c r="H134" i="7"/>
  <c r="I134" i="7" s="1"/>
  <c r="G134" i="7"/>
  <c r="H133" i="7"/>
  <c r="G133" i="7"/>
  <c r="I133" i="7" s="1"/>
  <c r="H132" i="7"/>
  <c r="G132" i="7"/>
  <c r="I132" i="7" s="1"/>
  <c r="H131" i="7"/>
  <c r="I131" i="7" s="1"/>
  <c r="G131" i="7"/>
  <c r="G130" i="7"/>
  <c r="I129" i="7"/>
  <c r="H129" i="7"/>
  <c r="G129" i="7"/>
  <c r="G128" i="7" s="1"/>
  <c r="I128" i="7" s="1"/>
  <c r="H128" i="7"/>
  <c r="H127" i="7"/>
  <c r="G127" i="7"/>
  <c r="I127" i="7" s="1"/>
  <c r="H126" i="7"/>
  <c r="G126" i="7"/>
  <c r="H124" i="7"/>
  <c r="I124" i="7" s="1"/>
  <c r="G124" i="7"/>
  <c r="G123" i="7"/>
  <c r="I122" i="7"/>
  <c r="H122" i="7"/>
  <c r="H121" i="7" s="1"/>
  <c r="G122" i="7"/>
  <c r="G121" i="7" s="1"/>
  <c r="I121" i="7" s="1"/>
  <c r="H120" i="7"/>
  <c r="G120" i="7"/>
  <c r="I120" i="7" s="1"/>
  <c r="H119" i="7"/>
  <c r="G119" i="7"/>
  <c r="I119" i="7" s="1"/>
  <c r="H118" i="7"/>
  <c r="G118" i="7"/>
  <c r="I118" i="7" s="1"/>
  <c r="H117" i="7"/>
  <c r="I115" i="7"/>
  <c r="H115" i="7"/>
  <c r="G115" i="7"/>
  <c r="H114" i="7"/>
  <c r="G114" i="7"/>
  <c r="I114" i="7" s="1"/>
  <c r="H113" i="7"/>
  <c r="H112" i="7" s="1"/>
  <c r="H111" i="7" s="1"/>
  <c r="G113" i="7"/>
  <c r="I113" i="7" s="1"/>
  <c r="G112" i="7"/>
  <c r="H110" i="7"/>
  <c r="I110" i="7" s="1"/>
  <c r="G110" i="7"/>
  <c r="G109" i="7"/>
  <c r="I108" i="7"/>
  <c r="H108" i="7"/>
  <c r="G108" i="7"/>
  <c r="H107" i="7"/>
  <c r="G107" i="7"/>
  <c r="I107" i="7" s="1"/>
  <c r="H105" i="7"/>
  <c r="H104" i="7" s="1"/>
  <c r="G105" i="7"/>
  <c r="H103" i="7"/>
  <c r="I103" i="7" s="1"/>
  <c r="G103" i="7"/>
  <c r="G102" i="7"/>
  <c r="I101" i="7"/>
  <c r="H101" i="7"/>
  <c r="G101" i="7"/>
  <c r="H100" i="7"/>
  <c r="H99" i="7" s="1"/>
  <c r="G100" i="7"/>
  <c r="I100" i="7" s="1"/>
  <c r="H98" i="7"/>
  <c r="H97" i="7" s="1"/>
  <c r="G98" i="7"/>
  <c r="G97" i="7" s="1"/>
  <c r="I97" i="7" s="1"/>
  <c r="H96" i="7"/>
  <c r="G96" i="7"/>
  <c r="I96" i="7" s="1"/>
  <c r="H95" i="7"/>
  <c r="H94" i="7"/>
  <c r="G94" i="7"/>
  <c r="I94" i="7" s="1"/>
  <c r="H93" i="7"/>
  <c r="G93" i="7"/>
  <c r="I93" i="7" s="1"/>
  <c r="H92" i="7"/>
  <c r="G92" i="7"/>
  <c r="G91" i="7" s="1"/>
  <c r="I91" i="7" s="1"/>
  <c r="H91" i="7"/>
  <c r="H90" i="7"/>
  <c r="H89" i="7" s="1"/>
  <c r="G90" i="7"/>
  <c r="I90" i="7" s="1"/>
  <c r="G89" i="7"/>
  <c r="I89" i="7" s="1"/>
  <c r="H86" i="7"/>
  <c r="I86" i="7" s="1"/>
  <c r="G86" i="7"/>
  <c r="H85" i="7"/>
  <c r="G85" i="7"/>
  <c r="I85" i="7" s="1"/>
  <c r="I84" i="7"/>
  <c r="H84" i="7"/>
  <c r="H83" i="7" s="1"/>
  <c r="G84" i="7"/>
  <c r="G83" i="7"/>
  <c r="H82" i="7"/>
  <c r="H81" i="7" s="1"/>
  <c r="H78" i="7" s="1"/>
  <c r="G82" i="7"/>
  <c r="I82" i="7" s="1"/>
  <c r="G81" i="7"/>
  <c r="I81" i="7" s="1"/>
  <c r="H80" i="7"/>
  <c r="G80" i="7"/>
  <c r="I80" i="7" s="1"/>
  <c r="H79" i="7"/>
  <c r="I77" i="7"/>
  <c r="H77" i="7"/>
  <c r="G77" i="7"/>
  <c r="H76" i="7"/>
  <c r="G76" i="7"/>
  <c r="I76" i="7" s="1"/>
  <c r="H75" i="7"/>
  <c r="G75" i="7"/>
  <c r="G74" i="7" s="1"/>
  <c r="H74" i="7"/>
  <c r="H73" i="7"/>
  <c r="H72" i="7" s="1"/>
  <c r="G73" i="7"/>
  <c r="I73" i="7" s="1"/>
  <c r="I70" i="7"/>
  <c r="H70" i="7"/>
  <c r="G70" i="7"/>
  <c r="H69" i="7"/>
  <c r="I69" i="7" s="1"/>
  <c r="G69" i="7"/>
  <c r="H68" i="7"/>
  <c r="G68" i="7"/>
  <c r="H67" i="7"/>
  <c r="I67" i="7" s="1"/>
  <c r="G67" i="7"/>
  <c r="H66" i="7"/>
  <c r="H65" i="7" s="1"/>
  <c r="H64" i="7" s="1"/>
  <c r="G66" i="7"/>
  <c r="G65" i="7" s="1"/>
  <c r="H63" i="7"/>
  <c r="G63" i="7"/>
  <c r="I63" i="7" s="1"/>
  <c r="H62" i="7"/>
  <c r="G62" i="7"/>
  <c r="I62" i="7" s="1"/>
  <c r="H61" i="7"/>
  <c r="G61" i="7"/>
  <c r="I61" i="7" s="1"/>
  <c r="H60" i="7"/>
  <c r="G60" i="7"/>
  <c r="I60" i="7" s="1"/>
  <c r="H59" i="7"/>
  <c r="G59" i="7"/>
  <c r="I59" i="7" s="1"/>
  <c r="H58" i="7"/>
  <c r="G58" i="7"/>
  <c r="I58" i="7" s="1"/>
  <c r="H57" i="7"/>
  <c r="G57" i="7"/>
  <c r="I57" i="7" s="1"/>
  <c r="H56" i="7"/>
  <c r="H54" i="7" s="1"/>
  <c r="G56" i="7"/>
  <c r="G54" i="7" s="1"/>
  <c r="I54" i="7" s="1"/>
  <c r="H55" i="7"/>
  <c r="G55" i="7"/>
  <c r="I55" i="7" s="1"/>
  <c r="H53" i="7"/>
  <c r="H52" i="7" s="1"/>
  <c r="G53" i="7"/>
  <c r="G52" i="7" s="1"/>
  <c r="H50" i="7"/>
  <c r="G50" i="7"/>
  <c r="I50" i="7" s="1"/>
  <c r="H49" i="7"/>
  <c r="I49" i="7" s="1"/>
  <c r="G49" i="7"/>
  <c r="H48" i="7"/>
  <c r="G48" i="7"/>
  <c r="I48" i="7" s="1"/>
  <c r="H47" i="7"/>
  <c r="G47" i="7"/>
  <c r="I47" i="7" s="1"/>
  <c r="G46" i="7"/>
  <c r="H45" i="7"/>
  <c r="G45" i="7"/>
  <c r="I45" i="7" s="1"/>
  <c r="H44" i="7"/>
  <c r="G44" i="7"/>
  <c r="I44" i="7" s="1"/>
  <c r="H43" i="7"/>
  <c r="H42" i="7" s="1"/>
  <c r="G43" i="7"/>
  <c r="G42" i="7" s="1"/>
  <c r="I42" i="7" s="1"/>
  <c r="H41" i="7"/>
  <c r="G41" i="7"/>
  <c r="I41" i="7" s="1"/>
  <c r="H40" i="7"/>
  <c r="G40" i="7"/>
  <c r="I40" i="7" s="1"/>
  <c r="I39" i="7"/>
  <c r="H39" i="7"/>
  <c r="G39" i="7"/>
  <c r="H38" i="7"/>
  <c r="G38" i="7"/>
  <c r="I38" i="7" s="1"/>
  <c r="H37" i="7"/>
  <c r="H35" i="7" s="1"/>
  <c r="G37" i="7"/>
  <c r="I37" i="7" s="1"/>
  <c r="I36" i="7"/>
  <c r="H36" i="7"/>
  <c r="G36" i="7"/>
  <c r="H34" i="7"/>
  <c r="G34" i="7"/>
  <c r="I34" i="7" s="1"/>
  <c r="H33" i="7"/>
  <c r="I33" i="7" s="1"/>
  <c r="G33" i="7"/>
  <c r="H32" i="7"/>
  <c r="G32" i="7"/>
  <c r="I32" i="7" s="1"/>
  <c r="H31" i="7"/>
  <c r="G31" i="7"/>
  <c r="I31" i="7" s="1"/>
  <c r="H30" i="7"/>
  <c r="I30" i="7" s="1"/>
  <c r="G30" i="7"/>
  <c r="H29" i="7"/>
  <c r="G29" i="7"/>
  <c r="I29" i="7" s="1"/>
  <c r="G28" i="7"/>
  <c r="N20" i="7"/>
  <c r="M20" i="7"/>
  <c r="N18" i="7"/>
  <c r="N17" i="7"/>
  <c r="M17" i="7"/>
  <c r="G16" i="7"/>
  <c r="G15" i="7"/>
  <c r="I17" i="7" s="1"/>
  <c r="I445" i="9" l="1"/>
  <c r="I433" i="9"/>
  <c r="I421" i="9"/>
  <c r="I397" i="9"/>
  <c r="I385" i="9"/>
  <c r="I361" i="9"/>
  <c r="I313" i="9"/>
  <c r="I301" i="9"/>
  <c r="I289" i="9"/>
  <c r="I265" i="9"/>
  <c r="I193" i="9"/>
  <c r="I181" i="9"/>
  <c r="I169" i="9"/>
  <c r="I145" i="9"/>
  <c r="I133" i="9"/>
  <c r="I121" i="9"/>
  <c r="I97" i="9"/>
  <c r="I61" i="9"/>
  <c r="I49" i="9"/>
  <c r="I37" i="9"/>
  <c r="I491" i="9"/>
  <c r="I479" i="9"/>
  <c r="I467" i="9"/>
  <c r="I466" i="9"/>
  <c r="I204" i="9"/>
  <c r="I240" i="9"/>
  <c r="I300" i="9"/>
  <c r="I476" i="9"/>
  <c r="I277" i="9"/>
  <c r="I216" i="9"/>
  <c r="I442" i="9"/>
  <c r="I469" i="9"/>
  <c r="I72" i="9"/>
  <c r="I35" i="9"/>
  <c r="I46" i="9"/>
  <c r="I68" i="9"/>
  <c r="I42" i="9"/>
  <c r="I52" i="9"/>
  <c r="I85" i="9"/>
  <c r="I79" i="9"/>
  <c r="I78" i="9"/>
  <c r="I54" i="9"/>
  <c r="I51" i="9"/>
  <c r="I65" i="9"/>
  <c r="I64" i="9"/>
  <c r="I47" i="9"/>
  <c r="I73" i="9"/>
  <c r="I219" i="9"/>
  <c r="I235" i="9"/>
  <c r="I312" i="9"/>
  <c r="I28" i="9"/>
  <c r="I80" i="9"/>
  <c r="I110" i="9"/>
  <c r="I109" i="9"/>
  <c r="I119" i="9"/>
  <c r="I149" i="9"/>
  <c r="I161" i="9"/>
  <c r="I172" i="9"/>
  <c r="I228" i="9"/>
  <c r="I259" i="9"/>
  <c r="I406" i="9"/>
  <c r="I103" i="9"/>
  <c r="I102" i="9"/>
  <c r="I167" i="9"/>
  <c r="I372" i="9"/>
  <c r="I241" i="9"/>
  <c r="I242" i="9"/>
  <c r="I67" i="9"/>
  <c r="I74" i="9"/>
  <c r="I111" i="9"/>
  <c r="I112" i="9"/>
  <c r="I268" i="9"/>
  <c r="I358" i="9"/>
  <c r="I413" i="9"/>
  <c r="I48" i="9"/>
  <c r="I269" i="9"/>
  <c r="I284" i="9"/>
  <c r="I285" i="9"/>
  <c r="I314" i="9"/>
  <c r="I320" i="9"/>
  <c r="I327" i="9"/>
  <c r="I328" i="9"/>
  <c r="I364" i="9"/>
  <c r="I365" i="9"/>
  <c r="I453" i="9"/>
  <c r="I454" i="9"/>
  <c r="I474" i="9"/>
  <c r="I481" i="9"/>
  <c r="I96" i="9"/>
  <c r="I95" i="9"/>
  <c r="I104" i="9"/>
  <c r="I105" i="9"/>
  <c r="I131" i="9"/>
  <c r="I130" i="9"/>
  <c r="I263" i="9"/>
  <c r="I400" i="9"/>
  <c r="I447" i="9"/>
  <c r="I303" i="9"/>
  <c r="I304" i="9"/>
  <c r="I437" i="9"/>
  <c r="I321" i="9"/>
  <c r="I138" i="9"/>
  <c r="I195" i="9"/>
  <c r="I256" i="9"/>
  <c r="I401" i="9"/>
  <c r="I124" i="9"/>
  <c r="I123" i="9"/>
  <c r="I188" i="9"/>
  <c r="I189" i="9"/>
  <c r="I217" i="9"/>
  <c r="I218" i="9"/>
  <c r="I286" i="9"/>
  <c r="I331" i="9"/>
  <c r="I139" i="9"/>
  <c r="I248" i="9"/>
  <c r="I249" i="9"/>
  <c r="I257" i="9"/>
  <c r="I436" i="9"/>
  <c r="I117" i="9"/>
  <c r="I126" i="9"/>
  <c r="I382" i="9"/>
  <c r="I389" i="9"/>
  <c r="I396" i="9"/>
  <c r="I457" i="9"/>
  <c r="I98" i="9"/>
  <c r="I136" i="9"/>
  <c r="I318" i="9"/>
  <c r="I379" i="9"/>
  <c r="I403" i="9"/>
  <c r="I410" i="9"/>
  <c r="I434" i="9"/>
  <c r="I444" i="9"/>
  <c r="I471" i="9"/>
  <c r="I478" i="9"/>
  <c r="I99" i="9"/>
  <c r="I143" i="9"/>
  <c r="I150" i="9"/>
  <c r="I186" i="9"/>
  <c r="I205" i="9"/>
  <c r="I215" i="9"/>
  <c r="I239" i="9"/>
  <c r="I253" i="9"/>
  <c r="I295" i="9"/>
  <c r="I325" i="9"/>
  <c r="I341" i="9"/>
  <c r="I355" i="9"/>
  <c r="I369" i="9"/>
  <c r="I393" i="9"/>
  <c r="I417" i="9"/>
  <c r="I441" i="9"/>
  <c r="I451" i="9"/>
  <c r="I485" i="9"/>
  <c r="I499" i="9"/>
  <c r="I342" i="9"/>
  <c r="I394" i="9"/>
  <c r="I418" i="9"/>
  <c r="I486" i="9"/>
  <c r="I500" i="9"/>
  <c r="I65" i="8"/>
  <c r="G64" i="8"/>
  <c r="I64" i="8" s="1"/>
  <c r="I74" i="8"/>
  <c r="I192" i="8"/>
  <c r="G78" i="8"/>
  <c r="I78" i="8" s="1"/>
  <c r="I79" i="8"/>
  <c r="I72" i="8"/>
  <c r="G71" i="8"/>
  <c r="I71" i="8" s="1"/>
  <c r="I69" i="8"/>
  <c r="G204" i="8"/>
  <c r="I204" i="8" s="1"/>
  <c r="I205" i="8"/>
  <c r="I218" i="8"/>
  <c r="I285" i="8"/>
  <c r="G457" i="8"/>
  <c r="I457" i="8" s="1"/>
  <c r="I458" i="8"/>
  <c r="G197" i="8"/>
  <c r="I197" i="8" s="1"/>
  <c r="I199" i="8"/>
  <c r="G28" i="8"/>
  <c r="I37" i="8"/>
  <c r="I66" i="8"/>
  <c r="I76" i="8"/>
  <c r="I189" i="8"/>
  <c r="I256" i="8"/>
  <c r="G340" i="8"/>
  <c r="I340" i="8" s="1"/>
  <c r="I341" i="8"/>
  <c r="I358" i="8"/>
  <c r="I382" i="8"/>
  <c r="I413" i="8"/>
  <c r="I493" i="8"/>
  <c r="H492" i="8"/>
  <c r="I492" i="8" s="1"/>
  <c r="H28" i="8"/>
  <c r="H27" i="8" s="1"/>
  <c r="H26" i="8" s="1"/>
  <c r="G44" i="8"/>
  <c r="I44" i="8" s="1"/>
  <c r="I47" i="8"/>
  <c r="G54" i="8"/>
  <c r="I54" i="8" s="1"/>
  <c r="I73" i="8"/>
  <c r="G158" i="8"/>
  <c r="H167" i="8"/>
  <c r="H219" i="8"/>
  <c r="I235" i="8"/>
  <c r="I249" i="8"/>
  <c r="I495" i="8"/>
  <c r="I80" i="8"/>
  <c r="I102" i="8"/>
  <c r="I116" i="8"/>
  <c r="I139" i="8"/>
  <c r="H158" i="8"/>
  <c r="I169" i="8"/>
  <c r="I195" i="8"/>
  <c r="I242" i="8"/>
  <c r="I320" i="8"/>
  <c r="H383" i="8"/>
  <c r="I389" i="8"/>
  <c r="G91" i="8"/>
  <c r="I91" i="8" s="1"/>
  <c r="I92" i="8"/>
  <c r="I184" i="8"/>
  <c r="G314" i="8"/>
  <c r="I314" i="8" s="1"/>
  <c r="I315" i="8"/>
  <c r="I434" i="8"/>
  <c r="G440" i="8"/>
  <c r="I440" i="8" s="1"/>
  <c r="I441" i="8"/>
  <c r="H446" i="8"/>
  <c r="I453" i="8"/>
  <c r="G484" i="8"/>
  <c r="I484" i="8" s="1"/>
  <c r="I485" i="8"/>
  <c r="I43" i="8"/>
  <c r="G111" i="8"/>
  <c r="I111" i="8" s="1"/>
  <c r="G214" i="8"/>
  <c r="I215" i="8"/>
  <c r="H250" i="8"/>
  <c r="G276" i="8"/>
  <c r="I276" i="8" s="1"/>
  <c r="I321" i="8"/>
  <c r="G450" i="8"/>
  <c r="I450" i="8" s="1"/>
  <c r="I451" i="8"/>
  <c r="H111" i="8"/>
  <c r="G149" i="8"/>
  <c r="I150" i="8"/>
  <c r="H213" i="8"/>
  <c r="G287" i="8"/>
  <c r="I289" i="8"/>
  <c r="H366" i="8"/>
  <c r="I372" i="8"/>
  <c r="G447" i="8"/>
  <c r="I448" i="8"/>
  <c r="I454" i="8"/>
  <c r="G498" i="8"/>
  <c r="I499" i="8"/>
  <c r="G375" i="8"/>
  <c r="I375" i="8" s="1"/>
  <c r="I376" i="8"/>
  <c r="I98" i="8"/>
  <c r="I112" i="8"/>
  <c r="G130" i="8"/>
  <c r="H148" i="8"/>
  <c r="H179" i="8"/>
  <c r="G259" i="8"/>
  <c r="I259" i="8" s="1"/>
  <c r="I260" i="8"/>
  <c r="H276" i="8"/>
  <c r="I304" i="8"/>
  <c r="G330" i="8"/>
  <c r="H348" i="8"/>
  <c r="H336" i="8" s="1"/>
  <c r="N19" i="8" s="1"/>
  <c r="I386" i="8"/>
  <c r="G416" i="8"/>
  <c r="I416" i="8" s="1"/>
  <c r="I417" i="8"/>
  <c r="H473" i="8"/>
  <c r="H463" i="8" s="1"/>
  <c r="H52" i="8"/>
  <c r="H51" i="8" s="1"/>
  <c r="I105" i="8"/>
  <c r="G142" i="8"/>
  <c r="I142" i="8" s="1"/>
  <c r="I143" i="8"/>
  <c r="I186" i="8"/>
  <c r="I253" i="8"/>
  <c r="H308" i="8"/>
  <c r="H330" i="8"/>
  <c r="N18" i="8" s="1"/>
  <c r="G406" i="8"/>
  <c r="I407" i="8"/>
  <c r="I107" i="8"/>
  <c r="H130" i="8"/>
  <c r="G245" i="8"/>
  <c r="I245" i="8" s="1"/>
  <c r="I246" i="8"/>
  <c r="G262" i="8"/>
  <c r="I268" i="8"/>
  <c r="G272" i="8"/>
  <c r="I272" i="8" s="1"/>
  <c r="I273" i="8"/>
  <c r="I331" i="8"/>
  <c r="G392" i="8"/>
  <c r="I392" i="8" s="1"/>
  <c r="I393" i="8"/>
  <c r="H405" i="8"/>
  <c r="G467" i="8"/>
  <c r="I467" i="8" s="1"/>
  <c r="I468" i="8"/>
  <c r="G474" i="8"/>
  <c r="I475" i="8"/>
  <c r="H125" i="8"/>
  <c r="I217" i="8"/>
  <c r="H225" i="8"/>
  <c r="I225" i="8" s="1"/>
  <c r="H262" i="8"/>
  <c r="H261" i="8" s="1"/>
  <c r="I284" i="8"/>
  <c r="G295" i="8"/>
  <c r="I318" i="8"/>
  <c r="G324" i="8"/>
  <c r="I324" i="8" s="1"/>
  <c r="I325" i="8"/>
  <c r="I362" i="8"/>
  <c r="I381" i="8"/>
  <c r="I412" i="8"/>
  <c r="G429" i="8"/>
  <c r="I429" i="8" s="1"/>
  <c r="I431" i="8"/>
  <c r="G99" i="8"/>
  <c r="I99" i="8" s="1"/>
  <c r="G140" i="8"/>
  <c r="I140" i="8" s="1"/>
  <c r="H295" i="8"/>
  <c r="H286" i="8" s="1"/>
  <c r="G322" i="8"/>
  <c r="I322" i="8" s="1"/>
  <c r="G338" i="8"/>
  <c r="G89" i="8"/>
  <c r="G106" i="8"/>
  <c r="I106" i="8" s="1"/>
  <c r="G167" i="8"/>
  <c r="G209" i="8"/>
  <c r="G219" i="8"/>
  <c r="I219" i="8" s="1"/>
  <c r="G243" i="8"/>
  <c r="I243" i="8" s="1"/>
  <c r="G257" i="8"/>
  <c r="I257" i="8" s="1"/>
  <c r="G373" i="8"/>
  <c r="I373" i="8" s="1"/>
  <c r="G455" i="8"/>
  <c r="I455" i="8" s="1"/>
  <c r="G465" i="8"/>
  <c r="H482" i="8"/>
  <c r="I482" i="8" s="1"/>
  <c r="G144" i="8"/>
  <c r="I144" i="8" s="1"/>
  <c r="G180" i="8"/>
  <c r="G309" i="8"/>
  <c r="G342" i="8"/>
  <c r="I342" i="8" s="1"/>
  <c r="G349" i="8"/>
  <c r="G394" i="8"/>
  <c r="I394" i="8" s="1"/>
  <c r="G418" i="8"/>
  <c r="I418" i="8" s="1"/>
  <c r="G425" i="8"/>
  <c r="G377" i="8"/>
  <c r="I377" i="8" s="1"/>
  <c r="G384" i="8"/>
  <c r="G401" i="8"/>
  <c r="G408" i="8"/>
  <c r="I408" i="8" s="1"/>
  <c r="G432" i="8"/>
  <c r="I432" i="8" s="1"/>
  <c r="G469" i="8"/>
  <c r="I469" i="8" s="1"/>
  <c r="G476" i="8"/>
  <c r="I476" i="8" s="1"/>
  <c r="I28" i="7"/>
  <c r="I65" i="7"/>
  <c r="G64" i="7"/>
  <c r="I64" i="7" s="1"/>
  <c r="G51" i="7"/>
  <c r="I51" i="7" s="1"/>
  <c r="I52" i="7"/>
  <c r="H51" i="7"/>
  <c r="H46" i="7"/>
  <c r="I46" i="7" s="1"/>
  <c r="G111" i="7"/>
  <c r="I111" i="7" s="1"/>
  <c r="I112" i="7"/>
  <c r="H138" i="7"/>
  <c r="I138" i="7" s="1"/>
  <c r="I139" i="7"/>
  <c r="I259" i="7"/>
  <c r="G327" i="7"/>
  <c r="I327" i="7" s="1"/>
  <c r="I328" i="7"/>
  <c r="I375" i="7"/>
  <c r="H381" i="7"/>
  <c r="I382" i="7"/>
  <c r="H388" i="7"/>
  <c r="I389" i="7"/>
  <c r="I412" i="7"/>
  <c r="I56" i="7"/>
  <c r="I66" i="7"/>
  <c r="I148" i="7"/>
  <c r="H219" i="7"/>
  <c r="G241" i="7"/>
  <c r="I241" i="7" s="1"/>
  <c r="I242" i="7"/>
  <c r="I287" i="7"/>
  <c r="G286" i="7"/>
  <c r="I286" i="7" s="1"/>
  <c r="I43" i="7"/>
  <c r="I53" i="7"/>
  <c r="H71" i="7"/>
  <c r="G104" i="7"/>
  <c r="I104" i="7" s="1"/>
  <c r="I105" i="7"/>
  <c r="I221" i="7"/>
  <c r="G262" i="7"/>
  <c r="I263" i="7"/>
  <c r="I268" i="7"/>
  <c r="I320" i="7"/>
  <c r="I406" i="7"/>
  <c r="H412" i="7"/>
  <c r="H405" i="7" s="1"/>
  <c r="I413" i="7"/>
  <c r="G303" i="7"/>
  <c r="I303" i="7" s="1"/>
  <c r="I304" i="7"/>
  <c r="H261" i="7"/>
  <c r="I464" i="7"/>
  <c r="H28" i="7"/>
  <c r="I74" i="7"/>
  <c r="H148" i="7"/>
  <c r="H157" i="7"/>
  <c r="I192" i="7"/>
  <c r="H268" i="7"/>
  <c r="I269" i="7"/>
  <c r="H320" i="7"/>
  <c r="H308" i="7" s="1"/>
  <c r="I321" i="7"/>
  <c r="I408" i="7"/>
  <c r="I457" i="7"/>
  <c r="I68" i="7"/>
  <c r="I83" i="7"/>
  <c r="H106" i="7"/>
  <c r="I358" i="7"/>
  <c r="G371" i="7"/>
  <c r="I371" i="7" s="1"/>
  <c r="I372" i="7"/>
  <c r="I436" i="7"/>
  <c r="I465" i="7"/>
  <c r="H464" i="7"/>
  <c r="G330" i="7"/>
  <c r="I331" i="7"/>
  <c r="G364" i="7"/>
  <c r="I364" i="7" s="1"/>
  <c r="I365" i="7"/>
  <c r="H383" i="7"/>
  <c r="G35" i="7"/>
  <c r="H213" i="7"/>
  <c r="G255" i="7"/>
  <c r="I255" i="7" s="1"/>
  <c r="I256" i="7"/>
  <c r="I467" i="7"/>
  <c r="I474" i="7"/>
  <c r="I447" i="7"/>
  <c r="H116" i="7"/>
  <c r="H337" i="7"/>
  <c r="G366" i="7"/>
  <c r="I366" i="7" s="1"/>
  <c r="H424" i="7"/>
  <c r="H480" i="7"/>
  <c r="H473" i="7" s="1"/>
  <c r="I481" i="7"/>
  <c r="I126" i="7"/>
  <c r="I153" i="7"/>
  <c r="I167" i="7"/>
  <c r="G248" i="7"/>
  <c r="I248" i="7" s="1"/>
  <c r="I249" i="7"/>
  <c r="H366" i="7"/>
  <c r="I146" i="7"/>
  <c r="G188" i="7"/>
  <c r="I188" i="7" s="1"/>
  <c r="I189" i="7"/>
  <c r="I195" i="7"/>
  <c r="H192" i="7"/>
  <c r="H179" i="7" s="1"/>
  <c r="G217" i="7"/>
  <c r="I217" i="7" s="1"/>
  <c r="I218" i="7"/>
  <c r="G284" i="7"/>
  <c r="I284" i="7" s="1"/>
  <c r="I285" i="7"/>
  <c r="I381" i="7"/>
  <c r="I388" i="7"/>
  <c r="I396" i="7"/>
  <c r="I403" i="7"/>
  <c r="G400" i="7"/>
  <c r="I400" i="7" s="1"/>
  <c r="G453" i="7"/>
  <c r="I453" i="7" s="1"/>
  <c r="I454" i="7"/>
  <c r="G95" i="7"/>
  <c r="I95" i="7" s="1"/>
  <c r="I98" i="7"/>
  <c r="H228" i="7"/>
  <c r="H225" i="7" s="1"/>
  <c r="I437" i="7"/>
  <c r="G99" i="7"/>
  <c r="I99" i="7" s="1"/>
  <c r="H102" i="7"/>
  <c r="I102" i="7" s="1"/>
  <c r="H109" i="7"/>
  <c r="I109" i="7" s="1"/>
  <c r="H123" i="7"/>
  <c r="I123" i="7" s="1"/>
  <c r="H130" i="7"/>
  <c r="H125" i="7" s="1"/>
  <c r="I205" i="7"/>
  <c r="I215" i="7"/>
  <c r="H239" i="7"/>
  <c r="H232" i="7" s="1"/>
  <c r="H246" i="7"/>
  <c r="H245" i="7" s="1"/>
  <c r="H253" i="7"/>
  <c r="I253" i="7" s="1"/>
  <c r="G322" i="7"/>
  <c r="I322" i="7" s="1"/>
  <c r="I325" i="7"/>
  <c r="G338" i="7"/>
  <c r="G390" i="7"/>
  <c r="I390" i="7" s="1"/>
  <c r="I393" i="7"/>
  <c r="G414" i="7"/>
  <c r="I414" i="7" s="1"/>
  <c r="I417" i="7"/>
  <c r="G438" i="7"/>
  <c r="I438" i="7" s="1"/>
  <c r="I441" i="7"/>
  <c r="H461" i="7"/>
  <c r="I461" i="7" s="1"/>
  <c r="G482" i="7"/>
  <c r="I482" i="7" s="1"/>
  <c r="I485" i="7"/>
  <c r="I499" i="7"/>
  <c r="G72" i="7"/>
  <c r="I75" i="7"/>
  <c r="I92" i="7"/>
  <c r="G106" i="7"/>
  <c r="G209" i="7"/>
  <c r="G219" i="7"/>
  <c r="I219" i="7" s="1"/>
  <c r="G243" i="7"/>
  <c r="I243" i="7" s="1"/>
  <c r="G257" i="7"/>
  <c r="I257" i="7" s="1"/>
  <c r="I260" i="7"/>
  <c r="I273" i="7"/>
  <c r="I315" i="7"/>
  <c r="I376" i="7"/>
  <c r="I407" i="7"/>
  <c r="I431" i="7"/>
  <c r="I448" i="7"/>
  <c r="I458" i="7"/>
  <c r="I468" i="7"/>
  <c r="I475" i="7"/>
  <c r="G79" i="7"/>
  <c r="G117" i="7"/>
  <c r="G144" i="7"/>
  <c r="I144" i="7" s="1"/>
  <c r="G158" i="7"/>
  <c r="H167" i="7"/>
  <c r="G180" i="7"/>
  <c r="G226" i="7"/>
  <c r="G233" i="7"/>
  <c r="G309" i="7"/>
  <c r="G342" i="7"/>
  <c r="I342" i="7" s="1"/>
  <c r="G349" i="7"/>
  <c r="G418" i="7"/>
  <c r="I418" i="7" s="1"/>
  <c r="G425" i="7"/>
  <c r="G486" i="7"/>
  <c r="I486" i="7" s="1"/>
  <c r="G493" i="7"/>
  <c r="G500" i="7"/>
  <c r="I500" i="7" s="1"/>
  <c r="N16" i="9" l="1"/>
  <c r="I330" i="9"/>
  <c r="M18" i="9"/>
  <c r="I493" i="9"/>
  <c r="I492" i="9"/>
  <c r="I106" i="9"/>
  <c r="I89" i="9"/>
  <c r="I473" i="9"/>
  <c r="I209" i="9"/>
  <c r="I208" i="9"/>
  <c r="I158" i="9"/>
  <c r="I157" i="9"/>
  <c r="I425" i="9"/>
  <c r="I424" i="9"/>
  <c r="I246" i="9"/>
  <c r="I125" i="9"/>
  <c r="I116" i="9"/>
  <c r="I93" i="9"/>
  <c r="I255" i="9"/>
  <c r="I412" i="9"/>
  <c r="I349" i="9"/>
  <c r="I386" i="9"/>
  <c r="I383" i="9"/>
  <c r="I497" i="9"/>
  <c r="I262" i="9"/>
  <c r="I261" i="9"/>
  <c r="I245" i="9"/>
  <c r="I71" i="9"/>
  <c r="I480" i="9"/>
  <c r="I405" i="9"/>
  <c r="I309" i="9"/>
  <c r="I308" i="9"/>
  <c r="I233" i="9"/>
  <c r="I232" i="9"/>
  <c r="I388" i="9"/>
  <c r="I357" i="9"/>
  <c r="I381" i="9"/>
  <c r="I226" i="9"/>
  <c r="I225" i="9"/>
  <c r="I180" i="9"/>
  <c r="N19" i="9"/>
  <c r="I446" i="9"/>
  <c r="I371" i="9"/>
  <c r="I366" i="9"/>
  <c r="I27" i="9"/>
  <c r="I401" i="8"/>
  <c r="G400" i="8"/>
  <c r="I400" i="8" s="1"/>
  <c r="G497" i="8"/>
  <c r="I497" i="8" s="1"/>
  <c r="I498" i="8"/>
  <c r="I384" i="8"/>
  <c r="G383" i="8"/>
  <c r="I383" i="8" s="1"/>
  <c r="I330" i="8"/>
  <c r="M18" i="8"/>
  <c r="H157" i="8"/>
  <c r="H87" i="8" s="1"/>
  <c r="I158" i="8"/>
  <c r="G157" i="8"/>
  <c r="I157" i="8" s="1"/>
  <c r="I130" i="8"/>
  <c r="G51" i="8"/>
  <c r="I51" i="8" s="1"/>
  <c r="I425" i="8"/>
  <c r="G424" i="8"/>
  <c r="I424" i="8" s="1"/>
  <c r="G366" i="8"/>
  <c r="I366" i="8" s="1"/>
  <c r="G125" i="8"/>
  <c r="I125" i="8" s="1"/>
  <c r="G446" i="8"/>
  <c r="I446" i="8" s="1"/>
  <c r="I447" i="8"/>
  <c r="H212" i="8"/>
  <c r="I52" i="8"/>
  <c r="I295" i="8"/>
  <c r="G250" i="8"/>
  <c r="I250" i="8" s="1"/>
  <c r="G473" i="8"/>
  <c r="I473" i="8" s="1"/>
  <c r="I474" i="8"/>
  <c r="G148" i="8"/>
  <c r="I148" i="8" s="1"/>
  <c r="I149" i="8"/>
  <c r="I349" i="8"/>
  <c r="G348" i="8"/>
  <c r="I348" i="8" s="1"/>
  <c r="I262" i="8"/>
  <c r="G261" i="8"/>
  <c r="I261" i="8" s="1"/>
  <c r="G27" i="8"/>
  <c r="I28" i="8"/>
  <c r="N15" i="8"/>
  <c r="I309" i="8"/>
  <c r="G308" i="8"/>
  <c r="I308" i="8" s="1"/>
  <c r="G232" i="8"/>
  <c r="I232" i="8" s="1"/>
  <c r="I180" i="8"/>
  <c r="G179" i="8"/>
  <c r="I179" i="8" s="1"/>
  <c r="I167" i="8"/>
  <c r="I338" i="8"/>
  <c r="G337" i="8"/>
  <c r="G405" i="8"/>
  <c r="I405" i="8" s="1"/>
  <c r="I406" i="8"/>
  <c r="I209" i="8"/>
  <c r="G208" i="8"/>
  <c r="I208" i="8" s="1"/>
  <c r="I465" i="8"/>
  <c r="G464" i="8"/>
  <c r="I89" i="8"/>
  <c r="G88" i="8"/>
  <c r="I287" i="8"/>
  <c r="G286" i="8"/>
  <c r="I286" i="8" s="1"/>
  <c r="G213" i="8"/>
  <c r="I214" i="8"/>
  <c r="I79" i="7"/>
  <c r="G78" i="7"/>
  <c r="I78" i="7" s="1"/>
  <c r="G473" i="7"/>
  <c r="G88" i="7"/>
  <c r="G497" i="7"/>
  <c r="I497" i="7" s="1"/>
  <c r="I425" i="7"/>
  <c r="G424" i="7"/>
  <c r="I424" i="7" s="1"/>
  <c r="H250" i="7"/>
  <c r="H212" i="7" s="1"/>
  <c r="H88" i="7"/>
  <c r="H87" i="7" s="1"/>
  <c r="N16" i="7" s="1"/>
  <c r="I262" i="7"/>
  <c r="G261" i="7"/>
  <c r="I261" i="7" s="1"/>
  <c r="I158" i="7"/>
  <c r="G157" i="7"/>
  <c r="I157" i="7" s="1"/>
  <c r="I35" i="7"/>
  <c r="G27" i="7"/>
  <c r="I493" i="7"/>
  <c r="G492" i="7"/>
  <c r="I492" i="7" s="1"/>
  <c r="I209" i="7"/>
  <c r="G208" i="7"/>
  <c r="I208" i="7" s="1"/>
  <c r="G125" i="7"/>
  <c r="I125" i="7" s="1"/>
  <c r="I228" i="7"/>
  <c r="G245" i="7"/>
  <c r="I245" i="7" s="1"/>
  <c r="I349" i="7"/>
  <c r="G348" i="7"/>
  <c r="I348" i="7" s="1"/>
  <c r="I309" i="7"/>
  <c r="G308" i="7"/>
  <c r="I308" i="7" s="1"/>
  <c r="I226" i="7"/>
  <c r="G225" i="7"/>
  <c r="I225" i="7" s="1"/>
  <c r="H446" i="7"/>
  <c r="I330" i="7"/>
  <c r="M18" i="7"/>
  <c r="H27" i="7"/>
  <c r="H26" i="7" s="1"/>
  <c r="H463" i="7"/>
  <c r="I246" i="7"/>
  <c r="G213" i="7"/>
  <c r="I106" i="7"/>
  <c r="I180" i="7"/>
  <c r="G179" i="7"/>
  <c r="I179" i="7" s="1"/>
  <c r="G383" i="7"/>
  <c r="I383" i="7" s="1"/>
  <c r="G446" i="7"/>
  <c r="I130" i="7"/>
  <c r="G405" i="7"/>
  <c r="I405" i="7" s="1"/>
  <c r="I480" i="7"/>
  <c r="I117" i="7"/>
  <c r="G116" i="7"/>
  <c r="I116" i="7" s="1"/>
  <c r="G250" i="7"/>
  <c r="I250" i="7" s="1"/>
  <c r="H336" i="7"/>
  <c r="N19" i="7" s="1"/>
  <c r="I233" i="7"/>
  <c r="G232" i="7"/>
  <c r="I232" i="7" s="1"/>
  <c r="I72" i="7"/>
  <c r="G71" i="7"/>
  <c r="I71" i="7" s="1"/>
  <c r="I338" i="7"/>
  <c r="G337" i="7"/>
  <c r="I239" i="7"/>
  <c r="G357" i="7"/>
  <c r="I357" i="7" s="1"/>
  <c r="N15" i="9" l="1"/>
  <c r="I213" i="9"/>
  <c r="I212" i="9"/>
  <c r="I250" i="9"/>
  <c r="I463" i="9"/>
  <c r="I464" i="9"/>
  <c r="I337" i="9"/>
  <c r="I348" i="9"/>
  <c r="M15" i="9"/>
  <c r="I26" i="9"/>
  <c r="I179" i="9"/>
  <c r="I88" i="9"/>
  <c r="N16" i="8"/>
  <c r="H25" i="8"/>
  <c r="I213" i="8"/>
  <c r="G212" i="8"/>
  <c r="I212" i="8" s="1"/>
  <c r="G336" i="8"/>
  <c r="I337" i="8"/>
  <c r="G87" i="8"/>
  <c r="I88" i="8"/>
  <c r="G26" i="8"/>
  <c r="I27" i="8"/>
  <c r="G463" i="8"/>
  <c r="I463" i="8" s="1"/>
  <c r="I464" i="8"/>
  <c r="I213" i="7"/>
  <c r="G212" i="7"/>
  <c r="I212" i="7" s="1"/>
  <c r="G87" i="7"/>
  <c r="I88" i="7"/>
  <c r="I473" i="7"/>
  <c r="G463" i="7"/>
  <c r="I463" i="7" s="1"/>
  <c r="G336" i="7"/>
  <c r="I337" i="7"/>
  <c r="I446" i="7"/>
  <c r="N15" i="7"/>
  <c r="H25" i="7"/>
  <c r="G26" i="7"/>
  <c r="I27" i="7"/>
  <c r="J26" i="9" l="1"/>
  <c r="J279" i="9"/>
  <c r="J409" i="9"/>
  <c r="J132" i="9"/>
  <c r="J281" i="9"/>
  <c r="J433" i="9"/>
  <c r="J470" i="9"/>
  <c r="J94" i="9"/>
  <c r="J297" i="9"/>
  <c r="J443" i="9"/>
  <c r="J317" i="9"/>
  <c r="J40" i="9"/>
  <c r="J37" i="9"/>
  <c r="J70" i="9"/>
  <c r="J176" i="9"/>
  <c r="J347" i="9"/>
  <c r="J273" i="9"/>
  <c r="J326" i="9"/>
  <c r="J178" i="9"/>
  <c r="J169" i="9"/>
  <c r="J345" i="9"/>
  <c r="J187" i="9"/>
  <c r="J442" i="9"/>
  <c r="J190" i="9"/>
  <c r="J361" i="9"/>
  <c r="J491" i="9"/>
  <c r="J462" i="9"/>
  <c r="J174" i="9"/>
  <c r="J380" i="9"/>
  <c r="J201" i="9"/>
  <c r="J34" i="9"/>
  <c r="J92" i="9"/>
  <c r="J50" i="9"/>
  <c r="J86" i="9"/>
  <c r="J477" i="9"/>
  <c r="J191" i="9"/>
  <c r="J127" i="9"/>
  <c r="J313" i="9"/>
  <c r="J343" i="9"/>
  <c r="J483" i="9"/>
  <c r="J368" i="9"/>
  <c r="J55" i="9"/>
  <c r="J75" i="9"/>
  <c r="J402" i="9"/>
  <c r="J84" i="9"/>
  <c r="J278" i="9"/>
  <c r="J171" i="9"/>
  <c r="J426" i="9"/>
  <c r="J211" i="9"/>
  <c r="J445" i="9"/>
  <c r="J496" i="9"/>
  <c r="J399" i="9"/>
  <c r="J194" i="9"/>
  <c r="J489" i="9"/>
  <c r="J387" i="9"/>
  <c r="J206" i="9"/>
  <c r="J159" i="9"/>
  <c r="J501" i="9"/>
  <c r="J376" i="9"/>
  <c r="J385" i="9"/>
  <c r="J370" i="9"/>
  <c r="J466" i="9"/>
  <c r="J274" i="9"/>
  <c r="J421" i="9"/>
  <c r="J200" i="9"/>
  <c r="J460" i="9"/>
  <c r="J395" i="9"/>
  <c r="J175" i="9"/>
  <c r="J266" i="9"/>
  <c r="J60" i="9"/>
  <c r="J32" i="9"/>
  <c r="J300" i="9"/>
  <c r="J458" i="9"/>
  <c r="J154" i="9"/>
  <c r="J221" i="9"/>
  <c r="J118" i="9"/>
  <c r="J216" i="9"/>
  <c r="J66" i="9"/>
  <c r="J57" i="9"/>
  <c r="J33" i="9"/>
  <c r="J479" i="9"/>
  <c r="J229" i="9"/>
  <c r="J193" i="9"/>
  <c r="J363" i="9"/>
  <c r="J165" i="9"/>
  <c r="J254" i="9"/>
  <c r="J475" i="9"/>
  <c r="J238" i="9"/>
  <c r="J435" i="9"/>
  <c r="J231" i="9"/>
  <c r="J415" i="9"/>
  <c r="J196" i="9"/>
  <c r="J431" i="9"/>
  <c r="J234" i="9"/>
  <c r="J36" i="9"/>
  <c r="J61" i="9"/>
  <c r="J62" i="9"/>
  <c r="J39" i="9"/>
  <c r="J108" i="9"/>
  <c r="J494" i="9"/>
  <c r="J244" i="9"/>
  <c r="J487" i="9"/>
  <c r="J198" i="9"/>
  <c r="J391" i="9"/>
  <c r="J90" i="9"/>
  <c r="J439" i="9"/>
  <c r="J270" i="9"/>
  <c r="J247" i="9"/>
  <c r="J448" i="9"/>
  <c r="J271" i="9"/>
  <c r="J430" i="9"/>
  <c r="J224" i="9"/>
  <c r="J240" i="9"/>
  <c r="J82" i="9"/>
  <c r="J69" i="9"/>
  <c r="J77" i="9"/>
  <c r="J277" i="9"/>
  <c r="J292" i="9"/>
  <c r="J289" i="9"/>
  <c r="J183" i="9"/>
  <c r="J222" i="9"/>
  <c r="J407" i="9"/>
  <c r="J120" i="9"/>
  <c r="J227" i="9"/>
  <c r="J456" i="9"/>
  <c r="J280" i="9"/>
  <c r="J258" i="9"/>
  <c r="J378" i="9"/>
  <c r="J203" i="9"/>
  <c r="J293" i="9"/>
  <c r="J252" i="9"/>
  <c r="J129" i="9"/>
  <c r="J307" i="9"/>
  <c r="J302" i="9"/>
  <c r="J115" i="9"/>
  <c r="J59" i="9"/>
  <c r="J135" i="9"/>
  <c r="J282" i="9"/>
  <c r="J419" i="9"/>
  <c r="J290" i="9"/>
  <c r="J288" i="9"/>
  <c r="J468" i="9"/>
  <c r="J210" i="9"/>
  <c r="J30" i="9"/>
  <c r="J43" i="9"/>
  <c r="J38" i="9"/>
  <c r="J45" i="9"/>
  <c r="J134" i="9"/>
  <c r="J298" i="9"/>
  <c r="J472" i="9"/>
  <c r="J319" i="9"/>
  <c r="J260" i="9"/>
  <c r="J162" i="9"/>
  <c r="J137" i="9"/>
  <c r="J294" i="9"/>
  <c r="J315" i="9"/>
  <c r="J122" i="9"/>
  <c r="J264" i="9"/>
  <c r="J220" i="9"/>
  <c r="J291" i="9"/>
  <c r="J354" i="9"/>
  <c r="J311" i="9"/>
  <c r="J404" i="9"/>
  <c r="J31" i="9"/>
  <c r="J299" i="9"/>
  <c r="J339" i="9"/>
  <c r="J41" i="9"/>
  <c r="J76" i="9"/>
  <c r="J53" i="9"/>
  <c r="J141" i="9"/>
  <c r="J305" i="9"/>
  <c r="J101" i="9"/>
  <c r="J236" i="9"/>
  <c r="J202" i="9"/>
  <c r="J334" i="9"/>
  <c r="J428" i="9"/>
  <c r="J168" i="9"/>
  <c r="J156" i="9"/>
  <c r="J352" i="9"/>
  <c r="J113" i="9"/>
  <c r="J275" i="9"/>
  <c r="J296" i="9"/>
  <c r="J397" i="9"/>
  <c r="J133" i="9"/>
  <c r="J323" i="9"/>
  <c r="J423" i="9"/>
  <c r="J63" i="9"/>
  <c r="J166" i="9"/>
  <c r="J333" i="9"/>
  <c r="J267" i="9"/>
  <c r="J356" i="9"/>
  <c r="J199" i="9"/>
  <c r="J359" i="9"/>
  <c r="J152" i="9"/>
  <c r="J29" i="9"/>
  <c r="J49" i="9"/>
  <c r="J207" i="9"/>
  <c r="J58" i="9"/>
  <c r="J147" i="9"/>
  <c r="J411" i="9"/>
  <c r="J350" i="9"/>
  <c r="J283" i="9"/>
  <c r="J452" i="9"/>
  <c r="J185" i="9"/>
  <c r="J335" i="9"/>
  <c r="J163" i="9"/>
  <c r="J374" i="9"/>
  <c r="J145" i="9"/>
  <c r="J164" i="9"/>
  <c r="J301" i="9"/>
  <c r="J310" i="9"/>
  <c r="J100" i="9"/>
  <c r="J265" i="9"/>
  <c r="J160" i="9"/>
  <c r="J332" i="9"/>
  <c r="J449" i="9"/>
  <c r="J56" i="9"/>
  <c r="J459" i="9"/>
  <c r="J173" i="9"/>
  <c r="J329" i="9"/>
  <c r="J181" i="9"/>
  <c r="J170" i="9"/>
  <c r="J325" i="9"/>
  <c r="J48" i="9"/>
  <c r="J215" i="9"/>
  <c r="J417" i="9"/>
  <c r="J47" i="9"/>
  <c r="J400" i="9"/>
  <c r="J269" i="9"/>
  <c r="J124" i="9"/>
  <c r="J389" i="9"/>
  <c r="J382" i="9"/>
  <c r="J341" i="9"/>
  <c r="J331" i="9"/>
  <c r="J80" i="9"/>
  <c r="J249" i="9"/>
  <c r="J441" i="9"/>
  <c r="J73" i="9"/>
  <c r="J150" i="9"/>
  <c r="J328" i="9"/>
  <c r="J437" i="9"/>
  <c r="J205" i="9"/>
  <c r="J393" i="9"/>
  <c r="J195" i="9"/>
  <c r="J263" i="9"/>
  <c r="J285" i="9"/>
  <c r="J454" i="9"/>
  <c r="J365" i="9"/>
  <c r="J67" i="9"/>
  <c r="J105" i="9"/>
  <c r="J172" i="9"/>
  <c r="J413" i="9"/>
  <c r="J372" i="9"/>
  <c r="J481" i="9"/>
  <c r="J96" i="9"/>
  <c r="J451" i="9"/>
  <c r="J321" i="9"/>
  <c r="J242" i="9"/>
  <c r="J161" i="9"/>
  <c r="J143" i="9"/>
  <c r="J256" i="9"/>
  <c r="J189" i="9"/>
  <c r="J499" i="9"/>
  <c r="J110" i="9"/>
  <c r="J485" i="9"/>
  <c r="J131" i="9"/>
  <c r="J98" i="9"/>
  <c r="J139" i="9"/>
  <c r="J103" i="9"/>
  <c r="J218" i="9"/>
  <c r="J463" i="9"/>
  <c r="J212" i="9"/>
  <c r="I336" i="9"/>
  <c r="J336" i="9" s="1"/>
  <c r="M19" i="9"/>
  <c r="J330" i="9"/>
  <c r="I87" i="9"/>
  <c r="J87" i="9" s="1"/>
  <c r="M16" i="9"/>
  <c r="I87" i="8"/>
  <c r="M16" i="8"/>
  <c r="I26" i="8"/>
  <c r="G25" i="8"/>
  <c r="I25" i="8" s="1"/>
  <c r="M15" i="8"/>
  <c r="J212" i="8"/>
  <c r="I336" i="8"/>
  <c r="J336" i="8" s="1"/>
  <c r="M19" i="8"/>
  <c r="J463" i="8"/>
  <c r="I336" i="7"/>
  <c r="J336" i="7" s="1"/>
  <c r="M19" i="7"/>
  <c r="I26" i="7"/>
  <c r="G25" i="7"/>
  <c r="I25" i="7" s="1"/>
  <c r="M15" i="7"/>
  <c r="I87" i="7"/>
  <c r="J87" i="7" s="1"/>
  <c r="M16" i="7"/>
  <c r="J463" i="7"/>
  <c r="J212" i="7"/>
  <c r="J25" i="9" l="1"/>
  <c r="J411" i="8"/>
  <c r="J404" i="8"/>
  <c r="J387" i="8"/>
  <c r="J380" i="8"/>
  <c r="J176" i="8"/>
  <c r="J173" i="8"/>
  <c r="J170" i="8"/>
  <c r="J154" i="8"/>
  <c r="J399" i="8"/>
  <c r="J368" i="8"/>
  <c r="J198" i="8"/>
  <c r="J156" i="8"/>
  <c r="J437" i="8"/>
  <c r="J238" i="8"/>
  <c r="J94" i="8"/>
  <c r="J49" i="8"/>
  <c r="J30" i="8"/>
  <c r="J178" i="8"/>
  <c r="J122" i="8"/>
  <c r="J443" i="8"/>
  <c r="J347" i="8"/>
  <c r="J297" i="8"/>
  <c r="J275" i="8"/>
  <c r="J82" i="8"/>
  <c r="J33" i="8"/>
  <c r="J481" i="8"/>
  <c r="J300" i="8"/>
  <c r="J132" i="8"/>
  <c r="J62" i="8"/>
  <c r="J59" i="8"/>
  <c r="J129" i="8"/>
  <c r="J172" i="8"/>
  <c r="J224" i="8"/>
  <c r="J36" i="8"/>
  <c r="J439" i="8"/>
  <c r="J190" i="8"/>
  <c r="J183" i="8"/>
  <c r="J452" i="8"/>
  <c r="J293" i="8"/>
  <c r="J152" i="8"/>
  <c r="J165" i="8"/>
  <c r="J374" i="8"/>
  <c r="J181" i="8"/>
  <c r="J194" i="8"/>
  <c r="J203" i="8"/>
  <c r="J162" i="8"/>
  <c r="J356" i="8"/>
  <c r="J282" i="8"/>
  <c r="J58" i="8"/>
  <c r="J135" i="8"/>
  <c r="J67" i="8"/>
  <c r="J185" i="8"/>
  <c r="J378" i="8"/>
  <c r="J57" i="8"/>
  <c r="J489" i="8"/>
  <c r="J200" i="8"/>
  <c r="J279" i="8"/>
  <c r="J234" i="8"/>
  <c r="J459" i="8"/>
  <c r="J302" i="8"/>
  <c r="J352" i="8"/>
  <c r="J168" i="8"/>
  <c r="J240" i="8"/>
  <c r="J216" i="8"/>
  <c r="J210" i="8"/>
  <c r="J350" i="8"/>
  <c r="J449" i="8"/>
  <c r="J247" i="8"/>
  <c r="J196" i="8"/>
  <c r="J75" i="8"/>
  <c r="J175" i="8"/>
  <c r="J115" i="8"/>
  <c r="J269" i="8"/>
  <c r="J317" i="8"/>
  <c r="J409" i="8"/>
  <c r="J229" i="8"/>
  <c r="J220" i="8"/>
  <c r="J395" i="8"/>
  <c r="J244" i="8"/>
  <c r="J335" i="8"/>
  <c r="J202" i="8"/>
  <c r="J227" i="8"/>
  <c r="J274" i="8"/>
  <c r="J419" i="8"/>
  <c r="J332" i="8"/>
  <c r="J267" i="8"/>
  <c r="J31" i="8"/>
  <c r="J211" i="8"/>
  <c r="J294" i="8"/>
  <c r="J385" i="8"/>
  <c r="J41" i="8"/>
  <c r="J264" i="8"/>
  <c r="J236" i="8"/>
  <c r="J496" i="8"/>
  <c r="J222" i="8"/>
  <c r="J483" i="8"/>
  <c r="J252" i="8"/>
  <c r="J77" i="8"/>
  <c r="J460" i="8"/>
  <c r="J29" i="8"/>
  <c r="J231" i="8"/>
  <c r="J263" i="8"/>
  <c r="J265" i="8"/>
  <c r="J328" i="8"/>
  <c r="J86" i="8"/>
  <c r="J426" i="8"/>
  <c r="J254" i="8"/>
  <c r="J221" i="8"/>
  <c r="J45" i="8"/>
  <c r="J281" i="8"/>
  <c r="J84" i="8"/>
  <c r="J477" i="8"/>
  <c r="J56" i="8"/>
  <c r="J278" i="8"/>
  <c r="J296" i="8"/>
  <c r="J301" i="8"/>
  <c r="J280" i="8"/>
  <c r="J110" i="8"/>
  <c r="J258" i="8"/>
  <c r="J334" i="8"/>
  <c r="J137" i="8"/>
  <c r="J298" i="8"/>
  <c r="J487" i="8"/>
  <c r="J290" i="8"/>
  <c r="J266" i="8"/>
  <c r="J50" i="8"/>
  <c r="J53" i="8"/>
  <c r="J354" i="8"/>
  <c r="J307" i="8"/>
  <c r="J34" i="8"/>
  <c r="J207" i="8"/>
  <c r="J291" i="8"/>
  <c r="J313" i="8"/>
  <c r="J292" i="8"/>
  <c r="J270" i="8"/>
  <c r="J96" i="8"/>
  <c r="J365" i="8"/>
  <c r="J310" i="8"/>
  <c r="J391" i="8"/>
  <c r="J305" i="8"/>
  <c r="J100" i="8"/>
  <c r="J494" i="8"/>
  <c r="J435" i="8"/>
  <c r="J108" i="8"/>
  <c r="J63" i="8"/>
  <c r="J288" i="8"/>
  <c r="J163" i="8"/>
  <c r="J361" i="8"/>
  <c r="J48" i="8"/>
  <c r="J311" i="8"/>
  <c r="J433" i="8"/>
  <c r="J326" i="8"/>
  <c r="J319" i="8"/>
  <c r="J134" i="8"/>
  <c r="J103" i="8"/>
  <c r="J397" i="8"/>
  <c r="J118" i="8"/>
  <c r="J299" i="8"/>
  <c r="J101" i="8"/>
  <c r="J159" i="8"/>
  <c r="J479" i="8"/>
  <c r="J456" i="8"/>
  <c r="J145" i="8"/>
  <c r="J39" i="8"/>
  <c r="J430" i="8"/>
  <c r="J70" i="8"/>
  <c r="J402" i="8"/>
  <c r="J491" i="8"/>
  <c r="J333" i="8"/>
  <c r="J359" i="8"/>
  <c r="J343" i="8"/>
  <c r="J160" i="8"/>
  <c r="J415" i="8"/>
  <c r="J141" i="8"/>
  <c r="J329" i="8"/>
  <c r="J124" i="8"/>
  <c r="J131" i="8"/>
  <c r="J501" i="8"/>
  <c r="J38" i="8"/>
  <c r="J462" i="8"/>
  <c r="J206" i="8"/>
  <c r="J161" i="8"/>
  <c r="J339" i="8"/>
  <c r="J201" i="8"/>
  <c r="J55" i="8"/>
  <c r="J40" i="8"/>
  <c r="J423" i="8"/>
  <c r="J120" i="8"/>
  <c r="J363" i="8"/>
  <c r="J127" i="8"/>
  <c r="J421" i="8"/>
  <c r="J147" i="8"/>
  <c r="J370" i="8"/>
  <c r="J164" i="8"/>
  <c r="J428" i="8"/>
  <c r="J174" i="8"/>
  <c r="J466" i="8"/>
  <c r="J271" i="8"/>
  <c r="J323" i="8"/>
  <c r="J345" i="8"/>
  <c r="J283" i="8"/>
  <c r="J113" i="8"/>
  <c r="J171" i="8"/>
  <c r="J32" i="8"/>
  <c r="J60" i="8"/>
  <c r="J61" i="8"/>
  <c r="J470" i="8"/>
  <c r="J90" i="8"/>
  <c r="J133" i="8"/>
  <c r="J445" i="8"/>
  <c r="J191" i="8"/>
  <c r="J472" i="8"/>
  <c r="J277" i="8"/>
  <c r="J442" i="8"/>
  <c r="J187" i="8"/>
  <c r="J166" i="8"/>
  <c r="J193" i="8"/>
  <c r="J454" i="8"/>
  <c r="J105" i="8"/>
  <c r="J47" i="8"/>
  <c r="J92" i="8"/>
  <c r="J315" i="8"/>
  <c r="J341" i="8"/>
  <c r="J499" i="8"/>
  <c r="J66" i="8"/>
  <c r="J389" i="8"/>
  <c r="J195" i="8"/>
  <c r="J372" i="8"/>
  <c r="J150" i="8"/>
  <c r="J37" i="8"/>
  <c r="J80" i="8"/>
  <c r="J169" i="8"/>
  <c r="J249" i="8"/>
  <c r="J273" i="8"/>
  <c r="J321" i="8"/>
  <c r="J199" i="8"/>
  <c r="J393" i="8"/>
  <c r="J417" i="8"/>
  <c r="J382" i="8"/>
  <c r="J431" i="8"/>
  <c r="J485" i="8"/>
  <c r="J475" i="8"/>
  <c r="J458" i="8"/>
  <c r="J468" i="8"/>
  <c r="J242" i="8"/>
  <c r="J376" i="8"/>
  <c r="J289" i="8"/>
  <c r="J413" i="8"/>
  <c r="J215" i="8"/>
  <c r="J325" i="8"/>
  <c r="J139" i="8"/>
  <c r="J331" i="8"/>
  <c r="J448" i="8"/>
  <c r="J73" i="8"/>
  <c r="J407" i="8"/>
  <c r="J285" i="8"/>
  <c r="J218" i="8"/>
  <c r="J441" i="8"/>
  <c r="J260" i="8"/>
  <c r="J98" i="8"/>
  <c r="J43" i="8"/>
  <c r="J256" i="8"/>
  <c r="J143" i="8"/>
  <c r="J69" i="8"/>
  <c r="J76" i="8"/>
  <c r="J189" i="8"/>
  <c r="J205" i="8"/>
  <c r="J451" i="8"/>
  <c r="J330" i="8"/>
  <c r="J400" i="8"/>
  <c r="J26" i="8"/>
  <c r="J87" i="8"/>
  <c r="J359" i="7"/>
  <c r="J352" i="7"/>
  <c r="J278" i="7"/>
  <c r="J132" i="7"/>
  <c r="J433" i="7"/>
  <c r="J297" i="7"/>
  <c r="J300" i="7"/>
  <c r="J207" i="7"/>
  <c r="J94" i="7"/>
  <c r="J70" i="7"/>
  <c r="J62" i="7"/>
  <c r="J135" i="7"/>
  <c r="J30" i="7"/>
  <c r="J190" i="7"/>
  <c r="J334" i="7"/>
  <c r="J191" i="7"/>
  <c r="J361" i="7"/>
  <c r="J156" i="7"/>
  <c r="J147" i="7"/>
  <c r="J435" i="7"/>
  <c r="J122" i="7"/>
  <c r="J290" i="7"/>
  <c r="J115" i="7"/>
  <c r="J271" i="7"/>
  <c r="J196" i="7"/>
  <c r="J101" i="7"/>
  <c r="J120" i="7"/>
  <c r="J442" i="7"/>
  <c r="J222" i="7"/>
  <c r="J194" i="7"/>
  <c r="J60" i="7"/>
  <c r="J270" i="7"/>
  <c r="J124" i="7"/>
  <c r="J402" i="7"/>
  <c r="J456" i="7"/>
  <c r="J363" i="7"/>
  <c r="J459" i="7"/>
  <c r="J37" i="7"/>
  <c r="J305" i="7"/>
  <c r="J501" i="7"/>
  <c r="J428" i="7"/>
  <c r="J162" i="7"/>
  <c r="J59" i="7"/>
  <c r="J415" i="7"/>
  <c r="J477" i="7"/>
  <c r="J378" i="7"/>
  <c r="J36" i="7"/>
  <c r="J210" i="7"/>
  <c r="J354" i="7"/>
  <c r="J292" i="7"/>
  <c r="J203" i="7"/>
  <c r="J164" i="7"/>
  <c r="J333" i="7"/>
  <c r="J76" i="7"/>
  <c r="J131" i="7"/>
  <c r="J296" i="7"/>
  <c r="J187" i="7"/>
  <c r="J258" i="7"/>
  <c r="J419" i="7"/>
  <c r="J291" i="7"/>
  <c r="J129" i="7"/>
  <c r="J234" i="7"/>
  <c r="J452" i="7"/>
  <c r="J240" i="7"/>
  <c r="J288" i="7"/>
  <c r="J264" i="7"/>
  <c r="J175" i="7"/>
  <c r="J277" i="7"/>
  <c r="J63" i="7"/>
  <c r="J47" i="7"/>
  <c r="J41" i="7"/>
  <c r="J31" i="7"/>
  <c r="J33" i="7"/>
  <c r="J347" i="7"/>
  <c r="J368" i="7"/>
  <c r="J211" i="7"/>
  <c r="J466" i="7"/>
  <c r="J159" i="7"/>
  <c r="J100" i="7"/>
  <c r="J160" i="7"/>
  <c r="J301" i="7"/>
  <c r="J206" i="7"/>
  <c r="J118" i="7"/>
  <c r="J266" i="7"/>
  <c r="J154" i="7"/>
  <c r="J302" i="7"/>
  <c r="J385" i="7"/>
  <c r="J113" i="7"/>
  <c r="J421" i="7"/>
  <c r="J252" i="7"/>
  <c r="J201" i="7"/>
  <c r="J185" i="7"/>
  <c r="J108" i="7"/>
  <c r="J460" i="7"/>
  <c r="J409" i="7"/>
  <c r="J341" i="7"/>
  <c r="J387" i="7"/>
  <c r="J483" i="7"/>
  <c r="J49" i="7"/>
  <c r="J280" i="7"/>
  <c r="J395" i="7"/>
  <c r="J374" i="7"/>
  <c r="J281" i="7"/>
  <c r="J293" i="7"/>
  <c r="J171" i="7"/>
  <c r="J254" i="7"/>
  <c r="J137" i="7"/>
  <c r="J445" i="7"/>
  <c r="J48" i="7"/>
  <c r="J141" i="7"/>
  <c r="J399" i="7"/>
  <c r="J443" i="7"/>
  <c r="J198" i="7"/>
  <c r="J489" i="7"/>
  <c r="J319" i="7"/>
  <c r="J350" i="7"/>
  <c r="J265" i="7"/>
  <c r="J231" i="7"/>
  <c r="J34" i="7"/>
  <c r="J39" i="7"/>
  <c r="J67" i="7"/>
  <c r="J32" i="7"/>
  <c r="J202" i="7"/>
  <c r="J73" i="7"/>
  <c r="J391" i="7"/>
  <c r="J236" i="7"/>
  <c r="J275" i="7"/>
  <c r="J487" i="7"/>
  <c r="J165" i="7"/>
  <c r="J166" i="7"/>
  <c r="J310" i="7"/>
  <c r="J69" i="7"/>
  <c r="J247" i="7"/>
  <c r="J311" i="7"/>
  <c r="J174" i="7"/>
  <c r="J55" i="7"/>
  <c r="J96" i="7"/>
  <c r="J423" i="7"/>
  <c r="J326" i="7"/>
  <c r="J61" i="7"/>
  <c r="J200" i="7"/>
  <c r="J404" i="7"/>
  <c r="J134" i="7"/>
  <c r="J356" i="7"/>
  <c r="J294" i="7"/>
  <c r="J181" i="7"/>
  <c r="J317" i="7"/>
  <c r="J82" i="7"/>
  <c r="J472" i="7"/>
  <c r="J216" i="7"/>
  <c r="J86" i="7"/>
  <c r="J298" i="7"/>
  <c r="J40" i="7"/>
  <c r="J58" i="7"/>
  <c r="J38" i="7"/>
  <c r="J45" i="7"/>
  <c r="J220" i="7"/>
  <c r="J103" i="7"/>
  <c r="J244" i="7"/>
  <c r="J289" i="7"/>
  <c r="J496" i="7"/>
  <c r="J193" i="7"/>
  <c r="J430" i="7"/>
  <c r="J143" i="7"/>
  <c r="J345" i="7"/>
  <c r="J172" i="7"/>
  <c r="J339" i="7"/>
  <c r="J84" i="7"/>
  <c r="J283" i="7"/>
  <c r="J227" i="7"/>
  <c r="J267" i="7"/>
  <c r="J133" i="7"/>
  <c r="J199" i="7"/>
  <c r="J178" i="7"/>
  <c r="J380" i="7"/>
  <c r="J451" i="7"/>
  <c r="J161" i="7"/>
  <c r="J332" i="7"/>
  <c r="J168" i="7"/>
  <c r="J449" i="7"/>
  <c r="J397" i="7"/>
  <c r="J426" i="7"/>
  <c r="J163" i="7"/>
  <c r="J299" i="7"/>
  <c r="J411" i="7"/>
  <c r="J80" i="7"/>
  <c r="J169" i="7"/>
  <c r="J439" i="7"/>
  <c r="J313" i="7"/>
  <c r="J170" i="7"/>
  <c r="J183" i="7"/>
  <c r="J150" i="7"/>
  <c r="J470" i="7"/>
  <c r="J329" i="7"/>
  <c r="J491" i="7"/>
  <c r="J462" i="7"/>
  <c r="J370" i="7"/>
  <c r="J307" i="7"/>
  <c r="J50" i="7"/>
  <c r="J479" i="7"/>
  <c r="J90" i="7"/>
  <c r="J176" i="7"/>
  <c r="J279" i="7"/>
  <c r="J77" i="7"/>
  <c r="J29" i="7"/>
  <c r="J282" i="7"/>
  <c r="J274" i="7"/>
  <c r="J323" i="7"/>
  <c r="J152" i="7"/>
  <c r="J110" i="7"/>
  <c r="J229" i="7"/>
  <c r="J173" i="7"/>
  <c r="J145" i="7"/>
  <c r="J343" i="7"/>
  <c r="J224" i="7"/>
  <c r="J127" i="7"/>
  <c r="J335" i="7"/>
  <c r="J57" i="7"/>
  <c r="J494" i="7"/>
  <c r="J238" i="7"/>
  <c r="J273" i="7"/>
  <c r="J372" i="7"/>
  <c r="J431" i="7"/>
  <c r="J66" i="7"/>
  <c r="J376" i="7"/>
  <c r="J475" i="7"/>
  <c r="J75" i="7"/>
  <c r="J105" i="7"/>
  <c r="J218" i="7"/>
  <c r="J215" i="7"/>
  <c r="J400" i="7"/>
  <c r="J56" i="7"/>
  <c r="J437" i="7"/>
  <c r="J315" i="7"/>
  <c r="J481" i="7"/>
  <c r="J139" i="7"/>
  <c r="J53" i="7"/>
  <c r="J499" i="7"/>
  <c r="J249" i="7"/>
  <c r="J407" i="7"/>
  <c r="J256" i="7"/>
  <c r="J221" i="7"/>
  <c r="J389" i="7"/>
  <c r="J485" i="7"/>
  <c r="J92" i="7"/>
  <c r="J205" i="7"/>
  <c r="J263" i="7"/>
  <c r="J242" i="7"/>
  <c r="J417" i="7"/>
  <c r="J98" i="7"/>
  <c r="J448" i="7"/>
  <c r="J454" i="7"/>
  <c r="J468" i="7"/>
  <c r="J441" i="7"/>
  <c r="J285" i="7"/>
  <c r="J195" i="7"/>
  <c r="J260" i="7"/>
  <c r="J321" i="7"/>
  <c r="J382" i="7"/>
  <c r="J365" i="7"/>
  <c r="J393" i="7"/>
  <c r="J325" i="7"/>
  <c r="J413" i="7"/>
  <c r="J458" i="7"/>
  <c r="J189" i="7"/>
  <c r="J328" i="7"/>
  <c r="J269" i="7"/>
  <c r="J331" i="7"/>
  <c r="J43" i="7"/>
  <c r="J330" i="7"/>
  <c r="J26" i="7"/>
  <c r="J25" i="8" l="1"/>
  <c r="J25" i="7"/>
  <c r="H501" i="6" l="1"/>
  <c r="G501" i="6"/>
  <c r="J501" i="6" s="1"/>
  <c r="I500" i="6"/>
  <c r="H500" i="6"/>
  <c r="H499" i="6"/>
  <c r="G499" i="6"/>
  <c r="I498" i="6"/>
  <c r="H498" i="6"/>
  <c r="I497" i="6"/>
  <c r="H497" i="6"/>
  <c r="H496" i="6"/>
  <c r="G496" i="6"/>
  <c r="I495" i="6"/>
  <c r="H495" i="6"/>
  <c r="J494" i="6"/>
  <c r="H494" i="6"/>
  <c r="G494" i="6"/>
  <c r="G493" i="6" s="1"/>
  <c r="I493" i="6"/>
  <c r="H493" i="6"/>
  <c r="I492" i="6"/>
  <c r="H492" i="6"/>
  <c r="H491" i="6"/>
  <c r="G491" i="6"/>
  <c r="G490" i="6" s="1"/>
  <c r="J490" i="6" s="1"/>
  <c r="I490" i="6"/>
  <c r="H490" i="6"/>
  <c r="H489" i="6"/>
  <c r="G489" i="6"/>
  <c r="J489" i="6" s="1"/>
  <c r="I488" i="6"/>
  <c r="H488" i="6"/>
  <c r="H487" i="6"/>
  <c r="G487" i="6"/>
  <c r="I486" i="6"/>
  <c r="H486" i="6"/>
  <c r="H485" i="6"/>
  <c r="G485" i="6"/>
  <c r="I484" i="6"/>
  <c r="H484" i="6"/>
  <c r="H483" i="6"/>
  <c r="G483" i="6"/>
  <c r="J483" i="6" s="1"/>
  <c r="I482" i="6"/>
  <c r="H482" i="6"/>
  <c r="H481" i="6"/>
  <c r="G481" i="6"/>
  <c r="I480" i="6"/>
  <c r="H480" i="6"/>
  <c r="H479" i="6"/>
  <c r="G479" i="6"/>
  <c r="G478" i="6" s="1"/>
  <c r="J478" i="6" s="1"/>
  <c r="I478" i="6"/>
  <c r="H478" i="6"/>
  <c r="H477" i="6"/>
  <c r="G477" i="6"/>
  <c r="J477" i="6" s="1"/>
  <c r="I476" i="6"/>
  <c r="H476" i="6"/>
  <c r="H475" i="6"/>
  <c r="G475" i="6"/>
  <c r="I474" i="6"/>
  <c r="H474" i="6"/>
  <c r="I473" i="6"/>
  <c r="H473" i="6"/>
  <c r="H472" i="6"/>
  <c r="G472" i="6"/>
  <c r="I471" i="6"/>
  <c r="H471" i="6"/>
  <c r="H470" i="6"/>
  <c r="G470" i="6"/>
  <c r="G469" i="6" s="1"/>
  <c r="J469" i="6" s="1"/>
  <c r="I469" i="6"/>
  <c r="H469" i="6"/>
  <c r="H468" i="6"/>
  <c r="G468" i="6"/>
  <c r="J468" i="6" s="1"/>
  <c r="I467" i="6"/>
  <c r="H467" i="6"/>
  <c r="H466" i="6"/>
  <c r="G466" i="6"/>
  <c r="I465" i="6"/>
  <c r="H465" i="6"/>
  <c r="I464" i="6"/>
  <c r="I463" i="6" s="1"/>
  <c r="H464" i="6"/>
  <c r="H463" i="6"/>
  <c r="H462" i="6"/>
  <c r="J462" i="6" s="1"/>
  <c r="G462" i="6"/>
  <c r="G461" i="6" s="1"/>
  <c r="J461" i="6" s="1"/>
  <c r="I461" i="6"/>
  <c r="H461" i="6"/>
  <c r="H460" i="6"/>
  <c r="G460" i="6"/>
  <c r="J460" i="6" s="1"/>
  <c r="H459" i="6"/>
  <c r="G459" i="6"/>
  <c r="H458" i="6"/>
  <c r="G458" i="6"/>
  <c r="I457" i="6"/>
  <c r="H457" i="6"/>
  <c r="H456" i="6"/>
  <c r="G456" i="6"/>
  <c r="G455" i="6" s="1"/>
  <c r="J455" i="6" s="1"/>
  <c r="I455" i="6"/>
  <c r="H455" i="6"/>
  <c r="H454" i="6"/>
  <c r="G454" i="6"/>
  <c r="G453" i="6" s="1"/>
  <c r="J453" i="6" s="1"/>
  <c r="I453" i="6"/>
  <c r="H453" i="6"/>
  <c r="H452" i="6"/>
  <c r="G452" i="6"/>
  <c r="J452" i="6" s="1"/>
  <c r="H451" i="6"/>
  <c r="G451" i="6"/>
  <c r="I450" i="6"/>
  <c r="H450" i="6"/>
  <c r="H449" i="6"/>
  <c r="G449" i="6"/>
  <c r="J449" i="6" s="1"/>
  <c r="H448" i="6"/>
  <c r="G448" i="6"/>
  <c r="I447" i="6"/>
  <c r="I446" i="6" s="1"/>
  <c r="H447" i="6"/>
  <c r="H446" i="6"/>
  <c r="H445" i="6"/>
  <c r="G445" i="6"/>
  <c r="G444" i="6" s="1"/>
  <c r="J444" i="6" s="1"/>
  <c r="I444" i="6"/>
  <c r="H444" i="6"/>
  <c r="H443" i="6"/>
  <c r="G443" i="6"/>
  <c r="J443" i="6" s="1"/>
  <c r="H442" i="6"/>
  <c r="G442" i="6"/>
  <c r="H441" i="6"/>
  <c r="G441" i="6"/>
  <c r="I440" i="6"/>
  <c r="H440" i="6"/>
  <c r="H439" i="6"/>
  <c r="G439" i="6"/>
  <c r="G438" i="6" s="1"/>
  <c r="J438" i="6" s="1"/>
  <c r="I438" i="6"/>
  <c r="H438" i="6"/>
  <c r="H437" i="6"/>
  <c r="G437" i="6"/>
  <c r="G436" i="6" s="1"/>
  <c r="I436" i="6"/>
  <c r="H436" i="6"/>
  <c r="H435" i="6"/>
  <c r="G435" i="6"/>
  <c r="I434" i="6"/>
  <c r="H434" i="6"/>
  <c r="G434" i="6"/>
  <c r="H433" i="6"/>
  <c r="G433" i="6"/>
  <c r="G432" i="6" s="1"/>
  <c r="J432" i="6" s="1"/>
  <c r="I432" i="6"/>
  <c r="H432" i="6"/>
  <c r="H431" i="6"/>
  <c r="G431" i="6"/>
  <c r="J431" i="6" s="1"/>
  <c r="H430" i="6"/>
  <c r="G430" i="6"/>
  <c r="I429" i="6"/>
  <c r="H429" i="6"/>
  <c r="H428" i="6"/>
  <c r="G428" i="6"/>
  <c r="G427" i="6" s="1"/>
  <c r="J427" i="6" s="1"/>
  <c r="I427" i="6"/>
  <c r="H427" i="6"/>
  <c r="H426" i="6"/>
  <c r="G426" i="6"/>
  <c r="G425" i="6" s="1"/>
  <c r="I425" i="6"/>
  <c r="I424" i="6" s="1"/>
  <c r="H425" i="6"/>
  <c r="H424" i="6"/>
  <c r="H423" i="6"/>
  <c r="G423" i="6"/>
  <c r="G422" i="6" s="1"/>
  <c r="I422" i="6"/>
  <c r="H422" i="6"/>
  <c r="H421" i="6"/>
  <c r="G421" i="6"/>
  <c r="G420" i="6" s="1"/>
  <c r="J420" i="6" s="1"/>
  <c r="I420" i="6"/>
  <c r="H420" i="6"/>
  <c r="H419" i="6"/>
  <c r="G419" i="6"/>
  <c r="G418" i="6" s="1"/>
  <c r="J418" i="6" s="1"/>
  <c r="I418" i="6"/>
  <c r="H418" i="6"/>
  <c r="H417" i="6"/>
  <c r="G417" i="6"/>
  <c r="I416" i="6"/>
  <c r="H416" i="6"/>
  <c r="G416" i="6"/>
  <c r="H415" i="6"/>
  <c r="G415" i="6"/>
  <c r="G414" i="6" s="1"/>
  <c r="J414" i="6" s="1"/>
  <c r="I414" i="6"/>
  <c r="H414" i="6"/>
  <c r="H413" i="6"/>
  <c r="G413" i="6"/>
  <c r="G412" i="6" s="1"/>
  <c r="I412" i="6"/>
  <c r="H412" i="6"/>
  <c r="H411" i="6"/>
  <c r="G411" i="6"/>
  <c r="G410" i="6" s="1"/>
  <c r="I410" i="6"/>
  <c r="H410" i="6"/>
  <c r="H409" i="6"/>
  <c r="G409" i="6"/>
  <c r="G408" i="6" s="1"/>
  <c r="J408" i="6" s="1"/>
  <c r="I408" i="6"/>
  <c r="H408" i="6"/>
  <c r="H407" i="6"/>
  <c r="G407" i="6"/>
  <c r="G406" i="6" s="1"/>
  <c r="I406" i="6"/>
  <c r="H406" i="6"/>
  <c r="I405" i="6"/>
  <c r="H405" i="6"/>
  <c r="H404" i="6"/>
  <c r="G404" i="6"/>
  <c r="G403" i="6" s="1"/>
  <c r="I403" i="6"/>
  <c r="H403" i="6"/>
  <c r="H402" i="6"/>
  <c r="G402" i="6"/>
  <c r="G401" i="6" s="1"/>
  <c r="I401" i="6"/>
  <c r="H401" i="6"/>
  <c r="I400" i="6"/>
  <c r="H400" i="6"/>
  <c r="J399" i="6"/>
  <c r="H399" i="6"/>
  <c r="G399" i="6"/>
  <c r="G398" i="6" s="1"/>
  <c r="J398" i="6" s="1"/>
  <c r="I398" i="6"/>
  <c r="H398" i="6"/>
  <c r="J397" i="6"/>
  <c r="H397" i="6"/>
  <c r="I396" i="6"/>
  <c r="H396" i="6"/>
  <c r="J396" i="6" s="1"/>
  <c r="G396" i="6"/>
  <c r="H395" i="6"/>
  <c r="J395" i="6" s="1"/>
  <c r="I394" i="6"/>
  <c r="H394" i="6"/>
  <c r="G394" i="6"/>
  <c r="J394" i="6" s="1"/>
  <c r="H393" i="6"/>
  <c r="G393" i="6"/>
  <c r="J393" i="6" s="1"/>
  <c r="I392" i="6"/>
  <c r="H392" i="6"/>
  <c r="J391" i="6"/>
  <c r="H391" i="6"/>
  <c r="J390" i="6"/>
  <c r="I390" i="6"/>
  <c r="H390" i="6"/>
  <c r="G390" i="6"/>
  <c r="H389" i="6"/>
  <c r="G389" i="6"/>
  <c r="J389" i="6" s="1"/>
  <c r="I388" i="6"/>
  <c r="H388" i="6"/>
  <c r="H387" i="6"/>
  <c r="G387" i="6"/>
  <c r="J387" i="6" s="1"/>
  <c r="I386" i="6"/>
  <c r="H386" i="6"/>
  <c r="H385" i="6"/>
  <c r="G385" i="6"/>
  <c r="G384" i="6" s="1"/>
  <c r="J384" i="6" s="1"/>
  <c r="I384" i="6"/>
  <c r="I383" i="6" s="1"/>
  <c r="H384" i="6"/>
  <c r="H383" i="6"/>
  <c r="H382" i="6"/>
  <c r="G382" i="6"/>
  <c r="I381" i="6"/>
  <c r="H381" i="6"/>
  <c r="G381" i="6"/>
  <c r="J381" i="6" s="1"/>
  <c r="H380" i="6"/>
  <c r="G380" i="6"/>
  <c r="J380" i="6" s="1"/>
  <c r="I379" i="6"/>
  <c r="H379" i="6"/>
  <c r="H378" i="6"/>
  <c r="G378" i="6"/>
  <c r="J378" i="6" s="1"/>
  <c r="I377" i="6"/>
  <c r="H377" i="6"/>
  <c r="H376" i="6"/>
  <c r="J376" i="6" s="1"/>
  <c r="G376" i="6"/>
  <c r="G375" i="6" s="1"/>
  <c r="J375" i="6" s="1"/>
  <c r="I375" i="6"/>
  <c r="H375" i="6"/>
  <c r="H374" i="6"/>
  <c r="G374" i="6"/>
  <c r="J374" i="6" s="1"/>
  <c r="I373" i="6"/>
  <c r="H373" i="6"/>
  <c r="H372" i="6"/>
  <c r="G372" i="6"/>
  <c r="J372" i="6" s="1"/>
  <c r="I371" i="6"/>
  <c r="H371" i="6"/>
  <c r="H370" i="6"/>
  <c r="G370" i="6"/>
  <c r="G369" i="6" s="1"/>
  <c r="J369" i="6" s="1"/>
  <c r="I369" i="6"/>
  <c r="H369" i="6"/>
  <c r="H368" i="6"/>
  <c r="G368" i="6"/>
  <c r="J368" i="6" s="1"/>
  <c r="I367" i="6"/>
  <c r="H367" i="6"/>
  <c r="I366" i="6"/>
  <c r="H366" i="6"/>
  <c r="H365" i="6"/>
  <c r="J365" i="6" s="1"/>
  <c r="I364" i="6"/>
  <c r="H364" i="6"/>
  <c r="G364" i="6"/>
  <c r="J364" i="6" s="1"/>
  <c r="H363" i="6"/>
  <c r="G363" i="6"/>
  <c r="J363" i="6" s="1"/>
  <c r="I362" i="6"/>
  <c r="H362" i="6"/>
  <c r="J361" i="6"/>
  <c r="H361" i="6"/>
  <c r="I360" i="6"/>
  <c r="H360" i="6"/>
  <c r="J360" i="6" s="1"/>
  <c r="G360" i="6"/>
  <c r="H359" i="6"/>
  <c r="J359" i="6" s="1"/>
  <c r="I358" i="6"/>
  <c r="I357" i="6" s="1"/>
  <c r="H358" i="6"/>
  <c r="G358" i="6"/>
  <c r="J358" i="6" s="1"/>
  <c r="H357" i="6"/>
  <c r="H356" i="6"/>
  <c r="J356" i="6" s="1"/>
  <c r="J355" i="6"/>
  <c r="I355" i="6"/>
  <c r="H355" i="6"/>
  <c r="G355" i="6"/>
  <c r="H354" i="6"/>
  <c r="G354" i="6"/>
  <c r="G353" i="6" s="1"/>
  <c r="J353" i="6" s="1"/>
  <c r="I353" i="6"/>
  <c r="H353" i="6"/>
  <c r="H352" i="6"/>
  <c r="G352" i="6"/>
  <c r="J352" i="6" s="1"/>
  <c r="I351" i="6"/>
  <c r="H351" i="6"/>
  <c r="H350" i="6"/>
  <c r="J350" i="6" s="1"/>
  <c r="I349" i="6"/>
  <c r="I348" i="6" s="1"/>
  <c r="H349" i="6"/>
  <c r="G349" i="6"/>
  <c r="J349" i="6" s="1"/>
  <c r="H348" i="6"/>
  <c r="J347" i="6"/>
  <c r="H347" i="6"/>
  <c r="I346" i="6"/>
  <c r="H346" i="6"/>
  <c r="J346" i="6" s="1"/>
  <c r="G346" i="6"/>
  <c r="H345" i="6"/>
  <c r="J345" i="6" s="1"/>
  <c r="I344" i="6"/>
  <c r="H344" i="6"/>
  <c r="G344" i="6"/>
  <c r="J344" i="6" s="1"/>
  <c r="H343" i="6"/>
  <c r="J343" i="6" s="1"/>
  <c r="J342" i="6"/>
  <c r="I342" i="6"/>
  <c r="H342" i="6"/>
  <c r="G342" i="6"/>
  <c r="H341" i="6"/>
  <c r="J341" i="6" s="1"/>
  <c r="I340" i="6"/>
  <c r="H340" i="6"/>
  <c r="G340" i="6"/>
  <c r="J339" i="6"/>
  <c r="H339" i="6"/>
  <c r="I338" i="6"/>
  <c r="H338" i="6"/>
  <c r="J338" i="6" s="1"/>
  <c r="G338" i="6"/>
  <c r="H337" i="6"/>
  <c r="H336" i="6"/>
  <c r="J335" i="6"/>
  <c r="H335" i="6"/>
  <c r="G335" i="6"/>
  <c r="J334" i="6"/>
  <c r="H334" i="6"/>
  <c r="G334" i="6"/>
  <c r="J333" i="6"/>
  <c r="H333" i="6"/>
  <c r="G333" i="6"/>
  <c r="H332" i="6"/>
  <c r="G332" i="6"/>
  <c r="J332" i="6" s="1"/>
  <c r="J331" i="6"/>
  <c r="H331" i="6"/>
  <c r="G331" i="6"/>
  <c r="I330" i="6"/>
  <c r="H330" i="6"/>
  <c r="H329" i="6"/>
  <c r="J329" i="6" s="1"/>
  <c r="G329" i="6"/>
  <c r="H328" i="6"/>
  <c r="G328" i="6"/>
  <c r="J328" i="6" s="1"/>
  <c r="I327" i="6"/>
  <c r="H327" i="6"/>
  <c r="H326" i="6"/>
  <c r="J326" i="6" s="1"/>
  <c r="J325" i="6"/>
  <c r="H325" i="6"/>
  <c r="I324" i="6"/>
  <c r="H324" i="6"/>
  <c r="J324" i="6" s="1"/>
  <c r="G324" i="6"/>
  <c r="H323" i="6"/>
  <c r="G323" i="6"/>
  <c r="J323" i="6" s="1"/>
  <c r="I322" i="6"/>
  <c r="H322" i="6"/>
  <c r="G322" i="6"/>
  <c r="H321" i="6"/>
  <c r="J321" i="6" s="1"/>
  <c r="I320" i="6"/>
  <c r="H320" i="6"/>
  <c r="G320" i="6"/>
  <c r="J320" i="6" s="1"/>
  <c r="H319" i="6"/>
  <c r="G319" i="6"/>
  <c r="I318" i="6"/>
  <c r="H318" i="6"/>
  <c r="H317" i="6"/>
  <c r="G317" i="6"/>
  <c r="J317" i="6" s="1"/>
  <c r="I316" i="6"/>
  <c r="H316" i="6"/>
  <c r="H315" i="6"/>
  <c r="J315" i="6" s="1"/>
  <c r="J314" i="6"/>
  <c r="I314" i="6"/>
  <c r="H314" i="6"/>
  <c r="G314" i="6"/>
  <c r="H313" i="6"/>
  <c r="G313" i="6"/>
  <c r="J313" i="6" s="1"/>
  <c r="J312" i="6"/>
  <c r="I312" i="6"/>
  <c r="H312" i="6"/>
  <c r="G312" i="6"/>
  <c r="H311" i="6"/>
  <c r="G311" i="6"/>
  <c r="J311" i="6" s="1"/>
  <c r="H310" i="6"/>
  <c r="J310" i="6" s="1"/>
  <c r="I309" i="6"/>
  <c r="I308" i="6" s="1"/>
  <c r="H309" i="6"/>
  <c r="G309" i="6"/>
  <c r="H308" i="6"/>
  <c r="H307" i="6"/>
  <c r="G307" i="6"/>
  <c r="G306" i="6" s="1"/>
  <c r="I306" i="6"/>
  <c r="I303" i="6" s="1"/>
  <c r="H306" i="6"/>
  <c r="H305" i="6"/>
  <c r="G305" i="6"/>
  <c r="G304" i="6" s="1"/>
  <c r="I304" i="6"/>
  <c r="H304" i="6"/>
  <c r="H303" i="6"/>
  <c r="J302" i="6"/>
  <c r="H302" i="6"/>
  <c r="H301" i="6"/>
  <c r="J301" i="6" s="1"/>
  <c r="H300" i="6"/>
  <c r="G300" i="6"/>
  <c r="J300" i="6" s="1"/>
  <c r="H299" i="6"/>
  <c r="G299" i="6"/>
  <c r="J299" i="6" s="1"/>
  <c r="J298" i="6"/>
  <c r="H298" i="6"/>
  <c r="H297" i="6"/>
  <c r="G297" i="6"/>
  <c r="J297" i="6" s="1"/>
  <c r="H296" i="6"/>
  <c r="J296" i="6" s="1"/>
  <c r="I295" i="6"/>
  <c r="I286" i="6" s="1"/>
  <c r="H295" i="6"/>
  <c r="H294" i="6"/>
  <c r="G294" i="6"/>
  <c r="J294" i="6" s="1"/>
  <c r="H293" i="6"/>
  <c r="G293" i="6"/>
  <c r="J293" i="6" s="1"/>
  <c r="H292" i="6"/>
  <c r="G292" i="6"/>
  <c r="J292" i="6" s="1"/>
  <c r="J291" i="6"/>
  <c r="H291" i="6"/>
  <c r="G291" i="6"/>
  <c r="J290" i="6"/>
  <c r="H290" i="6"/>
  <c r="G290" i="6"/>
  <c r="J289" i="6"/>
  <c r="H289" i="6"/>
  <c r="H288" i="6"/>
  <c r="G288" i="6"/>
  <c r="I287" i="6"/>
  <c r="H287" i="6"/>
  <c r="H286" i="6"/>
  <c r="H285" i="6"/>
  <c r="G285" i="6"/>
  <c r="G284" i="6" s="1"/>
  <c r="J284" i="6" s="1"/>
  <c r="I284" i="6"/>
  <c r="H284" i="6"/>
  <c r="H283" i="6"/>
  <c r="G283" i="6"/>
  <c r="H282" i="6"/>
  <c r="G282" i="6"/>
  <c r="J282" i="6" s="1"/>
  <c r="H281" i="6"/>
  <c r="G281" i="6"/>
  <c r="H280" i="6"/>
  <c r="G280" i="6"/>
  <c r="H279" i="6"/>
  <c r="G279" i="6"/>
  <c r="J279" i="6" s="1"/>
  <c r="H278" i="6"/>
  <c r="G278" i="6"/>
  <c r="H277" i="6"/>
  <c r="G277" i="6"/>
  <c r="I276" i="6"/>
  <c r="H276" i="6"/>
  <c r="H275" i="6"/>
  <c r="J275" i="6" s="1"/>
  <c r="H274" i="6"/>
  <c r="G274" i="6"/>
  <c r="J274" i="6" s="1"/>
  <c r="J273" i="6"/>
  <c r="H273" i="6"/>
  <c r="I272" i="6"/>
  <c r="H272" i="6"/>
  <c r="H271" i="6"/>
  <c r="J271" i="6" s="1"/>
  <c r="H270" i="6"/>
  <c r="G270" i="6"/>
  <c r="G268" i="6" s="1"/>
  <c r="J269" i="6"/>
  <c r="H269" i="6"/>
  <c r="I268" i="6"/>
  <c r="H268" i="6"/>
  <c r="H267" i="6"/>
  <c r="J267" i="6" s="1"/>
  <c r="G267" i="6"/>
  <c r="H266" i="6"/>
  <c r="J266" i="6" s="1"/>
  <c r="H265" i="6"/>
  <c r="G265" i="6"/>
  <c r="J265" i="6" s="1"/>
  <c r="H264" i="6"/>
  <c r="G264" i="6"/>
  <c r="J264" i="6" s="1"/>
  <c r="H263" i="6"/>
  <c r="G263" i="6"/>
  <c r="J263" i="6" s="1"/>
  <c r="I262" i="6"/>
  <c r="I261" i="6" s="1"/>
  <c r="H262" i="6"/>
  <c r="H261" i="6"/>
  <c r="J260" i="6"/>
  <c r="H260" i="6"/>
  <c r="J259" i="6"/>
  <c r="I259" i="6"/>
  <c r="H259" i="6"/>
  <c r="G259" i="6"/>
  <c r="H258" i="6"/>
  <c r="J258" i="6" s="1"/>
  <c r="I257" i="6"/>
  <c r="H257" i="6"/>
  <c r="G257" i="6"/>
  <c r="J257" i="6" s="1"/>
  <c r="J256" i="6"/>
  <c r="H256" i="6"/>
  <c r="G256" i="6"/>
  <c r="G255" i="6" s="1"/>
  <c r="J255" i="6" s="1"/>
  <c r="I255" i="6"/>
  <c r="H255" i="6"/>
  <c r="J254" i="6"/>
  <c r="H254" i="6"/>
  <c r="G254" i="6"/>
  <c r="G253" i="6" s="1"/>
  <c r="J253" i="6" s="1"/>
  <c r="I253" i="6"/>
  <c r="H253" i="6"/>
  <c r="H252" i="6"/>
  <c r="G252" i="6"/>
  <c r="G251" i="6" s="1"/>
  <c r="J251" i="6" s="1"/>
  <c r="I251" i="6"/>
  <c r="I250" i="6" s="1"/>
  <c r="H251" i="6"/>
  <c r="H250" i="6"/>
  <c r="J249" i="6"/>
  <c r="H249" i="6"/>
  <c r="G249" i="6"/>
  <c r="I248" i="6"/>
  <c r="I245" i="6" s="1"/>
  <c r="H248" i="6"/>
  <c r="G248" i="6"/>
  <c r="J248" i="6" s="1"/>
  <c r="J247" i="6"/>
  <c r="H247" i="6"/>
  <c r="I246" i="6"/>
  <c r="H246" i="6"/>
  <c r="J246" i="6" s="1"/>
  <c r="G246" i="6"/>
  <c r="H245" i="6"/>
  <c r="H244" i="6"/>
  <c r="G244" i="6"/>
  <c r="G243" i="6" s="1"/>
  <c r="I243" i="6"/>
  <c r="H243" i="6"/>
  <c r="H242" i="6"/>
  <c r="G242" i="6"/>
  <c r="I241" i="6"/>
  <c r="H241" i="6"/>
  <c r="G241" i="6"/>
  <c r="H240" i="6"/>
  <c r="G240" i="6"/>
  <c r="I239" i="6"/>
  <c r="H239" i="6"/>
  <c r="J239" i="6" s="1"/>
  <c r="G239" i="6"/>
  <c r="H238" i="6"/>
  <c r="J238" i="6" s="1"/>
  <c r="I237" i="6"/>
  <c r="H237" i="6"/>
  <c r="G237" i="6"/>
  <c r="H236" i="6"/>
  <c r="J236" i="6" s="1"/>
  <c r="J235" i="6"/>
  <c r="I235" i="6"/>
  <c r="H235" i="6"/>
  <c r="G235" i="6"/>
  <c r="H234" i="6"/>
  <c r="J234" i="6" s="1"/>
  <c r="I233" i="6"/>
  <c r="I232" i="6" s="1"/>
  <c r="H233" i="6"/>
  <c r="G233" i="6"/>
  <c r="H232" i="6"/>
  <c r="H231" i="6"/>
  <c r="G231" i="6"/>
  <c r="G230" i="6" s="1"/>
  <c r="J230" i="6" s="1"/>
  <c r="I230" i="6"/>
  <c r="H230" i="6"/>
  <c r="J229" i="6"/>
  <c r="H229" i="6"/>
  <c r="I228" i="6"/>
  <c r="H228" i="6"/>
  <c r="J228" i="6" s="1"/>
  <c r="G228" i="6"/>
  <c r="H227" i="6"/>
  <c r="G227" i="6"/>
  <c r="G226" i="6" s="1"/>
  <c r="I226" i="6"/>
  <c r="I225" i="6" s="1"/>
  <c r="H226" i="6"/>
  <c r="H225" i="6"/>
  <c r="H224" i="6"/>
  <c r="G224" i="6"/>
  <c r="G223" i="6" s="1"/>
  <c r="J223" i="6" s="1"/>
  <c r="I223" i="6"/>
  <c r="H223" i="6"/>
  <c r="H222" i="6"/>
  <c r="G222" i="6"/>
  <c r="J222" i="6" s="1"/>
  <c r="H221" i="6"/>
  <c r="G221" i="6"/>
  <c r="J221" i="6" s="1"/>
  <c r="H220" i="6"/>
  <c r="J220" i="6" s="1"/>
  <c r="G220" i="6"/>
  <c r="I219" i="6"/>
  <c r="H219" i="6"/>
  <c r="H218" i="6"/>
  <c r="G218" i="6"/>
  <c r="J218" i="6" s="1"/>
  <c r="I217" i="6"/>
  <c r="H217" i="6"/>
  <c r="H216" i="6"/>
  <c r="G216" i="6"/>
  <c r="J216" i="6" s="1"/>
  <c r="H215" i="6"/>
  <c r="J215" i="6" s="1"/>
  <c r="I214" i="6"/>
  <c r="H214" i="6"/>
  <c r="I213" i="6"/>
  <c r="H213" i="6"/>
  <c r="H212" i="6"/>
  <c r="H211" i="6"/>
  <c r="J211" i="6" s="1"/>
  <c r="J210" i="6"/>
  <c r="H210" i="6"/>
  <c r="J209" i="6"/>
  <c r="I209" i="6"/>
  <c r="I208" i="6" s="1"/>
  <c r="J208" i="6" s="1"/>
  <c r="H209" i="6"/>
  <c r="G209" i="6"/>
  <c r="H208" i="6"/>
  <c r="G208" i="6"/>
  <c r="H207" i="6"/>
  <c r="G207" i="6"/>
  <c r="J207" i="6" s="1"/>
  <c r="H206" i="6"/>
  <c r="G206" i="6"/>
  <c r="J206" i="6" s="1"/>
  <c r="H205" i="6"/>
  <c r="G205" i="6"/>
  <c r="J205" i="6" s="1"/>
  <c r="I204" i="6"/>
  <c r="H204" i="6"/>
  <c r="H203" i="6"/>
  <c r="G203" i="6"/>
  <c r="J203" i="6" s="1"/>
  <c r="H202" i="6"/>
  <c r="G202" i="6"/>
  <c r="J202" i="6" s="1"/>
  <c r="H201" i="6"/>
  <c r="G201" i="6"/>
  <c r="J201" i="6" s="1"/>
  <c r="H200" i="6"/>
  <c r="G200" i="6"/>
  <c r="H199" i="6"/>
  <c r="G199" i="6"/>
  <c r="J199" i="6" s="1"/>
  <c r="H198" i="6"/>
  <c r="J198" i="6" s="1"/>
  <c r="I197" i="6"/>
  <c r="H197" i="6"/>
  <c r="H196" i="6"/>
  <c r="G196" i="6"/>
  <c r="J196" i="6" s="1"/>
  <c r="H195" i="6"/>
  <c r="G195" i="6"/>
  <c r="J195" i="6" s="1"/>
  <c r="H194" i="6"/>
  <c r="G194" i="6"/>
  <c r="J194" i="6" s="1"/>
  <c r="H193" i="6"/>
  <c r="G193" i="6"/>
  <c r="J193" i="6" s="1"/>
  <c r="I192" i="6"/>
  <c r="H192" i="6"/>
  <c r="G192" i="6"/>
  <c r="J192" i="6" s="1"/>
  <c r="H191" i="6"/>
  <c r="G191" i="6"/>
  <c r="J191" i="6" s="1"/>
  <c r="H190" i="6"/>
  <c r="G190" i="6"/>
  <c r="J190" i="6" s="1"/>
  <c r="H189" i="6"/>
  <c r="G189" i="6"/>
  <c r="I188" i="6"/>
  <c r="H188" i="6"/>
  <c r="H187" i="6"/>
  <c r="G187" i="6"/>
  <c r="J187" i="6" s="1"/>
  <c r="I186" i="6"/>
  <c r="H186" i="6"/>
  <c r="H185" i="6"/>
  <c r="G185" i="6"/>
  <c r="G184" i="6" s="1"/>
  <c r="J184" i="6" s="1"/>
  <c r="I184" i="6"/>
  <c r="H184" i="6"/>
  <c r="J183" i="6"/>
  <c r="H183" i="6"/>
  <c r="G183" i="6"/>
  <c r="G182" i="6" s="1"/>
  <c r="J182" i="6" s="1"/>
  <c r="I182" i="6"/>
  <c r="H182" i="6"/>
  <c r="H181" i="6"/>
  <c r="G181" i="6"/>
  <c r="J181" i="6" s="1"/>
  <c r="I180" i="6"/>
  <c r="H180" i="6"/>
  <c r="H179" i="6"/>
  <c r="H178" i="6"/>
  <c r="G178" i="6"/>
  <c r="G177" i="6" s="1"/>
  <c r="J177" i="6" s="1"/>
  <c r="I177" i="6"/>
  <c r="H177" i="6"/>
  <c r="H176" i="6"/>
  <c r="G176" i="6"/>
  <c r="J176" i="6" s="1"/>
  <c r="J175" i="6"/>
  <c r="H175" i="6"/>
  <c r="H174" i="6"/>
  <c r="G174" i="6"/>
  <c r="J174" i="6" s="1"/>
  <c r="H173" i="6"/>
  <c r="J173" i="6" s="1"/>
  <c r="H172" i="6"/>
  <c r="G172" i="6"/>
  <c r="J172" i="6" s="1"/>
  <c r="H171" i="6"/>
  <c r="J171" i="6" s="1"/>
  <c r="H170" i="6"/>
  <c r="G170" i="6"/>
  <c r="H169" i="6"/>
  <c r="G169" i="6"/>
  <c r="J169" i="6" s="1"/>
  <c r="H168" i="6"/>
  <c r="G168" i="6"/>
  <c r="J168" i="6" s="1"/>
  <c r="I167" i="6"/>
  <c r="H167" i="6"/>
  <c r="J166" i="6"/>
  <c r="H166" i="6"/>
  <c r="G166" i="6"/>
  <c r="H165" i="6"/>
  <c r="G165" i="6"/>
  <c r="J165" i="6" s="1"/>
  <c r="H164" i="6"/>
  <c r="G164" i="6"/>
  <c r="H163" i="6"/>
  <c r="G163" i="6"/>
  <c r="J163" i="6" s="1"/>
  <c r="J162" i="6"/>
  <c r="H162" i="6"/>
  <c r="H161" i="6"/>
  <c r="G161" i="6"/>
  <c r="H160" i="6"/>
  <c r="G160" i="6"/>
  <c r="J160" i="6" s="1"/>
  <c r="J159" i="6"/>
  <c r="H159" i="6"/>
  <c r="I158" i="6"/>
  <c r="I157" i="6" s="1"/>
  <c r="H158" i="6"/>
  <c r="H157" i="6"/>
  <c r="H156" i="6"/>
  <c r="G156" i="6"/>
  <c r="G155" i="6" s="1"/>
  <c r="I155" i="6"/>
  <c r="H155" i="6"/>
  <c r="H154" i="6"/>
  <c r="G154" i="6"/>
  <c r="J154" i="6" s="1"/>
  <c r="I153" i="6"/>
  <c r="H153" i="6"/>
  <c r="G153" i="6"/>
  <c r="H152" i="6"/>
  <c r="G152" i="6"/>
  <c r="J152" i="6" s="1"/>
  <c r="I151" i="6"/>
  <c r="H151" i="6"/>
  <c r="H150" i="6"/>
  <c r="G150" i="6"/>
  <c r="J150" i="6" s="1"/>
  <c r="I149" i="6"/>
  <c r="I148" i="6" s="1"/>
  <c r="H149" i="6"/>
  <c r="H148" i="6"/>
  <c r="H147" i="6"/>
  <c r="J147" i="6" s="1"/>
  <c r="I146" i="6"/>
  <c r="H146" i="6"/>
  <c r="G146" i="6"/>
  <c r="J146" i="6" s="1"/>
  <c r="H145" i="6"/>
  <c r="G145" i="6"/>
  <c r="J145" i="6" s="1"/>
  <c r="I144" i="6"/>
  <c r="H144" i="6"/>
  <c r="H143" i="6"/>
  <c r="G143" i="6"/>
  <c r="J143" i="6" s="1"/>
  <c r="I142" i="6"/>
  <c r="H142" i="6"/>
  <c r="H141" i="6"/>
  <c r="G141" i="6"/>
  <c r="I140" i="6"/>
  <c r="H140" i="6"/>
  <c r="H139" i="6"/>
  <c r="G139" i="6"/>
  <c r="J139" i="6" s="1"/>
  <c r="I138" i="6"/>
  <c r="H138" i="6"/>
  <c r="G138" i="6"/>
  <c r="J138" i="6" s="1"/>
  <c r="H137" i="6"/>
  <c r="G137" i="6"/>
  <c r="J137" i="6" s="1"/>
  <c r="I136" i="6"/>
  <c r="H136" i="6"/>
  <c r="H135" i="6"/>
  <c r="G135" i="6"/>
  <c r="J135" i="6" s="1"/>
  <c r="H134" i="6"/>
  <c r="G134" i="6"/>
  <c r="J134" i="6" s="1"/>
  <c r="H133" i="6"/>
  <c r="G133" i="6"/>
  <c r="J133" i="6" s="1"/>
  <c r="H132" i="6"/>
  <c r="G132" i="6"/>
  <c r="J132" i="6" s="1"/>
  <c r="H131" i="6"/>
  <c r="G131" i="6"/>
  <c r="J131" i="6" s="1"/>
  <c r="I130" i="6"/>
  <c r="I125" i="6" s="1"/>
  <c r="H130" i="6"/>
  <c r="H129" i="6"/>
  <c r="G129" i="6"/>
  <c r="I128" i="6"/>
  <c r="H128" i="6"/>
  <c r="H127" i="6"/>
  <c r="G127" i="6"/>
  <c r="J127" i="6" s="1"/>
  <c r="I126" i="6"/>
  <c r="H126" i="6"/>
  <c r="H125" i="6"/>
  <c r="H124" i="6"/>
  <c r="G124" i="6"/>
  <c r="J124" i="6" s="1"/>
  <c r="I123" i="6"/>
  <c r="H123" i="6"/>
  <c r="H122" i="6"/>
  <c r="G122" i="6"/>
  <c r="J122" i="6" s="1"/>
  <c r="I121" i="6"/>
  <c r="I116" i="6" s="1"/>
  <c r="H121" i="6"/>
  <c r="H120" i="6"/>
  <c r="G120" i="6"/>
  <c r="I119" i="6"/>
  <c r="H119" i="6"/>
  <c r="H118" i="6"/>
  <c r="G118" i="6"/>
  <c r="J118" i="6" s="1"/>
  <c r="I117" i="6"/>
  <c r="H117" i="6"/>
  <c r="H116" i="6"/>
  <c r="H115" i="6"/>
  <c r="G115" i="6"/>
  <c r="J115" i="6" s="1"/>
  <c r="I114" i="6"/>
  <c r="H114" i="6"/>
  <c r="H113" i="6"/>
  <c r="G113" i="6"/>
  <c r="J113" i="6" s="1"/>
  <c r="I112" i="6"/>
  <c r="I111" i="6" s="1"/>
  <c r="H112" i="6"/>
  <c r="H111" i="6"/>
  <c r="H110" i="6"/>
  <c r="J110" i="6" s="1"/>
  <c r="J109" i="6"/>
  <c r="I109" i="6"/>
  <c r="H109" i="6"/>
  <c r="G109" i="6"/>
  <c r="H108" i="6"/>
  <c r="G108" i="6"/>
  <c r="J108" i="6" s="1"/>
  <c r="I107" i="6"/>
  <c r="H107" i="6"/>
  <c r="I106" i="6"/>
  <c r="H106" i="6"/>
  <c r="H105" i="6"/>
  <c r="G105" i="6"/>
  <c r="J105" i="6" s="1"/>
  <c r="I104" i="6"/>
  <c r="H104" i="6"/>
  <c r="G104" i="6"/>
  <c r="J104" i="6" s="1"/>
  <c r="H103" i="6"/>
  <c r="J103" i="6" s="1"/>
  <c r="I102" i="6"/>
  <c r="J102" i="6" s="1"/>
  <c r="H102" i="6"/>
  <c r="G102" i="6"/>
  <c r="H101" i="6"/>
  <c r="G101" i="6"/>
  <c r="J101" i="6" s="1"/>
  <c r="H100" i="6"/>
  <c r="G100" i="6"/>
  <c r="I99" i="6"/>
  <c r="H99" i="6"/>
  <c r="H98" i="6"/>
  <c r="G98" i="6"/>
  <c r="J98" i="6" s="1"/>
  <c r="I97" i="6"/>
  <c r="H97" i="6"/>
  <c r="J96" i="6"/>
  <c r="H96" i="6"/>
  <c r="G96" i="6"/>
  <c r="I95" i="6"/>
  <c r="H95" i="6"/>
  <c r="G95" i="6"/>
  <c r="H94" i="6"/>
  <c r="G94" i="6"/>
  <c r="G93" i="6" s="1"/>
  <c r="I93" i="6"/>
  <c r="H93" i="6"/>
  <c r="J92" i="6"/>
  <c r="H92" i="6"/>
  <c r="G92" i="6"/>
  <c r="G91" i="6" s="1"/>
  <c r="J91" i="6" s="1"/>
  <c r="I91" i="6"/>
  <c r="H91" i="6"/>
  <c r="J90" i="6"/>
  <c r="H90" i="6"/>
  <c r="G90" i="6"/>
  <c r="G89" i="6" s="1"/>
  <c r="I89" i="6"/>
  <c r="H89" i="6"/>
  <c r="H88" i="6"/>
  <c r="H87" i="6"/>
  <c r="I86" i="6"/>
  <c r="I85" i="6" s="1"/>
  <c r="H86" i="6"/>
  <c r="G86" i="6"/>
  <c r="H85" i="6"/>
  <c r="I84" i="6"/>
  <c r="I83" i="6" s="1"/>
  <c r="H84" i="6"/>
  <c r="H83" i="6"/>
  <c r="G83" i="6"/>
  <c r="I82" i="6"/>
  <c r="I81" i="6" s="1"/>
  <c r="H82" i="6"/>
  <c r="H81" i="6"/>
  <c r="G81" i="6"/>
  <c r="I80" i="6"/>
  <c r="I79" i="6" s="1"/>
  <c r="H80" i="6"/>
  <c r="H79" i="6"/>
  <c r="G79" i="6"/>
  <c r="H78" i="6"/>
  <c r="I77" i="6"/>
  <c r="H77" i="6"/>
  <c r="G77" i="6"/>
  <c r="I76" i="6"/>
  <c r="H76" i="6"/>
  <c r="G76" i="6"/>
  <c r="I75" i="6"/>
  <c r="H75" i="6"/>
  <c r="G75" i="6"/>
  <c r="G74" i="6" s="1"/>
  <c r="H74" i="6"/>
  <c r="I73" i="6"/>
  <c r="I72" i="6" s="1"/>
  <c r="H73" i="6"/>
  <c r="G73" i="6"/>
  <c r="H72" i="6"/>
  <c r="H71" i="6"/>
  <c r="I70" i="6"/>
  <c r="H70" i="6"/>
  <c r="G70" i="6"/>
  <c r="I69" i="6"/>
  <c r="H69" i="6"/>
  <c r="G69" i="6"/>
  <c r="H68" i="6"/>
  <c r="I67" i="6"/>
  <c r="H67" i="6"/>
  <c r="G67" i="6"/>
  <c r="J67" i="6" s="1"/>
  <c r="I66" i="6"/>
  <c r="H66" i="6"/>
  <c r="G66" i="6"/>
  <c r="J66" i="6" s="1"/>
  <c r="H65" i="6"/>
  <c r="H64" i="6"/>
  <c r="I63" i="6"/>
  <c r="H63" i="6"/>
  <c r="J63" i="6" s="1"/>
  <c r="G63" i="6"/>
  <c r="I62" i="6"/>
  <c r="J62" i="6" s="1"/>
  <c r="H62" i="6"/>
  <c r="I61" i="6"/>
  <c r="J61" i="6" s="1"/>
  <c r="H61" i="6"/>
  <c r="I60" i="6"/>
  <c r="J60" i="6" s="1"/>
  <c r="H60" i="6"/>
  <c r="G60" i="6"/>
  <c r="I59" i="6"/>
  <c r="H59" i="6"/>
  <c r="G59" i="6"/>
  <c r="I58" i="6"/>
  <c r="H58" i="6"/>
  <c r="I57" i="6"/>
  <c r="H57" i="6"/>
  <c r="G57" i="6"/>
  <c r="I56" i="6"/>
  <c r="H56" i="6"/>
  <c r="G56" i="6"/>
  <c r="I55" i="6"/>
  <c r="H55" i="6"/>
  <c r="G55" i="6"/>
  <c r="H54" i="6"/>
  <c r="I53" i="6"/>
  <c r="J53" i="6" s="1"/>
  <c r="H53" i="6"/>
  <c r="H52" i="6"/>
  <c r="G52" i="6"/>
  <c r="H51" i="6"/>
  <c r="I50" i="6"/>
  <c r="H50" i="6"/>
  <c r="J50" i="6" s="1"/>
  <c r="I49" i="6"/>
  <c r="J49" i="6" s="1"/>
  <c r="H49" i="6"/>
  <c r="I48" i="6"/>
  <c r="H48" i="6"/>
  <c r="G48" i="6"/>
  <c r="J48" i="6" s="1"/>
  <c r="I47" i="6"/>
  <c r="H47" i="6"/>
  <c r="G47" i="6"/>
  <c r="G46" i="6" s="1"/>
  <c r="H46" i="6"/>
  <c r="I45" i="6"/>
  <c r="I44" i="6" s="1"/>
  <c r="H45" i="6"/>
  <c r="G45" i="6"/>
  <c r="H44" i="6"/>
  <c r="G44" i="6"/>
  <c r="I43" i="6"/>
  <c r="I42" i="6" s="1"/>
  <c r="H43" i="6"/>
  <c r="G43" i="6"/>
  <c r="H42" i="6"/>
  <c r="G42" i="6"/>
  <c r="J42" i="6" s="1"/>
  <c r="I41" i="6"/>
  <c r="H41" i="6"/>
  <c r="G41" i="6"/>
  <c r="J41" i="6" s="1"/>
  <c r="I40" i="6"/>
  <c r="H40" i="6"/>
  <c r="G40" i="6"/>
  <c r="I39" i="6"/>
  <c r="J39" i="6" s="1"/>
  <c r="H39" i="6"/>
  <c r="I38" i="6"/>
  <c r="H38" i="6"/>
  <c r="G38" i="6"/>
  <c r="J37" i="6"/>
  <c r="I37" i="6"/>
  <c r="H37" i="6"/>
  <c r="G37" i="6"/>
  <c r="I36" i="6"/>
  <c r="J36" i="6" s="1"/>
  <c r="H36" i="6"/>
  <c r="G36" i="6"/>
  <c r="G35" i="6" s="1"/>
  <c r="H35" i="6"/>
  <c r="I34" i="6"/>
  <c r="H34" i="6"/>
  <c r="G34" i="6"/>
  <c r="J34" i="6" s="1"/>
  <c r="I33" i="6"/>
  <c r="H33" i="6"/>
  <c r="G33" i="6"/>
  <c r="I32" i="6"/>
  <c r="H32" i="6"/>
  <c r="G32" i="6"/>
  <c r="J32" i="6" s="1"/>
  <c r="I31" i="6"/>
  <c r="H31" i="6"/>
  <c r="G31" i="6"/>
  <c r="I30" i="6"/>
  <c r="H30" i="6"/>
  <c r="G30" i="6"/>
  <c r="I29" i="6"/>
  <c r="J29" i="6" s="1"/>
  <c r="H29" i="6"/>
  <c r="H28" i="6"/>
  <c r="H27" i="6"/>
  <c r="H26" i="6"/>
  <c r="H25" i="6"/>
  <c r="J17" i="6"/>
  <c r="J58" i="6" l="1"/>
  <c r="G217" i="6"/>
  <c r="J217" i="6" s="1"/>
  <c r="J479" i="6"/>
  <c r="J80" i="6"/>
  <c r="G114" i="6"/>
  <c r="J114" i="6" s="1"/>
  <c r="G126" i="6"/>
  <c r="G149" i="6"/>
  <c r="J149" i="6" s="1"/>
  <c r="G316" i="6"/>
  <c r="J59" i="6"/>
  <c r="G287" i="6"/>
  <c r="J416" i="6"/>
  <c r="G144" i="6"/>
  <c r="J144" i="6" s="1"/>
  <c r="I68" i="6"/>
  <c r="I64" i="6" s="1"/>
  <c r="J44" i="6"/>
  <c r="G65" i="6"/>
  <c r="G188" i="6"/>
  <c r="J188" i="6" s="1"/>
  <c r="J252" i="6"/>
  <c r="J55" i="6"/>
  <c r="J82" i="6"/>
  <c r="J178" i="6"/>
  <c r="J417" i="6"/>
  <c r="G440" i="6"/>
  <c r="J440" i="6" s="1"/>
  <c r="G362" i="6"/>
  <c r="J362" i="6" s="1"/>
  <c r="J435" i="6"/>
  <c r="G447" i="6"/>
  <c r="J447" i="6" s="1"/>
  <c r="G214" i="6"/>
  <c r="J214" i="6" s="1"/>
  <c r="J89" i="6"/>
  <c r="G123" i="6"/>
  <c r="J123" i="6" s="1"/>
  <c r="G180" i="6"/>
  <c r="J180" i="6" s="1"/>
  <c r="G219" i="6"/>
  <c r="G99" i="6"/>
  <c r="J99" i="6" s="1"/>
  <c r="J185" i="6"/>
  <c r="J31" i="6"/>
  <c r="J231" i="6"/>
  <c r="J242" i="6"/>
  <c r="J65" i="6"/>
  <c r="J305" i="6"/>
  <c r="J43" i="6"/>
  <c r="I46" i="6"/>
  <c r="J75" i="6"/>
  <c r="J164" i="6"/>
  <c r="G276" i="6"/>
  <c r="J276" i="6" s="1"/>
  <c r="J40" i="6"/>
  <c r="I52" i="6"/>
  <c r="J52" i="6" s="1"/>
  <c r="I65" i="6"/>
  <c r="J100" i="6"/>
  <c r="J189" i="6"/>
  <c r="J270" i="6"/>
  <c r="J277" i="6"/>
  <c r="J283" i="6"/>
  <c r="J322" i="6"/>
  <c r="J354" i="6"/>
  <c r="J95" i="6"/>
  <c r="I74" i="6"/>
  <c r="I71" i="6" s="1"/>
  <c r="G97" i="6"/>
  <c r="J97" i="6" s="1"/>
  <c r="G158" i="6"/>
  <c r="J158" i="6" s="1"/>
  <c r="G186" i="6"/>
  <c r="J186" i="6" s="1"/>
  <c r="J370" i="6"/>
  <c r="G484" i="6"/>
  <c r="J484" i="6" s="1"/>
  <c r="J485" i="6"/>
  <c r="J33" i="6"/>
  <c r="J73" i="6"/>
  <c r="J77" i="6"/>
  <c r="J170" i="6"/>
  <c r="J307" i="6"/>
  <c r="J30" i="6"/>
  <c r="J83" i="6"/>
  <c r="G117" i="6"/>
  <c r="G151" i="6"/>
  <c r="J151" i="6" s="1"/>
  <c r="J161" i="6"/>
  <c r="J200" i="6"/>
  <c r="J458" i="6"/>
  <c r="G457" i="6"/>
  <c r="J457" i="6" s="1"/>
  <c r="I28" i="6"/>
  <c r="I27" i="6" s="1"/>
  <c r="J38" i="6"/>
  <c r="J69" i="6"/>
  <c r="J84" i="6"/>
  <c r="G107" i="6"/>
  <c r="J241" i="6"/>
  <c r="G262" i="6"/>
  <c r="J280" i="6"/>
  <c r="G330" i="6"/>
  <c r="J330" i="6" s="1"/>
  <c r="G357" i="6"/>
  <c r="J46" i="6"/>
  <c r="J79" i="6"/>
  <c r="J94" i="6"/>
  <c r="J219" i="6"/>
  <c r="J402" i="6"/>
  <c r="J425" i="6"/>
  <c r="J441" i="6"/>
  <c r="J382" i="6"/>
  <c r="J459" i="6"/>
  <c r="J426" i="6"/>
  <c r="J470" i="6"/>
  <c r="J491" i="6"/>
  <c r="J410" i="6"/>
  <c r="J422" i="6"/>
  <c r="G450" i="6"/>
  <c r="J450" i="6" s="1"/>
  <c r="J411" i="6"/>
  <c r="J434" i="6"/>
  <c r="J456" i="6"/>
  <c r="J385" i="6"/>
  <c r="J401" i="6"/>
  <c r="J423" i="6"/>
  <c r="G429" i="6"/>
  <c r="J429" i="6" s="1"/>
  <c r="G54" i="6"/>
  <c r="J57" i="6"/>
  <c r="J126" i="6"/>
  <c r="G495" i="6"/>
  <c r="J495" i="6" s="1"/>
  <c r="J496" i="6"/>
  <c r="J306" i="6"/>
  <c r="G400" i="6"/>
  <c r="J400" i="6" s="1"/>
  <c r="J403" i="6"/>
  <c r="G28" i="6"/>
  <c r="I35" i="6"/>
  <c r="J35" i="6" s="1"/>
  <c r="J47" i="6"/>
  <c r="J70" i="6"/>
  <c r="I88" i="6"/>
  <c r="I212" i="6"/>
  <c r="I337" i="6"/>
  <c r="I336" i="6" s="1"/>
  <c r="G465" i="6"/>
  <c r="J466" i="6"/>
  <c r="G486" i="6"/>
  <c r="J486" i="6" s="1"/>
  <c r="J487" i="6"/>
  <c r="I54" i="6"/>
  <c r="I51" i="6" s="1"/>
  <c r="I179" i="6"/>
  <c r="G232" i="6"/>
  <c r="J232" i="6" s="1"/>
  <c r="J237" i="6"/>
  <c r="G471" i="6"/>
  <c r="J471" i="6" s="1"/>
  <c r="J472" i="6"/>
  <c r="J493" i="6"/>
  <c r="G119" i="6"/>
  <c r="J119" i="6" s="1"/>
  <c r="J120" i="6"/>
  <c r="J93" i="6"/>
  <c r="J117" i="6"/>
  <c r="J155" i="6"/>
  <c r="J281" i="6"/>
  <c r="J309" i="6"/>
  <c r="G318" i="6"/>
  <c r="J318" i="6" s="1"/>
  <c r="J319" i="6"/>
  <c r="G337" i="6"/>
  <c r="J226" i="6"/>
  <c r="G225" i="6"/>
  <c r="J225" i="6" s="1"/>
  <c r="J287" i="6"/>
  <c r="G498" i="6"/>
  <c r="J499" i="6"/>
  <c r="G128" i="6"/>
  <c r="J128" i="6" s="1"/>
  <c r="J129" i="6"/>
  <c r="J233" i="6"/>
  <c r="J268" i="6"/>
  <c r="G405" i="6"/>
  <c r="J405" i="6" s="1"/>
  <c r="J406" i="6"/>
  <c r="G480" i="6"/>
  <c r="J480" i="6" s="1"/>
  <c r="J481" i="6"/>
  <c r="G72" i="6"/>
  <c r="I78" i="6"/>
  <c r="J86" i="6"/>
  <c r="G85" i="6"/>
  <c r="G140" i="6"/>
  <c r="J140" i="6" s="1"/>
  <c r="J141" i="6"/>
  <c r="J243" i="6"/>
  <c r="G303" i="6"/>
  <c r="J303" i="6" s="1"/>
  <c r="J304" i="6"/>
  <c r="J357" i="6"/>
  <c r="J412" i="6"/>
  <c r="J56" i="6"/>
  <c r="J45" i="6"/>
  <c r="J81" i="6"/>
  <c r="J153" i="6"/>
  <c r="J316" i="6"/>
  <c r="G474" i="6"/>
  <c r="J475" i="6"/>
  <c r="G167" i="6"/>
  <c r="J240" i="6"/>
  <c r="J278" i="6"/>
  <c r="J436" i="6"/>
  <c r="J442" i="6"/>
  <c r="J156" i="6"/>
  <c r="J224" i="6"/>
  <c r="J227" i="6"/>
  <c r="G272" i="6"/>
  <c r="J272" i="6" s="1"/>
  <c r="J340" i="6"/>
  <c r="G351" i="6"/>
  <c r="J351" i="6" s="1"/>
  <c r="G367" i="6"/>
  <c r="G373" i="6"/>
  <c r="J373" i="6" s="1"/>
  <c r="G379" i="6"/>
  <c r="J379" i="6" s="1"/>
  <c r="G388" i="6"/>
  <c r="J388" i="6" s="1"/>
  <c r="J409" i="6"/>
  <c r="J415" i="6"/>
  <c r="J421" i="6"/>
  <c r="J430" i="6"/>
  <c r="J433" i="6"/>
  <c r="J439" i="6"/>
  <c r="J445" i="6"/>
  <c r="J448" i="6"/>
  <c r="J451" i="6"/>
  <c r="J454" i="6"/>
  <c r="G68" i="6"/>
  <c r="G197" i="6"/>
  <c r="J197" i="6" s="1"/>
  <c r="G250" i="6"/>
  <c r="J250" i="6" s="1"/>
  <c r="G112" i="6"/>
  <c r="G121" i="6"/>
  <c r="J121" i="6" s="1"/>
  <c r="G130" i="6"/>
  <c r="J130" i="6" s="1"/>
  <c r="G136" i="6"/>
  <c r="J136" i="6" s="1"/>
  <c r="G142" i="6"/>
  <c r="J142" i="6" s="1"/>
  <c r="G392" i="6"/>
  <c r="J392" i="6" s="1"/>
  <c r="G467" i="6"/>
  <c r="J467" i="6" s="1"/>
  <c r="G476" i="6"/>
  <c r="J476" i="6" s="1"/>
  <c r="G482" i="6"/>
  <c r="J482" i="6" s="1"/>
  <c r="G488" i="6"/>
  <c r="J488" i="6" s="1"/>
  <c r="G500" i="6"/>
  <c r="J500" i="6" s="1"/>
  <c r="J76" i="6"/>
  <c r="G204" i="6"/>
  <c r="J204" i="6" s="1"/>
  <c r="J244" i="6"/>
  <c r="J285" i="6"/>
  <c r="J288" i="6"/>
  <c r="G327" i="6"/>
  <c r="J327" i="6" s="1"/>
  <c r="G371" i="6"/>
  <c r="J371" i="6" s="1"/>
  <c r="G377" i="6"/>
  <c r="J377" i="6" s="1"/>
  <c r="G386" i="6"/>
  <c r="J386" i="6" s="1"/>
  <c r="J404" i="6"/>
  <c r="J407" i="6"/>
  <c r="J413" i="6"/>
  <c r="J419" i="6"/>
  <c r="J428" i="6"/>
  <c r="J437" i="6"/>
  <c r="G295" i="6"/>
  <c r="J295" i="6" s="1"/>
  <c r="G245" i="6"/>
  <c r="J245" i="6" s="1"/>
  <c r="G261" i="6" l="1"/>
  <c r="J261" i="6" s="1"/>
  <c r="G213" i="6"/>
  <c r="G446" i="6"/>
  <c r="J446" i="6" s="1"/>
  <c r="G148" i="6"/>
  <c r="J148" i="6" s="1"/>
  <c r="G424" i="6"/>
  <c r="J424" i="6" s="1"/>
  <c r="G88" i="6"/>
  <c r="G125" i="6"/>
  <c r="J125" i="6" s="1"/>
  <c r="J74" i="6"/>
  <c r="G286" i="6"/>
  <c r="J286" i="6" s="1"/>
  <c r="G348" i="6"/>
  <c r="J348" i="6" s="1"/>
  <c r="J262" i="6"/>
  <c r="G106" i="6"/>
  <c r="J106" i="6" s="1"/>
  <c r="J107" i="6"/>
  <c r="J85" i="6"/>
  <c r="G78" i="6"/>
  <c r="J78" i="6" s="1"/>
  <c r="J72" i="6"/>
  <c r="G71" i="6"/>
  <c r="J71" i="6" s="1"/>
  <c r="J112" i="6"/>
  <c r="G111" i="6"/>
  <c r="J111" i="6" s="1"/>
  <c r="J68" i="6"/>
  <c r="G64" i="6"/>
  <c r="J64" i="6" s="1"/>
  <c r="J167" i="6"/>
  <c r="G157" i="6"/>
  <c r="J157" i="6" s="1"/>
  <c r="I26" i="6"/>
  <c r="G383" i="6"/>
  <c r="J383" i="6" s="1"/>
  <c r="G51" i="6"/>
  <c r="J51" i="6" s="1"/>
  <c r="J54" i="6"/>
  <c r="J337" i="6"/>
  <c r="I87" i="6"/>
  <c r="G179" i="6"/>
  <c r="J179" i="6" s="1"/>
  <c r="J465" i="6"/>
  <c r="G464" i="6"/>
  <c r="G116" i="6"/>
  <c r="J116" i="6" s="1"/>
  <c r="G308" i="6"/>
  <c r="J308" i="6" s="1"/>
  <c r="J88" i="6"/>
  <c r="G27" i="6"/>
  <c r="J28" i="6"/>
  <c r="J213" i="6"/>
  <c r="G366" i="6"/>
  <c r="J366" i="6" s="1"/>
  <c r="J367" i="6"/>
  <c r="G492" i="6"/>
  <c r="J492" i="6" s="1"/>
  <c r="J474" i="6"/>
  <c r="G473" i="6"/>
  <c r="J473" i="6" s="1"/>
  <c r="J498" i="6"/>
  <c r="G497" i="6"/>
  <c r="J497" i="6" s="1"/>
  <c r="G87" i="6" l="1"/>
  <c r="J87" i="6" s="1"/>
  <c r="J27" i="6"/>
  <c r="G26" i="6"/>
  <c r="G463" i="6"/>
  <c r="J463" i="6" s="1"/>
  <c r="J464" i="6"/>
  <c r="G212" i="6"/>
  <c r="J212" i="6" s="1"/>
  <c r="G336" i="6"/>
  <c r="J336" i="6" s="1"/>
  <c r="I25" i="6"/>
  <c r="G25" i="6" l="1"/>
  <c r="J25" i="6" s="1"/>
  <c r="K463" i="6" s="1"/>
  <c r="J26" i="6"/>
  <c r="K212" i="6" l="1"/>
  <c r="K27" i="6"/>
  <c r="K26" i="6"/>
  <c r="K169" i="6"/>
  <c r="K166" i="6"/>
  <c r="K163" i="6"/>
  <c r="K387" i="6"/>
  <c r="K271" i="6"/>
  <c r="K34" i="6"/>
  <c r="K372" i="6"/>
  <c r="K48" i="6"/>
  <c r="K39" i="6"/>
  <c r="K29" i="6"/>
  <c r="K205" i="6"/>
  <c r="K162" i="6"/>
  <c r="K199" i="6"/>
  <c r="K58" i="6"/>
  <c r="K165" i="6"/>
  <c r="K168" i="6"/>
  <c r="K378" i="6"/>
  <c r="K210" i="6"/>
  <c r="K370" i="6"/>
  <c r="K229" i="6"/>
  <c r="K183" i="6"/>
  <c r="K38" i="6"/>
  <c r="K40" i="6"/>
  <c r="K96" i="6"/>
  <c r="K164" i="6"/>
  <c r="K460" i="6"/>
  <c r="K256" i="6"/>
  <c r="K133" i="6"/>
  <c r="K236" i="6"/>
  <c r="K189" i="6"/>
  <c r="K231" i="6"/>
  <c r="K456" i="6"/>
  <c r="K459" i="6"/>
  <c r="K330" i="6"/>
  <c r="K90" i="6"/>
  <c r="K325" i="6"/>
  <c r="K311" i="6"/>
  <c r="K283" i="6"/>
  <c r="K187" i="6"/>
  <c r="K41" i="6"/>
  <c r="K154" i="6"/>
  <c r="K196" i="6"/>
  <c r="K470" i="6"/>
  <c r="K267" i="6"/>
  <c r="K247" i="6"/>
  <c r="K193" i="6"/>
  <c r="K62" i="6"/>
  <c r="K242" i="6"/>
  <c r="K105" i="6"/>
  <c r="K292" i="6"/>
  <c r="K63" i="6"/>
  <c r="K352" i="6"/>
  <c r="K98" i="6"/>
  <c r="K118" i="6"/>
  <c r="K341" i="6"/>
  <c r="K113" i="6"/>
  <c r="K315" i="6"/>
  <c r="K108" i="6"/>
  <c r="K305" i="6"/>
  <c r="K211" i="6"/>
  <c r="K291" i="6"/>
  <c r="K297" i="6"/>
  <c r="K361" i="6"/>
  <c r="K103" i="6"/>
  <c r="K170" i="6"/>
  <c r="K376" i="6"/>
  <c r="K172" i="6"/>
  <c r="K331" i="6"/>
  <c r="K501" i="6"/>
  <c r="K202" i="6"/>
  <c r="K443" i="6"/>
  <c r="K354" i="6"/>
  <c r="K302" i="6"/>
  <c r="K333" i="6"/>
  <c r="K215" i="6"/>
  <c r="K181" i="6"/>
  <c r="K191" i="6"/>
  <c r="K321" i="6"/>
  <c r="K300" i="6"/>
  <c r="K66" i="6"/>
  <c r="K317" i="6"/>
  <c r="K53" i="6"/>
  <c r="K389" i="6"/>
  <c r="K313" i="6"/>
  <c r="K220" i="6"/>
  <c r="K171" i="6"/>
  <c r="K391" i="6"/>
  <c r="K347" i="6"/>
  <c r="K382" i="6"/>
  <c r="K49" i="6"/>
  <c r="K301" i="6"/>
  <c r="K260" i="6"/>
  <c r="K323" i="6"/>
  <c r="K273" i="6"/>
  <c r="K198" i="6"/>
  <c r="K483" i="6"/>
  <c r="K218" i="6"/>
  <c r="K334" i="6"/>
  <c r="K94" i="6"/>
  <c r="K356" i="6"/>
  <c r="K135" i="6"/>
  <c r="K124" i="6"/>
  <c r="K326" i="6"/>
  <c r="K147" i="6"/>
  <c r="K50" i="6"/>
  <c r="K328" i="6"/>
  <c r="K359" i="6"/>
  <c r="K279" i="6"/>
  <c r="K307" i="6"/>
  <c r="K176" i="6"/>
  <c r="K32" i="6"/>
  <c r="K385" i="6"/>
  <c r="K152" i="6"/>
  <c r="K335" i="6"/>
  <c r="K100" i="6"/>
  <c r="K36" i="6"/>
  <c r="K417" i="6"/>
  <c r="K194" i="6"/>
  <c r="K222" i="6"/>
  <c r="K290" i="6"/>
  <c r="K200" i="6"/>
  <c r="K491" i="6"/>
  <c r="K252" i="6"/>
  <c r="K423" i="6"/>
  <c r="K435" i="6"/>
  <c r="K195" i="6"/>
  <c r="K258" i="6"/>
  <c r="K350" i="6"/>
  <c r="K178" i="6"/>
  <c r="K343" i="6"/>
  <c r="K399" i="6"/>
  <c r="K274" i="6"/>
  <c r="K134" i="6"/>
  <c r="K452" i="6"/>
  <c r="K190" i="6"/>
  <c r="K143" i="6"/>
  <c r="K238" i="6"/>
  <c r="K462" i="6"/>
  <c r="K249" i="6"/>
  <c r="K458" i="6"/>
  <c r="K201" i="6"/>
  <c r="K368" i="6"/>
  <c r="K69" i="6"/>
  <c r="K43" i="6"/>
  <c r="K73" i="6"/>
  <c r="K294" i="6"/>
  <c r="K374" i="6"/>
  <c r="K363" i="6"/>
  <c r="K84" i="6"/>
  <c r="K280" i="6"/>
  <c r="K393" i="6"/>
  <c r="K145" i="6"/>
  <c r="K468" i="6"/>
  <c r="K216" i="6"/>
  <c r="K207" i="6"/>
  <c r="K67" i="6"/>
  <c r="K264" i="6"/>
  <c r="K82" i="6"/>
  <c r="K254" i="6"/>
  <c r="K479" i="6"/>
  <c r="K206" i="6"/>
  <c r="K397" i="6"/>
  <c r="K131" i="6"/>
  <c r="K30" i="6"/>
  <c r="K33" i="6"/>
  <c r="K92" i="6"/>
  <c r="K477" i="6"/>
  <c r="K449" i="6"/>
  <c r="K110" i="6"/>
  <c r="K329" i="6"/>
  <c r="K61" i="6"/>
  <c r="K345" i="6"/>
  <c r="K263" i="6"/>
  <c r="K489" i="6"/>
  <c r="K221" i="6"/>
  <c r="K266" i="6"/>
  <c r="K75" i="6"/>
  <c r="K298" i="6"/>
  <c r="K174" i="6"/>
  <c r="K270" i="6"/>
  <c r="K494" i="6"/>
  <c r="K402" i="6"/>
  <c r="K137" i="6"/>
  <c r="K485" i="6"/>
  <c r="K37" i="6"/>
  <c r="K55" i="6"/>
  <c r="K115" i="6"/>
  <c r="K122" i="6"/>
  <c r="K339" i="6"/>
  <c r="K127" i="6"/>
  <c r="K269" i="6"/>
  <c r="K80" i="6"/>
  <c r="K289" i="6"/>
  <c r="K234" i="6"/>
  <c r="K159" i="6"/>
  <c r="K296" i="6"/>
  <c r="K395" i="6"/>
  <c r="K59" i="6"/>
  <c r="K31" i="6"/>
  <c r="K411" i="6"/>
  <c r="K173" i="6"/>
  <c r="K60" i="6"/>
  <c r="K426" i="6"/>
  <c r="K365" i="6"/>
  <c r="K282" i="6"/>
  <c r="K101" i="6"/>
  <c r="K380" i="6"/>
  <c r="K265" i="6"/>
  <c r="K185" i="6"/>
  <c r="K175" i="6"/>
  <c r="K275" i="6"/>
  <c r="K310" i="6"/>
  <c r="K277" i="6"/>
  <c r="K161" i="6"/>
  <c r="K150" i="6"/>
  <c r="K431" i="6"/>
  <c r="K203" i="6"/>
  <c r="K332" i="6"/>
  <c r="K441" i="6"/>
  <c r="K160" i="6"/>
  <c r="K77" i="6"/>
  <c r="K132" i="6"/>
  <c r="K139" i="6"/>
  <c r="K299" i="6"/>
  <c r="K293" i="6"/>
  <c r="K433" i="6"/>
  <c r="K409" i="6"/>
  <c r="K47" i="6"/>
  <c r="K419" i="6"/>
  <c r="K442" i="6"/>
  <c r="K129" i="6"/>
  <c r="K499" i="6"/>
  <c r="K156" i="6"/>
  <c r="K45" i="6"/>
  <c r="K451" i="6"/>
  <c r="K454" i="6"/>
  <c r="K472" i="6"/>
  <c r="K481" i="6"/>
  <c r="K278" i="6"/>
  <c r="K141" i="6"/>
  <c r="K76" i="6"/>
  <c r="K281" i="6"/>
  <c r="K421" i="6"/>
  <c r="K428" i="6"/>
  <c r="K413" i="6"/>
  <c r="K400" i="6"/>
  <c r="K288" i="6"/>
  <c r="K437" i="6"/>
  <c r="K430" i="6"/>
  <c r="K56" i="6"/>
  <c r="K496" i="6"/>
  <c r="K466" i="6"/>
  <c r="K448" i="6"/>
  <c r="K244" i="6"/>
  <c r="K57" i="6"/>
  <c r="K240" i="6"/>
  <c r="K439" i="6"/>
  <c r="K319" i="6"/>
  <c r="K224" i="6"/>
  <c r="K487" i="6"/>
  <c r="K407" i="6"/>
  <c r="K475" i="6"/>
  <c r="K415" i="6"/>
  <c r="K70" i="6"/>
  <c r="K227" i="6"/>
  <c r="K120" i="6"/>
  <c r="K285" i="6"/>
  <c r="K445" i="6"/>
  <c r="K86" i="6"/>
  <c r="K404" i="6"/>
  <c r="K87" i="6"/>
  <c r="K28" i="6"/>
  <c r="K336" i="6"/>
  <c r="K25" i="6" l="1"/>
  <c r="H501" i="5"/>
  <c r="H500" i="5" s="1"/>
  <c r="G501" i="5"/>
  <c r="H499" i="5"/>
  <c r="H498" i="5" s="1"/>
  <c r="G499" i="5"/>
  <c r="I499" i="5" s="1"/>
  <c r="G498" i="5"/>
  <c r="H496" i="5"/>
  <c r="G496" i="5"/>
  <c r="I496" i="5" s="1"/>
  <c r="H495" i="5"/>
  <c r="G495" i="5"/>
  <c r="I495" i="5" s="1"/>
  <c r="I494" i="5"/>
  <c r="H494" i="5"/>
  <c r="H493" i="5" s="1"/>
  <c r="G494" i="5"/>
  <c r="G493" i="5" s="1"/>
  <c r="H491" i="5"/>
  <c r="H490" i="5" s="1"/>
  <c r="G491" i="5"/>
  <c r="G490" i="5" s="1"/>
  <c r="H489" i="5"/>
  <c r="H488" i="5" s="1"/>
  <c r="G489" i="5"/>
  <c r="G488" i="5"/>
  <c r="H487" i="5"/>
  <c r="H486" i="5" s="1"/>
  <c r="G487" i="5"/>
  <c r="G486" i="5" s="1"/>
  <c r="I486" i="5" s="1"/>
  <c r="H485" i="5"/>
  <c r="H484" i="5" s="1"/>
  <c r="G485" i="5"/>
  <c r="G484" i="5" s="1"/>
  <c r="I483" i="5"/>
  <c r="H483" i="5"/>
  <c r="H482" i="5" s="1"/>
  <c r="G483" i="5"/>
  <c r="G482" i="5" s="1"/>
  <c r="H481" i="5"/>
  <c r="H480" i="5" s="1"/>
  <c r="G481" i="5"/>
  <c r="I481" i="5" s="1"/>
  <c r="G480" i="5"/>
  <c r="I480" i="5" s="1"/>
  <c r="H479" i="5"/>
  <c r="H478" i="5" s="1"/>
  <c r="G479" i="5"/>
  <c r="G478" i="5" s="1"/>
  <c r="H477" i="5"/>
  <c r="H476" i="5" s="1"/>
  <c r="G477" i="5"/>
  <c r="H475" i="5"/>
  <c r="H474" i="5" s="1"/>
  <c r="G475" i="5"/>
  <c r="G474" i="5" s="1"/>
  <c r="H472" i="5"/>
  <c r="G472" i="5"/>
  <c r="G471" i="5" s="1"/>
  <c r="H471" i="5"/>
  <c r="H470" i="5"/>
  <c r="H469" i="5" s="1"/>
  <c r="G470" i="5"/>
  <c r="H468" i="5"/>
  <c r="G468" i="5"/>
  <c r="G467" i="5" s="1"/>
  <c r="H467" i="5"/>
  <c r="H466" i="5"/>
  <c r="H465" i="5" s="1"/>
  <c r="G466" i="5"/>
  <c r="I466" i="5" s="1"/>
  <c r="H462" i="5"/>
  <c r="G462" i="5"/>
  <c r="I462" i="5" s="1"/>
  <c r="H461" i="5"/>
  <c r="G461" i="5"/>
  <c r="I461" i="5" s="1"/>
  <c r="H460" i="5"/>
  <c r="G460" i="5"/>
  <c r="I460" i="5" s="1"/>
  <c r="H459" i="5"/>
  <c r="H457" i="5" s="1"/>
  <c r="G459" i="5"/>
  <c r="I459" i="5" s="1"/>
  <c r="H458" i="5"/>
  <c r="G458" i="5"/>
  <c r="H456" i="5"/>
  <c r="H455" i="5" s="1"/>
  <c r="G456" i="5"/>
  <c r="I456" i="5" s="1"/>
  <c r="H454" i="5"/>
  <c r="H453" i="5" s="1"/>
  <c r="G454" i="5"/>
  <c r="H452" i="5"/>
  <c r="G452" i="5"/>
  <c r="I452" i="5" s="1"/>
  <c r="H451" i="5"/>
  <c r="G451" i="5"/>
  <c r="H449" i="5"/>
  <c r="G449" i="5"/>
  <c r="I449" i="5" s="1"/>
  <c r="H448" i="5"/>
  <c r="G448" i="5"/>
  <c r="H445" i="5"/>
  <c r="H444" i="5" s="1"/>
  <c r="G445" i="5"/>
  <c r="G444" i="5" s="1"/>
  <c r="H443" i="5"/>
  <c r="G443" i="5"/>
  <c r="I443" i="5" s="1"/>
  <c r="H442" i="5"/>
  <c r="G442" i="5"/>
  <c r="H441" i="5"/>
  <c r="G441" i="5"/>
  <c r="I441" i="5" s="1"/>
  <c r="H439" i="5"/>
  <c r="H438" i="5" s="1"/>
  <c r="G439" i="5"/>
  <c r="I439" i="5" s="1"/>
  <c r="H437" i="5"/>
  <c r="H436" i="5" s="1"/>
  <c r="G437" i="5"/>
  <c r="I437" i="5" s="1"/>
  <c r="H435" i="5"/>
  <c r="G435" i="5"/>
  <c r="I435" i="5" s="1"/>
  <c r="H434" i="5"/>
  <c r="G434" i="5"/>
  <c r="H433" i="5"/>
  <c r="H432" i="5" s="1"/>
  <c r="G433" i="5"/>
  <c r="I433" i="5" s="1"/>
  <c r="H431" i="5"/>
  <c r="G431" i="5"/>
  <c r="I431" i="5" s="1"/>
  <c r="H430" i="5"/>
  <c r="G430" i="5"/>
  <c r="H429" i="5"/>
  <c r="H428" i="5"/>
  <c r="H427" i="5" s="1"/>
  <c r="G428" i="5"/>
  <c r="I428" i="5" s="1"/>
  <c r="G427" i="5"/>
  <c r="I427" i="5" s="1"/>
  <c r="H426" i="5"/>
  <c r="H425" i="5" s="1"/>
  <c r="G426" i="5"/>
  <c r="H423" i="5"/>
  <c r="H422" i="5" s="1"/>
  <c r="G423" i="5"/>
  <c r="G422" i="5" s="1"/>
  <c r="H421" i="5"/>
  <c r="H420" i="5" s="1"/>
  <c r="G421" i="5"/>
  <c r="H419" i="5"/>
  <c r="H418" i="5" s="1"/>
  <c r="G419" i="5"/>
  <c r="G418" i="5" s="1"/>
  <c r="H417" i="5"/>
  <c r="H416" i="5" s="1"/>
  <c r="G417" i="5"/>
  <c r="G416" i="5"/>
  <c r="I416" i="5" s="1"/>
  <c r="H415" i="5"/>
  <c r="G415" i="5"/>
  <c r="G414" i="5" s="1"/>
  <c r="H413" i="5"/>
  <c r="H412" i="5" s="1"/>
  <c r="G413" i="5"/>
  <c r="G412" i="5"/>
  <c r="H411" i="5"/>
  <c r="G411" i="5"/>
  <c r="I411" i="5" s="1"/>
  <c r="H410" i="5"/>
  <c r="H409" i="5"/>
  <c r="H408" i="5" s="1"/>
  <c r="G409" i="5"/>
  <c r="I409" i="5" s="1"/>
  <c r="H407" i="5"/>
  <c r="H406" i="5" s="1"/>
  <c r="G407" i="5"/>
  <c r="G406" i="5" s="1"/>
  <c r="I404" i="5"/>
  <c r="H404" i="5"/>
  <c r="H403" i="5" s="1"/>
  <c r="G404" i="5"/>
  <c r="G403" i="5" s="1"/>
  <c r="H402" i="5"/>
  <c r="H401" i="5" s="1"/>
  <c r="G402" i="5"/>
  <c r="I402" i="5" s="1"/>
  <c r="H399" i="5"/>
  <c r="G399" i="5"/>
  <c r="G398" i="5" s="1"/>
  <c r="I398" i="5" s="1"/>
  <c r="H398" i="5"/>
  <c r="H397" i="5"/>
  <c r="H396" i="5" s="1"/>
  <c r="G397" i="5"/>
  <c r="I397" i="5" s="1"/>
  <c r="H395" i="5"/>
  <c r="H394" i="5" s="1"/>
  <c r="G395" i="5"/>
  <c r="G394" i="5" s="1"/>
  <c r="H393" i="5"/>
  <c r="H392" i="5" s="1"/>
  <c r="G393" i="5"/>
  <c r="G392" i="5"/>
  <c r="H391" i="5"/>
  <c r="G391" i="5"/>
  <c r="G390" i="5" s="1"/>
  <c r="H389" i="5"/>
  <c r="H388" i="5" s="1"/>
  <c r="G389" i="5"/>
  <c r="I389" i="5" s="1"/>
  <c r="H387" i="5"/>
  <c r="G387" i="5"/>
  <c r="G386" i="5" s="1"/>
  <c r="H386" i="5"/>
  <c r="H385" i="5"/>
  <c r="H384" i="5" s="1"/>
  <c r="G385" i="5"/>
  <c r="I385" i="5" s="1"/>
  <c r="H382" i="5"/>
  <c r="H381" i="5" s="1"/>
  <c r="G382" i="5"/>
  <c r="G381" i="5" s="1"/>
  <c r="H380" i="5"/>
  <c r="G380" i="5"/>
  <c r="G379" i="5" s="1"/>
  <c r="H378" i="5"/>
  <c r="H377" i="5" s="1"/>
  <c r="G378" i="5"/>
  <c r="I378" i="5" s="1"/>
  <c r="H376" i="5"/>
  <c r="G376" i="5"/>
  <c r="G375" i="5" s="1"/>
  <c r="H375" i="5"/>
  <c r="H374" i="5"/>
  <c r="H373" i="5" s="1"/>
  <c r="G374" i="5"/>
  <c r="H372" i="5"/>
  <c r="H371" i="5" s="1"/>
  <c r="G372" i="5"/>
  <c r="H370" i="5"/>
  <c r="H369" i="5" s="1"/>
  <c r="G370" i="5"/>
  <c r="I370" i="5" s="1"/>
  <c r="H368" i="5"/>
  <c r="G368" i="5"/>
  <c r="G367" i="5" s="1"/>
  <c r="H367" i="5"/>
  <c r="H365" i="5"/>
  <c r="G365" i="5"/>
  <c r="H364" i="5"/>
  <c r="H363" i="5"/>
  <c r="G363" i="5"/>
  <c r="I363" i="5" s="1"/>
  <c r="H362" i="5"/>
  <c r="H361" i="5"/>
  <c r="H360" i="5" s="1"/>
  <c r="G361" i="5"/>
  <c r="G360" i="5" s="1"/>
  <c r="H359" i="5"/>
  <c r="H358" i="5" s="1"/>
  <c r="G359" i="5"/>
  <c r="I359" i="5" s="1"/>
  <c r="H356" i="5"/>
  <c r="H355" i="5" s="1"/>
  <c r="G356" i="5"/>
  <c r="G355" i="5"/>
  <c r="H354" i="5"/>
  <c r="G354" i="5"/>
  <c r="G353" i="5" s="1"/>
  <c r="H353" i="5"/>
  <c r="H352" i="5"/>
  <c r="G352" i="5"/>
  <c r="H351" i="5"/>
  <c r="G351" i="5"/>
  <c r="H350" i="5"/>
  <c r="H349" i="5" s="1"/>
  <c r="G350" i="5"/>
  <c r="I350" i="5" s="1"/>
  <c r="H347" i="5"/>
  <c r="G347" i="5"/>
  <c r="G346" i="5" s="1"/>
  <c r="H346" i="5"/>
  <c r="H345" i="5"/>
  <c r="H344" i="5" s="1"/>
  <c r="G345" i="5"/>
  <c r="G344" i="5" s="1"/>
  <c r="H343" i="5"/>
  <c r="H342" i="5" s="1"/>
  <c r="G343" i="5"/>
  <c r="H341" i="5"/>
  <c r="H340" i="5" s="1"/>
  <c r="G341" i="5"/>
  <c r="G340" i="5"/>
  <c r="H339" i="5"/>
  <c r="G339" i="5"/>
  <c r="G338" i="5"/>
  <c r="H335" i="5"/>
  <c r="G335" i="5"/>
  <c r="I335" i="5" s="1"/>
  <c r="H334" i="5"/>
  <c r="G334" i="5"/>
  <c r="H333" i="5"/>
  <c r="G333" i="5"/>
  <c r="I333" i="5" s="1"/>
  <c r="H332" i="5"/>
  <c r="G332" i="5"/>
  <c r="I332" i="5" s="1"/>
  <c r="H331" i="5"/>
  <c r="H330" i="5" s="1"/>
  <c r="G331" i="5"/>
  <c r="H329" i="5"/>
  <c r="G329" i="5"/>
  <c r="I329" i="5" s="1"/>
  <c r="H328" i="5"/>
  <c r="G328" i="5"/>
  <c r="H327" i="5"/>
  <c r="H326" i="5"/>
  <c r="G326" i="5"/>
  <c r="I326" i="5" s="1"/>
  <c r="H325" i="5"/>
  <c r="H324" i="5" s="1"/>
  <c r="G325" i="5"/>
  <c r="G324" i="5" s="1"/>
  <c r="H323" i="5"/>
  <c r="G323" i="5"/>
  <c r="G322" i="5" s="1"/>
  <c r="H321" i="5"/>
  <c r="H320" i="5" s="1"/>
  <c r="G321" i="5"/>
  <c r="H319" i="5"/>
  <c r="G319" i="5"/>
  <c r="G318" i="5" s="1"/>
  <c r="I318" i="5" s="1"/>
  <c r="H318" i="5"/>
  <c r="H317" i="5"/>
  <c r="H316" i="5" s="1"/>
  <c r="G317" i="5"/>
  <c r="I317" i="5" s="1"/>
  <c r="H315" i="5"/>
  <c r="G315" i="5"/>
  <c r="G314" i="5" s="1"/>
  <c r="H314" i="5"/>
  <c r="H313" i="5"/>
  <c r="H312" i="5" s="1"/>
  <c r="G313" i="5"/>
  <c r="H311" i="5"/>
  <c r="G311" i="5"/>
  <c r="H310" i="5"/>
  <c r="G310" i="5"/>
  <c r="H307" i="5"/>
  <c r="H306" i="5" s="1"/>
  <c r="G307" i="5"/>
  <c r="I307" i="5" s="1"/>
  <c r="G306" i="5"/>
  <c r="H305" i="5"/>
  <c r="H304" i="5" s="1"/>
  <c r="G305" i="5"/>
  <c r="G304" i="5"/>
  <c r="I302" i="5"/>
  <c r="H302" i="5"/>
  <c r="G302" i="5"/>
  <c r="H301" i="5"/>
  <c r="I301" i="5" s="1"/>
  <c r="G301" i="5"/>
  <c r="H300" i="5"/>
  <c r="G300" i="5"/>
  <c r="H299" i="5"/>
  <c r="G299" i="5"/>
  <c r="I299" i="5" s="1"/>
  <c r="H298" i="5"/>
  <c r="G298" i="5"/>
  <c r="H297" i="5"/>
  <c r="G297" i="5"/>
  <c r="I297" i="5" s="1"/>
  <c r="H296" i="5"/>
  <c r="G296" i="5"/>
  <c r="I296" i="5" s="1"/>
  <c r="H294" i="5"/>
  <c r="G294" i="5"/>
  <c r="I294" i="5" s="1"/>
  <c r="H293" i="5"/>
  <c r="G293" i="5"/>
  <c r="H292" i="5"/>
  <c r="G292" i="5"/>
  <c r="H291" i="5"/>
  <c r="G291" i="5"/>
  <c r="I291" i="5" s="1"/>
  <c r="H290" i="5"/>
  <c r="G290" i="5"/>
  <c r="H289" i="5"/>
  <c r="G289" i="5"/>
  <c r="H288" i="5"/>
  <c r="G288" i="5"/>
  <c r="H285" i="5"/>
  <c r="H284" i="5" s="1"/>
  <c r="G285" i="5"/>
  <c r="H283" i="5"/>
  <c r="I283" i="5" s="1"/>
  <c r="G283" i="5"/>
  <c r="H282" i="5"/>
  <c r="G282" i="5"/>
  <c r="I282" i="5" s="1"/>
  <c r="H281" i="5"/>
  <c r="G281" i="5"/>
  <c r="H280" i="5"/>
  <c r="G280" i="5"/>
  <c r="I280" i="5" s="1"/>
  <c r="H279" i="5"/>
  <c r="I279" i="5" s="1"/>
  <c r="G279" i="5"/>
  <c r="H278" i="5"/>
  <c r="G278" i="5"/>
  <c r="I278" i="5" s="1"/>
  <c r="H277" i="5"/>
  <c r="G277" i="5"/>
  <c r="I277" i="5" s="1"/>
  <c r="I275" i="5"/>
  <c r="H275" i="5"/>
  <c r="G275" i="5"/>
  <c r="H274" i="5"/>
  <c r="G274" i="5"/>
  <c r="H273" i="5"/>
  <c r="G273" i="5"/>
  <c r="H271" i="5"/>
  <c r="G271" i="5"/>
  <c r="H270" i="5"/>
  <c r="G270" i="5"/>
  <c r="H269" i="5"/>
  <c r="H268" i="5" s="1"/>
  <c r="G269" i="5"/>
  <c r="H267" i="5"/>
  <c r="G267" i="5"/>
  <c r="H266" i="5"/>
  <c r="G266" i="5"/>
  <c r="I266" i="5" s="1"/>
  <c r="H265" i="5"/>
  <c r="G265" i="5"/>
  <c r="I265" i="5" s="1"/>
  <c r="H264" i="5"/>
  <c r="G264" i="5"/>
  <c r="I264" i="5" s="1"/>
  <c r="H263" i="5"/>
  <c r="G263" i="5"/>
  <c r="H260" i="5"/>
  <c r="H259" i="5" s="1"/>
  <c r="G260" i="5"/>
  <c r="G259" i="5" s="1"/>
  <c r="H258" i="5"/>
  <c r="H257" i="5" s="1"/>
  <c r="G258" i="5"/>
  <c r="I258" i="5" s="1"/>
  <c r="H256" i="5"/>
  <c r="G256" i="5"/>
  <c r="H255" i="5"/>
  <c r="I254" i="5"/>
  <c r="H254" i="5"/>
  <c r="H253" i="5" s="1"/>
  <c r="G254" i="5"/>
  <c r="G253" i="5"/>
  <c r="H252" i="5"/>
  <c r="H251" i="5" s="1"/>
  <c r="G252" i="5"/>
  <c r="G251" i="5" s="1"/>
  <c r="H249" i="5"/>
  <c r="H248" i="5" s="1"/>
  <c r="G249" i="5"/>
  <c r="H247" i="5"/>
  <c r="G247" i="5"/>
  <c r="I247" i="5" s="1"/>
  <c r="H246" i="5"/>
  <c r="H244" i="5"/>
  <c r="H243" i="5" s="1"/>
  <c r="G244" i="5"/>
  <c r="G243" i="5" s="1"/>
  <c r="H242" i="5"/>
  <c r="H241" i="5" s="1"/>
  <c r="G242" i="5"/>
  <c r="H240" i="5"/>
  <c r="H239" i="5" s="1"/>
  <c r="G240" i="5"/>
  <c r="H238" i="5"/>
  <c r="G238" i="5"/>
  <c r="I238" i="5" s="1"/>
  <c r="H237" i="5"/>
  <c r="H236" i="5"/>
  <c r="H235" i="5" s="1"/>
  <c r="G236" i="5"/>
  <c r="G235" i="5"/>
  <c r="H234" i="5"/>
  <c r="H233" i="5" s="1"/>
  <c r="G234" i="5"/>
  <c r="H231" i="5"/>
  <c r="I231" i="5" s="1"/>
  <c r="G231" i="5"/>
  <c r="G230" i="5"/>
  <c r="H229" i="5"/>
  <c r="H228" i="5" s="1"/>
  <c r="G229" i="5"/>
  <c r="G228" i="5" s="1"/>
  <c r="I228" i="5" s="1"/>
  <c r="H227" i="5"/>
  <c r="H226" i="5" s="1"/>
  <c r="G227" i="5"/>
  <c r="H224" i="5"/>
  <c r="H223" i="5" s="1"/>
  <c r="G224" i="5"/>
  <c r="G223" i="5" s="1"/>
  <c r="I223" i="5" s="1"/>
  <c r="H222" i="5"/>
  <c r="G222" i="5"/>
  <c r="H221" i="5"/>
  <c r="G221" i="5"/>
  <c r="H220" i="5"/>
  <c r="G220" i="5"/>
  <c r="G219" i="5" s="1"/>
  <c r="H218" i="5"/>
  <c r="G218" i="5"/>
  <c r="I218" i="5" s="1"/>
  <c r="H217" i="5"/>
  <c r="H216" i="5"/>
  <c r="G216" i="5"/>
  <c r="G214" i="5" s="1"/>
  <c r="H215" i="5"/>
  <c r="H214" i="5" s="1"/>
  <c r="G215" i="5"/>
  <c r="H211" i="5"/>
  <c r="G211" i="5"/>
  <c r="H210" i="5"/>
  <c r="G210" i="5"/>
  <c r="H207" i="5"/>
  <c r="G207" i="5"/>
  <c r="I207" i="5" s="1"/>
  <c r="H206" i="5"/>
  <c r="G206" i="5"/>
  <c r="I206" i="5" s="1"/>
  <c r="H205" i="5"/>
  <c r="G205" i="5"/>
  <c r="I205" i="5" s="1"/>
  <c r="H203" i="5"/>
  <c r="G203" i="5"/>
  <c r="H202" i="5"/>
  <c r="G202" i="5"/>
  <c r="I202" i="5" s="1"/>
  <c r="H201" i="5"/>
  <c r="G201" i="5"/>
  <c r="I201" i="5" s="1"/>
  <c r="H200" i="5"/>
  <c r="G200" i="5"/>
  <c r="H199" i="5"/>
  <c r="G199" i="5"/>
  <c r="H198" i="5"/>
  <c r="G198" i="5"/>
  <c r="I198" i="5" s="1"/>
  <c r="H196" i="5"/>
  <c r="G196" i="5"/>
  <c r="I196" i="5" s="1"/>
  <c r="H195" i="5"/>
  <c r="G195" i="5"/>
  <c r="I195" i="5" s="1"/>
  <c r="H194" i="5"/>
  <c r="G194" i="5"/>
  <c r="I194" i="5" s="1"/>
  <c r="H193" i="5"/>
  <c r="G193" i="5"/>
  <c r="I193" i="5" s="1"/>
  <c r="H191" i="5"/>
  <c r="G191" i="5"/>
  <c r="H190" i="5"/>
  <c r="G190" i="5"/>
  <c r="H189" i="5"/>
  <c r="G189" i="5"/>
  <c r="H187" i="5"/>
  <c r="G187" i="5"/>
  <c r="G186" i="5" s="1"/>
  <c r="H186" i="5"/>
  <c r="H185" i="5"/>
  <c r="H184" i="5" s="1"/>
  <c r="G185" i="5"/>
  <c r="I185" i="5" s="1"/>
  <c r="H183" i="5"/>
  <c r="H182" i="5" s="1"/>
  <c r="G183" i="5"/>
  <c r="H181" i="5"/>
  <c r="H180" i="5" s="1"/>
  <c r="G181" i="5"/>
  <c r="G180" i="5" s="1"/>
  <c r="I180" i="5" s="1"/>
  <c r="H178" i="5"/>
  <c r="H177" i="5" s="1"/>
  <c r="G178" i="5"/>
  <c r="I178" i="5" s="1"/>
  <c r="H176" i="5"/>
  <c r="G176" i="5"/>
  <c r="I176" i="5" s="1"/>
  <c r="H175" i="5"/>
  <c r="G175" i="5"/>
  <c r="H174" i="5"/>
  <c r="G174" i="5"/>
  <c r="I174" i="5" s="1"/>
  <c r="H173" i="5"/>
  <c r="G173" i="5"/>
  <c r="I173" i="5" s="1"/>
  <c r="H172" i="5"/>
  <c r="G172" i="5"/>
  <c r="I171" i="5"/>
  <c r="H171" i="5"/>
  <c r="G171" i="5"/>
  <c r="H170" i="5"/>
  <c r="G170" i="5"/>
  <c r="I170" i="5" s="1"/>
  <c r="H169" i="5"/>
  <c r="G169" i="5"/>
  <c r="H168" i="5"/>
  <c r="G168" i="5"/>
  <c r="H166" i="5"/>
  <c r="G166" i="5"/>
  <c r="I166" i="5" s="1"/>
  <c r="H165" i="5"/>
  <c r="G165" i="5"/>
  <c r="I165" i="5" s="1"/>
  <c r="H164" i="5"/>
  <c r="G164" i="5"/>
  <c r="I164" i="5" s="1"/>
  <c r="H163" i="5"/>
  <c r="G163" i="5"/>
  <c r="I163" i="5" s="1"/>
  <c r="H162" i="5"/>
  <c r="G162" i="5"/>
  <c r="I162" i="5" s="1"/>
  <c r="H161" i="5"/>
  <c r="G161" i="5"/>
  <c r="I161" i="5" s="1"/>
  <c r="H160" i="5"/>
  <c r="G160" i="5"/>
  <c r="I160" i="5" s="1"/>
  <c r="H159" i="5"/>
  <c r="G159" i="5"/>
  <c r="I159" i="5" s="1"/>
  <c r="H156" i="5"/>
  <c r="H155" i="5" s="1"/>
  <c r="G156" i="5"/>
  <c r="I156" i="5" s="1"/>
  <c r="H154" i="5"/>
  <c r="H153" i="5" s="1"/>
  <c r="G154" i="5"/>
  <c r="H152" i="5"/>
  <c r="H151" i="5" s="1"/>
  <c r="G152" i="5"/>
  <c r="G151" i="5" s="1"/>
  <c r="H150" i="5"/>
  <c r="H149" i="5" s="1"/>
  <c r="G150" i="5"/>
  <c r="I150" i="5" s="1"/>
  <c r="H147" i="5"/>
  <c r="H146" i="5" s="1"/>
  <c r="G147" i="5"/>
  <c r="H145" i="5"/>
  <c r="H144" i="5" s="1"/>
  <c r="G145" i="5"/>
  <c r="G144" i="5" s="1"/>
  <c r="I144" i="5" s="1"/>
  <c r="H143" i="5"/>
  <c r="H142" i="5" s="1"/>
  <c r="G143" i="5"/>
  <c r="I143" i="5" s="1"/>
  <c r="H141" i="5"/>
  <c r="H140" i="5" s="1"/>
  <c r="G141" i="5"/>
  <c r="G140" i="5"/>
  <c r="I140" i="5" s="1"/>
  <c r="H139" i="5"/>
  <c r="H138" i="5" s="1"/>
  <c r="G139" i="5"/>
  <c r="G138" i="5" s="1"/>
  <c r="H137" i="5"/>
  <c r="H136" i="5" s="1"/>
  <c r="G137" i="5"/>
  <c r="G136" i="5" s="1"/>
  <c r="H135" i="5"/>
  <c r="G135" i="5"/>
  <c r="I135" i="5" s="1"/>
  <c r="H134" i="5"/>
  <c r="G134" i="5"/>
  <c r="I134" i="5" s="1"/>
  <c r="H133" i="5"/>
  <c r="G133" i="5"/>
  <c r="H132" i="5"/>
  <c r="G132" i="5"/>
  <c r="H131" i="5"/>
  <c r="G131" i="5"/>
  <c r="I131" i="5" s="1"/>
  <c r="H129" i="5"/>
  <c r="H128" i="5" s="1"/>
  <c r="G129" i="5"/>
  <c r="I129" i="5" s="1"/>
  <c r="H127" i="5"/>
  <c r="H126" i="5" s="1"/>
  <c r="G127" i="5"/>
  <c r="H124" i="5"/>
  <c r="H123" i="5" s="1"/>
  <c r="G124" i="5"/>
  <c r="I124" i="5" s="1"/>
  <c r="H122" i="5"/>
  <c r="H121" i="5" s="1"/>
  <c r="G122" i="5"/>
  <c r="G121" i="5"/>
  <c r="H120" i="5"/>
  <c r="H119" i="5" s="1"/>
  <c r="G120" i="5"/>
  <c r="G119" i="5" s="1"/>
  <c r="H118" i="5"/>
  <c r="H117" i="5" s="1"/>
  <c r="I117" i="5" s="1"/>
  <c r="G118" i="5"/>
  <c r="G117" i="5" s="1"/>
  <c r="H115" i="5"/>
  <c r="H114" i="5" s="1"/>
  <c r="G115" i="5"/>
  <c r="G114" i="5" s="1"/>
  <c r="H113" i="5"/>
  <c r="H112" i="5" s="1"/>
  <c r="G113" i="5"/>
  <c r="H110" i="5"/>
  <c r="H109" i="5" s="1"/>
  <c r="G110" i="5"/>
  <c r="I110" i="5" s="1"/>
  <c r="I108" i="5"/>
  <c r="H108" i="5"/>
  <c r="G108" i="5"/>
  <c r="H107" i="5"/>
  <c r="G107" i="5"/>
  <c r="H105" i="5"/>
  <c r="H104" i="5" s="1"/>
  <c r="G105" i="5"/>
  <c r="I105" i="5" s="1"/>
  <c r="H103" i="5"/>
  <c r="H102" i="5" s="1"/>
  <c r="G103" i="5"/>
  <c r="I103" i="5" s="1"/>
  <c r="H101" i="5"/>
  <c r="G101" i="5"/>
  <c r="G99" i="5" s="1"/>
  <c r="I99" i="5" s="1"/>
  <c r="H100" i="5"/>
  <c r="H99" i="5" s="1"/>
  <c r="G100" i="5"/>
  <c r="H98" i="5"/>
  <c r="H97" i="5" s="1"/>
  <c r="G98" i="5"/>
  <c r="G97" i="5"/>
  <c r="I97" i="5" s="1"/>
  <c r="H96" i="5"/>
  <c r="I96" i="5" s="1"/>
  <c r="G96" i="5"/>
  <c r="G95" i="5" s="1"/>
  <c r="H94" i="5"/>
  <c r="H93" i="5" s="1"/>
  <c r="G94" i="5"/>
  <c r="H92" i="5"/>
  <c r="H91" i="5" s="1"/>
  <c r="G92" i="5"/>
  <c r="H90" i="5"/>
  <c r="H89" i="5" s="1"/>
  <c r="G90" i="5"/>
  <c r="G89" i="5" s="1"/>
  <c r="H86" i="5"/>
  <c r="G86" i="5"/>
  <c r="G85" i="5" s="1"/>
  <c r="I85" i="5" s="1"/>
  <c r="H85" i="5"/>
  <c r="H84" i="5"/>
  <c r="H83" i="5" s="1"/>
  <c r="G84" i="5"/>
  <c r="I84" i="5" s="1"/>
  <c r="H82" i="5"/>
  <c r="H81" i="5" s="1"/>
  <c r="G82" i="5"/>
  <c r="G81" i="5"/>
  <c r="H80" i="5"/>
  <c r="H79" i="5" s="1"/>
  <c r="G80" i="5"/>
  <c r="G79" i="5" s="1"/>
  <c r="H77" i="5"/>
  <c r="G77" i="5"/>
  <c r="H76" i="5"/>
  <c r="G76" i="5"/>
  <c r="I76" i="5" s="1"/>
  <c r="H75" i="5"/>
  <c r="H74" i="5" s="1"/>
  <c r="G75" i="5"/>
  <c r="H73" i="5"/>
  <c r="H72" i="5" s="1"/>
  <c r="G73" i="5"/>
  <c r="G72" i="5" s="1"/>
  <c r="H70" i="5"/>
  <c r="G70" i="5"/>
  <c r="H69" i="5"/>
  <c r="G69" i="5"/>
  <c r="H67" i="5"/>
  <c r="G67" i="5"/>
  <c r="I67" i="5" s="1"/>
  <c r="H66" i="5"/>
  <c r="G66" i="5"/>
  <c r="I66" i="5" s="1"/>
  <c r="H65" i="5"/>
  <c r="H63" i="5"/>
  <c r="G63" i="5"/>
  <c r="I63" i="5" s="1"/>
  <c r="H62" i="5"/>
  <c r="G62" i="5"/>
  <c r="H61" i="5"/>
  <c r="I61" i="5" s="1"/>
  <c r="G61" i="5"/>
  <c r="H60" i="5"/>
  <c r="G60" i="5"/>
  <c r="I60" i="5" s="1"/>
  <c r="H59" i="5"/>
  <c r="G59" i="5"/>
  <c r="H58" i="5"/>
  <c r="I58" i="5" s="1"/>
  <c r="G58" i="5"/>
  <c r="H57" i="5"/>
  <c r="G57" i="5"/>
  <c r="H56" i="5"/>
  <c r="G56" i="5"/>
  <c r="I56" i="5" s="1"/>
  <c r="H55" i="5"/>
  <c r="G55" i="5"/>
  <c r="I55" i="5" s="1"/>
  <c r="H53" i="5"/>
  <c r="H52" i="5" s="1"/>
  <c r="G53" i="5"/>
  <c r="H50" i="5"/>
  <c r="G50" i="5"/>
  <c r="I50" i="5" s="1"/>
  <c r="H49" i="5"/>
  <c r="I49" i="5" s="1"/>
  <c r="G49" i="5"/>
  <c r="H48" i="5"/>
  <c r="G48" i="5"/>
  <c r="H47" i="5"/>
  <c r="G47" i="5"/>
  <c r="H45" i="5"/>
  <c r="G45" i="5"/>
  <c r="I45" i="5" s="1"/>
  <c r="H44" i="5"/>
  <c r="H43" i="5"/>
  <c r="H42" i="5" s="1"/>
  <c r="G43" i="5"/>
  <c r="H41" i="5"/>
  <c r="G41" i="5"/>
  <c r="I41" i="5" s="1"/>
  <c r="H40" i="5"/>
  <c r="G40" i="5"/>
  <c r="I40" i="5" s="1"/>
  <c r="H39" i="5"/>
  <c r="G39" i="5"/>
  <c r="I39" i="5" s="1"/>
  <c r="H38" i="5"/>
  <c r="G38" i="5"/>
  <c r="I38" i="5" s="1"/>
  <c r="H37" i="5"/>
  <c r="G37" i="5"/>
  <c r="I37" i="5" s="1"/>
  <c r="H36" i="5"/>
  <c r="G36" i="5"/>
  <c r="H34" i="5"/>
  <c r="G34" i="5"/>
  <c r="H33" i="5"/>
  <c r="I33" i="5" s="1"/>
  <c r="G33" i="5"/>
  <c r="H32" i="5"/>
  <c r="I32" i="5" s="1"/>
  <c r="G32" i="5"/>
  <c r="H31" i="5"/>
  <c r="I31" i="5" s="1"/>
  <c r="G31" i="5"/>
  <c r="H30" i="5"/>
  <c r="G30" i="5"/>
  <c r="H29" i="5"/>
  <c r="I29" i="5" s="1"/>
  <c r="G29" i="5"/>
  <c r="G16" i="5"/>
  <c r="G15" i="5"/>
  <c r="N20" i="4"/>
  <c r="M20" i="4"/>
  <c r="N17" i="4"/>
  <c r="M17" i="4"/>
  <c r="H501" i="3"/>
  <c r="H501" i="4" s="1"/>
  <c r="G501" i="3"/>
  <c r="N20" i="3"/>
  <c r="M20" i="3"/>
  <c r="N19" i="3"/>
  <c r="M19" i="3"/>
  <c r="N18" i="3"/>
  <c r="M18" i="3"/>
  <c r="N17" i="3"/>
  <c r="M17" i="3"/>
  <c r="N16" i="3"/>
  <c r="M16" i="3"/>
  <c r="G16" i="3"/>
  <c r="N15" i="3"/>
  <c r="M15" i="3"/>
  <c r="G15" i="3"/>
  <c r="I14" i="3"/>
  <c r="I43" i="5" l="1"/>
  <c r="I59" i="5"/>
  <c r="I107" i="5"/>
  <c r="I127" i="5"/>
  <c r="I183" i="5"/>
  <c r="I243" i="5"/>
  <c r="I252" i="5"/>
  <c r="I270" i="5"/>
  <c r="I298" i="5"/>
  <c r="I314" i="5"/>
  <c r="G358" i="5"/>
  <c r="G357" i="5" s="1"/>
  <c r="I357" i="5" s="1"/>
  <c r="G396" i="5"/>
  <c r="I396" i="5" s="1"/>
  <c r="I426" i="5"/>
  <c r="I434" i="5"/>
  <c r="I451" i="5"/>
  <c r="I485" i="5"/>
  <c r="I356" i="5"/>
  <c r="H197" i="5"/>
  <c r="I224" i="5"/>
  <c r="I340" i="5"/>
  <c r="I387" i="5"/>
  <c r="G440" i="5"/>
  <c r="I479" i="5"/>
  <c r="I251" i="5"/>
  <c r="G128" i="5"/>
  <c r="I128" i="5" s="1"/>
  <c r="G237" i="5"/>
  <c r="I237" i="5" s="1"/>
  <c r="I244" i="5"/>
  <c r="H287" i="5"/>
  <c r="I341" i="5"/>
  <c r="I467" i="5"/>
  <c r="I89" i="5"/>
  <c r="H245" i="5"/>
  <c r="G410" i="5"/>
  <c r="I410" i="5" s="1"/>
  <c r="I300" i="5"/>
  <c r="I360" i="5"/>
  <c r="I489" i="5"/>
  <c r="I151" i="5"/>
  <c r="G46" i="5"/>
  <c r="H78" i="5"/>
  <c r="I219" i="5"/>
  <c r="G287" i="5"/>
  <c r="I353" i="5"/>
  <c r="I380" i="5"/>
  <c r="I391" i="5"/>
  <c r="G436" i="5"/>
  <c r="H497" i="5"/>
  <c r="I133" i="5"/>
  <c r="I395" i="5"/>
  <c r="I62" i="5"/>
  <c r="H158" i="5"/>
  <c r="H219" i="5"/>
  <c r="H309" i="5"/>
  <c r="G362" i="5"/>
  <c r="I362" i="5" s="1"/>
  <c r="G429" i="5"/>
  <c r="I429" i="5" s="1"/>
  <c r="I215" i="5"/>
  <c r="I17" i="5"/>
  <c r="I48" i="5"/>
  <c r="I57" i="5"/>
  <c r="I72" i="5"/>
  <c r="G149" i="5"/>
  <c r="I149" i="5" s="1"/>
  <c r="I240" i="5"/>
  <c r="H272" i="5"/>
  <c r="I289" i="5"/>
  <c r="I311" i="5"/>
  <c r="I321" i="5"/>
  <c r="I355" i="5"/>
  <c r="I393" i="5"/>
  <c r="I421" i="5"/>
  <c r="I445" i="5"/>
  <c r="I501" i="5"/>
  <c r="G104" i="5"/>
  <c r="I104" i="5" s="1"/>
  <c r="G123" i="5"/>
  <c r="I123" i="5" s="1"/>
  <c r="H188" i="5"/>
  <c r="I412" i="5"/>
  <c r="G457" i="5"/>
  <c r="I34" i="5"/>
  <c r="G83" i="5"/>
  <c r="I190" i="5"/>
  <c r="I222" i="5"/>
  <c r="I234" i="5"/>
  <c r="I267" i="5"/>
  <c r="I290" i="5"/>
  <c r="I313" i="5"/>
  <c r="I347" i="5"/>
  <c r="I413" i="5"/>
  <c r="H447" i="5"/>
  <c r="H446" i="5" s="1"/>
  <c r="H492" i="5"/>
  <c r="H303" i="5"/>
  <c r="I136" i="5"/>
  <c r="I344" i="5"/>
  <c r="I138" i="5"/>
  <c r="I324" i="5"/>
  <c r="G54" i="5"/>
  <c r="I114" i="5"/>
  <c r="I181" i="5"/>
  <c r="I325" i="5"/>
  <c r="I415" i="5"/>
  <c r="I471" i="5"/>
  <c r="I381" i="5"/>
  <c r="I501" i="3"/>
  <c r="J501" i="3" s="1"/>
  <c r="G501" i="4"/>
  <c r="I501" i="4" s="1"/>
  <c r="I30" i="5"/>
  <c r="G35" i="5"/>
  <c r="I47" i="5"/>
  <c r="G102" i="5"/>
  <c r="H148" i="5"/>
  <c r="I187" i="5"/>
  <c r="G192" i="5"/>
  <c r="I200" i="5"/>
  <c r="H230" i="5"/>
  <c r="H225" i="5" s="1"/>
  <c r="I271" i="5"/>
  <c r="I288" i="5"/>
  <c r="I293" i="5"/>
  <c r="I339" i="5"/>
  <c r="I346" i="5"/>
  <c r="I354" i="5"/>
  <c r="I361" i="5"/>
  <c r="I368" i="5"/>
  <c r="I399" i="5"/>
  <c r="I430" i="5"/>
  <c r="I442" i="5"/>
  <c r="I487" i="5"/>
  <c r="G28" i="5"/>
  <c r="G74" i="5"/>
  <c r="I74" i="5" s="1"/>
  <c r="H95" i="5"/>
  <c r="H88" i="5" s="1"/>
  <c r="G142" i="5"/>
  <c r="I142" i="5" s="1"/>
  <c r="H192" i="5"/>
  <c r="I216" i="5"/>
  <c r="H262" i="5"/>
  <c r="I305" i="5"/>
  <c r="I319" i="5"/>
  <c r="G369" i="5"/>
  <c r="I369" i="5" s="1"/>
  <c r="I392" i="5"/>
  <c r="I422" i="5"/>
  <c r="G450" i="5"/>
  <c r="I472" i="5"/>
  <c r="I36" i="5"/>
  <c r="I69" i="5"/>
  <c r="I132" i="5"/>
  <c r="G184" i="5"/>
  <c r="I184" i="5" s="1"/>
  <c r="G188" i="5"/>
  <c r="I188" i="5" s="1"/>
  <c r="H276" i="5"/>
  <c r="H261" i="5" s="1"/>
  <c r="G320" i="5"/>
  <c r="I320" i="5" s="1"/>
  <c r="I386" i="5"/>
  <c r="H400" i="5"/>
  <c r="G438" i="5"/>
  <c r="I438" i="5" s="1"/>
  <c r="I457" i="5"/>
  <c r="H68" i="5"/>
  <c r="H64" i="5" s="1"/>
  <c r="G109" i="5"/>
  <c r="I109" i="5" s="1"/>
  <c r="I119" i="5"/>
  <c r="H130" i="5"/>
  <c r="H125" i="5" s="1"/>
  <c r="G177" i="5"/>
  <c r="I177" i="5" s="1"/>
  <c r="G209" i="5"/>
  <c r="I209" i="5" s="1"/>
  <c r="G272" i="5"/>
  <c r="I272" i="5" s="1"/>
  <c r="I306" i="5"/>
  <c r="I394" i="5"/>
  <c r="I423" i="5"/>
  <c r="H450" i="5"/>
  <c r="I450" i="5" s="1"/>
  <c r="H35" i="5"/>
  <c r="G44" i="5"/>
  <c r="I44" i="5" s="1"/>
  <c r="H54" i="5"/>
  <c r="H51" i="5" s="1"/>
  <c r="I70" i="5"/>
  <c r="I80" i="5"/>
  <c r="I86" i="5"/>
  <c r="I120" i="5"/>
  <c r="I137" i="5"/>
  <c r="I154" i="5"/>
  <c r="I172" i="5"/>
  <c r="I189" i="5"/>
  <c r="G239" i="5"/>
  <c r="I239" i="5" s="1"/>
  <c r="G246" i="5"/>
  <c r="H348" i="5"/>
  <c r="H379" i="5"/>
  <c r="I379" i="5" s="1"/>
  <c r="I403" i="5"/>
  <c r="I417" i="5"/>
  <c r="I444" i="5"/>
  <c r="I334" i="5"/>
  <c r="I343" i="5"/>
  <c r="I351" i="5"/>
  <c r="G388" i="5"/>
  <c r="I388" i="5" s="1"/>
  <c r="I477" i="5"/>
  <c r="I490" i="5"/>
  <c r="G78" i="5"/>
  <c r="I78" i="5" s="1"/>
  <c r="I121" i="5"/>
  <c r="I203" i="5"/>
  <c r="H232" i="5"/>
  <c r="I253" i="5"/>
  <c r="I274" i="5"/>
  <c r="H71" i="5"/>
  <c r="I81" i="5"/>
  <c r="I90" i="5"/>
  <c r="I145" i="5"/>
  <c r="I220" i="5"/>
  <c r="I235" i="5"/>
  <c r="G268" i="5"/>
  <c r="I268" i="5" s="1"/>
  <c r="I323" i="5"/>
  <c r="I352" i="5"/>
  <c r="I419" i="5"/>
  <c r="I491" i="5"/>
  <c r="I82" i="5"/>
  <c r="I113" i="5"/>
  <c r="I122" i="5"/>
  <c r="I139" i="5"/>
  <c r="I147" i="5"/>
  <c r="H167" i="5"/>
  <c r="I191" i="5"/>
  <c r="H204" i="5"/>
  <c r="I221" i="5"/>
  <c r="I236" i="5"/>
  <c r="I269" i="5"/>
  <c r="H295" i="5"/>
  <c r="I310" i="5"/>
  <c r="H357" i="5"/>
  <c r="G420" i="5"/>
  <c r="I420" i="5" s="1"/>
  <c r="H440" i="5"/>
  <c r="I440" i="5" s="1"/>
  <c r="G447" i="5"/>
  <c r="I470" i="5"/>
  <c r="I478" i="5"/>
  <c r="I484" i="5"/>
  <c r="I53" i="5"/>
  <c r="I75" i="5"/>
  <c r="H111" i="5"/>
  <c r="I169" i="5"/>
  <c r="I199" i="5"/>
  <c r="I214" i="5"/>
  <c r="I229" i="5"/>
  <c r="I281" i="5"/>
  <c r="I292" i="5"/>
  <c r="I345" i="5"/>
  <c r="I374" i="5"/>
  <c r="I17" i="3"/>
  <c r="I83" i="5"/>
  <c r="I35" i="5"/>
  <c r="I79" i="5"/>
  <c r="G130" i="5"/>
  <c r="I130" i="5" s="1"/>
  <c r="I152" i="5"/>
  <c r="G204" i="5"/>
  <c r="I204" i="5" s="1"/>
  <c r="I406" i="5"/>
  <c r="I101" i="5"/>
  <c r="I115" i="5"/>
  <c r="G153" i="5"/>
  <c r="I153" i="5" s="1"/>
  <c r="H209" i="5"/>
  <c r="H208" i="5" s="1"/>
  <c r="H473" i="5"/>
  <c r="H28" i="5"/>
  <c r="I28" i="5" s="1"/>
  <c r="G262" i="5"/>
  <c r="I263" i="5"/>
  <c r="G284" i="5"/>
  <c r="I284" i="5" s="1"/>
  <c r="I285" i="5"/>
  <c r="I375" i="5"/>
  <c r="I102" i="5"/>
  <c r="G126" i="5"/>
  <c r="G158" i="5"/>
  <c r="I210" i="5"/>
  <c r="G241" i="5"/>
  <c r="I241" i="5" s="1"/>
  <c r="I242" i="5"/>
  <c r="G248" i="5"/>
  <c r="I248" i="5" s="1"/>
  <c r="I249" i="5"/>
  <c r="G327" i="5"/>
  <c r="I327" i="5" s="1"/>
  <c r="I328" i="5"/>
  <c r="H464" i="5"/>
  <c r="I474" i="5"/>
  <c r="I482" i="5"/>
  <c r="I488" i="5"/>
  <c r="G91" i="5"/>
  <c r="I91" i="5" s="1"/>
  <c r="I92" i="5"/>
  <c r="G68" i="5"/>
  <c r="I94" i="5"/>
  <c r="G93" i="5"/>
  <c r="I93" i="5" s="1"/>
  <c r="I98" i="5"/>
  <c r="H106" i="5"/>
  <c r="H116" i="5"/>
  <c r="G197" i="5"/>
  <c r="I197" i="5" s="1"/>
  <c r="I211" i="5"/>
  <c r="G42" i="5"/>
  <c r="I42" i="5" s="1"/>
  <c r="G255" i="5"/>
  <c r="I255" i="5" s="1"/>
  <c r="I256" i="5"/>
  <c r="I447" i="5"/>
  <c r="G52" i="5"/>
  <c r="G112" i="5"/>
  <c r="G65" i="5"/>
  <c r="G155" i="5"/>
  <c r="I155" i="5" s="1"/>
  <c r="I175" i="5"/>
  <c r="G217" i="5"/>
  <c r="H250" i="5"/>
  <c r="I436" i="5"/>
  <c r="I498" i="5"/>
  <c r="G71" i="5"/>
  <c r="H213" i="5"/>
  <c r="G453" i="5"/>
  <c r="I453" i="5" s="1"/>
  <c r="I454" i="5"/>
  <c r="H46" i="5"/>
  <c r="I46" i="5" s="1"/>
  <c r="I118" i="5"/>
  <c r="G167" i="5"/>
  <c r="G303" i="5"/>
  <c r="I303" i="5" s="1"/>
  <c r="I304" i="5"/>
  <c r="G364" i="5"/>
  <c r="I364" i="5" s="1"/>
  <c r="I365" i="5"/>
  <c r="G371" i="5"/>
  <c r="I371" i="5" s="1"/>
  <c r="I372" i="5"/>
  <c r="I73" i="5"/>
  <c r="I186" i="5"/>
  <c r="G330" i="5"/>
  <c r="I330" i="5" s="1"/>
  <c r="I331" i="5"/>
  <c r="I100" i="5"/>
  <c r="G146" i="5"/>
  <c r="I146" i="5" s="1"/>
  <c r="I168" i="5"/>
  <c r="I259" i="5"/>
  <c r="H366" i="5"/>
  <c r="I493" i="5"/>
  <c r="G492" i="5"/>
  <c r="I492" i="5" s="1"/>
  <c r="I77" i="5"/>
  <c r="I141" i="5"/>
  <c r="G182" i="5"/>
  <c r="I182" i="5" s="1"/>
  <c r="I227" i="5"/>
  <c r="G226" i="5"/>
  <c r="I367" i="5"/>
  <c r="I382" i="5"/>
  <c r="I418" i="5"/>
  <c r="H424" i="5"/>
  <c r="G276" i="5"/>
  <c r="G295" i="5"/>
  <c r="I295" i="5" s="1"/>
  <c r="I246" i="5"/>
  <c r="G257" i="5"/>
  <c r="I257" i="5" s="1"/>
  <c r="I260" i="5"/>
  <c r="I273" i="5"/>
  <c r="G286" i="5"/>
  <c r="G312" i="5"/>
  <c r="I312" i="5" s="1"/>
  <c r="I315" i="5"/>
  <c r="H322" i="5"/>
  <c r="I322" i="5" s="1"/>
  <c r="H338" i="5"/>
  <c r="H337" i="5" s="1"/>
  <c r="G373" i="5"/>
  <c r="I373" i="5" s="1"/>
  <c r="I376" i="5"/>
  <c r="H390" i="5"/>
  <c r="H383" i="5" s="1"/>
  <c r="I407" i="5"/>
  <c r="H414" i="5"/>
  <c r="I414" i="5" s="1"/>
  <c r="I448" i="5"/>
  <c r="G455" i="5"/>
  <c r="I455" i="5" s="1"/>
  <c r="I458" i="5"/>
  <c r="G465" i="5"/>
  <c r="I468" i="5"/>
  <c r="I475" i="5"/>
  <c r="G233" i="5"/>
  <c r="G309" i="5"/>
  <c r="G342" i="5"/>
  <c r="G349" i="5"/>
  <c r="G425" i="5"/>
  <c r="G500" i="5"/>
  <c r="I500" i="5" s="1"/>
  <c r="G316" i="5"/>
  <c r="I316" i="5" s="1"/>
  <c r="G377" i="5"/>
  <c r="I377" i="5" s="1"/>
  <c r="G384" i="5"/>
  <c r="G401" i="5"/>
  <c r="G408" i="5"/>
  <c r="I408" i="5" s="1"/>
  <c r="G432" i="5"/>
  <c r="I432" i="5" s="1"/>
  <c r="G469" i="5"/>
  <c r="I469" i="5" s="1"/>
  <c r="G476" i="5"/>
  <c r="I476" i="5" s="1"/>
  <c r="H501" i="2"/>
  <c r="H500" i="2" s="1"/>
  <c r="G501" i="2"/>
  <c r="H499" i="2"/>
  <c r="H498" i="2" s="1"/>
  <c r="G499" i="2"/>
  <c r="H496" i="2"/>
  <c r="H495" i="2" s="1"/>
  <c r="G496" i="2"/>
  <c r="H494" i="2"/>
  <c r="H493" i="2" s="1"/>
  <c r="G494" i="2"/>
  <c r="H491" i="2"/>
  <c r="G491" i="2"/>
  <c r="G490" i="2" s="1"/>
  <c r="H490" i="2"/>
  <c r="H489" i="2"/>
  <c r="H488" i="2" s="1"/>
  <c r="G489" i="2"/>
  <c r="G488" i="2" s="1"/>
  <c r="H487" i="2"/>
  <c r="H486" i="2" s="1"/>
  <c r="G487" i="2"/>
  <c r="H485" i="2"/>
  <c r="H484" i="2" s="1"/>
  <c r="G485" i="2"/>
  <c r="H483" i="2"/>
  <c r="G483" i="2"/>
  <c r="I483" i="2" s="1"/>
  <c r="H482" i="2"/>
  <c r="H481" i="2"/>
  <c r="H480" i="2" s="1"/>
  <c r="G481" i="2"/>
  <c r="G480" i="2" s="1"/>
  <c r="H479" i="2"/>
  <c r="H478" i="2" s="1"/>
  <c r="G479" i="2"/>
  <c r="G478" i="2"/>
  <c r="H477" i="2"/>
  <c r="I477" i="2" s="1"/>
  <c r="G477" i="2"/>
  <c r="G476" i="2" s="1"/>
  <c r="H475" i="2"/>
  <c r="H474" i="2" s="1"/>
  <c r="G475" i="2"/>
  <c r="G474" i="2" s="1"/>
  <c r="H472" i="2"/>
  <c r="G472" i="2"/>
  <c r="G471" i="2" s="1"/>
  <c r="H471" i="2"/>
  <c r="H470" i="2"/>
  <c r="G470" i="2"/>
  <c r="G469" i="2" s="1"/>
  <c r="H468" i="2"/>
  <c r="H467" i="2" s="1"/>
  <c r="G468" i="2"/>
  <c r="G467" i="2" s="1"/>
  <c r="H466" i="2"/>
  <c r="H465" i="2" s="1"/>
  <c r="G466" i="2"/>
  <c r="H462" i="2"/>
  <c r="H461" i="2" s="1"/>
  <c r="G462" i="2"/>
  <c r="H460" i="2"/>
  <c r="G460" i="2"/>
  <c r="H459" i="2"/>
  <c r="G459" i="2"/>
  <c r="I459" i="2" s="1"/>
  <c r="H458" i="2"/>
  <c r="G458" i="2"/>
  <c r="H456" i="2"/>
  <c r="G456" i="2"/>
  <c r="G455" i="2" s="1"/>
  <c r="H454" i="2"/>
  <c r="H453" i="2" s="1"/>
  <c r="G454" i="2"/>
  <c r="H452" i="2"/>
  <c r="G452" i="2"/>
  <c r="H451" i="2"/>
  <c r="G451" i="2"/>
  <c r="H449" i="2"/>
  <c r="G449" i="2"/>
  <c r="I449" i="2" s="1"/>
  <c r="H448" i="2"/>
  <c r="H447" i="2" s="1"/>
  <c r="G448" i="2"/>
  <c r="H445" i="2"/>
  <c r="H444" i="2" s="1"/>
  <c r="G445" i="2"/>
  <c r="G444" i="2"/>
  <c r="H443" i="2"/>
  <c r="G443" i="2"/>
  <c r="H442" i="2"/>
  <c r="G442" i="2"/>
  <c r="H441" i="2"/>
  <c r="G441" i="2"/>
  <c r="H439" i="2"/>
  <c r="H438" i="2" s="1"/>
  <c r="G439" i="2"/>
  <c r="G438" i="2" s="1"/>
  <c r="H437" i="2"/>
  <c r="H436" i="2" s="1"/>
  <c r="G437" i="2"/>
  <c r="G436" i="2" s="1"/>
  <c r="H435" i="2"/>
  <c r="H434" i="2" s="1"/>
  <c r="G435" i="2"/>
  <c r="H433" i="2"/>
  <c r="G433" i="2"/>
  <c r="G432" i="2" s="1"/>
  <c r="H431" i="2"/>
  <c r="G431" i="2"/>
  <c r="H430" i="2"/>
  <c r="H429" i="2" s="1"/>
  <c r="G430" i="2"/>
  <c r="G429" i="2" s="1"/>
  <c r="H428" i="2"/>
  <c r="H427" i="2" s="1"/>
  <c r="G428" i="2"/>
  <c r="H426" i="2"/>
  <c r="H425" i="2" s="1"/>
  <c r="G426" i="2"/>
  <c r="G425" i="2" s="1"/>
  <c r="H423" i="2"/>
  <c r="H422" i="2" s="1"/>
  <c r="G423" i="2"/>
  <c r="G422" i="2" s="1"/>
  <c r="H421" i="2"/>
  <c r="G421" i="2"/>
  <c r="H420" i="2"/>
  <c r="H419" i="2"/>
  <c r="H418" i="2" s="1"/>
  <c r="G419" i="2"/>
  <c r="G418" i="2" s="1"/>
  <c r="H417" i="2"/>
  <c r="H416" i="2" s="1"/>
  <c r="G417" i="2"/>
  <c r="H415" i="2"/>
  <c r="H414" i="2" s="1"/>
  <c r="G415" i="2"/>
  <c r="G414" i="2" s="1"/>
  <c r="H413" i="2"/>
  <c r="H412" i="2" s="1"/>
  <c r="G413" i="2"/>
  <c r="G412" i="2" s="1"/>
  <c r="H411" i="2"/>
  <c r="H410" i="2" s="1"/>
  <c r="G411" i="2"/>
  <c r="H409" i="2"/>
  <c r="H408" i="2" s="1"/>
  <c r="G409" i="2"/>
  <c r="H407" i="2"/>
  <c r="H406" i="2" s="1"/>
  <c r="G407" i="2"/>
  <c r="G406" i="2" s="1"/>
  <c r="H404" i="2"/>
  <c r="H403" i="2" s="1"/>
  <c r="G404" i="2"/>
  <c r="G403" i="2" s="1"/>
  <c r="H402" i="2"/>
  <c r="H401" i="2" s="1"/>
  <c r="G402" i="2"/>
  <c r="G401" i="2" s="1"/>
  <c r="H399" i="2"/>
  <c r="H398" i="2" s="1"/>
  <c r="G399" i="2"/>
  <c r="G398" i="2" s="1"/>
  <c r="H397" i="2"/>
  <c r="G397" i="2"/>
  <c r="H396" i="2"/>
  <c r="H395" i="2"/>
  <c r="H394" i="2" s="1"/>
  <c r="G395" i="2"/>
  <c r="G394" i="2" s="1"/>
  <c r="H393" i="2"/>
  <c r="G393" i="2"/>
  <c r="H392" i="2"/>
  <c r="H391" i="2"/>
  <c r="H390" i="2" s="1"/>
  <c r="G391" i="2"/>
  <c r="G390" i="2"/>
  <c r="H389" i="2"/>
  <c r="H388" i="2" s="1"/>
  <c r="G389" i="2"/>
  <c r="G388" i="2" s="1"/>
  <c r="H387" i="2"/>
  <c r="H386" i="2" s="1"/>
  <c r="G387" i="2"/>
  <c r="H385" i="2"/>
  <c r="H384" i="2" s="1"/>
  <c r="G385" i="2"/>
  <c r="G384" i="2" s="1"/>
  <c r="H382" i="2"/>
  <c r="H381" i="2" s="1"/>
  <c r="G382" i="2"/>
  <c r="G381" i="2"/>
  <c r="H380" i="2"/>
  <c r="H379" i="2" s="1"/>
  <c r="G380" i="2"/>
  <c r="H378" i="2"/>
  <c r="I378" i="2" s="1"/>
  <c r="G378" i="2"/>
  <c r="G377" i="2" s="1"/>
  <c r="H376" i="2"/>
  <c r="G376" i="2"/>
  <c r="G375" i="2" s="1"/>
  <c r="H374" i="2"/>
  <c r="H373" i="2" s="1"/>
  <c r="G374" i="2"/>
  <c r="G373" i="2" s="1"/>
  <c r="H372" i="2"/>
  <c r="H371" i="2" s="1"/>
  <c r="G372" i="2"/>
  <c r="H370" i="2"/>
  <c r="H369" i="2" s="1"/>
  <c r="G370" i="2"/>
  <c r="H368" i="2"/>
  <c r="H367" i="2" s="1"/>
  <c r="G368" i="2"/>
  <c r="G367" i="2" s="1"/>
  <c r="H365" i="2"/>
  <c r="H364" i="2" s="1"/>
  <c r="G365" i="2"/>
  <c r="H363" i="2"/>
  <c r="H362" i="2" s="1"/>
  <c r="G363" i="2"/>
  <c r="H361" i="2"/>
  <c r="H360" i="2" s="1"/>
  <c r="G361" i="2"/>
  <c r="G360" i="2" s="1"/>
  <c r="H359" i="2"/>
  <c r="H358" i="2" s="1"/>
  <c r="G359" i="2"/>
  <c r="G358" i="2" s="1"/>
  <c r="H356" i="2"/>
  <c r="H355" i="2" s="1"/>
  <c r="G356" i="2"/>
  <c r="H354" i="2"/>
  <c r="H353" i="2" s="1"/>
  <c r="G354" i="2"/>
  <c r="G353" i="2" s="1"/>
  <c r="I353" i="2" s="1"/>
  <c r="H352" i="2"/>
  <c r="G352" i="2"/>
  <c r="H351" i="2"/>
  <c r="G351" i="2"/>
  <c r="H350" i="2"/>
  <c r="H349" i="2" s="1"/>
  <c r="G350" i="2"/>
  <c r="H347" i="2"/>
  <c r="H346" i="2" s="1"/>
  <c r="G347" i="2"/>
  <c r="G346" i="2" s="1"/>
  <c r="H345" i="2"/>
  <c r="H344" i="2" s="1"/>
  <c r="G345" i="2"/>
  <c r="G344" i="2" s="1"/>
  <c r="H343" i="2"/>
  <c r="H342" i="2" s="1"/>
  <c r="G343" i="2"/>
  <c r="I343" i="2" s="1"/>
  <c r="H341" i="2"/>
  <c r="H340" i="2" s="1"/>
  <c r="G341" i="2"/>
  <c r="H339" i="2"/>
  <c r="H338" i="2" s="1"/>
  <c r="G339" i="2"/>
  <c r="I339" i="2" s="1"/>
  <c r="H335" i="2"/>
  <c r="I335" i="2" s="1"/>
  <c r="G335" i="2"/>
  <c r="H334" i="2"/>
  <c r="G334" i="2"/>
  <c r="H333" i="2"/>
  <c r="G333" i="2"/>
  <c r="I333" i="2" s="1"/>
  <c r="H332" i="2"/>
  <c r="G332" i="2"/>
  <c r="H331" i="2"/>
  <c r="G331" i="2"/>
  <c r="H329" i="2"/>
  <c r="G329" i="2"/>
  <c r="H328" i="2"/>
  <c r="G328" i="2"/>
  <c r="H326" i="2"/>
  <c r="G326" i="2"/>
  <c r="H325" i="2"/>
  <c r="G325" i="2"/>
  <c r="H323" i="2"/>
  <c r="H322" i="2" s="1"/>
  <c r="G323" i="2"/>
  <c r="H321" i="2"/>
  <c r="H320" i="2" s="1"/>
  <c r="G321" i="2"/>
  <c r="G320" i="2" s="1"/>
  <c r="H319" i="2"/>
  <c r="G319" i="2"/>
  <c r="G318" i="2" s="1"/>
  <c r="H317" i="2"/>
  <c r="H316" i="2" s="1"/>
  <c r="G317" i="2"/>
  <c r="G316" i="2" s="1"/>
  <c r="H315" i="2"/>
  <c r="G315" i="2"/>
  <c r="G314" i="2" s="1"/>
  <c r="H314" i="2"/>
  <c r="H313" i="2"/>
  <c r="G313" i="2"/>
  <c r="H312" i="2"/>
  <c r="H311" i="2"/>
  <c r="G311" i="2"/>
  <c r="H310" i="2"/>
  <c r="G310" i="2"/>
  <c r="H307" i="2"/>
  <c r="H306" i="2" s="1"/>
  <c r="G307" i="2"/>
  <c r="G306" i="2" s="1"/>
  <c r="H305" i="2"/>
  <c r="H304" i="2" s="1"/>
  <c r="G305" i="2"/>
  <c r="G304" i="2"/>
  <c r="H302" i="2"/>
  <c r="G302" i="2"/>
  <c r="H301" i="2"/>
  <c r="G301" i="2"/>
  <c r="H300" i="2"/>
  <c r="G300" i="2"/>
  <c r="I300" i="2" s="1"/>
  <c r="H299" i="2"/>
  <c r="G299" i="2"/>
  <c r="H298" i="2"/>
  <c r="G298" i="2"/>
  <c r="H297" i="2"/>
  <c r="G297" i="2"/>
  <c r="H296" i="2"/>
  <c r="G296" i="2"/>
  <c r="H294" i="2"/>
  <c r="G294" i="2"/>
  <c r="H293" i="2"/>
  <c r="G293" i="2"/>
  <c r="I293" i="2" s="1"/>
  <c r="H292" i="2"/>
  <c r="G292" i="2"/>
  <c r="H291" i="2"/>
  <c r="G291" i="2"/>
  <c r="H290" i="2"/>
  <c r="G290" i="2"/>
  <c r="H289" i="2"/>
  <c r="G289" i="2"/>
  <c r="H288" i="2"/>
  <c r="G288" i="2"/>
  <c r="H285" i="2"/>
  <c r="H284" i="2" s="1"/>
  <c r="G285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I278" i="2" s="1"/>
  <c r="H277" i="2"/>
  <c r="G277" i="2"/>
  <c r="H275" i="2"/>
  <c r="G275" i="2"/>
  <c r="H274" i="2"/>
  <c r="G274" i="2"/>
  <c r="H273" i="2"/>
  <c r="G273" i="2"/>
  <c r="H271" i="2"/>
  <c r="G271" i="2"/>
  <c r="H270" i="2"/>
  <c r="G270" i="2"/>
  <c r="I270" i="2" s="1"/>
  <c r="H269" i="2"/>
  <c r="G269" i="2"/>
  <c r="I269" i="2" s="1"/>
  <c r="H267" i="2"/>
  <c r="G267" i="2"/>
  <c r="H266" i="2"/>
  <c r="G266" i="2"/>
  <c r="H265" i="2"/>
  <c r="G265" i="2"/>
  <c r="H264" i="2"/>
  <c r="I264" i="2" s="1"/>
  <c r="G264" i="2"/>
  <c r="H263" i="2"/>
  <c r="G263" i="2"/>
  <c r="H260" i="2"/>
  <c r="H259" i="2" s="1"/>
  <c r="G260" i="2"/>
  <c r="H258" i="2"/>
  <c r="H257" i="2" s="1"/>
  <c r="G258" i="2"/>
  <c r="H256" i="2"/>
  <c r="H255" i="2" s="1"/>
  <c r="G256" i="2"/>
  <c r="H254" i="2"/>
  <c r="H253" i="2" s="1"/>
  <c r="G254" i="2"/>
  <c r="H252" i="2"/>
  <c r="H251" i="2" s="1"/>
  <c r="G252" i="2"/>
  <c r="G251" i="2" s="1"/>
  <c r="H249" i="2"/>
  <c r="H248" i="2" s="1"/>
  <c r="G249" i="2"/>
  <c r="H247" i="2"/>
  <c r="H246" i="2" s="1"/>
  <c r="H245" i="2" s="1"/>
  <c r="G247" i="2"/>
  <c r="H244" i="2"/>
  <c r="H243" i="2" s="1"/>
  <c r="G244" i="2"/>
  <c r="H242" i="2"/>
  <c r="H241" i="2" s="1"/>
  <c r="G242" i="2"/>
  <c r="H240" i="2"/>
  <c r="H239" i="2" s="1"/>
  <c r="G240" i="2"/>
  <c r="G239" i="2" s="1"/>
  <c r="H238" i="2"/>
  <c r="G238" i="2"/>
  <c r="I238" i="2" s="1"/>
  <c r="H237" i="2"/>
  <c r="H236" i="2"/>
  <c r="H235" i="2" s="1"/>
  <c r="G236" i="2"/>
  <c r="I236" i="2" s="1"/>
  <c r="H234" i="2"/>
  <c r="H233" i="2" s="1"/>
  <c r="G234" i="2"/>
  <c r="H231" i="2"/>
  <c r="G231" i="2"/>
  <c r="H230" i="2"/>
  <c r="H229" i="2"/>
  <c r="G229" i="2"/>
  <c r="I229" i="2" s="1"/>
  <c r="H228" i="2"/>
  <c r="H227" i="2"/>
  <c r="H226" i="2" s="1"/>
  <c r="G227" i="2"/>
  <c r="H224" i="2"/>
  <c r="H223" i="2" s="1"/>
  <c r="G224" i="2"/>
  <c r="H222" i="2"/>
  <c r="G222" i="2"/>
  <c r="H221" i="2"/>
  <c r="G221" i="2"/>
  <c r="H220" i="2"/>
  <c r="G220" i="2"/>
  <c r="H218" i="2"/>
  <c r="H217" i="2" s="1"/>
  <c r="G218" i="2"/>
  <c r="H216" i="2"/>
  <c r="G216" i="2"/>
  <c r="H215" i="2"/>
  <c r="G215" i="2"/>
  <c r="H211" i="2"/>
  <c r="G211" i="2"/>
  <c r="H210" i="2"/>
  <c r="G210" i="2"/>
  <c r="H207" i="2"/>
  <c r="G207" i="2"/>
  <c r="H206" i="2"/>
  <c r="G206" i="2"/>
  <c r="I206" i="2" s="1"/>
  <c r="H205" i="2"/>
  <c r="G205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6" i="2"/>
  <c r="G196" i="2"/>
  <c r="I196" i="2" s="1"/>
  <c r="H195" i="2"/>
  <c r="G195" i="2"/>
  <c r="H194" i="2"/>
  <c r="G194" i="2"/>
  <c r="H193" i="2"/>
  <c r="G193" i="2"/>
  <c r="H191" i="2"/>
  <c r="G191" i="2"/>
  <c r="H190" i="2"/>
  <c r="G190" i="2"/>
  <c r="H189" i="2"/>
  <c r="G189" i="2"/>
  <c r="H187" i="2"/>
  <c r="H186" i="2" s="1"/>
  <c r="G187" i="2"/>
  <c r="H185" i="2"/>
  <c r="H184" i="2" s="1"/>
  <c r="G185" i="2"/>
  <c r="H183" i="2"/>
  <c r="G183" i="2"/>
  <c r="H182" i="2"/>
  <c r="G182" i="2"/>
  <c r="H181" i="2"/>
  <c r="H180" i="2" s="1"/>
  <c r="G181" i="2"/>
  <c r="H178" i="2"/>
  <c r="H177" i="2" s="1"/>
  <c r="G178" i="2"/>
  <c r="G177" i="2" s="1"/>
  <c r="H176" i="2"/>
  <c r="G176" i="2"/>
  <c r="H175" i="2"/>
  <c r="G175" i="2"/>
  <c r="H174" i="2"/>
  <c r="G174" i="2"/>
  <c r="I174" i="2" s="1"/>
  <c r="H173" i="2"/>
  <c r="G173" i="2"/>
  <c r="H172" i="2"/>
  <c r="G172" i="2"/>
  <c r="H171" i="2"/>
  <c r="G171" i="2"/>
  <c r="H170" i="2"/>
  <c r="G170" i="2"/>
  <c r="H169" i="2"/>
  <c r="G169" i="2"/>
  <c r="H168" i="2"/>
  <c r="G168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6" i="2"/>
  <c r="G156" i="2"/>
  <c r="G155" i="2" s="1"/>
  <c r="H155" i="2"/>
  <c r="H154" i="2"/>
  <c r="G154" i="2"/>
  <c r="H153" i="2"/>
  <c r="H152" i="2"/>
  <c r="G152" i="2"/>
  <c r="G151" i="2" s="1"/>
  <c r="H150" i="2"/>
  <c r="H149" i="2" s="1"/>
  <c r="G150" i="2"/>
  <c r="H147" i="2"/>
  <c r="H146" i="2" s="1"/>
  <c r="G147" i="2"/>
  <c r="I147" i="2" s="1"/>
  <c r="G146" i="2"/>
  <c r="H145" i="2"/>
  <c r="G145" i="2"/>
  <c r="G144" i="2" s="1"/>
  <c r="H143" i="2"/>
  <c r="H142" i="2" s="1"/>
  <c r="G143" i="2"/>
  <c r="H141" i="2"/>
  <c r="H140" i="2" s="1"/>
  <c r="G141" i="2"/>
  <c r="G140" i="2" s="1"/>
  <c r="I140" i="2" s="1"/>
  <c r="H139" i="2"/>
  <c r="H138" i="2" s="1"/>
  <c r="G139" i="2"/>
  <c r="G138" i="2" s="1"/>
  <c r="I138" i="2" s="1"/>
  <c r="H137" i="2"/>
  <c r="H136" i="2" s="1"/>
  <c r="G137" i="2"/>
  <c r="H135" i="2"/>
  <c r="G135" i="2"/>
  <c r="H134" i="2"/>
  <c r="G134" i="2"/>
  <c r="H133" i="2"/>
  <c r="G133" i="2"/>
  <c r="H132" i="2"/>
  <c r="H130" i="2" s="1"/>
  <c r="G132" i="2"/>
  <c r="H131" i="2"/>
  <c r="G131" i="2"/>
  <c r="I131" i="2" s="1"/>
  <c r="H129" i="2"/>
  <c r="I129" i="2" s="1"/>
  <c r="G129" i="2"/>
  <c r="G128" i="2"/>
  <c r="H127" i="2"/>
  <c r="H126" i="2" s="1"/>
  <c r="G127" i="2"/>
  <c r="I127" i="2" s="1"/>
  <c r="H124" i="2"/>
  <c r="H123" i="2" s="1"/>
  <c r="G124" i="2"/>
  <c r="I124" i="2" s="1"/>
  <c r="H122" i="2"/>
  <c r="H121" i="2" s="1"/>
  <c r="G122" i="2"/>
  <c r="G121" i="2" s="1"/>
  <c r="H120" i="2"/>
  <c r="H119" i="2" s="1"/>
  <c r="G120" i="2"/>
  <c r="H118" i="2"/>
  <c r="H117" i="2" s="1"/>
  <c r="G118" i="2"/>
  <c r="H115" i="2"/>
  <c r="H114" i="2" s="1"/>
  <c r="G115" i="2"/>
  <c r="G114" i="2" s="1"/>
  <c r="H113" i="2"/>
  <c r="H112" i="2" s="1"/>
  <c r="G113" i="2"/>
  <c r="G112" i="2" s="1"/>
  <c r="H110" i="2"/>
  <c r="H109" i="2" s="1"/>
  <c r="G110" i="2"/>
  <c r="H108" i="2"/>
  <c r="H107" i="2" s="1"/>
  <c r="G108" i="2"/>
  <c r="I108" i="2" s="1"/>
  <c r="H105" i="2"/>
  <c r="H104" i="2" s="1"/>
  <c r="G105" i="2"/>
  <c r="H103" i="2"/>
  <c r="H102" i="2" s="1"/>
  <c r="G103" i="2"/>
  <c r="I103" i="2" s="1"/>
  <c r="H101" i="2"/>
  <c r="G101" i="2"/>
  <c r="H100" i="2"/>
  <c r="H99" i="2" s="1"/>
  <c r="G100" i="2"/>
  <c r="G99" i="2" s="1"/>
  <c r="H98" i="2"/>
  <c r="H97" i="2" s="1"/>
  <c r="G98" i="2"/>
  <c r="G97" i="2" s="1"/>
  <c r="H96" i="2"/>
  <c r="H95" i="2" s="1"/>
  <c r="G96" i="2"/>
  <c r="H94" i="2"/>
  <c r="G94" i="2"/>
  <c r="G93" i="2" s="1"/>
  <c r="H92" i="2"/>
  <c r="H91" i="2" s="1"/>
  <c r="G92" i="2"/>
  <c r="G91" i="2" s="1"/>
  <c r="H90" i="2"/>
  <c r="H89" i="2" s="1"/>
  <c r="G90" i="2"/>
  <c r="H86" i="2"/>
  <c r="H85" i="2" s="1"/>
  <c r="G86" i="2"/>
  <c r="H84" i="2"/>
  <c r="H83" i="2" s="1"/>
  <c r="G84" i="2"/>
  <c r="G83" i="2" s="1"/>
  <c r="I83" i="2" s="1"/>
  <c r="H82" i="2"/>
  <c r="H81" i="2" s="1"/>
  <c r="G82" i="2"/>
  <c r="I82" i="2" s="1"/>
  <c r="H80" i="2"/>
  <c r="H79" i="2" s="1"/>
  <c r="G80" i="2"/>
  <c r="H77" i="2"/>
  <c r="G77" i="2"/>
  <c r="H76" i="2"/>
  <c r="G76" i="2"/>
  <c r="H75" i="2"/>
  <c r="G75" i="2"/>
  <c r="H73" i="2"/>
  <c r="H72" i="2" s="1"/>
  <c r="G73" i="2"/>
  <c r="I73" i="2" s="1"/>
  <c r="H70" i="2"/>
  <c r="G70" i="2"/>
  <c r="H69" i="2"/>
  <c r="G69" i="2"/>
  <c r="I69" i="2" s="1"/>
  <c r="H67" i="2"/>
  <c r="G67" i="2"/>
  <c r="I66" i="2"/>
  <c r="H66" i="2"/>
  <c r="G66" i="2"/>
  <c r="H63" i="2"/>
  <c r="G63" i="2"/>
  <c r="H62" i="2"/>
  <c r="G62" i="2"/>
  <c r="H61" i="2"/>
  <c r="G61" i="2"/>
  <c r="H60" i="2"/>
  <c r="G60" i="2"/>
  <c r="H59" i="2"/>
  <c r="G59" i="2"/>
  <c r="I59" i="2" s="1"/>
  <c r="H58" i="2"/>
  <c r="G58" i="2"/>
  <c r="H57" i="2"/>
  <c r="G57" i="2"/>
  <c r="H56" i="2"/>
  <c r="G56" i="2"/>
  <c r="H55" i="2"/>
  <c r="G55" i="2"/>
  <c r="H53" i="2"/>
  <c r="H52" i="2" s="1"/>
  <c r="G53" i="2"/>
  <c r="G52" i="2" s="1"/>
  <c r="H50" i="2"/>
  <c r="G50" i="2"/>
  <c r="I50" i="2" s="1"/>
  <c r="H49" i="2"/>
  <c r="G49" i="2"/>
  <c r="H48" i="2"/>
  <c r="G48" i="2"/>
  <c r="H47" i="2"/>
  <c r="H46" i="2" s="1"/>
  <c r="G47" i="2"/>
  <c r="H45" i="2"/>
  <c r="H44" i="2" s="1"/>
  <c r="G45" i="2"/>
  <c r="G44" i="2" s="1"/>
  <c r="H43" i="2"/>
  <c r="H42" i="2" s="1"/>
  <c r="G43" i="2"/>
  <c r="I43" i="2" s="1"/>
  <c r="H41" i="2"/>
  <c r="G41" i="2"/>
  <c r="I41" i="2" s="1"/>
  <c r="H40" i="2"/>
  <c r="G40" i="2"/>
  <c r="I40" i="2" s="1"/>
  <c r="H39" i="2"/>
  <c r="G39" i="2"/>
  <c r="H38" i="2"/>
  <c r="H35" i="2" s="1"/>
  <c r="G38" i="2"/>
  <c r="H37" i="2"/>
  <c r="G37" i="2"/>
  <c r="H36" i="2"/>
  <c r="G36" i="2"/>
  <c r="H34" i="2"/>
  <c r="G34" i="2"/>
  <c r="I34" i="2" s="1"/>
  <c r="H33" i="2"/>
  <c r="G33" i="2"/>
  <c r="H32" i="2"/>
  <c r="G32" i="2"/>
  <c r="H31" i="2"/>
  <c r="G31" i="2"/>
  <c r="H30" i="2"/>
  <c r="G30" i="2"/>
  <c r="H29" i="2"/>
  <c r="G29" i="2"/>
  <c r="N20" i="2"/>
  <c r="M20" i="2"/>
  <c r="N17" i="2"/>
  <c r="M17" i="2"/>
  <c r="G16" i="2"/>
  <c r="G15" i="2"/>
  <c r="I14" i="2"/>
  <c r="I395" i="2" l="1"/>
  <c r="I319" i="2"/>
  <c r="H457" i="2"/>
  <c r="I358" i="5"/>
  <c r="G208" i="5"/>
  <c r="I208" i="5" s="1"/>
  <c r="I54" i="5"/>
  <c r="I161" i="2"/>
  <c r="H128" i="2"/>
  <c r="I376" i="2"/>
  <c r="I397" i="2"/>
  <c r="I411" i="2"/>
  <c r="I431" i="2"/>
  <c r="H286" i="5"/>
  <c r="I439" i="2"/>
  <c r="I32" i="2"/>
  <c r="I33" i="2"/>
  <c r="H65" i="2"/>
  <c r="I97" i="2"/>
  <c r="I120" i="2"/>
  <c r="I135" i="2"/>
  <c r="I201" i="2"/>
  <c r="I210" i="2"/>
  <c r="I480" i="2"/>
  <c r="H405" i="5"/>
  <c r="H336" i="5" s="1"/>
  <c r="I95" i="5"/>
  <c r="H179" i="5"/>
  <c r="G88" i="5"/>
  <c r="I67" i="2"/>
  <c r="I171" i="2"/>
  <c r="I211" i="2"/>
  <c r="I222" i="2"/>
  <c r="I231" i="2"/>
  <c r="I265" i="2"/>
  <c r="I289" i="2"/>
  <c r="I391" i="2"/>
  <c r="G482" i="2"/>
  <c r="I482" i="2" s="1"/>
  <c r="I490" i="2"/>
  <c r="I71" i="5"/>
  <c r="H272" i="2"/>
  <c r="I287" i="5"/>
  <c r="I467" i="2"/>
  <c r="I168" i="2"/>
  <c r="I37" i="2"/>
  <c r="I61" i="2"/>
  <c r="I80" i="2"/>
  <c r="I101" i="2"/>
  <c r="I159" i="2"/>
  <c r="I165" i="2"/>
  <c r="I178" i="2"/>
  <c r="I224" i="2"/>
  <c r="H276" i="2"/>
  <c r="I403" i="2"/>
  <c r="G116" i="5"/>
  <c r="H157" i="5"/>
  <c r="H78" i="2"/>
  <c r="G126" i="2"/>
  <c r="I132" i="2"/>
  <c r="I181" i="2"/>
  <c r="I190" i="2"/>
  <c r="I198" i="2"/>
  <c r="I267" i="2"/>
  <c r="I275" i="2"/>
  <c r="I31" i="2"/>
  <c r="G102" i="2"/>
  <c r="I438" i="2"/>
  <c r="G457" i="2"/>
  <c r="I496" i="2"/>
  <c r="H111" i="2"/>
  <c r="I390" i="5"/>
  <c r="I45" i="2"/>
  <c r="H54" i="2"/>
  <c r="H51" i="2" s="1"/>
  <c r="H68" i="2"/>
  <c r="H64" i="2" s="1"/>
  <c r="G79" i="2"/>
  <c r="I79" i="2" s="1"/>
  <c r="G107" i="2"/>
  <c r="I107" i="2" s="1"/>
  <c r="I177" i="2"/>
  <c r="I187" i="2"/>
  <c r="I280" i="2"/>
  <c r="H295" i="2"/>
  <c r="I302" i="2"/>
  <c r="I347" i="2"/>
  <c r="G396" i="2"/>
  <c r="I396" i="2" s="1"/>
  <c r="I428" i="2"/>
  <c r="I443" i="2"/>
  <c r="I460" i="2"/>
  <c r="I470" i="2"/>
  <c r="G495" i="2"/>
  <c r="I338" i="5"/>
  <c r="I478" i="2"/>
  <c r="I56" i="2"/>
  <c r="I62" i="2"/>
  <c r="I70" i="2"/>
  <c r="I172" i="2"/>
  <c r="I260" i="2"/>
  <c r="I297" i="2"/>
  <c r="I350" i="2"/>
  <c r="I359" i="2"/>
  <c r="I437" i="2"/>
  <c r="I471" i="2"/>
  <c r="I479" i="2"/>
  <c r="I487" i="2"/>
  <c r="G366" i="5"/>
  <c r="I366" i="5" s="1"/>
  <c r="G405" i="5"/>
  <c r="I286" i="5"/>
  <c r="I57" i="2"/>
  <c r="I63" i="2"/>
  <c r="G72" i="2"/>
  <c r="I92" i="2"/>
  <c r="I100" i="2"/>
  <c r="I118" i="2"/>
  <c r="I141" i="2"/>
  <c r="I166" i="2"/>
  <c r="G180" i="2"/>
  <c r="I180" i="2" s="1"/>
  <c r="H188" i="2"/>
  <c r="I282" i="2"/>
  <c r="I291" i="2"/>
  <c r="I305" i="2"/>
  <c r="I314" i="2"/>
  <c r="I332" i="2"/>
  <c r="G342" i="2"/>
  <c r="I351" i="2"/>
  <c r="I462" i="2"/>
  <c r="I472" i="2"/>
  <c r="G446" i="5"/>
  <c r="I446" i="5" s="1"/>
  <c r="I68" i="5"/>
  <c r="I390" i="2"/>
  <c r="I230" i="5"/>
  <c r="G28" i="2"/>
  <c r="G35" i="2"/>
  <c r="I58" i="2"/>
  <c r="G119" i="2"/>
  <c r="I119" i="2" s="1"/>
  <c r="H214" i="2"/>
  <c r="I252" i="2"/>
  <c r="I292" i="2"/>
  <c r="H324" i="2"/>
  <c r="I421" i="2"/>
  <c r="I456" i="2"/>
  <c r="I466" i="2"/>
  <c r="I167" i="5"/>
  <c r="G42" i="2"/>
  <c r="I42" i="2" s="1"/>
  <c r="G74" i="2"/>
  <c r="I110" i="2"/>
  <c r="I128" i="2"/>
  <c r="I134" i="2"/>
  <c r="I191" i="2"/>
  <c r="H204" i="2"/>
  <c r="I216" i="2"/>
  <c r="I271" i="2"/>
  <c r="I316" i="2"/>
  <c r="I326" i="2"/>
  <c r="I334" i="2"/>
  <c r="I374" i="2"/>
  <c r="I382" i="2"/>
  <c r="I474" i="2"/>
  <c r="I76" i="2"/>
  <c r="I154" i="2"/>
  <c r="I183" i="2"/>
  <c r="I199" i="2"/>
  <c r="I310" i="2"/>
  <c r="I276" i="5"/>
  <c r="H74" i="2"/>
  <c r="H71" i="2" s="1"/>
  <c r="G245" i="5"/>
  <c r="I245" i="5" s="1"/>
  <c r="I86" i="2"/>
  <c r="I163" i="2"/>
  <c r="I170" i="2"/>
  <c r="I176" i="2"/>
  <c r="H192" i="2"/>
  <c r="G197" i="2"/>
  <c r="I207" i="2"/>
  <c r="I288" i="2"/>
  <c r="I294" i="2"/>
  <c r="H318" i="2"/>
  <c r="I318" i="2" s="1"/>
  <c r="H327" i="2"/>
  <c r="I356" i="2"/>
  <c r="H375" i="2"/>
  <c r="H440" i="2"/>
  <c r="I491" i="2"/>
  <c r="G473" i="5"/>
  <c r="I473" i="5" s="1"/>
  <c r="G106" i="5"/>
  <c r="I106" i="5" s="1"/>
  <c r="I192" i="5"/>
  <c r="I17" i="2"/>
  <c r="I44" i="2"/>
  <c r="G68" i="2"/>
  <c r="I77" i="2"/>
  <c r="I98" i="2"/>
  <c r="I113" i="2"/>
  <c r="I121" i="2"/>
  <c r="I137" i="2"/>
  <c r="I185" i="2"/>
  <c r="I194" i="2"/>
  <c r="I220" i="2"/>
  <c r="I247" i="2"/>
  <c r="I258" i="2"/>
  <c r="I301" i="2"/>
  <c r="G338" i="2"/>
  <c r="I338" i="2" s="1"/>
  <c r="I387" i="2"/>
  <c r="I404" i="2"/>
  <c r="I415" i="2"/>
  <c r="I435" i="2"/>
  <c r="I442" i="2"/>
  <c r="I494" i="2"/>
  <c r="I425" i="5"/>
  <c r="G424" i="5"/>
  <c r="I424" i="5" s="1"/>
  <c r="I88" i="5"/>
  <c r="I112" i="5"/>
  <c r="G111" i="5"/>
  <c r="I111" i="5" s="1"/>
  <c r="I349" i="5"/>
  <c r="G348" i="5"/>
  <c r="I348" i="5" s="1"/>
  <c r="I52" i="5"/>
  <c r="G51" i="5"/>
  <c r="I51" i="5" s="1"/>
  <c r="I342" i="5"/>
  <c r="G337" i="5"/>
  <c r="I226" i="5"/>
  <c r="G225" i="5"/>
  <c r="I225" i="5" s="1"/>
  <c r="I217" i="5"/>
  <c r="G213" i="5"/>
  <c r="G250" i="5"/>
  <c r="I250" i="5" s="1"/>
  <c r="G27" i="5"/>
  <c r="G179" i="5"/>
  <c r="I179" i="5" s="1"/>
  <c r="I309" i="5"/>
  <c r="G308" i="5"/>
  <c r="I233" i="5"/>
  <c r="G232" i="5"/>
  <c r="I232" i="5" s="1"/>
  <c r="I262" i="5"/>
  <c r="G261" i="5"/>
  <c r="I261" i="5" s="1"/>
  <c r="I65" i="5"/>
  <c r="G64" i="5"/>
  <c r="I64" i="5" s="1"/>
  <c r="H463" i="5"/>
  <c r="I401" i="5"/>
  <c r="G400" i="5"/>
  <c r="I400" i="5" s="1"/>
  <c r="I465" i="5"/>
  <c r="G464" i="5"/>
  <c r="G497" i="5"/>
  <c r="I497" i="5" s="1"/>
  <c r="I384" i="5"/>
  <c r="G383" i="5"/>
  <c r="I383" i="5" s="1"/>
  <c r="H27" i="5"/>
  <c r="H26" i="5" s="1"/>
  <c r="H212" i="5"/>
  <c r="I158" i="5"/>
  <c r="G157" i="5"/>
  <c r="I157" i="5" s="1"/>
  <c r="G148" i="5"/>
  <c r="I148" i="5" s="1"/>
  <c r="I126" i="5"/>
  <c r="G125" i="5"/>
  <c r="I125" i="5" s="1"/>
  <c r="H87" i="5"/>
  <c r="H308" i="5"/>
  <c r="I116" i="5"/>
  <c r="I35" i="2"/>
  <c r="I102" i="2"/>
  <c r="I283" i="2"/>
  <c r="I381" i="2"/>
  <c r="I139" i="2"/>
  <c r="I47" i="2"/>
  <c r="G54" i="2"/>
  <c r="I60" i="2"/>
  <c r="G81" i="2"/>
  <c r="I81" i="2" s="1"/>
  <c r="I90" i="2"/>
  <c r="G136" i="2"/>
  <c r="I136" i="2" s="1"/>
  <c r="G153" i="2"/>
  <c r="I153" i="2" s="1"/>
  <c r="I173" i="2"/>
  <c r="G223" i="2"/>
  <c r="I223" i="2" s="1"/>
  <c r="G230" i="2"/>
  <c r="I230" i="2" s="1"/>
  <c r="G237" i="2"/>
  <c r="I237" i="2" s="1"/>
  <c r="I254" i="2"/>
  <c r="I290" i="2"/>
  <c r="I323" i="2"/>
  <c r="I363" i="2"/>
  <c r="I380" i="2"/>
  <c r="G420" i="2"/>
  <c r="I420" i="2" s="1"/>
  <c r="G434" i="2"/>
  <c r="I434" i="2" s="1"/>
  <c r="G447" i="2"/>
  <c r="I447" i="2" s="1"/>
  <c r="G461" i="2"/>
  <c r="I461" i="2" s="1"/>
  <c r="I200" i="2"/>
  <c r="I296" i="2"/>
  <c r="H492" i="2"/>
  <c r="I55" i="2"/>
  <c r="I48" i="2"/>
  <c r="I145" i="2"/>
  <c r="I91" i="2"/>
  <c r="I30" i="2"/>
  <c r="I162" i="2"/>
  <c r="H167" i="2"/>
  <c r="I406" i="2"/>
  <c r="I227" i="2"/>
  <c r="I234" i="2"/>
  <c r="G259" i="2"/>
  <c r="I313" i="2"/>
  <c r="I352" i="2"/>
  <c r="I407" i="2"/>
  <c r="I430" i="2"/>
  <c r="I436" i="2"/>
  <c r="H450" i="2"/>
  <c r="I29" i="2"/>
  <c r="I317" i="2"/>
  <c r="I195" i="2"/>
  <c r="I277" i="2"/>
  <c r="I429" i="2"/>
  <c r="I155" i="2"/>
  <c r="I375" i="2"/>
  <c r="I422" i="2"/>
  <c r="I84" i="2"/>
  <c r="I38" i="2"/>
  <c r="I156" i="2"/>
  <c r="I164" i="2"/>
  <c r="I202" i="2"/>
  <c r="I259" i="2"/>
  <c r="I345" i="2"/>
  <c r="I360" i="2"/>
  <c r="I368" i="2"/>
  <c r="I385" i="2"/>
  <c r="I398" i="2"/>
  <c r="I409" i="2"/>
  <c r="I423" i="2"/>
  <c r="I444" i="2"/>
  <c r="I452" i="2"/>
  <c r="I489" i="2"/>
  <c r="I412" i="2"/>
  <c r="H116" i="2"/>
  <c r="I49" i="2"/>
  <c r="I488" i="2"/>
  <c r="H106" i="2"/>
  <c r="G184" i="2"/>
  <c r="G228" i="2"/>
  <c r="I228" i="2" s="1"/>
  <c r="G235" i="2"/>
  <c r="I235" i="2" s="1"/>
  <c r="I240" i="2"/>
  <c r="I273" i="2"/>
  <c r="H309" i="2"/>
  <c r="H357" i="2"/>
  <c r="I344" i="2"/>
  <c r="I39" i="2"/>
  <c r="I53" i="2"/>
  <c r="I94" i="2"/>
  <c r="I114" i="2"/>
  <c r="G192" i="2"/>
  <c r="H197" i="2"/>
  <c r="I197" i="2" s="1"/>
  <c r="I203" i="2"/>
  <c r="H209" i="2"/>
  <c r="H208" i="2" s="1"/>
  <c r="H219" i="2"/>
  <c r="H225" i="2"/>
  <c r="G272" i="2"/>
  <c r="I272" i="2" s="1"/>
  <c r="I299" i="2"/>
  <c r="I329" i="2"/>
  <c r="I346" i="2"/>
  <c r="I361" i="2"/>
  <c r="I370" i="2"/>
  <c r="G386" i="2"/>
  <c r="I386" i="2" s="1"/>
  <c r="I399" i="2"/>
  <c r="G410" i="2"/>
  <c r="I410" i="2" s="1"/>
  <c r="I445" i="2"/>
  <c r="I501" i="2"/>
  <c r="I388" i="2"/>
  <c r="I239" i="2"/>
  <c r="G65" i="2"/>
  <c r="I65" i="2" s="1"/>
  <c r="G89" i="2"/>
  <c r="I89" i="2" s="1"/>
  <c r="I122" i="2"/>
  <c r="G268" i="2"/>
  <c r="H337" i="2"/>
  <c r="I354" i="2"/>
  <c r="G362" i="2"/>
  <c r="I362" i="2" s="1"/>
  <c r="G400" i="2"/>
  <c r="I426" i="2"/>
  <c r="I175" i="2"/>
  <c r="G46" i="2"/>
  <c r="I46" i="2" s="1"/>
  <c r="I96" i="2"/>
  <c r="I115" i="2"/>
  <c r="G123" i="2"/>
  <c r="I123" i="2" s="1"/>
  <c r="I152" i="2"/>
  <c r="I193" i="2"/>
  <c r="I244" i="2"/>
  <c r="H268" i="2"/>
  <c r="I281" i="2"/>
  <c r="H287" i="2"/>
  <c r="I307" i="2"/>
  <c r="G322" i="2"/>
  <c r="I322" i="2" s="1"/>
  <c r="H330" i="2"/>
  <c r="N18" i="2" s="1"/>
  <c r="G355" i="2"/>
  <c r="I355" i="2" s="1"/>
  <c r="G379" i="2"/>
  <c r="I379" i="2" s="1"/>
  <c r="I402" i="2"/>
  <c r="I419" i="2"/>
  <c r="G427" i="2"/>
  <c r="I427" i="2" s="1"/>
  <c r="I433" i="2"/>
  <c r="G51" i="2"/>
  <c r="G64" i="2"/>
  <c r="G330" i="2"/>
  <c r="I331" i="2"/>
  <c r="I75" i="2"/>
  <c r="I169" i="2"/>
  <c r="H262" i="2"/>
  <c r="I367" i="2"/>
  <c r="I394" i="2"/>
  <c r="G440" i="2"/>
  <c r="I441" i="2"/>
  <c r="I52" i="2"/>
  <c r="G149" i="2"/>
  <c r="I150" i="2"/>
  <c r="G309" i="2"/>
  <c r="I311" i="2"/>
  <c r="G262" i="2"/>
  <c r="I263" i="2"/>
  <c r="I99" i="2"/>
  <c r="I182" i="2"/>
  <c r="G188" i="2"/>
  <c r="I188" i="2" s="1"/>
  <c r="I189" i="2"/>
  <c r="G204" i="2"/>
  <c r="I204" i="2" s="1"/>
  <c r="I205" i="2"/>
  <c r="G255" i="2"/>
  <c r="I255" i="2" s="1"/>
  <c r="I256" i="2"/>
  <c r="I298" i="2"/>
  <c r="G295" i="2"/>
  <c r="G303" i="2"/>
  <c r="I304" i="2"/>
  <c r="I389" i="2"/>
  <c r="I401" i="2"/>
  <c r="H400" i="2"/>
  <c r="G416" i="2"/>
  <c r="I416" i="2" s="1"/>
  <c r="I417" i="2"/>
  <c r="I495" i="2"/>
  <c r="G484" i="2"/>
  <c r="I484" i="2" s="1"/>
  <c r="I485" i="2"/>
  <c r="I36" i="2"/>
  <c r="I72" i="2"/>
  <c r="G104" i="2"/>
  <c r="I104" i="2" s="1"/>
  <c r="I105" i="2"/>
  <c r="G111" i="2"/>
  <c r="I111" i="2" s="1"/>
  <c r="I112" i="2"/>
  <c r="G142" i="2"/>
  <c r="I142" i="2" s="1"/>
  <c r="I143" i="2"/>
  <c r="H303" i="2"/>
  <c r="G324" i="2"/>
  <c r="I324" i="2" s="1"/>
  <c r="I325" i="2"/>
  <c r="G453" i="2"/>
  <c r="I453" i="2" s="1"/>
  <c r="I454" i="2"/>
  <c r="I126" i="2"/>
  <c r="I221" i="2"/>
  <c r="G248" i="2"/>
  <c r="I248" i="2" s="1"/>
  <c r="I249" i="2"/>
  <c r="G340" i="2"/>
  <c r="I341" i="2"/>
  <c r="I418" i="2"/>
  <c r="I425" i="2"/>
  <c r="I481" i="2"/>
  <c r="G158" i="2"/>
  <c r="I160" i="2"/>
  <c r="H28" i="2"/>
  <c r="H27" i="2" s="1"/>
  <c r="G95" i="2"/>
  <c r="I184" i="2"/>
  <c r="G214" i="2"/>
  <c r="I215" i="2"/>
  <c r="H232" i="2"/>
  <c r="I251" i="2"/>
  <c r="I266" i="2"/>
  <c r="I306" i="2"/>
  <c r="I342" i="2"/>
  <c r="I384" i="2"/>
  <c r="H383" i="2"/>
  <c r="G241" i="2"/>
  <c r="I241" i="2" s="1"/>
  <c r="I242" i="2"/>
  <c r="G327" i="2"/>
  <c r="I328" i="2"/>
  <c r="G371" i="2"/>
  <c r="I371" i="2" s="1"/>
  <c r="I372" i="2"/>
  <c r="H405" i="2"/>
  <c r="G450" i="2"/>
  <c r="I451" i="2"/>
  <c r="G498" i="2"/>
  <c r="I499" i="2"/>
  <c r="I146" i="2"/>
  <c r="H250" i="2"/>
  <c r="I320" i="2"/>
  <c r="H348" i="2"/>
  <c r="I413" i="2"/>
  <c r="H497" i="2"/>
  <c r="I133" i="2"/>
  <c r="G130" i="2"/>
  <c r="I130" i="2" s="1"/>
  <c r="G284" i="2"/>
  <c r="I284" i="2" s="1"/>
  <c r="I285" i="2"/>
  <c r="I358" i="2"/>
  <c r="G364" i="2"/>
  <c r="I364" i="2" s="1"/>
  <c r="I365" i="2"/>
  <c r="I373" i="2"/>
  <c r="I414" i="2"/>
  <c r="G217" i="2"/>
  <c r="I217" i="2" s="1"/>
  <c r="I218" i="2"/>
  <c r="I279" i="2"/>
  <c r="G276" i="2"/>
  <c r="I276" i="2" s="1"/>
  <c r="I321" i="2"/>
  <c r="G392" i="2"/>
  <c r="I392" i="2" s="1"/>
  <c r="I393" i="2"/>
  <c r="G85" i="2"/>
  <c r="I85" i="2" s="1"/>
  <c r="G109" i="2"/>
  <c r="G186" i="2"/>
  <c r="I186" i="2" s="1"/>
  <c r="G246" i="2"/>
  <c r="G253" i="2"/>
  <c r="I253" i="2" s="1"/>
  <c r="G369" i="2"/>
  <c r="I369" i="2" s="1"/>
  <c r="G167" i="2"/>
  <c r="G209" i="2"/>
  <c r="G219" i="2"/>
  <c r="I219" i="2" s="1"/>
  <c r="G243" i="2"/>
  <c r="I243" i="2" s="1"/>
  <c r="G257" i="2"/>
  <c r="I257" i="2" s="1"/>
  <c r="G312" i="2"/>
  <c r="I312" i="2" s="1"/>
  <c r="I315" i="2"/>
  <c r="I448" i="2"/>
  <c r="I458" i="2"/>
  <c r="G465" i="2"/>
  <c r="I468" i="2"/>
  <c r="I475" i="2"/>
  <c r="G117" i="2"/>
  <c r="G226" i="2"/>
  <c r="G233" i="2"/>
  <c r="G349" i="2"/>
  <c r="H455" i="2"/>
  <c r="G486" i="2"/>
  <c r="I486" i="2" s="1"/>
  <c r="G493" i="2"/>
  <c r="G500" i="2"/>
  <c r="I500" i="2" s="1"/>
  <c r="H144" i="2"/>
  <c r="I144" i="2" s="1"/>
  <c r="H151" i="2"/>
  <c r="H148" i="2" s="1"/>
  <c r="H158" i="2"/>
  <c r="G408" i="2"/>
  <c r="I408" i="2" s="1"/>
  <c r="H93" i="2"/>
  <c r="I93" i="2" s="1"/>
  <c r="G287" i="2"/>
  <c r="H377" i="2"/>
  <c r="I377" i="2" s="1"/>
  <c r="H432" i="2"/>
  <c r="I432" i="2" s="1"/>
  <c r="H469" i="2"/>
  <c r="I469" i="2" s="1"/>
  <c r="H476" i="2"/>
  <c r="I476" i="2" s="1"/>
  <c r="I274" i="2"/>
  <c r="I192" i="2" l="1"/>
  <c r="I74" i="2"/>
  <c r="I64" i="2"/>
  <c r="I405" i="5"/>
  <c r="H179" i="2"/>
  <c r="I68" i="2"/>
  <c r="I457" i="2"/>
  <c r="I51" i="2"/>
  <c r="H213" i="2"/>
  <c r="I54" i="2"/>
  <c r="I400" i="2"/>
  <c r="I440" i="2"/>
  <c r="G87" i="5"/>
  <c r="I87" i="5" s="1"/>
  <c r="H308" i="2"/>
  <c r="I327" i="2"/>
  <c r="G71" i="2"/>
  <c r="I71" i="2" s="1"/>
  <c r="H25" i="5"/>
  <c r="H26" i="2"/>
  <c r="N15" i="2" s="1"/>
  <c r="G383" i="2"/>
  <c r="I383" i="2" s="1"/>
  <c r="I295" i="2"/>
  <c r="H286" i="2"/>
  <c r="G336" i="5"/>
  <c r="I336" i="5" s="1"/>
  <c r="I337" i="5"/>
  <c r="I308" i="5"/>
  <c r="G212" i="5"/>
  <c r="I212" i="5" s="1"/>
  <c r="I213" i="5"/>
  <c r="G463" i="5"/>
  <c r="I463" i="5" s="1"/>
  <c r="I464" i="5"/>
  <c r="I27" i="5"/>
  <c r="G26" i="5"/>
  <c r="H446" i="2"/>
  <c r="I28" i="2"/>
  <c r="H424" i="2"/>
  <c r="G27" i="2"/>
  <c r="I27" i="2" s="1"/>
  <c r="H261" i="2"/>
  <c r="I268" i="2"/>
  <c r="I450" i="2"/>
  <c r="I167" i="2"/>
  <c r="H157" i="2"/>
  <c r="G424" i="2"/>
  <c r="G245" i="2"/>
  <c r="I245" i="2" s="1"/>
  <c r="I246" i="2"/>
  <c r="G497" i="2"/>
  <c r="I497" i="2" s="1"/>
  <c r="I498" i="2"/>
  <c r="I158" i="2"/>
  <c r="G157" i="2"/>
  <c r="G473" i="2"/>
  <c r="I262" i="2"/>
  <c r="G261" i="2"/>
  <c r="I330" i="2"/>
  <c r="M18" i="2"/>
  <c r="I465" i="2"/>
  <c r="G464" i="2"/>
  <c r="G405" i="2"/>
  <c r="I405" i="2" s="1"/>
  <c r="I493" i="2"/>
  <c r="G492" i="2"/>
  <c r="I492" i="2" s="1"/>
  <c r="G179" i="2"/>
  <c r="I179" i="2" s="1"/>
  <c r="H366" i="2"/>
  <c r="H336" i="2" s="1"/>
  <c r="N19" i="2" s="1"/>
  <c r="G337" i="2"/>
  <c r="I340" i="2"/>
  <c r="G148" i="2"/>
  <c r="I148" i="2" s="1"/>
  <c r="I149" i="2"/>
  <c r="I109" i="2"/>
  <c r="G106" i="2"/>
  <c r="I106" i="2" s="1"/>
  <c r="I95" i="2"/>
  <c r="G88" i="2"/>
  <c r="H125" i="2"/>
  <c r="I151" i="2"/>
  <c r="I303" i="2"/>
  <c r="H473" i="2"/>
  <c r="I455" i="2"/>
  <c r="I349" i="2"/>
  <c r="G348" i="2"/>
  <c r="I348" i="2" s="1"/>
  <c r="G250" i="2"/>
  <c r="I250" i="2" s="1"/>
  <c r="G78" i="2"/>
  <c r="I78" i="2" s="1"/>
  <c r="H88" i="2"/>
  <c r="G446" i="2"/>
  <c r="I446" i="2" s="1"/>
  <c r="G366" i="2"/>
  <c r="I233" i="2"/>
  <c r="G232" i="2"/>
  <c r="I232" i="2" s="1"/>
  <c r="G357" i="2"/>
  <c r="I357" i="2" s="1"/>
  <c r="I309" i="2"/>
  <c r="G308" i="2"/>
  <c r="H464" i="2"/>
  <c r="I287" i="2"/>
  <c r="G286" i="2"/>
  <c r="I117" i="2"/>
  <c r="G116" i="2"/>
  <c r="I116" i="2" s="1"/>
  <c r="I209" i="2"/>
  <c r="G208" i="2"/>
  <c r="I208" i="2" s="1"/>
  <c r="G125" i="2"/>
  <c r="I125" i="2" s="1"/>
  <c r="I226" i="2"/>
  <c r="G225" i="2"/>
  <c r="I225" i="2" s="1"/>
  <c r="G213" i="2"/>
  <c r="I214" i="2"/>
  <c r="I261" i="2" l="1"/>
  <c r="I286" i="2"/>
  <c r="I424" i="2"/>
  <c r="I308" i="2"/>
  <c r="H463" i="2"/>
  <c r="I473" i="2"/>
  <c r="H212" i="2"/>
  <c r="I26" i="5"/>
  <c r="G25" i="5"/>
  <c r="I25" i="5" s="1"/>
  <c r="I157" i="2"/>
  <c r="G26" i="2"/>
  <c r="I26" i="2" s="1"/>
  <c r="H87" i="2"/>
  <c r="I213" i="2"/>
  <c r="G212" i="2"/>
  <c r="G87" i="2"/>
  <c r="I88" i="2"/>
  <c r="G336" i="2"/>
  <c r="I337" i="2"/>
  <c r="G463" i="2"/>
  <c r="I464" i="2"/>
  <c r="I366" i="2"/>
  <c r="I463" i="2" l="1"/>
  <c r="I212" i="2"/>
  <c r="M15" i="2"/>
  <c r="J462" i="5"/>
  <c r="J452" i="5"/>
  <c r="J442" i="5"/>
  <c r="J254" i="5"/>
  <c r="J479" i="5"/>
  <c r="J472" i="5"/>
  <c r="J445" i="5"/>
  <c r="J435" i="5"/>
  <c r="J411" i="5"/>
  <c r="J404" i="5"/>
  <c r="J387" i="5"/>
  <c r="J380" i="5"/>
  <c r="J335" i="5"/>
  <c r="J332" i="5"/>
  <c r="J329" i="5"/>
  <c r="J319" i="5"/>
  <c r="J267" i="5"/>
  <c r="J264" i="5"/>
  <c r="J470" i="5"/>
  <c r="J160" i="5"/>
  <c r="J278" i="5"/>
  <c r="J477" i="5"/>
  <c r="J402" i="5"/>
  <c r="J139" i="5"/>
  <c r="J135" i="5"/>
  <c r="J32" i="5"/>
  <c r="J207" i="5"/>
  <c r="J82" i="5"/>
  <c r="J409" i="5"/>
  <c r="J378" i="5"/>
  <c r="J317" i="5"/>
  <c r="J281" i="5"/>
  <c r="J216" i="5"/>
  <c r="J174" i="5"/>
  <c r="J48" i="5"/>
  <c r="J29" i="5"/>
  <c r="J190" i="5"/>
  <c r="J164" i="5"/>
  <c r="J297" i="5"/>
  <c r="J134" i="5"/>
  <c r="J124" i="5"/>
  <c r="J161" i="5"/>
  <c r="J300" i="5"/>
  <c r="J137" i="5"/>
  <c r="J96" i="5"/>
  <c r="J49" i="5"/>
  <c r="J84" i="5"/>
  <c r="J443" i="5"/>
  <c r="J37" i="5"/>
  <c r="J189" i="5"/>
  <c r="J466" i="5"/>
  <c r="J215" i="5"/>
  <c r="J154" i="5"/>
  <c r="J277" i="5"/>
  <c r="J143" i="5"/>
  <c r="J113" i="5"/>
  <c r="J238" i="5"/>
  <c r="J423" i="5"/>
  <c r="J252" i="5"/>
  <c r="J426" i="5"/>
  <c r="J283" i="5"/>
  <c r="J62" i="5"/>
  <c r="J163" i="5"/>
  <c r="J36" i="5"/>
  <c r="J56" i="5"/>
  <c r="J57" i="5"/>
  <c r="J236" i="5"/>
  <c r="J339" i="5"/>
  <c r="J162" i="5"/>
  <c r="J459" i="5"/>
  <c r="J310" i="5"/>
  <c r="J159" i="5"/>
  <c r="J343" i="5"/>
  <c r="J202" i="5"/>
  <c r="J431" i="5"/>
  <c r="J145" i="5"/>
  <c r="J449" i="5"/>
  <c r="J63" i="5"/>
  <c r="J385" i="5"/>
  <c r="J55" i="5"/>
  <c r="J166" i="5"/>
  <c r="J487" i="5"/>
  <c r="J247" i="5"/>
  <c r="J183" i="5"/>
  <c r="J178" i="5"/>
  <c r="J489" i="5"/>
  <c r="J323" i="5"/>
  <c r="J205" i="5"/>
  <c r="J356" i="5"/>
  <c r="J437" i="5"/>
  <c r="J282" i="5"/>
  <c r="J150" i="5"/>
  <c r="J456" i="5"/>
  <c r="J294" i="5"/>
  <c r="J105" i="5"/>
  <c r="J110" i="5"/>
  <c r="J41" i="5"/>
  <c r="J69" i="5"/>
  <c r="J165" i="5"/>
  <c r="J38" i="5"/>
  <c r="J221" i="5"/>
  <c r="J170" i="5"/>
  <c r="J347" i="5"/>
  <c r="J296" i="5"/>
  <c r="J147" i="5"/>
  <c r="J341" i="5"/>
  <c r="J265" i="5"/>
  <c r="J363" i="5"/>
  <c r="J244" i="5"/>
  <c r="J289" i="5"/>
  <c r="J176" i="5"/>
  <c r="J491" i="5"/>
  <c r="J299" i="5"/>
  <c r="J501" i="5"/>
  <c r="J301" i="5"/>
  <c r="J198" i="5"/>
  <c r="J156" i="5"/>
  <c r="J200" i="5"/>
  <c r="J132" i="5"/>
  <c r="J171" i="5"/>
  <c r="J203" i="5"/>
  <c r="J240" i="5"/>
  <c r="J196" i="5"/>
  <c r="J133" i="5"/>
  <c r="J391" i="5"/>
  <c r="J220" i="5"/>
  <c r="J415" i="5"/>
  <c r="J370" i="5"/>
  <c r="J258" i="5"/>
  <c r="J499" i="5"/>
  <c r="J305" i="5"/>
  <c r="J39" i="5"/>
  <c r="J206" i="5"/>
  <c r="J194" i="5"/>
  <c r="J433" i="5"/>
  <c r="J90" i="5"/>
  <c r="J269" i="5"/>
  <c r="J173" i="5"/>
  <c r="J326" i="5"/>
  <c r="J222" i="5"/>
  <c r="J481" i="5"/>
  <c r="J292" i="5"/>
  <c r="J439" i="5"/>
  <c r="J441" i="5"/>
  <c r="J393" i="5"/>
  <c r="J266" i="5"/>
  <c r="J460" i="5"/>
  <c r="J231" i="5"/>
  <c r="J325" i="5"/>
  <c r="J120" i="5"/>
  <c r="J397" i="5"/>
  <c r="J30" i="5"/>
  <c r="J61" i="5"/>
  <c r="J33" i="5"/>
  <c r="J321" i="5"/>
  <c r="J229" i="5"/>
  <c r="J195" i="5"/>
  <c r="J361" i="5"/>
  <c r="J430" i="5"/>
  <c r="J288" i="5"/>
  <c r="J352" i="5"/>
  <c r="J53" i="5"/>
  <c r="J58" i="5"/>
  <c r="J47" i="5"/>
  <c r="J169" i="5"/>
  <c r="J75" i="5"/>
  <c r="J201" i="5"/>
  <c r="J67" i="5"/>
  <c r="J70" i="5"/>
  <c r="J45" i="5"/>
  <c r="J354" i="5"/>
  <c r="J275" i="5"/>
  <c r="J307" i="5"/>
  <c r="J127" i="5"/>
  <c r="J293" i="5"/>
  <c r="J108" i="5"/>
  <c r="J359" i="5"/>
  <c r="J313" i="5"/>
  <c r="J345" i="5"/>
  <c r="J298" i="5"/>
  <c r="J199" i="5"/>
  <c r="J40" i="5"/>
  <c r="J80" i="5"/>
  <c r="J50" i="5"/>
  <c r="J368" i="5"/>
  <c r="J280" i="5"/>
  <c r="J413" i="5"/>
  <c r="J334" i="5"/>
  <c r="J290" i="5"/>
  <c r="J193" i="5"/>
  <c r="J483" i="5"/>
  <c r="J181" i="5"/>
  <c r="J485" i="5"/>
  <c r="J279" i="5"/>
  <c r="J34" i="5"/>
  <c r="J60" i="5"/>
  <c r="J86" i="5"/>
  <c r="J122" i="5"/>
  <c r="J333" i="5"/>
  <c r="J494" i="5"/>
  <c r="J428" i="5"/>
  <c r="J350" i="5"/>
  <c r="J302" i="5"/>
  <c r="J374" i="5"/>
  <c r="J59" i="5"/>
  <c r="J187" i="5"/>
  <c r="J43" i="5"/>
  <c r="J103" i="5"/>
  <c r="J191" i="5"/>
  <c r="J270" i="5"/>
  <c r="J496" i="5"/>
  <c r="J399" i="5"/>
  <c r="J311" i="5"/>
  <c r="J185" i="5"/>
  <c r="J389" i="5"/>
  <c r="J224" i="5"/>
  <c r="J274" i="5"/>
  <c r="J66" i="5"/>
  <c r="J76" i="5"/>
  <c r="J131" i="5"/>
  <c r="J31" i="5"/>
  <c r="J172" i="5"/>
  <c r="J129" i="5"/>
  <c r="J419" i="5"/>
  <c r="J451" i="5"/>
  <c r="J291" i="5"/>
  <c r="J421" i="5"/>
  <c r="J271" i="5"/>
  <c r="J218" i="5"/>
  <c r="J395" i="5"/>
  <c r="J234" i="5"/>
  <c r="J417" i="5"/>
  <c r="J372" i="5"/>
  <c r="J376" i="5"/>
  <c r="J175" i="5"/>
  <c r="J152" i="5"/>
  <c r="J331" i="5"/>
  <c r="J273" i="5"/>
  <c r="J365" i="5"/>
  <c r="J407" i="5"/>
  <c r="J77" i="5"/>
  <c r="J475" i="5"/>
  <c r="J141" i="5"/>
  <c r="J454" i="5"/>
  <c r="J328" i="5"/>
  <c r="J73" i="5"/>
  <c r="J118" i="5"/>
  <c r="J242" i="5"/>
  <c r="J468" i="5"/>
  <c r="J98" i="5"/>
  <c r="J227" i="5"/>
  <c r="J315" i="5"/>
  <c r="J211" i="5"/>
  <c r="J92" i="5"/>
  <c r="J330" i="5"/>
  <c r="J382" i="5"/>
  <c r="J249" i="5"/>
  <c r="J100" i="5"/>
  <c r="J210" i="5"/>
  <c r="J256" i="5"/>
  <c r="J285" i="5"/>
  <c r="J448" i="5"/>
  <c r="J101" i="5"/>
  <c r="J260" i="5"/>
  <c r="J168" i="5"/>
  <c r="J458" i="5"/>
  <c r="J263" i="5"/>
  <c r="J94" i="5"/>
  <c r="J115" i="5"/>
  <c r="J87" i="5"/>
  <c r="J400" i="5"/>
  <c r="J463" i="5"/>
  <c r="J212" i="5"/>
  <c r="J26" i="5"/>
  <c r="J336" i="5"/>
  <c r="N16" i="2"/>
  <c r="H25" i="2"/>
  <c r="I87" i="2"/>
  <c r="M16" i="2"/>
  <c r="I336" i="2"/>
  <c r="M19" i="2"/>
  <c r="G25" i="2"/>
  <c r="J25" i="5" l="1"/>
  <c r="I25" i="2"/>
  <c r="J336" i="2" s="1"/>
  <c r="J87" i="2"/>
  <c r="J462" i="2" l="1"/>
  <c r="J433" i="2"/>
  <c r="J307" i="2"/>
  <c r="J300" i="2"/>
  <c r="J278" i="2"/>
  <c r="J207" i="2"/>
  <c r="J132" i="2"/>
  <c r="J470" i="2"/>
  <c r="J385" i="2"/>
  <c r="J201" i="2"/>
  <c r="J94" i="2"/>
  <c r="J399" i="2"/>
  <c r="J430" i="2"/>
  <c r="J423" i="2"/>
  <c r="J368" i="2"/>
  <c r="J275" i="2"/>
  <c r="J108" i="2"/>
  <c r="J198" i="2"/>
  <c r="J115" i="2"/>
  <c r="J297" i="2"/>
  <c r="J231" i="2"/>
  <c r="J122" i="2"/>
  <c r="J491" i="2"/>
  <c r="J281" i="2"/>
  <c r="J347" i="2"/>
  <c r="J61" i="2"/>
  <c r="J57" i="2"/>
  <c r="J53" i="2"/>
  <c r="J135" i="2"/>
  <c r="J359" i="2"/>
  <c r="J302" i="2"/>
  <c r="J494" i="2"/>
  <c r="J280" i="2"/>
  <c r="J247" i="2"/>
  <c r="J395" i="2"/>
  <c r="J264" i="2"/>
  <c r="J196" i="2"/>
  <c r="J437" i="2"/>
  <c r="J419" i="2"/>
  <c r="J350" i="2"/>
  <c r="J421" i="2"/>
  <c r="J407" i="2"/>
  <c r="J296" i="2"/>
  <c r="J402" i="2"/>
  <c r="J29" i="2"/>
  <c r="J195" i="2"/>
  <c r="J37" i="2"/>
  <c r="J58" i="2"/>
  <c r="J252" i="2"/>
  <c r="J310" i="2"/>
  <c r="J293" i="2"/>
  <c r="J289" i="2"/>
  <c r="J222" i="2"/>
  <c r="J449" i="2"/>
  <c r="J426" i="2"/>
  <c r="J356" i="2"/>
  <c r="J154" i="2"/>
  <c r="J428" i="2"/>
  <c r="J439" i="2"/>
  <c r="J161" i="2"/>
  <c r="J41" i="2"/>
  <c r="J224" i="2"/>
  <c r="J50" i="2"/>
  <c r="J323" i="2"/>
  <c r="J76" i="2"/>
  <c r="J103" i="2"/>
  <c r="J258" i="2"/>
  <c r="J496" i="2"/>
  <c r="J282" i="2"/>
  <c r="J489" i="2"/>
  <c r="J229" i="2"/>
  <c r="J145" i="2"/>
  <c r="J363" i="2"/>
  <c r="J445" i="2"/>
  <c r="J267" i="2"/>
  <c r="J459" i="2"/>
  <c r="J47" i="2"/>
  <c r="J55" i="2"/>
  <c r="J238" i="2"/>
  <c r="J84" i="2"/>
  <c r="J288" i="2"/>
  <c r="J354" i="2"/>
  <c r="J479" i="2"/>
  <c r="J92" i="2"/>
  <c r="J124" i="2"/>
  <c r="J270" i="2"/>
  <c r="J131" i="2"/>
  <c r="J265" i="2"/>
  <c r="J203" i="2"/>
  <c r="J290" i="2"/>
  <c r="J113" i="2"/>
  <c r="J172" i="2"/>
  <c r="J173" i="2"/>
  <c r="J163" i="2"/>
  <c r="J452" i="2"/>
  <c r="J466" i="2"/>
  <c r="J60" i="2"/>
  <c r="J34" i="2"/>
  <c r="J291" i="2"/>
  <c r="J38" i="2"/>
  <c r="J361" i="2"/>
  <c r="J378" i="2"/>
  <c r="J98" i="2"/>
  <c r="J159" i="2"/>
  <c r="J271" i="2"/>
  <c r="J299" i="2"/>
  <c r="J240" i="2"/>
  <c r="J483" i="2"/>
  <c r="J66" i="2"/>
  <c r="J185" i="2"/>
  <c r="J31" i="2"/>
  <c r="J156" i="2"/>
  <c r="J134" i="2"/>
  <c r="J164" i="2"/>
  <c r="J442" i="2"/>
  <c r="J333" i="2"/>
  <c r="J305" i="2"/>
  <c r="J326" i="2"/>
  <c r="J216" i="2"/>
  <c r="J70" i="2"/>
  <c r="J110" i="2"/>
  <c r="J165" i="2"/>
  <c r="J120" i="2"/>
  <c r="J90" i="2"/>
  <c r="J236" i="2"/>
  <c r="J391" i="2"/>
  <c r="J501" i="2"/>
  <c r="J301" i="2"/>
  <c r="J101" i="2"/>
  <c r="J294" i="2"/>
  <c r="J43" i="2"/>
  <c r="J77" i="2"/>
  <c r="J33" i="2"/>
  <c r="J210" i="2"/>
  <c r="J181" i="2"/>
  <c r="J118" i="2"/>
  <c r="J382" i="2"/>
  <c r="J183" i="2"/>
  <c r="J313" i="2"/>
  <c r="J334" i="2"/>
  <c r="J139" i="2"/>
  <c r="J86" i="2"/>
  <c r="J194" i="2"/>
  <c r="J152" i="2"/>
  <c r="J374" i="2"/>
  <c r="J174" i="2"/>
  <c r="J39" i="2"/>
  <c r="J191" i="2"/>
  <c r="J273" i="2"/>
  <c r="J129" i="2"/>
  <c r="J48" i="2"/>
  <c r="J49" i="2"/>
  <c r="J409" i="2"/>
  <c r="J45" i="2"/>
  <c r="J292" i="2"/>
  <c r="J187" i="2"/>
  <c r="J415" i="2"/>
  <c r="J487" i="2"/>
  <c r="J171" i="2"/>
  <c r="J411" i="2"/>
  <c r="J190" i="2"/>
  <c r="J137" i="2"/>
  <c r="J370" i="2"/>
  <c r="J100" i="2"/>
  <c r="J277" i="2"/>
  <c r="J283" i="2"/>
  <c r="J168" i="2"/>
  <c r="J329" i="2"/>
  <c r="J56" i="2"/>
  <c r="J435" i="2"/>
  <c r="J80" i="2"/>
  <c r="J176" i="2"/>
  <c r="J456" i="2"/>
  <c r="J206" i="2"/>
  <c r="J397" i="2"/>
  <c r="J319" i="2"/>
  <c r="J202" i="2"/>
  <c r="J147" i="2"/>
  <c r="J30" i="2"/>
  <c r="J352" i="2"/>
  <c r="J269" i="2"/>
  <c r="J227" i="2"/>
  <c r="J82" i="2"/>
  <c r="J431" i="2"/>
  <c r="J343" i="2"/>
  <c r="J96" i="2"/>
  <c r="J193" i="2"/>
  <c r="J178" i="2"/>
  <c r="J62" i="2"/>
  <c r="J63" i="2"/>
  <c r="J59" i="2"/>
  <c r="J127" i="2"/>
  <c r="J40" i="2"/>
  <c r="J477" i="2"/>
  <c r="J67" i="2"/>
  <c r="J69" i="2"/>
  <c r="J32" i="2"/>
  <c r="J220" i="2"/>
  <c r="J170" i="2"/>
  <c r="J332" i="2"/>
  <c r="J200" i="2"/>
  <c r="J376" i="2"/>
  <c r="J404" i="2"/>
  <c r="J335" i="2"/>
  <c r="J244" i="2"/>
  <c r="J387" i="2"/>
  <c r="J162" i="2"/>
  <c r="J380" i="2"/>
  <c r="J460" i="2"/>
  <c r="J317" i="2"/>
  <c r="J175" i="2"/>
  <c r="J345" i="2"/>
  <c r="J254" i="2"/>
  <c r="J199" i="2"/>
  <c r="J339" i="2"/>
  <c r="J211" i="2"/>
  <c r="J141" i="2"/>
  <c r="J260" i="2"/>
  <c r="J443" i="2"/>
  <c r="J73" i="2"/>
  <c r="J472" i="2"/>
  <c r="J234" i="2"/>
  <c r="J166" i="2"/>
  <c r="J242" i="2"/>
  <c r="J365" i="2"/>
  <c r="J105" i="2"/>
  <c r="J221" i="2"/>
  <c r="J189" i="2"/>
  <c r="J311" i="2"/>
  <c r="J325" i="2"/>
  <c r="J485" i="2"/>
  <c r="J321" i="2"/>
  <c r="J499" i="2"/>
  <c r="J266" i="2"/>
  <c r="J75" i="2"/>
  <c r="J328" i="2"/>
  <c r="J372" i="2"/>
  <c r="J279" i="2"/>
  <c r="J315" i="2"/>
  <c r="J417" i="2"/>
  <c r="J393" i="2"/>
  <c r="J298" i="2"/>
  <c r="J160" i="2"/>
  <c r="J341" i="2"/>
  <c r="J133" i="2"/>
  <c r="J475" i="2"/>
  <c r="J205" i="2"/>
  <c r="J36" i="2"/>
  <c r="J150" i="2"/>
  <c r="J468" i="2"/>
  <c r="J218" i="2"/>
  <c r="J263" i="2"/>
  <c r="J274" i="2"/>
  <c r="J389" i="2"/>
  <c r="J285" i="2"/>
  <c r="J400" i="2"/>
  <c r="J169" i="2"/>
  <c r="J249" i="2"/>
  <c r="J441" i="2"/>
  <c r="J448" i="2"/>
  <c r="J256" i="2"/>
  <c r="J413" i="2"/>
  <c r="J454" i="2"/>
  <c r="J458" i="2"/>
  <c r="J331" i="2"/>
  <c r="J451" i="2"/>
  <c r="J143" i="2"/>
  <c r="J215" i="2"/>
  <c r="J481" i="2"/>
  <c r="J330" i="2"/>
  <c r="J463" i="2"/>
  <c r="J26" i="2"/>
  <c r="J212" i="2"/>
  <c r="H501" i="1"/>
  <c r="H500" i="4" s="1"/>
  <c r="G501" i="1"/>
  <c r="G500" i="4" s="1"/>
  <c r="I499" i="1"/>
  <c r="H499" i="1"/>
  <c r="H498" i="4" s="1"/>
  <c r="G499" i="1"/>
  <c r="G498" i="4" s="1"/>
  <c r="H496" i="1"/>
  <c r="H495" i="4" s="1"/>
  <c r="G496" i="1"/>
  <c r="H494" i="1"/>
  <c r="H493" i="4" s="1"/>
  <c r="G494" i="1"/>
  <c r="G493" i="4" s="1"/>
  <c r="H491" i="1"/>
  <c r="H490" i="4" s="1"/>
  <c r="G491" i="1"/>
  <c r="H489" i="1"/>
  <c r="H488" i="4" s="1"/>
  <c r="G489" i="1"/>
  <c r="H488" i="1"/>
  <c r="H487" i="4" s="1"/>
  <c r="H487" i="1"/>
  <c r="H486" i="4" s="1"/>
  <c r="G487" i="1"/>
  <c r="G486" i="4" s="1"/>
  <c r="H485" i="1"/>
  <c r="H484" i="4" s="1"/>
  <c r="G485" i="1"/>
  <c r="G484" i="4" s="1"/>
  <c r="H483" i="1"/>
  <c r="H482" i="4" s="1"/>
  <c r="G483" i="1"/>
  <c r="G482" i="4" s="1"/>
  <c r="H481" i="1"/>
  <c r="H480" i="4" s="1"/>
  <c r="G481" i="1"/>
  <c r="G480" i="4" s="1"/>
  <c r="H479" i="1"/>
  <c r="H478" i="4" s="1"/>
  <c r="G479" i="1"/>
  <c r="H477" i="1"/>
  <c r="H476" i="4" s="1"/>
  <c r="G477" i="1"/>
  <c r="G476" i="4" s="1"/>
  <c r="H475" i="1"/>
  <c r="G475" i="1"/>
  <c r="G474" i="4" s="1"/>
  <c r="H472" i="1"/>
  <c r="H471" i="4" s="1"/>
  <c r="G472" i="1"/>
  <c r="H470" i="1"/>
  <c r="H469" i="4" s="1"/>
  <c r="G470" i="1"/>
  <c r="G469" i="4" s="1"/>
  <c r="H468" i="1"/>
  <c r="G468" i="1"/>
  <c r="G467" i="4" s="1"/>
  <c r="G467" i="1"/>
  <c r="G466" i="4" s="1"/>
  <c r="H466" i="1"/>
  <c r="H465" i="4" s="1"/>
  <c r="G466" i="1"/>
  <c r="G465" i="4" s="1"/>
  <c r="H462" i="1"/>
  <c r="H461" i="4" s="1"/>
  <c r="G462" i="1"/>
  <c r="G461" i="4" s="1"/>
  <c r="H460" i="1"/>
  <c r="H459" i="4" s="1"/>
  <c r="G460" i="1"/>
  <c r="G459" i="4" s="1"/>
  <c r="H459" i="1"/>
  <c r="H458" i="4" s="1"/>
  <c r="G459" i="1"/>
  <c r="G458" i="4" s="1"/>
  <c r="H458" i="1"/>
  <c r="H457" i="4" s="1"/>
  <c r="G458" i="1"/>
  <c r="G457" i="4" s="1"/>
  <c r="H456" i="1"/>
  <c r="H455" i="4" s="1"/>
  <c r="G456" i="1"/>
  <c r="G455" i="4" s="1"/>
  <c r="H454" i="1"/>
  <c r="H453" i="4" s="1"/>
  <c r="G454" i="1"/>
  <c r="H452" i="1"/>
  <c r="H451" i="4" s="1"/>
  <c r="G452" i="1"/>
  <c r="G451" i="4" s="1"/>
  <c r="H451" i="1"/>
  <c r="H450" i="4" s="1"/>
  <c r="G451" i="1"/>
  <c r="G450" i="4" s="1"/>
  <c r="H449" i="1"/>
  <c r="H448" i="4" s="1"/>
  <c r="G449" i="1"/>
  <c r="I449" i="1" s="1"/>
  <c r="H448" i="1"/>
  <c r="G448" i="1"/>
  <c r="G447" i="4" s="1"/>
  <c r="H445" i="1"/>
  <c r="H444" i="4" s="1"/>
  <c r="G445" i="1"/>
  <c r="G444" i="4" s="1"/>
  <c r="H443" i="1"/>
  <c r="H442" i="4" s="1"/>
  <c r="G443" i="1"/>
  <c r="G442" i="4" s="1"/>
  <c r="H442" i="1"/>
  <c r="H441" i="4" s="1"/>
  <c r="G442" i="1"/>
  <c r="G441" i="4" s="1"/>
  <c r="H441" i="1"/>
  <c r="H440" i="4" s="1"/>
  <c r="G441" i="1"/>
  <c r="G440" i="4" s="1"/>
  <c r="H439" i="1"/>
  <c r="H438" i="4" s="1"/>
  <c r="G439" i="1"/>
  <c r="G438" i="4" s="1"/>
  <c r="H437" i="1"/>
  <c r="H436" i="4" s="1"/>
  <c r="G437" i="1"/>
  <c r="G436" i="4" s="1"/>
  <c r="H435" i="1"/>
  <c r="H434" i="4" s="1"/>
  <c r="G435" i="1"/>
  <c r="G434" i="4" s="1"/>
  <c r="H434" i="1"/>
  <c r="H433" i="4" s="1"/>
  <c r="H433" i="1"/>
  <c r="H432" i="4" s="1"/>
  <c r="G433" i="1"/>
  <c r="G432" i="4" s="1"/>
  <c r="H431" i="1"/>
  <c r="H430" i="4" s="1"/>
  <c r="G431" i="1"/>
  <c r="G430" i="4" s="1"/>
  <c r="H430" i="1"/>
  <c r="H429" i="4" s="1"/>
  <c r="G430" i="1"/>
  <c r="G429" i="4" s="1"/>
  <c r="H428" i="1"/>
  <c r="H427" i="4" s="1"/>
  <c r="G428" i="1"/>
  <c r="H426" i="1"/>
  <c r="H425" i="4" s="1"/>
  <c r="G426" i="1"/>
  <c r="G425" i="4" s="1"/>
  <c r="H423" i="1"/>
  <c r="H422" i="4" s="1"/>
  <c r="G423" i="1"/>
  <c r="G422" i="4" s="1"/>
  <c r="H421" i="1"/>
  <c r="H420" i="4" s="1"/>
  <c r="G421" i="1"/>
  <c r="G420" i="4" s="1"/>
  <c r="H419" i="1"/>
  <c r="H418" i="4" s="1"/>
  <c r="G419" i="1"/>
  <c r="G418" i="4" s="1"/>
  <c r="H417" i="1"/>
  <c r="H416" i="4" s="1"/>
  <c r="G417" i="1"/>
  <c r="H415" i="1"/>
  <c r="H414" i="4" s="1"/>
  <c r="G415" i="1"/>
  <c r="H413" i="1"/>
  <c r="H412" i="4" s="1"/>
  <c r="G413" i="1"/>
  <c r="G412" i="4" s="1"/>
  <c r="H411" i="1"/>
  <c r="H410" i="4" s="1"/>
  <c r="G411" i="1"/>
  <c r="G410" i="4" s="1"/>
  <c r="H409" i="1"/>
  <c r="H408" i="4" s="1"/>
  <c r="G409" i="1"/>
  <c r="G408" i="4" s="1"/>
  <c r="H407" i="1"/>
  <c r="H406" i="4" s="1"/>
  <c r="G407" i="1"/>
  <c r="G406" i="4" s="1"/>
  <c r="H404" i="1"/>
  <c r="H403" i="4" s="1"/>
  <c r="G404" i="1"/>
  <c r="G403" i="4" s="1"/>
  <c r="H402" i="1"/>
  <c r="H401" i="4" s="1"/>
  <c r="G402" i="1"/>
  <c r="G401" i="4" s="1"/>
  <c r="H399" i="1"/>
  <c r="H398" i="4" s="1"/>
  <c r="G399" i="1"/>
  <c r="G398" i="4" s="1"/>
  <c r="H397" i="1"/>
  <c r="H396" i="4" s="1"/>
  <c r="G397" i="1"/>
  <c r="H395" i="1"/>
  <c r="H394" i="4" s="1"/>
  <c r="G395" i="1"/>
  <c r="G394" i="4" s="1"/>
  <c r="H393" i="1"/>
  <c r="H392" i="4" s="1"/>
  <c r="G393" i="1"/>
  <c r="G392" i="4" s="1"/>
  <c r="H391" i="1"/>
  <c r="H390" i="4" s="1"/>
  <c r="G391" i="1"/>
  <c r="G390" i="4" s="1"/>
  <c r="H389" i="1"/>
  <c r="H388" i="4" s="1"/>
  <c r="G389" i="1"/>
  <c r="H387" i="1"/>
  <c r="H386" i="4" s="1"/>
  <c r="G387" i="1"/>
  <c r="G386" i="4" s="1"/>
  <c r="H385" i="1"/>
  <c r="H384" i="4" s="1"/>
  <c r="G385" i="1"/>
  <c r="G384" i="4" s="1"/>
  <c r="H382" i="1"/>
  <c r="H381" i="4" s="1"/>
  <c r="G382" i="1"/>
  <c r="G381" i="4" s="1"/>
  <c r="H380" i="1"/>
  <c r="H379" i="4" s="1"/>
  <c r="G380" i="1"/>
  <c r="H378" i="1"/>
  <c r="H377" i="4" s="1"/>
  <c r="G378" i="1"/>
  <c r="G377" i="4" s="1"/>
  <c r="H376" i="1"/>
  <c r="H375" i="4" s="1"/>
  <c r="G376" i="1"/>
  <c r="G375" i="4" s="1"/>
  <c r="G375" i="1"/>
  <c r="G374" i="4" s="1"/>
  <c r="H374" i="1"/>
  <c r="H373" i="4" s="1"/>
  <c r="G374" i="1"/>
  <c r="G373" i="4" s="1"/>
  <c r="H372" i="1"/>
  <c r="H371" i="4" s="1"/>
  <c r="G372" i="1"/>
  <c r="G371" i="4" s="1"/>
  <c r="H370" i="1"/>
  <c r="H369" i="4" s="1"/>
  <c r="G370" i="1"/>
  <c r="G369" i="4" s="1"/>
  <c r="H368" i="1"/>
  <c r="H367" i="4" s="1"/>
  <c r="G368" i="1"/>
  <c r="G367" i="4" s="1"/>
  <c r="H365" i="1"/>
  <c r="H364" i="4" s="1"/>
  <c r="G365" i="1"/>
  <c r="G364" i="4" s="1"/>
  <c r="H363" i="1"/>
  <c r="H362" i="4" s="1"/>
  <c r="G363" i="1"/>
  <c r="G362" i="4" s="1"/>
  <c r="H361" i="1"/>
  <c r="H360" i="4" s="1"/>
  <c r="G361" i="1"/>
  <c r="G360" i="4" s="1"/>
  <c r="H359" i="1"/>
  <c r="H358" i="4" s="1"/>
  <c r="G359" i="1"/>
  <c r="H356" i="1"/>
  <c r="H355" i="4" s="1"/>
  <c r="G356" i="1"/>
  <c r="G355" i="4" s="1"/>
  <c r="H354" i="1"/>
  <c r="H353" i="4" s="1"/>
  <c r="G354" i="1"/>
  <c r="G353" i="4" s="1"/>
  <c r="H352" i="1"/>
  <c r="H351" i="4" s="1"/>
  <c r="G352" i="1"/>
  <c r="H350" i="1"/>
  <c r="H349" i="4" s="1"/>
  <c r="G350" i="1"/>
  <c r="G349" i="4" s="1"/>
  <c r="I347" i="1"/>
  <c r="H347" i="1"/>
  <c r="H346" i="4" s="1"/>
  <c r="G347" i="1"/>
  <c r="G346" i="4" s="1"/>
  <c r="H345" i="1"/>
  <c r="H344" i="4" s="1"/>
  <c r="G345" i="1"/>
  <c r="H343" i="1"/>
  <c r="H342" i="4" s="1"/>
  <c r="G343" i="1"/>
  <c r="G342" i="4" s="1"/>
  <c r="H341" i="1"/>
  <c r="H340" i="4" s="1"/>
  <c r="G341" i="1"/>
  <c r="H339" i="1"/>
  <c r="H338" i="4" s="1"/>
  <c r="G339" i="1"/>
  <c r="G338" i="4" s="1"/>
  <c r="H335" i="1"/>
  <c r="H334" i="4" s="1"/>
  <c r="G335" i="1"/>
  <c r="G334" i="4" s="1"/>
  <c r="H334" i="1"/>
  <c r="H333" i="4" s="1"/>
  <c r="G334" i="1"/>
  <c r="G333" i="4" s="1"/>
  <c r="H333" i="1"/>
  <c r="H332" i="4" s="1"/>
  <c r="G333" i="1"/>
  <c r="G332" i="4" s="1"/>
  <c r="H332" i="1"/>
  <c r="H331" i="4" s="1"/>
  <c r="G332" i="1"/>
  <c r="G331" i="4" s="1"/>
  <c r="H331" i="1"/>
  <c r="G331" i="1"/>
  <c r="G330" i="4" s="1"/>
  <c r="H329" i="1"/>
  <c r="H328" i="4" s="1"/>
  <c r="G329" i="1"/>
  <c r="G328" i="4" s="1"/>
  <c r="H328" i="1"/>
  <c r="H327" i="4" s="1"/>
  <c r="G328" i="1"/>
  <c r="G327" i="4" s="1"/>
  <c r="H326" i="1"/>
  <c r="H325" i="4" s="1"/>
  <c r="G326" i="1"/>
  <c r="G325" i="4" s="1"/>
  <c r="H325" i="1"/>
  <c r="H324" i="4" s="1"/>
  <c r="G325" i="1"/>
  <c r="H323" i="1"/>
  <c r="H322" i="4" s="1"/>
  <c r="G323" i="1"/>
  <c r="G322" i="4" s="1"/>
  <c r="H321" i="1"/>
  <c r="H320" i="4" s="1"/>
  <c r="G321" i="1"/>
  <c r="H319" i="1"/>
  <c r="H318" i="4" s="1"/>
  <c r="G319" i="1"/>
  <c r="G318" i="4" s="1"/>
  <c r="H317" i="1"/>
  <c r="H316" i="4" s="1"/>
  <c r="G317" i="1"/>
  <c r="G316" i="4" s="1"/>
  <c r="H315" i="1"/>
  <c r="H314" i="4" s="1"/>
  <c r="G315" i="1"/>
  <c r="H313" i="1"/>
  <c r="H312" i="4" s="1"/>
  <c r="G313" i="1"/>
  <c r="G312" i="4" s="1"/>
  <c r="H311" i="1"/>
  <c r="H310" i="4" s="1"/>
  <c r="G311" i="1"/>
  <c r="G310" i="4" s="1"/>
  <c r="H310" i="1"/>
  <c r="H309" i="4" s="1"/>
  <c r="G310" i="1"/>
  <c r="G309" i="4" s="1"/>
  <c r="H307" i="1"/>
  <c r="H306" i="4" s="1"/>
  <c r="G307" i="1"/>
  <c r="G306" i="4" s="1"/>
  <c r="H305" i="1"/>
  <c r="H304" i="4" s="1"/>
  <c r="G305" i="1"/>
  <c r="H302" i="1"/>
  <c r="H301" i="4" s="1"/>
  <c r="G302" i="1"/>
  <c r="G301" i="4" s="1"/>
  <c r="H301" i="1"/>
  <c r="H300" i="4" s="1"/>
  <c r="G301" i="1"/>
  <c r="G300" i="4" s="1"/>
  <c r="H300" i="1"/>
  <c r="H299" i="4" s="1"/>
  <c r="G300" i="1"/>
  <c r="G299" i="4" s="1"/>
  <c r="H299" i="1"/>
  <c r="H298" i="4" s="1"/>
  <c r="G299" i="1"/>
  <c r="G298" i="4" s="1"/>
  <c r="H298" i="1"/>
  <c r="H297" i="4" s="1"/>
  <c r="G298" i="1"/>
  <c r="G297" i="4" s="1"/>
  <c r="H297" i="1"/>
  <c r="H296" i="4" s="1"/>
  <c r="G297" i="1"/>
  <c r="G296" i="4" s="1"/>
  <c r="H296" i="1"/>
  <c r="H295" i="4" s="1"/>
  <c r="G296" i="1"/>
  <c r="G295" i="4" s="1"/>
  <c r="H294" i="1"/>
  <c r="H293" i="4" s="1"/>
  <c r="G294" i="1"/>
  <c r="G293" i="4" s="1"/>
  <c r="H293" i="1"/>
  <c r="H292" i="4" s="1"/>
  <c r="G293" i="1"/>
  <c r="H292" i="1"/>
  <c r="H291" i="4" s="1"/>
  <c r="G292" i="1"/>
  <c r="G291" i="4" s="1"/>
  <c r="H291" i="1"/>
  <c r="H290" i="4" s="1"/>
  <c r="G291" i="1"/>
  <c r="G290" i="4" s="1"/>
  <c r="H290" i="1"/>
  <c r="H289" i="4" s="1"/>
  <c r="G290" i="1"/>
  <c r="G289" i="4" s="1"/>
  <c r="H289" i="1"/>
  <c r="H288" i="4" s="1"/>
  <c r="G289" i="1"/>
  <c r="G288" i="4" s="1"/>
  <c r="H288" i="1"/>
  <c r="H287" i="4" s="1"/>
  <c r="G288" i="1"/>
  <c r="G287" i="4" s="1"/>
  <c r="H285" i="1"/>
  <c r="H284" i="4" s="1"/>
  <c r="G285" i="1"/>
  <c r="H284" i="1"/>
  <c r="H283" i="4" s="1"/>
  <c r="H283" i="1"/>
  <c r="H282" i="4" s="1"/>
  <c r="G283" i="1"/>
  <c r="G282" i="4" s="1"/>
  <c r="H282" i="1"/>
  <c r="H281" i="4" s="1"/>
  <c r="G282" i="1"/>
  <c r="G281" i="4" s="1"/>
  <c r="H281" i="1"/>
  <c r="H280" i="4" s="1"/>
  <c r="G281" i="1"/>
  <c r="G280" i="4" s="1"/>
  <c r="H280" i="1"/>
  <c r="H279" i="4" s="1"/>
  <c r="G280" i="1"/>
  <c r="G279" i="4" s="1"/>
  <c r="H279" i="1"/>
  <c r="H278" i="4" s="1"/>
  <c r="G279" i="1"/>
  <c r="G278" i="4" s="1"/>
  <c r="H278" i="1"/>
  <c r="H277" i="4" s="1"/>
  <c r="G278" i="1"/>
  <c r="G277" i="4" s="1"/>
  <c r="H277" i="1"/>
  <c r="H276" i="4" s="1"/>
  <c r="G277" i="1"/>
  <c r="G276" i="4" s="1"/>
  <c r="H275" i="1"/>
  <c r="H274" i="4" s="1"/>
  <c r="G275" i="1"/>
  <c r="H274" i="1"/>
  <c r="H273" i="4" s="1"/>
  <c r="G274" i="1"/>
  <c r="G273" i="4" s="1"/>
  <c r="H273" i="1"/>
  <c r="H272" i="4" s="1"/>
  <c r="G273" i="1"/>
  <c r="G272" i="4" s="1"/>
  <c r="H271" i="1"/>
  <c r="H270" i="4" s="1"/>
  <c r="G271" i="1"/>
  <c r="G270" i="4" s="1"/>
  <c r="H270" i="1"/>
  <c r="H269" i="4" s="1"/>
  <c r="G270" i="1"/>
  <c r="G269" i="4" s="1"/>
  <c r="H269" i="1"/>
  <c r="H268" i="4" s="1"/>
  <c r="G269" i="1"/>
  <c r="G268" i="4" s="1"/>
  <c r="H267" i="1"/>
  <c r="H266" i="4" s="1"/>
  <c r="G267" i="1"/>
  <c r="G266" i="4" s="1"/>
  <c r="H266" i="1"/>
  <c r="H265" i="4" s="1"/>
  <c r="G266" i="1"/>
  <c r="G265" i="4" s="1"/>
  <c r="H265" i="1"/>
  <c r="H264" i="4" s="1"/>
  <c r="G265" i="1"/>
  <c r="G264" i="4" s="1"/>
  <c r="H264" i="1"/>
  <c r="H263" i="4" s="1"/>
  <c r="G264" i="1"/>
  <c r="G263" i="4" s="1"/>
  <c r="H263" i="1"/>
  <c r="H262" i="4" s="1"/>
  <c r="G263" i="1"/>
  <c r="G262" i="4" s="1"/>
  <c r="H260" i="1"/>
  <c r="H259" i="4" s="1"/>
  <c r="G260" i="1"/>
  <c r="G259" i="4" s="1"/>
  <c r="H258" i="1"/>
  <c r="H257" i="4" s="1"/>
  <c r="G258" i="1"/>
  <c r="H256" i="1"/>
  <c r="H255" i="4" s="1"/>
  <c r="G256" i="1"/>
  <c r="H254" i="1"/>
  <c r="H253" i="4" s="1"/>
  <c r="G254" i="1"/>
  <c r="G253" i="4" s="1"/>
  <c r="H252" i="1"/>
  <c r="H251" i="4" s="1"/>
  <c r="G252" i="1"/>
  <c r="G251" i="4" s="1"/>
  <c r="H251" i="1"/>
  <c r="H250" i="4" s="1"/>
  <c r="H249" i="1"/>
  <c r="H248" i="4" s="1"/>
  <c r="G249" i="1"/>
  <c r="H248" i="1"/>
  <c r="H247" i="4" s="1"/>
  <c r="H247" i="1"/>
  <c r="H246" i="4" s="1"/>
  <c r="G247" i="1"/>
  <c r="G246" i="4" s="1"/>
  <c r="H244" i="1"/>
  <c r="H243" i="4" s="1"/>
  <c r="G244" i="1"/>
  <c r="G243" i="4" s="1"/>
  <c r="H242" i="1"/>
  <c r="H241" i="4" s="1"/>
  <c r="G242" i="1"/>
  <c r="G241" i="4" s="1"/>
  <c r="H240" i="1"/>
  <c r="H239" i="4" s="1"/>
  <c r="G240" i="1"/>
  <c r="G239" i="4" s="1"/>
  <c r="H238" i="1"/>
  <c r="H237" i="4" s="1"/>
  <c r="G238" i="1"/>
  <c r="G237" i="4" s="1"/>
  <c r="H236" i="1"/>
  <c r="H235" i="4" s="1"/>
  <c r="G236" i="1"/>
  <c r="G235" i="4" s="1"/>
  <c r="H234" i="1"/>
  <c r="H233" i="4" s="1"/>
  <c r="G234" i="1"/>
  <c r="G233" i="4" s="1"/>
  <c r="H231" i="1"/>
  <c r="H230" i="4" s="1"/>
  <c r="G231" i="1"/>
  <c r="G230" i="4" s="1"/>
  <c r="H229" i="1"/>
  <c r="H228" i="4" s="1"/>
  <c r="G229" i="1"/>
  <c r="H227" i="1"/>
  <c r="H226" i="4" s="1"/>
  <c r="G227" i="1"/>
  <c r="H224" i="1"/>
  <c r="H223" i="4" s="1"/>
  <c r="G224" i="1"/>
  <c r="G223" i="4" s="1"/>
  <c r="H223" i="1"/>
  <c r="H222" i="4" s="1"/>
  <c r="H222" i="1"/>
  <c r="H221" i="4" s="1"/>
  <c r="G222" i="1"/>
  <c r="G221" i="4" s="1"/>
  <c r="H221" i="1"/>
  <c r="H220" i="4" s="1"/>
  <c r="G221" i="1"/>
  <c r="G220" i="4" s="1"/>
  <c r="H220" i="1"/>
  <c r="H219" i="4" s="1"/>
  <c r="G220" i="1"/>
  <c r="G219" i="4" s="1"/>
  <c r="H218" i="1"/>
  <c r="H217" i="4" s="1"/>
  <c r="G218" i="1"/>
  <c r="G217" i="4" s="1"/>
  <c r="H216" i="1"/>
  <c r="H215" i="4" s="1"/>
  <c r="G216" i="1"/>
  <c r="G215" i="4" s="1"/>
  <c r="H215" i="1"/>
  <c r="H214" i="4" s="1"/>
  <c r="G215" i="1"/>
  <c r="G214" i="4" s="1"/>
  <c r="G214" i="1"/>
  <c r="G213" i="4" s="1"/>
  <c r="H211" i="1"/>
  <c r="H210" i="4" s="1"/>
  <c r="G211" i="1"/>
  <c r="G210" i="4" s="1"/>
  <c r="H210" i="1"/>
  <c r="H209" i="4" s="1"/>
  <c r="G210" i="1"/>
  <c r="G209" i="4" s="1"/>
  <c r="H207" i="1"/>
  <c r="H206" i="4" s="1"/>
  <c r="G207" i="1"/>
  <c r="G206" i="4" s="1"/>
  <c r="H206" i="1"/>
  <c r="H205" i="4" s="1"/>
  <c r="G206" i="1"/>
  <c r="G205" i="4" s="1"/>
  <c r="H205" i="1"/>
  <c r="H204" i="4" s="1"/>
  <c r="G205" i="1"/>
  <c r="G204" i="4" s="1"/>
  <c r="H203" i="1"/>
  <c r="H202" i="4" s="1"/>
  <c r="G203" i="1"/>
  <c r="G202" i="4" s="1"/>
  <c r="H202" i="1"/>
  <c r="H201" i="4" s="1"/>
  <c r="G202" i="1"/>
  <c r="G201" i="4" s="1"/>
  <c r="H201" i="1"/>
  <c r="H200" i="4" s="1"/>
  <c r="G201" i="1"/>
  <c r="H200" i="1"/>
  <c r="H199" i="4" s="1"/>
  <c r="G200" i="1"/>
  <c r="G199" i="4" s="1"/>
  <c r="H199" i="1"/>
  <c r="H198" i="4" s="1"/>
  <c r="G199" i="1"/>
  <c r="G198" i="4" s="1"/>
  <c r="H198" i="1"/>
  <c r="H197" i="4" s="1"/>
  <c r="G198" i="1"/>
  <c r="H196" i="1"/>
  <c r="H195" i="4" s="1"/>
  <c r="G196" i="1"/>
  <c r="G195" i="4" s="1"/>
  <c r="H195" i="1"/>
  <c r="H194" i="4" s="1"/>
  <c r="G195" i="1"/>
  <c r="G194" i="4" s="1"/>
  <c r="H194" i="1"/>
  <c r="H193" i="4" s="1"/>
  <c r="G194" i="1"/>
  <c r="G193" i="4" s="1"/>
  <c r="H193" i="1"/>
  <c r="H192" i="4" s="1"/>
  <c r="G193" i="1"/>
  <c r="G192" i="4" s="1"/>
  <c r="H191" i="1"/>
  <c r="H190" i="4" s="1"/>
  <c r="G191" i="1"/>
  <c r="G190" i="4" s="1"/>
  <c r="H190" i="1"/>
  <c r="G190" i="1"/>
  <c r="G189" i="4" s="1"/>
  <c r="H189" i="1"/>
  <c r="H188" i="4" s="1"/>
  <c r="G189" i="1"/>
  <c r="H187" i="1"/>
  <c r="H186" i="4" s="1"/>
  <c r="G187" i="1"/>
  <c r="G186" i="4" s="1"/>
  <c r="H185" i="1"/>
  <c r="H184" i="4" s="1"/>
  <c r="G185" i="1"/>
  <c r="G184" i="4" s="1"/>
  <c r="H183" i="1"/>
  <c r="H182" i="4" s="1"/>
  <c r="G183" i="1"/>
  <c r="H181" i="1"/>
  <c r="H180" i="4" s="1"/>
  <c r="G181" i="1"/>
  <c r="G180" i="4" s="1"/>
  <c r="H178" i="1"/>
  <c r="H177" i="4" s="1"/>
  <c r="G178" i="1"/>
  <c r="H176" i="1"/>
  <c r="H175" i="4" s="1"/>
  <c r="G176" i="1"/>
  <c r="G175" i="4" s="1"/>
  <c r="H175" i="1"/>
  <c r="H174" i="4" s="1"/>
  <c r="G175" i="1"/>
  <c r="G174" i="4" s="1"/>
  <c r="H174" i="1"/>
  <c r="H173" i="4" s="1"/>
  <c r="G174" i="1"/>
  <c r="G173" i="4" s="1"/>
  <c r="H173" i="1"/>
  <c r="H172" i="4" s="1"/>
  <c r="G173" i="1"/>
  <c r="G172" i="4" s="1"/>
  <c r="H172" i="1"/>
  <c r="H171" i="4" s="1"/>
  <c r="G172" i="1"/>
  <c r="G171" i="4" s="1"/>
  <c r="H171" i="1"/>
  <c r="H170" i="4" s="1"/>
  <c r="G171" i="1"/>
  <c r="G170" i="4" s="1"/>
  <c r="H170" i="1"/>
  <c r="H169" i="4" s="1"/>
  <c r="G170" i="1"/>
  <c r="G169" i="4" s="1"/>
  <c r="H169" i="1"/>
  <c r="H168" i="4" s="1"/>
  <c r="G169" i="1"/>
  <c r="G168" i="4" s="1"/>
  <c r="H168" i="1"/>
  <c r="H167" i="4" s="1"/>
  <c r="G168" i="1"/>
  <c r="G167" i="4" s="1"/>
  <c r="H166" i="1"/>
  <c r="H165" i="4" s="1"/>
  <c r="G166" i="1"/>
  <c r="G165" i="4" s="1"/>
  <c r="H165" i="1"/>
  <c r="H164" i="4" s="1"/>
  <c r="G165" i="1"/>
  <c r="G164" i="4" s="1"/>
  <c r="H164" i="1"/>
  <c r="H163" i="4" s="1"/>
  <c r="G164" i="1"/>
  <c r="G163" i="4" s="1"/>
  <c r="H163" i="1"/>
  <c r="H162" i="4" s="1"/>
  <c r="G163" i="1"/>
  <c r="G162" i="4" s="1"/>
  <c r="H162" i="1"/>
  <c r="H161" i="4" s="1"/>
  <c r="G162" i="1"/>
  <c r="G161" i="4" s="1"/>
  <c r="H161" i="1"/>
  <c r="H160" i="4" s="1"/>
  <c r="G161" i="1"/>
  <c r="G160" i="4" s="1"/>
  <c r="H160" i="1"/>
  <c r="H159" i="4" s="1"/>
  <c r="G160" i="1"/>
  <c r="G159" i="4" s="1"/>
  <c r="H159" i="1"/>
  <c r="H158" i="4" s="1"/>
  <c r="G159" i="1"/>
  <c r="G158" i="4" s="1"/>
  <c r="H156" i="1"/>
  <c r="H155" i="4" s="1"/>
  <c r="G156" i="1"/>
  <c r="G155" i="4" s="1"/>
  <c r="H154" i="1"/>
  <c r="H153" i="4" s="1"/>
  <c r="G154" i="1"/>
  <c r="G153" i="4" s="1"/>
  <c r="H152" i="1"/>
  <c r="H151" i="4" s="1"/>
  <c r="G152" i="1"/>
  <c r="G151" i="4" s="1"/>
  <c r="H150" i="1"/>
  <c r="H149" i="4" s="1"/>
  <c r="G150" i="1"/>
  <c r="H147" i="1"/>
  <c r="H146" i="4" s="1"/>
  <c r="G147" i="1"/>
  <c r="G146" i="4" s="1"/>
  <c r="H145" i="1"/>
  <c r="H144" i="4" s="1"/>
  <c r="G145" i="1"/>
  <c r="G144" i="4" s="1"/>
  <c r="H143" i="1"/>
  <c r="H142" i="4" s="1"/>
  <c r="G143" i="1"/>
  <c r="G142" i="4" s="1"/>
  <c r="G142" i="1"/>
  <c r="G141" i="4" s="1"/>
  <c r="H141" i="1"/>
  <c r="H140" i="4" s="1"/>
  <c r="G141" i="1"/>
  <c r="G140" i="1" s="1"/>
  <c r="H139" i="1"/>
  <c r="H138" i="4" s="1"/>
  <c r="G139" i="1"/>
  <c r="G138" i="4" s="1"/>
  <c r="H137" i="1"/>
  <c r="H136" i="4" s="1"/>
  <c r="G137" i="1"/>
  <c r="G136" i="4" s="1"/>
  <c r="H135" i="1"/>
  <c r="H134" i="4" s="1"/>
  <c r="G135" i="1"/>
  <c r="G134" i="4" s="1"/>
  <c r="H134" i="1"/>
  <c r="H133" i="4" s="1"/>
  <c r="G134" i="1"/>
  <c r="G133" i="4" s="1"/>
  <c r="H133" i="1"/>
  <c r="H132" i="4" s="1"/>
  <c r="G133" i="1"/>
  <c r="G132" i="4" s="1"/>
  <c r="H132" i="1"/>
  <c r="H131" i="4" s="1"/>
  <c r="G132" i="1"/>
  <c r="G131" i="4" s="1"/>
  <c r="H131" i="1"/>
  <c r="H130" i="4" s="1"/>
  <c r="G131" i="1"/>
  <c r="G130" i="4" s="1"/>
  <c r="H129" i="1"/>
  <c r="H128" i="4" s="1"/>
  <c r="G129" i="1"/>
  <c r="H127" i="1"/>
  <c r="H126" i="4" s="1"/>
  <c r="G127" i="1"/>
  <c r="H124" i="1"/>
  <c r="H123" i="4" s="1"/>
  <c r="G124" i="1"/>
  <c r="G123" i="4" s="1"/>
  <c r="H122" i="1"/>
  <c r="H121" i="4" s="1"/>
  <c r="G122" i="1"/>
  <c r="G121" i="4" s="1"/>
  <c r="H120" i="1"/>
  <c r="H119" i="4" s="1"/>
  <c r="G120" i="1"/>
  <c r="G119" i="4" s="1"/>
  <c r="H119" i="1"/>
  <c r="H118" i="4" s="1"/>
  <c r="H118" i="1"/>
  <c r="H117" i="4" s="1"/>
  <c r="G118" i="1"/>
  <c r="H115" i="1"/>
  <c r="H114" i="4" s="1"/>
  <c r="G115" i="1"/>
  <c r="G114" i="4" s="1"/>
  <c r="H114" i="1"/>
  <c r="H113" i="4" s="1"/>
  <c r="G114" i="1"/>
  <c r="G113" i="4" s="1"/>
  <c r="H113" i="1"/>
  <c r="H112" i="4" s="1"/>
  <c r="G113" i="1"/>
  <c r="G112" i="4" s="1"/>
  <c r="H110" i="1"/>
  <c r="H109" i="4" s="1"/>
  <c r="G110" i="1"/>
  <c r="G109" i="4" s="1"/>
  <c r="H108" i="1"/>
  <c r="H107" i="4" s="1"/>
  <c r="G108" i="1"/>
  <c r="G107" i="4" s="1"/>
  <c r="H105" i="1"/>
  <c r="H104" i="4" s="1"/>
  <c r="G105" i="1"/>
  <c r="H103" i="1"/>
  <c r="H102" i="4" s="1"/>
  <c r="G103" i="1"/>
  <c r="G102" i="4" s="1"/>
  <c r="H101" i="1"/>
  <c r="H100" i="4" s="1"/>
  <c r="G101" i="1"/>
  <c r="G100" i="4" s="1"/>
  <c r="H100" i="1"/>
  <c r="H99" i="4" s="1"/>
  <c r="G100" i="1"/>
  <c r="G99" i="4" s="1"/>
  <c r="H98" i="1"/>
  <c r="H97" i="4" s="1"/>
  <c r="G98" i="1"/>
  <c r="G97" i="4" s="1"/>
  <c r="H97" i="1"/>
  <c r="H96" i="4" s="1"/>
  <c r="H96" i="1"/>
  <c r="H95" i="4" s="1"/>
  <c r="G96" i="1"/>
  <c r="G95" i="4" s="1"/>
  <c r="H94" i="1"/>
  <c r="H93" i="4" s="1"/>
  <c r="G94" i="1"/>
  <c r="G93" i="4" s="1"/>
  <c r="H93" i="1"/>
  <c r="H92" i="4" s="1"/>
  <c r="H92" i="1"/>
  <c r="H91" i="4" s="1"/>
  <c r="G92" i="1"/>
  <c r="G91" i="4" s="1"/>
  <c r="H90" i="1"/>
  <c r="H89" i="4" s="1"/>
  <c r="G90" i="1"/>
  <c r="G89" i="4" s="1"/>
  <c r="H89" i="1"/>
  <c r="H88" i="4" s="1"/>
  <c r="H86" i="1"/>
  <c r="H85" i="4" s="1"/>
  <c r="G86" i="1"/>
  <c r="G85" i="4" s="1"/>
  <c r="H84" i="1"/>
  <c r="H83" i="4" s="1"/>
  <c r="G84" i="1"/>
  <c r="G83" i="4" s="1"/>
  <c r="H82" i="1"/>
  <c r="H81" i="4" s="1"/>
  <c r="G82" i="1"/>
  <c r="G81" i="4" s="1"/>
  <c r="H80" i="1"/>
  <c r="H79" i="4" s="1"/>
  <c r="G80" i="1"/>
  <c r="G79" i="4" s="1"/>
  <c r="H77" i="1"/>
  <c r="H76" i="4" s="1"/>
  <c r="G77" i="1"/>
  <c r="H76" i="1"/>
  <c r="H75" i="4" s="1"/>
  <c r="G76" i="1"/>
  <c r="G75" i="4" s="1"/>
  <c r="H75" i="1"/>
  <c r="H74" i="4" s="1"/>
  <c r="G75" i="1"/>
  <c r="G74" i="4" s="1"/>
  <c r="H73" i="1"/>
  <c r="H72" i="4" s="1"/>
  <c r="G73" i="1"/>
  <c r="G72" i="4" s="1"/>
  <c r="H70" i="1"/>
  <c r="H69" i="4" s="1"/>
  <c r="G70" i="1"/>
  <c r="G69" i="4" s="1"/>
  <c r="H69" i="1"/>
  <c r="H68" i="4" s="1"/>
  <c r="G69" i="1"/>
  <c r="G68" i="4" s="1"/>
  <c r="H67" i="1"/>
  <c r="H66" i="4" s="1"/>
  <c r="G67" i="1"/>
  <c r="G66" i="4" s="1"/>
  <c r="H66" i="1"/>
  <c r="H65" i="4" s="1"/>
  <c r="G66" i="1"/>
  <c r="G65" i="4" s="1"/>
  <c r="H63" i="1"/>
  <c r="H62" i="4" s="1"/>
  <c r="G63" i="1"/>
  <c r="G62" i="4" s="1"/>
  <c r="H62" i="1"/>
  <c r="H61" i="4" s="1"/>
  <c r="G62" i="1"/>
  <c r="G61" i="4" s="1"/>
  <c r="H61" i="1"/>
  <c r="H60" i="4" s="1"/>
  <c r="G61" i="1"/>
  <c r="G60" i="4" s="1"/>
  <c r="H60" i="1"/>
  <c r="H59" i="4" s="1"/>
  <c r="G60" i="1"/>
  <c r="G59" i="4" s="1"/>
  <c r="H59" i="1"/>
  <c r="H58" i="4" s="1"/>
  <c r="G59" i="1"/>
  <c r="G58" i="4" s="1"/>
  <c r="H58" i="1"/>
  <c r="H57" i="4" s="1"/>
  <c r="G58" i="1"/>
  <c r="G57" i="4" s="1"/>
  <c r="H57" i="1"/>
  <c r="H56" i="4" s="1"/>
  <c r="G57" i="1"/>
  <c r="G56" i="4" s="1"/>
  <c r="H56" i="1"/>
  <c r="H55" i="4" s="1"/>
  <c r="G56" i="1"/>
  <c r="G55" i="4" s="1"/>
  <c r="H55" i="1"/>
  <c r="H54" i="4" s="1"/>
  <c r="G55" i="1"/>
  <c r="G54" i="4" s="1"/>
  <c r="H53" i="1"/>
  <c r="H52" i="4" s="1"/>
  <c r="G53" i="1"/>
  <c r="G52" i="4" s="1"/>
  <c r="H50" i="1"/>
  <c r="H49" i="4" s="1"/>
  <c r="G50" i="1"/>
  <c r="G49" i="4" s="1"/>
  <c r="H49" i="1"/>
  <c r="H48" i="4" s="1"/>
  <c r="G49" i="1"/>
  <c r="G48" i="4" s="1"/>
  <c r="H48" i="1"/>
  <c r="H47" i="4" s="1"/>
  <c r="G48" i="1"/>
  <c r="G47" i="4" s="1"/>
  <c r="H47" i="1"/>
  <c r="H46" i="4" s="1"/>
  <c r="G47" i="1"/>
  <c r="G46" i="4" s="1"/>
  <c r="H45" i="1"/>
  <c r="H44" i="4" s="1"/>
  <c r="G45" i="1"/>
  <c r="H43" i="1"/>
  <c r="H42" i="4" s="1"/>
  <c r="G43" i="1"/>
  <c r="H41" i="1"/>
  <c r="H40" i="4" s="1"/>
  <c r="G41" i="1"/>
  <c r="H40" i="1"/>
  <c r="H39" i="4" s="1"/>
  <c r="G40" i="1"/>
  <c r="G39" i="4" s="1"/>
  <c r="H39" i="1"/>
  <c r="H38" i="4" s="1"/>
  <c r="G39" i="1"/>
  <c r="G38" i="4" s="1"/>
  <c r="H38" i="1"/>
  <c r="H37" i="4" s="1"/>
  <c r="G38" i="1"/>
  <c r="G37" i="4" s="1"/>
  <c r="H37" i="1"/>
  <c r="H36" i="4" s="1"/>
  <c r="G37" i="1"/>
  <c r="G36" i="4" s="1"/>
  <c r="H36" i="1"/>
  <c r="H35" i="4" s="1"/>
  <c r="G36" i="1"/>
  <c r="G35" i="4" s="1"/>
  <c r="H34" i="1"/>
  <c r="H33" i="4" s="1"/>
  <c r="G34" i="1"/>
  <c r="G33" i="4" s="1"/>
  <c r="H33" i="1"/>
  <c r="H32" i="4" s="1"/>
  <c r="G33" i="1"/>
  <c r="G32" i="4" s="1"/>
  <c r="H32" i="1"/>
  <c r="H31" i="4" s="1"/>
  <c r="G32" i="1"/>
  <c r="H31" i="1"/>
  <c r="H30" i="4" s="1"/>
  <c r="G31" i="1"/>
  <c r="G30" i="4" s="1"/>
  <c r="H30" i="1"/>
  <c r="H29" i="4" s="1"/>
  <c r="G30" i="1"/>
  <c r="G29" i="4" s="1"/>
  <c r="H29" i="1"/>
  <c r="H28" i="4" s="1"/>
  <c r="G29" i="1"/>
  <c r="N20" i="1"/>
  <c r="M20" i="1"/>
  <c r="N17" i="1"/>
  <c r="M17" i="1"/>
  <c r="G16" i="1"/>
  <c r="G15" i="1"/>
  <c r="G15" i="4" s="1"/>
  <c r="I14" i="1"/>
  <c r="I14" i="4" s="1"/>
  <c r="H438" i="1" l="1"/>
  <c r="H437" i="4" s="1"/>
  <c r="G474" i="1"/>
  <c r="G473" i="4" s="1"/>
  <c r="H422" i="1"/>
  <c r="H421" i="4" s="1"/>
  <c r="G139" i="4"/>
  <c r="G255" i="4"/>
  <c r="I255" i="4" s="1"/>
  <c r="I368" i="1"/>
  <c r="G379" i="1"/>
  <c r="G378" i="4" s="1"/>
  <c r="G379" i="4"/>
  <c r="H406" i="1"/>
  <c r="H405" i="4" s="1"/>
  <c r="G416" i="4"/>
  <c r="I416" i="4" s="1"/>
  <c r="G427" i="1"/>
  <c r="G426" i="4" s="1"/>
  <c r="G427" i="4"/>
  <c r="I188" i="4"/>
  <c r="G188" i="4"/>
  <c r="G324" i="4"/>
  <c r="I324" i="4" s="1"/>
  <c r="G344" i="1"/>
  <c r="G343" i="4" s="1"/>
  <c r="G344" i="4"/>
  <c r="G83" i="1"/>
  <c r="G82" i="4" s="1"/>
  <c r="I178" i="1"/>
  <c r="G177" i="4"/>
  <c r="G235" i="1"/>
  <c r="G234" i="4" s="1"/>
  <c r="G257" i="1"/>
  <c r="G256" i="4" s="1"/>
  <c r="G257" i="4"/>
  <c r="G314" i="1"/>
  <c r="G313" i="4" s="1"/>
  <c r="G314" i="4"/>
  <c r="I314" i="4" s="1"/>
  <c r="G358" i="1"/>
  <c r="G357" i="4" s="1"/>
  <c r="G358" i="4"/>
  <c r="H447" i="1"/>
  <c r="H446" i="4" s="1"/>
  <c r="H447" i="4"/>
  <c r="G478" i="1"/>
  <c r="G477" i="4" s="1"/>
  <c r="G478" i="4"/>
  <c r="G488" i="1"/>
  <c r="G487" i="4" s="1"/>
  <c r="G488" i="4"/>
  <c r="G31" i="4"/>
  <c r="I31" i="4" s="1"/>
  <c r="G104" i="1"/>
  <c r="G103" i="4" s="1"/>
  <c r="G104" i="4"/>
  <c r="G126" i="1"/>
  <c r="G125" i="4" s="1"/>
  <c r="G126" i="4"/>
  <c r="I198" i="1"/>
  <c r="G197" i="4"/>
  <c r="G448" i="4"/>
  <c r="I448" i="4" s="1"/>
  <c r="I32" i="1"/>
  <c r="I115" i="1"/>
  <c r="H188" i="1"/>
  <c r="H187" i="4" s="1"/>
  <c r="H189" i="4"/>
  <c r="G248" i="4"/>
  <c r="I248" i="4" s="1"/>
  <c r="G259" i="1"/>
  <c r="G258" i="4" s="1"/>
  <c r="I275" i="1"/>
  <c r="G274" i="4"/>
  <c r="G304" i="1"/>
  <c r="G303" i="4" s="1"/>
  <c r="G304" i="4"/>
  <c r="G396" i="1"/>
  <c r="G395" i="4" s="1"/>
  <c r="G396" i="4"/>
  <c r="H467" i="1"/>
  <c r="H466" i="4" s="1"/>
  <c r="H467" i="4"/>
  <c r="G480" i="1"/>
  <c r="G479" i="4" s="1"/>
  <c r="I491" i="1"/>
  <c r="G490" i="4"/>
  <c r="G117" i="1"/>
  <c r="G116" i="4" s="1"/>
  <c r="G117" i="4"/>
  <c r="I129" i="1"/>
  <c r="G128" i="4"/>
  <c r="I227" i="1"/>
  <c r="G226" i="4"/>
  <c r="G40" i="4"/>
  <c r="I40" i="4" s="1"/>
  <c r="G182" i="1"/>
  <c r="G181" i="4" s="1"/>
  <c r="G182" i="4"/>
  <c r="I77" i="1"/>
  <c r="G76" i="4"/>
  <c r="I108" i="1"/>
  <c r="G228" i="1"/>
  <c r="G227" i="4" s="1"/>
  <c r="G228" i="4"/>
  <c r="H262" i="1"/>
  <c r="H261" i="4" s="1"/>
  <c r="I298" i="1"/>
  <c r="G471" i="1"/>
  <c r="G470" i="4" s="1"/>
  <c r="G471" i="4"/>
  <c r="H42" i="1"/>
  <c r="H41" i="4" s="1"/>
  <c r="G149" i="1"/>
  <c r="G148" i="4" s="1"/>
  <c r="G149" i="4"/>
  <c r="H184" i="1"/>
  <c r="H183" i="4" s="1"/>
  <c r="G320" i="1"/>
  <c r="G319" i="4" s="1"/>
  <c r="G320" i="4"/>
  <c r="G351" i="1"/>
  <c r="G350" i="4" s="1"/>
  <c r="G351" i="4"/>
  <c r="G388" i="1"/>
  <c r="G387" i="4" s="1"/>
  <c r="G388" i="4"/>
  <c r="G495" i="1"/>
  <c r="G494" i="4" s="1"/>
  <c r="G495" i="4"/>
  <c r="I495" i="4" s="1"/>
  <c r="G28" i="4"/>
  <c r="I28" i="4" s="1"/>
  <c r="I43" i="1"/>
  <c r="G42" i="4"/>
  <c r="G200" i="4"/>
  <c r="I200" i="4" s="1"/>
  <c r="H230" i="1"/>
  <c r="H229" i="4" s="1"/>
  <c r="G284" i="4"/>
  <c r="I284" i="4" s="1"/>
  <c r="G292" i="4"/>
  <c r="I292" i="4" s="1"/>
  <c r="G340" i="4"/>
  <c r="I340" i="4" s="1"/>
  <c r="G414" i="4"/>
  <c r="I414" i="4" s="1"/>
  <c r="I423" i="1"/>
  <c r="G461" i="1"/>
  <c r="G460" i="4" s="1"/>
  <c r="G91" i="1"/>
  <c r="G90" i="4" s="1"/>
  <c r="H121" i="1"/>
  <c r="H120" i="4" s="1"/>
  <c r="H140" i="1"/>
  <c r="H139" i="4" s="1"/>
  <c r="I139" i="4" s="1"/>
  <c r="G322" i="1"/>
  <c r="G321" i="4" s="1"/>
  <c r="H330" i="4"/>
  <c r="N18" i="4" s="1"/>
  <c r="G444" i="1"/>
  <c r="G443" i="4" s="1"/>
  <c r="H453" i="1"/>
  <c r="H452" i="4" s="1"/>
  <c r="G44" i="1"/>
  <c r="G43" i="4" s="1"/>
  <c r="G44" i="4"/>
  <c r="H81" i="1"/>
  <c r="H80" i="4" s="1"/>
  <c r="G140" i="4"/>
  <c r="I140" i="4" s="1"/>
  <c r="H255" i="1"/>
  <c r="H254" i="4" s="1"/>
  <c r="H416" i="1"/>
  <c r="H415" i="4" s="1"/>
  <c r="G453" i="4"/>
  <c r="I453" i="4" s="1"/>
  <c r="H474" i="1"/>
  <c r="H473" i="4" s="1"/>
  <c r="I473" i="4" s="1"/>
  <c r="H474" i="4"/>
  <c r="I110" i="1"/>
  <c r="G146" i="1"/>
  <c r="G145" i="4" s="1"/>
  <c r="I195" i="4"/>
  <c r="I274" i="1"/>
  <c r="H314" i="1"/>
  <c r="H313" i="4" s="1"/>
  <c r="G324" i="1"/>
  <c r="G323" i="4" s="1"/>
  <c r="H362" i="1"/>
  <c r="H361" i="4" s="1"/>
  <c r="I392" i="4"/>
  <c r="H425" i="1"/>
  <c r="H424" i="4" s="1"/>
  <c r="H112" i="1"/>
  <c r="H111" i="4" s="1"/>
  <c r="I213" i="4"/>
  <c r="I252" i="1"/>
  <c r="I451" i="1"/>
  <c r="I101" i="1"/>
  <c r="I203" i="1"/>
  <c r="H214" i="1"/>
  <c r="H213" i="4" s="1"/>
  <c r="G243" i="1"/>
  <c r="G242" i="4" s="1"/>
  <c r="H353" i="1"/>
  <c r="H352" i="4" s="1"/>
  <c r="H364" i="1"/>
  <c r="H363" i="4" s="1"/>
  <c r="I41" i="1"/>
  <c r="I121" i="4"/>
  <c r="G204" i="1"/>
  <c r="G203" i="4" s="1"/>
  <c r="I214" i="4"/>
  <c r="I364" i="4"/>
  <c r="G438" i="1"/>
  <c r="G437" i="4" s="1"/>
  <c r="I437" i="4" s="1"/>
  <c r="I482" i="4"/>
  <c r="G97" i="1"/>
  <c r="G96" i="4" s="1"/>
  <c r="G447" i="1"/>
  <c r="G446" i="4" s="1"/>
  <c r="I215" i="1"/>
  <c r="H346" i="1"/>
  <c r="H345" i="4" s="1"/>
  <c r="H367" i="1"/>
  <c r="H366" i="4" s="1"/>
  <c r="H461" i="1"/>
  <c r="H460" i="4" s="1"/>
  <c r="H52" i="1"/>
  <c r="H51" i="4" s="1"/>
  <c r="G107" i="1"/>
  <c r="G106" i="4" s="1"/>
  <c r="I193" i="1"/>
  <c r="H272" i="1"/>
  <c r="H271" i="4" s="1"/>
  <c r="H338" i="1"/>
  <c r="H337" i="4" s="1"/>
  <c r="I69" i="1"/>
  <c r="H107" i="1"/>
  <c r="H106" i="4" s="1"/>
  <c r="I175" i="4"/>
  <c r="H186" i="1"/>
  <c r="H185" i="4" s="1"/>
  <c r="I288" i="1"/>
  <c r="I293" i="4"/>
  <c r="I338" i="4"/>
  <c r="G401" i="1"/>
  <c r="G400" i="4" s="1"/>
  <c r="G455" i="1"/>
  <c r="G454" i="4" s="1"/>
  <c r="H217" i="1"/>
  <c r="H216" i="4" s="1"/>
  <c r="H155" i="1"/>
  <c r="H154" i="4" s="1"/>
  <c r="G54" i="1"/>
  <c r="G53" i="4" s="1"/>
  <c r="I194" i="4"/>
  <c r="I294" i="1"/>
  <c r="I300" i="4"/>
  <c r="H340" i="1"/>
  <c r="H339" i="4" s="1"/>
  <c r="I350" i="1"/>
  <c r="H369" i="1"/>
  <c r="H368" i="4" s="1"/>
  <c r="H414" i="1"/>
  <c r="H413" i="4" s="1"/>
  <c r="I314" i="1"/>
  <c r="I313" i="4"/>
  <c r="I152" i="1"/>
  <c r="I199" i="1"/>
  <c r="I198" i="4"/>
  <c r="I407" i="1"/>
  <c r="I406" i="4"/>
  <c r="I17" i="1"/>
  <c r="G16" i="4"/>
  <c r="I31" i="1"/>
  <c r="I30" i="4"/>
  <c r="I37" i="1"/>
  <c r="I36" i="4"/>
  <c r="G42" i="1"/>
  <c r="G41" i="4" s="1"/>
  <c r="I42" i="4"/>
  <c r="I49" i="1"/>
  <c r="I48" i="4"/>
  <c r="I56" i="1"/>
  <c r="I55" i="4"/>
  <c r="I62" i="1"/>
  <c r="H85" i="1"/>
  <c r="H84" i="4" s="1"/>
  <c r="I100" i="4"/>
  <c r="I107" i="4"/>
  <c r="I114" i="4"/>
  <c r="H136" i="1"/>
  <c r="H135" i="4" s="1"/>
  <c r="I143" i="1"/>
  <c r="I142" i="4"/>
  <c r="H151" i="1"/>
  <c r="H150" i="4" s="1"/>
  <c r="I161" i="1"/>
  <c r="I160" i="4"/>
  <c r="G167" i="1"/>
  <c r="G166" i="4" s="1"/>
  <c r="I181" i="1"/>
  <c r="I194" i="1"/>
  <c r="I193" i="4"/>
  <c r="H219" i="1"/>
  <c r="H218" i="4" s="1"/>
  <c r="I236" i="1"/>
  <c r="H253" i="1"/>
  <c r="H252" i="4" s="1"/>
  <c r="I262" i="4"/>
  <c r="H268" i="1"/>
  <c r="H267" i="4" s="1"/>
  <c r="I281" i="1"/>
  <c r="I280" i="4"/>
  <c r="I299" i="1"/>
  <c r="I298" i="4"/>
  <c r="H306" i="1"/>
  <c r="H305" i="4" s="1"/>
  <c r="H322" i="1"/>
  <c r="H321" i="4" s="1"/>
  <c r="H327" i="1"/>
  <c r="H326" i="4" s="1"/>
  <c r="H349" i="1"/>
  <c r="H348" i="4" s="1"/>
  <c r="H373" i="1"/>
  <c r="H372" i="4" s="1"/>
  <c r="H381" i="1"/>
  <c r="H380" i="4" s="1"/>
  <c r="I391" i="1"/>
  <c r="H398" i="1"/>
  <c r="H397" i="4" s="1"/>
  <c r="H420" i="1"/>
  <c r="H419" i="4" s="1"/>
  <c r="H429" i="1"/>
  <c r="H428" i="4" s="1"/>
  <c r="I441" i="1"/>
  <c r="I447" i="4"/>
  <c r="I459" i="1"/>
  <c r="I481" i="1"/>
  <c r="I485" i="1"/>
  <c r="I494" i="1"/>
  <c r="I501" i="1"/>
  <c r="I137" i="1"/>
  <c r="I136" i="4"/>
  <c r="H396" i="1"/>
  <c r="I421" i="1"/>
  <c r="I435" i="1"/>
  <c r="I434" i="4"/>
  <c r="I466" i="4"/>
  <c r="G35" i="1"/>
  <c r="G34" i="4" s="1"/>
  <c r="I37" i="4"/>
  <c r="I57" i="1"/>
  <c r="I56" i="4"/>
  <c r="I70" i="1"/>
  <c r="I69" i="4"/>
  <c r="G79" i="1"/>
  <c r="G85" i="1"/>
  <c r="G84" i="4" s="1"/>
  <c r="I85" i="4"/>
  <c r="G95" i="1"/>
  <c r="G94" i="4" s="1"/>
  <c r="I122" i="1"/>
  <c r="I130" i="4"/>
  <c r="G138" i="1"/>
  <c r="G137" i="4" s="1"/>
  <c r="H142" i="1"/>
  <c r="H141" i="4" s="1"/>
  <c r="G153" i="1"/>
  <c r="G152" i="4" s="1"/>
  <c r="H180" i="1"/>
  <c r="H179" i="4" s="1"/>
  <c r="I199" i="4"/>
  <c r="I205" i="1"/>
  <c r="I214" i="1"/>
  <c r="I221" i="1"/>
  <c r="I220" i="4"/>
  <c r="H235" i="1"/>
  <c r="I244" i="1"/>
  <c r="I243" i="4"/>
  <c r="I270" i="1"/>
  <c r="I269" i="4"/>
  <c r="I281" i="4"/>
  <c r="I289" i="1"/>
  <c r="I288" i="4"/>
  <c r="I293" i="1"/>
  <c r="G306" i="1"/>
  <c r="G305" i="4" s="1"/>
  <c r="I306" i="4"/>
  <c r="I322" i="4"/>
  <c r="I327" i="4"/>
  <c r="I335" i="1"/>
  <c r="I334" i="4"/>
  <c r="I341" i="1"/>
  <c r="I359" i="1"/>
  <c r="G384" i="1"/>
  <c r="G383" i="4" s="1"/>
  <c r="G392" i="1"/>
  <c r="G391" i="4" s="1"/>
  <c r="G398" i="1"/>
  <c r="G397" i="4" s="1"/>
  <c r="I398" i="4"/>
  <c r="G408" i="1"/>
  <c r="G407" i="4" s="1"/>
  <c r="I415" i="1"/>
  <c r="G429" i="1"/>
  <c r="G428" i="4" s="1"/>
  <c r="I429" i="4"/>
  <c r="G436" i="1"/>
  <c r="G435" i="4" s="1"/>
  <c r="I442" i="1"/>
  <c r="I441" i="4"/>
  <c r="I448" i="1"/>
  <c r="G457" i="1"/>
  <c r="G456" i="4" s="1"/>
  <c r="I459" i="4"/>
  <c r="H480" i="1"/>
  <c r="H479" i="4" s="1"/>
  <c r="I479" i="4" s="1"/>
  <c r="G486" i="1"/>
  <c r="G485" i="4" s="1"/>
  <c r="H493" i="1"/>
  <c r="H492" i="4" s="1"/>
  <c r="H500" i="1"/>
  <c r="H499" i="4" s="1"/>
  <c r="I30" i="1"/>
  <c r="I29" i="4"/>
  <c r="H99" i="1"/>
  <c r="H98" i="4" s="1"/>
  <c r="I187" i="1"/>
  <c r="I186" i="4"/>
  <c r="I220" i="1"/>
  <c r="I268" i="4"/>
  <c r="G272" i="1"/>
  <c r="G271" i="4" s="1"/>
  <c r="I274" i="4"/>
  <c r="I313" i="1"/>
  <c r="I374" i="1"/>
  <c r="I452" i="1"/>
  <c r="I451" i="4"/>
  <c r="I95" i="4"/>
  <c r="H123" i="1"/>
  <c r="H122" i="4" s="1"/>
  <c r="I145" i="1"/>
  <c r="I153" i="4"/>
  <c r="I162" i="1"/>
  <c r="I161" i="4"/>
  <c r="I168" i="1"/>
  <c r="I167" i="4"/>
  <c r="I174" i="1"/>
  <c r="I173" i="4"/>
  <c r="H204" i="1"/>
  <c r="H203" i="4" s="1"/>
  <c r="I229" i="1"/>
  <c r="H237" i="1"/>
  <c r="H236" i="4" s="1"/>
  <c r="I247" i="1"/>
  <c r="I277" i="1"/>
  <c r="I276" i="4"/>
  <c r="I299" i="4"/>
  <c r="I315" i="1"/>
  <c r="I343" i="1"/>
  <c r="H358" i="1"/>
  <c r="G367" i="1"/>
  <c r="I367" i="4"/>
  <c r="H375" i="1"/>
  <c r="I385" i="1"/>
  <c r="H392" i="1"/>
  <c r="H391" i="4" s="1"/>
  <c r="G416" i="1"/>
  <c r="G415" i="4" s="1"/>
  <c r="G422" i="1"/>
  <c r="G421" i="4" s="1"/>
  <c r="I422" i="4"/>
  <c r="I468" i="1"/>
  <c r="I467" i="4"/>
  <c r="I475" i="1"/>
  <c r="I474" i="4"/>
  <c r="G482" i="1"/>
  <c r="G481" i="4" s="1"/>
  <c r="H486" i="1"/>
  <c r="H485" i="4" s="1"/>
  <c r="I17" i="4"/>
  <c r="I84" i="1"/>
  <c r="I254" i="1"/>
  <c r="I253" i="4"/>
  <c r="H304" i="1"/>
  <c r="H303" i="4" s="1"/>
  <c r="I322" i="1"/>
  <c r="I382" i="1"/>
  <c r="I381" i="4"/>
  <c r="I50" i="1"/>
  <c r="I49" i="4"/>
  <c r="I63" i="1"/>
  <c r="I62" i="4"/>
  <c r="I38" i="1"/>
  <c r="I58" i="1"/>
  <c r="I57" i="4"/>
  <c r="G65" i="1"/>
  <c r="G64" i="4" s="1"/>
  <c r="H72" i="1"/>
  <c r="H71" i="4" s="1"/>
  <c r="H79" i="1"/>
  <c r="H78" i="4" s="1"/>
  <c r="I79" i="4"/>
  <c r="I86" i="1"/>
  <c r="I96" i="1"/>
  <c r="H102" i="1"/>
  <c r="H101" i="4" s="1"/>
  <c r="H109" i="1"/>
  <c r="H108" i="4" s="1"/>
  <c r="G123" i="1"/>
  <c r="G122" i="4" s="1"/>
  <c r="I123" i="4"/>
  <c r="I132" i="1"/>
  <c r="H138" i="1"/>
  <c r="H137" i="4" s="1"/>
  <c r="I138" i="4"/>
  <c r="H144" i="1"/>
  <c r="H143" i="4" s="1"/>
  <c r="I154" i="1"/>
  <c r="I169" i="1"/>
  <c r="I168" i="4"/>
  <c r="I175" i="1"/>
  <c r="I174" i="4"/>
  <c r="H182" i="1"/>
  <c r="H181" i="4" s="1"/>
  <c r="I200" i="1"/>
  <c r="I206" i="1"/>
  <c r="I205" i="4"/>
  <c r="I222" i="1"/>
  <c r="I221" i="4"/>
  <c r="H228" i="1"/>
  <c r="H227" i="4" s="1"/>
  <c r="G237" i="1"/>
  <c r="G236" i="4" s="1"/>
  <c r="I237" i="4"/>
  <c r="H246" i="1"/>
  <c r="H245" i="4" s="1"/>
  <c r="I264" i="1"/>
  <c r="I263" i="4"/>
  <c r="I271" i="1"/>
  <c r="I270" i="4"/>
  <c r="I282" i="1"/>
  <c r="I289" i="4"/>
  <c r="I300" i="1"/>
  <c r="I307" i="1"/>
  <c r="I323" i="1"/>
  <c r="I329" i="1"/>
  <c r="I328" i="4"/>
  <c r="G338" i="1"/>
  <c r="G337" i="4" s="1"/>
  <c r="H342" i="1"/>
  <c r="H341" i="4" s="1"/>
  <c r="I352" i="1"/>
  <c r="H360" i="1"/>
  <c r="H359" i="4" s="1"/>
  <c r="I376" i="1"/>
  <c r="I375" i="4"/>
  <c r="I387" i="1"/>
  <c r="I399" i="1"/>
  <c r="I409" i="1"/>
  <c r="I408" i="4"/>
  <c r="I430" i="1"/>
  <c r="H436" i="1"/>
  <c r="H435" i="4" s="1"/>
  <c r="I436" i="4"/>
  <c r="I460" i="1"/>
  <c r="G469" i="1"/>
  <c r="G468" i="4" s="1"/>
  <c r="G476" i="1"/>
  <c r="G475" i="4" s="1"/>
  <c r="H482" i="1"/>
  <c r="H481" i="4" s="1"/>
  <c r="I487" i="1"/>
  <c r="H495" i="1"/>
  <c r="H494" i="4" s="1"/>
  <c r="G68" i="1"/>
  <c r="G67" i="4" s="1"/>
  <c r="I68" i="4"/>
  <c r="I48" i="1"/>
  <c r="I334" i="1"/>
  <c r="I333" i="4"/>
  <c r="I39" i="1"/>
  <c r="I38" i="4"/>
  <c r="I283" i="1"/>
  <c r="I282" i="4"/>
  <c r="G309" i="1"/>
  <c r="G308" i="4" s="1"/>
  <c r="G316" i="1"/>
  <c r="G315" i="4" s="1"/>
  <c r="H351" i="1"/>
  <c r="H350" i="4" s="1"/>
  <c r="G360" i="1"/>
  <c r="G359" i="4" s="1"/>
  <c r="I360" i="4"/>
  <c r="H386" i="1"/>
  <c r="H385" i="4" s="1"/>
  <c r="I411" i="1"/>
  <c r="I431" i="1"/>
  <c r="I430" i="4"/>
  <c r="I443" i="1"/>
  <c r="I442" i="4"/>
  <c r="I488" i="1"/>
  <c r="I487" i="4"/>
  <c r="I496" i="1"/>
  <c r="I61" i="4"/>
  <c r="G349" i="1"/>
  <c r="G348" i="4" s="1"/>
  <c r="I349" i="4"/>
  <c r="G102" i="1"/>
  <c r="G101" i="4" s="1"/>
  <c r="I102" i="4"/>
  <c r="H117" i="1"/>
  <c r="I124" i="1"/>
  <c r="I133" i="1"/>
  <c r="I132" i="4"/>
  <c r="G155" i="1"/>
  <c r="G154" i="4" s="1"/>
  <c r="I155" i="4"/>
  <c r="I170" i="1"/>
  <c r="I169" i="4"/>
  <c r="I190" i="1"/>
  <c r="I207" i="1"/>
  <c r="I206" i="4"/>
  <c r="I216" i="1"/>
  <c r="I215" i="4"/>
  <c r="G230" i="1"/>
  <c r="G229" i="4" s="1"/>
  <c r="I230" i="4"/>
  <c r="I238" i="1"/>
  <c r="I258" i="1"/>
  <c r="I278" i="1"/>
  <c r="I277" i="4"/>
  <c r="I290" i="1"/>
  <c r="I296" i="1"/>
  <c r="I295" i="4"/>
  <c r="H309" i="1"/>
  <c r="H308" i="4" s="1"/>
  <c r="I317" i="1"/>
  <c r="H324" i="1"/>
  <c r="I330" i="4"/>
  <c r="M18" i="4"/>
  <c r="I345" i="1"/>
  <c r="G377" i="1"/>
  <c r="G376" i="4" s="1"/>
  <c r="H410" i="1"/>
  <c r="H409" i="4" s="1"/>
  <c r="G450" i="1"/>
  <c r="G449" i="4" s="1"/>
  <c r="I460" i="4"/>
  <c r="I470" i="1"/>
  <c r="I469" i="4"/>
  <c r="I477" i="1"/>
  <c r="I476" i="4"/>
  <c r="I173" i="1"/>
  <c r="I172" i="4"/>
  <c r="I45" i="1"/>
  <c r="I118" i="1"/>
  <c r="I265" i="1"/>
  <c r="I264" i="4"/>
  <c r="I33" i="1"/>
  <c r="I32" i="4"/>
  <c r="G52" i="1"/>
  <c r="G51" i="4" s="1"/>
  <c r="I52" i="4"/>
  <c r="H46" i="1"/>
  <c r="H45" i="4" s="1"/>
  <c r="I59" i="1"/>
  <c r="I58" i="4"/>
  <c r="I66" i="4"/>
  <c r="I97" i="4"/>
  <c r="I103" i="1"/>
  <c r="I140" i="1"/>
  <c r="H146" i="1"/>
  <c r="H145" i="4" s="1"/>
  <c r="I146" i="4"/>
  <c r="I164" i="1"/>
  <c r="I163" i="4"/>
  <c r="I191" i="1"/>
  <c r="I190" i="4"/>
  <c r="I196" i="1"/>
  <c r="I201" i="1"/>
  <c r="G223" i="1"/>
  <c r="G222" i="4" s="1"/>
  <c r="I223" i="4"/>
  <c r="I240" i="1"/>
  <c r="H257" i="1"/>
  <c r="H256" i="4" s="1"/>
  <c r="I266" i="1"/>
  <c r="I265" i="4"/>
  <c r="I273" i="1"/>
  <c r="I272" i="4"/>
  <c r="I278" i="4"/>
  <c r="I290" i="4"/>
  <c r="I301" i="1"/>
  <c r="I310" i="1"/>
  <c r="I319" i="1"/>
  <c r="H344" i="1"/>
  <c r="G353" i="1"/>
  <c r="G352" i="4" s="1"/>
  <c r="I353" i="4"/>
  <c r="I361" i="1"/>
  <c r="I370" i="1"/>
  <c r="I369" i="4"/>
  <c r="I378" i="1"/>
  <c r="I389" i="1"/>
  <c r="I393" i="1"/>
  <c r="I402" i="1"/>
  <c r="I401" i="4"/>
  <c r="G412" i="1"/>
  <c r="G411" i="4" s="1"/>
  <c r="I426" i="1"/>
  <c r="I425" i="4"/>
  <c r="G432" i="1"/>
  <c r="G431" i="4" s="1"/>
  <c r="I438" i="4"/>
  <c r="H444" i="1"/>
  <c r="H450" i="1"/>
  <c r="H449" i="4" s="1"/>
  <c r="I456" i="1"/>
  <c r="I455" i="4"/>
  <c r="I462" i="1"/>
  <c r="I461" i="4"/>
  <c r="I483" i="1"/>
  <c r="I489" i="1"/>
  <c r="I488" i="4"/>
  <c r="G498" i="1"/>
  <c r="G497" i="4" s="1"/>
  <c r="I189" i="4"/>
  <c r="I82" i="1"/>
  <c r="I81" i="4"/>
  <c r="I40" i="1"/>
  <c r="I39" i="4"/>
  <c r="G46" i="1"/>
  <c r="G45" i="4" s="1"/>
  <c r="I46" i="4"/>
  <c r="I53" i="1"/>
  <c r="I75" i="1"/>
  <c r="I74" i="4"/>
  <c r="H111" i="1"/>
  <c r="H110" i="4" s="1"/>
  <c r="I120" i="1"/>
  <c r="I119" i="4"/>
  <c r="I134" i="1"/>
  <c r="I133" i="4"/>
  <c r="I147" i="1"/>
  <c r="I156" i="1"/>
  <c r="I176" i="1"/>
  <c r="G184" i="1"/>
  <c r="G183" i="4" s="1"/>
  <c r="I184" i="4"/>
  <c r="H197" i="1"/>
  <c r="H196" i="4" s="1"/>
  <c r="I202" i="1"/>
  <c r="I201" i="4"/>
  <c r="I210" i="1"/>
  <c r="I209" i="4"/>
  <c r="I231" i="1"/>
  <c r="H239" i="1"/>
  <c r="H238" i="4" s="1"/>
  <c r="I302" i="1"/>
  <c r="I301" i="4"/>
  <c r="I311" i="1"/>
  <c r="I310" i="4"/>
  <c r="H318" i="1"/>
  <c r="H317" i="4" s="1"/>
  <c r="I332" i="1"/>
  <c r="I339" i="1"/>
  <c r="H388" i="1"/>
  <c r="H387" i="4" s="1"/>
  <c r="I395" i="1"/>
  <c r="I404" i="1"/>
  <c r="I417" i="1"/>
  <c r="I433" i="1"/>
  <c r="I444" i="1"/>
  <c r="H457" i="1"/>
  <c r="H456" i="4" s="1"/>
  <c r="H471" i="1"/>
  <c r="H470" i="4" s="1"/>
  <c r="H478" i="1"/>
  <c r="H477" i="4" s="1"/>
  <c r="G484" i="1"/>
  <c r="G483" i="4" s="1"/>
  <c r="H498" i="1"/>
  <c r="H497" i="4" s="1"/>
  <c r="H54" i="1"/>
  <c r="H53" i="4" s="1"/>
  <c r="G93" i="1"/>
  <c r="G92" i="4" s="1"/>
  <c r="I93" i="4"/>
  <c r="G109" i="1"/>
  <c r="G108" i="4" s="1"/>
  <c r="I109" i="4"/>
  <c r="H130" i="1"/>
  <c r="H129" i="4" s="1"/>
  <c r="I163" i="1"/>
  <c r="I162" i="4"/>
  <c r="I183" i="1"/>
  <c r="I182" i="4"/>
  <c r="G89" i="1"/>
  <c r="I89" i="4"/>
  <c r="I59" i="4"/>
  <c r="I60" i="1"/>
  <c r="I67" i="1"/>
  <c r="H83" i="1"/>
  <c r="H82" i="4" s="1"/>
  <c r="I92" i="1"/>
  <c r="I98" i="1"/>
  <c r="I105" i="1"/>
  <c r="I113" i="1"/>
  <c r="I112" i="4"/>
  <c r="I127" i="1"/>
  <c r="I159" i="1"/>
  <c r="I158" i="4"/>
  <c r="I165" i="1"/>
  <c r="I164" i="4"/>
  <c r="I171" i="1"/>
  <c r="I170" i="4"/>
  <c r="H177" i="1"/>
  <c r="H176" i="4" s="1"/>
  <c r="G192" i="1"/>
  <c r="G191" i="4" s="1"/>
  <c r="G197" i="1"/>
  <c r="G196" i="4" s="1"/>
  <c r="I197" i="4"/>
  <c r="I217" i="4"/>
  <c r="I224" i="1"/>
  <c r="H233" i="1"/>
  <c r="H232" i="4" s="1"/>
  <c r="H241" i="1"/>
  <c r="H240" i="4" s="1"/>
  <c r="G251" i="1"/>
  <c r="I251" i="1" s="1"/>
  <c r="I251" i="4"/>
  <c r="H259" i="1"/>
  <c r="I273" i="4"/>
  <c r="I279" i="1"/>
  <c r="I291" i="1"/>
  <c r="I297" i="1"/>
  <c r="I296" i="4"/>
  <c r="H330" i="1"/>
  <c r="H329" i="4" s="1"/>
  <c r="G340" i="1"/>
  <c r="G339" i="4" s="1"/>
  <c r="G346" i="1"/>
  <c r="G345" i="4" s="1"/>
  <c r="I346" i="4"/>
  <c r="I354" i="1"/>
  <c r="I363" i="1"/>
  <c r="I362" i="4"/>
  <c r="H371" i="1"/>
  <c r="H370" i="4" s="1"/>
  <c r="I380" i="1"/>
  <c r="G390" i="1"/>
  <c r="G389" i="4" s="1"/>
  <c r="H394" i="1"/>
  <c r="H393" i="4" s="1"/>
  <c r="H403" i="1"/>
  <c r="H402" i="4" s="1"/>
  <c r="H412" i="1"/>
  <c r="H411" i="4" s="1"/>
  <c r="I412" i="4"/>
  <c r="I419" i="1"/>
  <c r="G434" i="1"/>
  <c r="G433" i="4" s="1"/>
  <c r="I439" i="1"/>
  <c r="I445" i="1"/>
  <c r="I444" i="4"/>
  <c r="I450" i="4"/>
  <c r="G465" i="1"/>
  <c r="G464" i="4" s="1"/>
  <c r="H484" i="1"/>
  <c r="H483" i="4" s="1"/>
  <c r="H490" i="1"/>
  <c r="H489" i="4" s="1"/>
  <c r="H35" i="1"/>
  <c r="H34" i="4" s="1"/>
  <c r="G74" i="1"/>
  <c r="G73" i="4" s="1"/>
  <c r="I76" i="4"/>
  <c r="H128" i="1"/>
  <c r="H127" i="4" s="1"/>
  <c r="G72" i="1"/>
  <c r="G71" i="4" s="1"/>
  <c r="I72" i="4"/>
  <c r="H44" i="1"/>
  <c r="H65" i="1"/>
  <c r="H64" i="4" s="1"/>
  <c r="I65" i="4"/>
  <c r="I97" i="1"/>
  <c r="I96" i="4"/>
  <c r="H28" i="1"/>
  <c r="H27" i="4" s="1"/>
  <c r="I34" i="1"/>
  <c r="I33" i="4"/>
  <c r="I29" i="1"/>
  <c r="I36" i="1"/>
  <c r="I47" i="4"/>
  <c r="I55" i="1"/>
  <c r="I61" i="1"/>
  <c r="I60" i="4"/>
  <c r="H68" i="1"/>
  <c r="H67" i="4" s="1"/>
  <c r="I76" i="1"/>
  <c r="I75" i="4"/>
  <c r="I83" i="4"/>
  <c r="H91" i="1"/>
  <c r="H90" i="4" s="1"/>
  <c r="G99" i="1"/>
  <c r="G98" i="4" s="1"/>
  <c r="H104" i="1"/>
  <c r="H103" i="4" s="1"/>
  <c r="G121" i="1"/>
  <c r="G120" i="4" s="1"/>
  <c r="H126" i="1"/>
  <c r="H125" i="4" s="1"/>
  <c r="I135" i="1"/>
  <c r="I134" i="4"/>
  <c r="I141" i="1"/>
  <c r="I150" i="1"/>
  <c r="H158" i="1"/>
  <c r="H157" i="4" s="1"/>
  <c r="I172" i="1"/>
  <c r="I171" i="4"/>
  <c r="G177" i="1"/>
  <c r="G176" i="4" s="1"/>
  <c r="I177" i="4"/>
  <c r="I185" i="1"/>
  <c r="I192" i="4"/>
  <c r="I202" i="4"/>
  <c r="I211" i="1"/>
  <c r="I210" i="4"/>
  <c r="H226" i="1"/>
  <c r="H225" i="4" s="1"/>
  <c r="I234" i="1"/>
  <c r="I233" i="4"/>
  <c r="I241" i="4"/>
  <c r="I260" i="1"/>
  <c r="I259" i="4"/>
  <c r="I267" i="1"/>
  <c r="I266" i="4"/>
  <c r="I280" i="1"/>
  <c r="I279" i="4"/>
  <c r="H287" i="1"/>
  <c r="H286" i="4" s="1"/>
  <c r="I292" i="1"/>
  <c r="I291" i="4"/>
  <c r="I297" i="4"/>
  <c r="G312" i="1"/>
  <c r="G311" i="4" s="1"/>
  <c r="I321" i="1"/>
  <c r="I325" i="1"/>
  <c r="I333" i="1"/>
  <c r="I332" i="4"/>
  <c r="H355" i="1"/>
  <c r="H354" i="4" s="1"/>
  <c r="I371" i="4"/>
  <c r="H379" i="1"/>
  <c r="H378" i="4" s="1"/>
  <c r="H390" i="1"/>
  <c r="H389" i="4" s="1"/>
  <c r="G406" i="1"/>
  <c r="G405" i="4" s="1"/>
  <c r="G414" i="1"/>
  <c r="G413" i="4" s="1"/>
  <c r="H418" i="1"/>
  <c r="H417" i="4" s="1"/>
  <c r="H427" i="1"/>
  <c r="H426" i="4" s="1"/>
  <c r="G440" i="1"/>
  <c r="G439" i="4" s="1"/>
  <c r="I458" i="1"/>
  <c r="I457" i="4"/>
  <c r="I472" i="1"/>
  <c r="I471" i="4"/>
  <c r="I479" i="1"/>
  <c r="I478" i="4"/>
  <c r="G490" i="1"/>
  <c r="G489" i="4" s="1"/>
  <c r="I490" i="4"/>
  <c r="I498" i="4"/>
  <c r="I99" i="4"/>
  <c r="I106" i="4"/>
  <c r="I114" i="1"/>
  <c r="I113" i="4"/>
  <c r="G128" i="1"/>
  <c r="G127" i="4" s="1"/>
  <c r="H149" i="1"/>
  <c r="I160" i="1"/>
  <c r="I159" i="4"/>
  <c r="I166" i="1"/>
  <c r="I165" i="4"/>
  <c r="G219" i="1"/>
  <c r="G218" i="4" s="1"/>
  <c r="G226" i="1"/>
  <c r="G225" i="4" s="1"/>
  <c r="I226" i="4"/>
  <c r="G268" i="1"/>
  <c r="G287" i="1"/>
  <c r="G286" i="4" s="1"/>
  <c r="I287" i="4"/>
  <c r="I305" i="1"/>
  <c r="I312" i="4"/>
  <c r="H320" i="1"/>
  <c r="I326" i="1"/>
  <c r="I325" i="4"/>
  <c r="I356" i="1"/>
  <c r="I355" i="4"/>
  <c r="G381" i="1"/>
  <c r="I390" i="4"/>
  <c r="I397" i="1"/>
  <c r="I396" i="4"/>
  <c r="G420" i="1"/>
  <c r="G419" i="4" s="1"/>
  <c r="I428" i="1"/>
  <c r="I427" i="4"/>
  <c r="I440" i="4"/>
  <c r="I446" i="4"/>
  <c r="I458" i="4"/>
  <c r="I466" i="1"/>
  <c r="I465" i="4"/>
  <c r="I484" i="4"/>
  <c r="J25" i="2"/>
  <c r="I117" i="1"/>
  <c r="I89" i="1"/>
  <c r="G327" i="1"/>
  <c r="G326" i="4" s="1"/>
  <c r="I328" i="1"/>
  <c r="G28" i="1"/>
  <c r="I66" i="1"/>
  <c r="I100" i="1"/>
  <c r="I131" i="1"/>
  <c r="G130" i="1"/>
  <c r="G129" i="4" s="1"/>
  <c r="H209" i="1"/>
  <c r="H208" i="4" s="1"/>
  <c r="G217" i="1"/>
  <c r="G216" i="4" s="1"/>
  <c r="I218" i="1"/>
  <c r="I259" i="1"/>
  <c r="I375" i="1"/>
  <c r="I47" i="1"/>
  <c r="I90" i="1"/>
  <c r="I367" i="1"/>
  <c r="I73" i="1"/>
  <c r="I80" i="1"/>
  <c r="G284" i="1"/>
  <c r="G283" i="4" s="1"/>
  <c r="I285" i="1"/>
  <c r="I107" i="1"/>
  <c r="G241" i="1"/>
  <c r="G240" i="4" s="1"/>
  <c r="I242" i="1"/>
  <c r="I94" i="1"/>
  <c r="I139" i="1"/>
  <c r="H192" i="1"/>
  <c r="H191" i="4" s="1"/>
  <c r="I235" i="1"/>
  <c r="G330" i="1"/>
  <c r="G329" i="4" s="1"/>
  <c r="I331" i="1"/>
  <c r="H337" i="1"/>
  <c r="I344" i="1"/>
  <c r="H74" i="1"/>
  <c r="H73" i="4" s="1"/>
  <c r="G81" i="1"/>
  <c r="G80" i="4" s="1"/>
  <c r="G112" i="1"/>
  <c r="G119" i="1"/>
  <c r="G118" i="4" s="1"/>
  <c r="G188" i="1"/>
  <c r="G187" i="4" s="1"/>
  <c r="I189" i="1"/>
  <c r="I195" i="1"/>
  <c r="I269" i="1"/>
  <c r="I447" i="1"/>
  <c r="I228" i="1"/>
  <c r="G262" i="1"/>
  <c r="I263" i="1"/>
  <c r="H95" i="1"/>
  <c r="H94" i="4" s="1"/>
  <c r="G303" i="1"/>
  <c r="G302" i="4" s="1"/>
  <c r="I304" i="1"/>
  <c r="I437" i="1"/>
  <c r="I467" i="1"/>
  <c r="G255" i="1"/>
  <c r="G254" i="4" s="1"/>
  <c r="I256" i="1"/>
  <c r="G371" i="1"/>
  <c r="G370" i="4" s="1"/>
  <c r="I372" i="1"/>
  <c r="G453" i="1"/>
  <c r="I454" i="1"/>
  <c r="G248" i="1"/>
  <c r="G247" i="4" s="1"/>
  <c r="I249" i="1"/>
  <c r="G364" i="1"/>
  <c r="G363" i="4" s="1"/>
  <c r="I365" i="1"/>
  <c r="I381" i="1"/>
  <c r="I396" i="1"/>
  <c r="I413" i="1"/>
  <c r="G136" i="1"/>
  <c r="G135" i="4" s="1"/>
  <c r="H153" i="1"/>
  <c r="H152" i="4" s="1"/>
  <c r="G318" i="1"/>
  <c r="G317" i="4" s="1"/>
  <c r="G386" i="1"/>
  <c r="G385" i="4" s="1"/>
  <c r="G403" i="1"/>
  <c r="G402" i="4" s="1"/>
  <c r="G410" i="1"/>
  <c r="G409" i="4" s="1"/>
  <c r="G186" i="1"/>
  <c r="G185" i="4" s="1"/>
  <c r="G239" i="1"/>
  <c r="G238" i="4" s="1"/>
  <c r="G246" i="1"/>
  <c r="G245" i="4" s="1"/>
  <c r="G253" i="1"/>
  <c r="G252" i="4" s="1"/>
  <c r="G276" i="1"/>
  <c r="G275" i="4" s="1"/>
  <c r="G295" i="1"/>
  <c r="G294" i="4" s="1"/>
  <c r="G355" i="1"/>
  <c r="G354" i="4" s="1"/>
  <c r="G362" i="1"/>
  <c r="G361" i="4" s="1"/>
  <c r="G369" i="1"/>
  <c r="G368" i="4" s="1"/>
  <c r="H276" i="1"/>
  <c r="H275" i="4" s="1"/>
  <c r="H295" i="1"/>
  <c r="H294" i="4" s="1"/>
  <c r="G209" i="1"/>
  <c r="G208" i="4" s="1"/>
  <c r="G373" i="1"/>
  <c r="G372" i="4" s="1"/>
  <c r="G144" i="1"/>
  <c r="G143" i="4" s="1"/>
  <c r="G151" i="1"/>
  <c r="G150" i="4" s="1"/>
  <c r="G158" i="1"/>
  <c r="H167" i="1"/>
  <c r="H166" i="4" s="1"/>
  <c r="G180" i="1"/>
  <c r="G179" i="4" s="1"/>
  <c r="G233" i="1"/>
  <c r="H243" i="1"/>
  <c r="H242" i="4" s="1"/>
  <c r="H312" i="1"/>
  <c r="G342" i="1"/>
  <c r="G341" i="4" s="1"/>
  <c r="G394" i="1"/>
  <c r="G393" i="4" s="1"/>
  <c r="G418" i="1"/>
  <c r="G417" i="4" s="1"/>
  <c r="G425" i="1"/>
  <c r="H455" i="1"/>
  <c r="H454" i="4" s="1"/>
  <c r="H465" i="1"/>
  <c r="H464" i="4" s="1"/>
  <c r="G493" i="1"/>
  <c r="G492" i="4" s="1"/>
  <c r="G500" i="1"/>
  <c r="G499" i="4" s="1"/>
  <c r="H316" i="1"/>
  <c r="H315" i="4" s="1"/>
  <c r="H377" i="1"/>
  <c r="H376" i="4" s="1"/>
  <c r="H384" i="1"/>
  <c r="H383" i="4" s="1"/>
  <c r="H401" i="1"/>
  <c r="H408" i="1"/>
  <c r="H407" i="4" s="1"/>
  <c r="H432" i="1"/>
  <c r="H431" i="4" s="1"/>
  <c r="H469" i="1"/>
  <c r="H468" i="4" s="1"/>
  <c r="H476" i="1"/>
  <c r="H475" i="4" s="1"/>
  <c r="H440" i="1"/>
  <c r="H439" i="4" s="1"/>
  <c r="I438" i="1" l="1"/>
  <c r="I461" i="1"/>
  <c r="G71" i="1"/>
  <c r="G70" i="4" s="1"/>
  <c r="I474" i="1"/>
  <c r="I192" i="1"/>
  <c r="I480" i="1"/>
  <c r="I88" i="4"/>
  <c r="G88" i="4"/>
  <c r="H234" i="4"/>
  <c r="I234" i="4" s="1"/>
  <c r="G27" i="4"/>
  <c r="I27" i="4" s="1"/>
  <c r="H319" i="4"/>
  <c r="I319" i="4" s="1"/>
  <c r="G366" i="4"/>
  <c r="I366" i="4" s="1"/>
  <c r="H148" i="4"/>
  <c r="I148" i="4" s="1"/>
  <c r="H323" i="4"/>
  <c r="I323" i="4" s="1"/>
  <c r="H116" i="4"/>
  <c r="I116" i="4" s="1"/>
  <c r="I358" i="1"/>
  <c r="H357" i="4"/>
  <c r="H395" i="4"/>
  <c r="I395" i="4" s="1"/>
  <c r="G157" i="4"/>
  <c r="I157" i="4" s="1"/>
  <c r="G78" i="4"/>
  <c r="I78" i="4" s="1"/>
  <c r="I320" i="1"/>
  <c r="G424" i="4"/>
  <c r="I424" i="4" s="1"/>
  <c r="G111" i="4"/>
  <c r="I111" i="4" s="1"/>
  <c r="G267" i="4"/>
  <c r="I267" i="4" s="1"/>
  <c r="H443" i="4"/>
  <c r="I443" i="4" s="1"/>
  <c r="G380" i="4"/>
  <c r="I380" i="4" s="1"/>
  <c r="H258" i="4"/>
  <c r="I258" i="4" s="1"/>
  <c r="G452" i="4"/>
  <c r="I452" i="4" s="1"/>
  <c r="G261" i="4"/>
  <c r="I261" i="4" s="1"/>
  <c r="H43" i="4"/>
  <c r="I43" i="4" s="1"/>
  <c r="I388" i="1"/>
  <c r="H400" i="4"/>
  <c r="I400" i="4" s="1"/>
  <c r="H308" i="1"/>
  <c r="H307" i="4" s="1"/>
  <c r="H311" i="4"/>
  <c r="N19" i="4"/>
  <c r="H336" i="4"/>
  <c r="G250" i="4"/>
  <c r="I250" i="4" s="1"/>
  <c r="I83" i="1"/>
  <c r="H343" i="4"/>
  <c r="I343" i="4" s="1"/>
  <c r="G232" i="4"/>
  <c r="I232" i="4" s="1"/>
  <c r="G400" i="1"/>
  <c r="G399" i="4" s="1"/>
  <c r="H374" i="4"/>
  <c r="I374" i="4" s="1"/>
  <c r="I44" i="4"/>
  <c r="I465" i="1"/>
  <c r="G148" i="1"/>
  <c r="G147" i="4" s="1"/>
  <c r="H261" i="1"/>
  <c r="H260" i="4" s="1"/>
  <c r="G225" i="1"/>
  <c r="G224" i="4" s="1"/>
  <c r="H116" i="1"/>
  <c r="H115" i="4" s="1"/>
  <c r="I387" i="4"/>
  <c r="I219" i="4"/>
  <c r="I500" i="4"/>
  <c r="I403" i="4"/>
  <c r="I477" i="4"/>
  <c r="I72" i="1"/>
  <c r="I149" i="4"/>
  <c r="G464" i="1"/>
  <c r="G463" i="4" s="1"/>
  <c r="H179" i="1"/>
  <c r="H178" i="4" s="1"/>
  <c r="I65" i="1"/>
  <c r="I51" i="4"/>
  <c r="I71" i="4"/>
  <c r="I44" i="1"/>
  <c r="I341" i="4"/>
  <c r="I286" i="4"/>
  <c r="I91" i="4"/>
  <c r="I410" i="4"/>
  <c r="I480" i="4"/>
  <c r="I138" i="1"/>
  <c r="I409" i="4"/>
  <c r="I324" i="1"/>
  <c r="I257" i="4"/>
  <c r="I420" i="4"/>
  <c r="I388" i="4"/>
  <c r="I318" i="4"/>
  <c r="I246" i="4"/>
  <c r="I53" i="4"/>
  <c r="G64" i="1"/>
  <c r="G63" i="4" s="1"/>
  <c r="G88" i="1"/>
  <c r="I321" i="4"/>
  <c r="I109" i="1"/>
  <c r="I449" i="4"/>
  <c r="I450" i="1"/>
  <c r="I469" i="1"/>
  <c r="I418" i="1"/>
  <c r="I417" i="4"/>
  <c r="I371" i="1"/>
  <c r="I370" i="4"/>
  <c r="I74" i="1"/>
  <c r="I73" i="4"/>
  <c r="I130" i="1"/>
  <c r="I129" i="4"/>
  <c r="G51" i="1"/>
  <c r="G50" i="4" s="1"/>
  <c r="I128" i="4"/>
  <c r="I379" i="1"/>
  <c r="I378" i="4"/>
  <c r="I433" i="4"/>
  <c r="I434" i="1"/>
  <c r="I191" i="4"/>
  <c r="I104" i="4"/>
  <c r="I331" i="4"/>
  <c r="I155" i="1"/>
  <c r="I154" i="4"/>
  <c r="I351" i="4"/>
  <c r="I482" i="1"/>
  <c r="I481" i="4"/>
  <c r="I429" i="1"/>
  <c r="I428" i="4"/>
  <c r="I54" i="1"/>
  <c r="I144" i="1"/>
  <c r="I143" i="4"/>
  <c r="I186" i="1"/>
  <c r="I185" i="4"/>
  <c r="I364" i="1"/>
  <c r="I363" i="4"/>
  <c r="I128" i="1"/>
  <c r="I127" i="4"/>
  <c r="I418" i="4"/>
  <c r="H51" i="1"/>
  <c r="H50" i="4" s="1"/>
  <c r="I411" i="4"/>
  <c r="I353" i="1"/>
  <c r="I352" i="4"/>
  <c r="H348" i="1"/>
  <c r="H347" i="4" s="1"/>
  <c r="I426" i="4"/>
  <c r="I485" i="4"/>
  <c r="H424" i="1"/>
  <c r="H423" i="4" s="1"/>
  <c r="H286" i="1"/>
  <c r="H285" i="4" s="1"/>
  <c r="I294" i="4"/>
  <c r="I408" i="1"/>
  <c r="I407" i="4"/>
  <c r="I403" i="1"/>
  <c r="I402" i="4"/>
  <c r="I349" i="1"/>
  <c r="I255" i="1"/>
  <c r="I254" i="4"/>
  <c r="H232" i="1"/>
  <c r="H231" i="4" s="1"/>
  <c r="I241" i="1"/>
  <c r="I240" i="4"/>
  <c r="I309" i="1"/>
  <c r="H27" i="1"/>
  <c r="I230" i="1"/>
  <c r="I229" i="4"/>
  <c r="I436" i="1"/>
  <c r="I427" i="1"/>
  <c r="H208" i="1"/>
  <c r="H207" i="4" s="1"/>
  <c r="I208" i="4"/>
  <c r="I394" i="1"/>
  <c r="I393" i="4"/>
  <c r="I52" i="1"/>
  <c r="I312" i="1"/>
  <c r="I311" i="4"/>
  <c r="I369" i="1"/>
  <c r="I368" i="4"/>
  <c r="I386" i="1"/>
  <c r="I385" i="4"/>
  <c r="I225" i="4"/>
  <c r="I93" i="1"/>
  <c r="I92" i="4"/>
  <c r="I46" i="1"/>
  <c r="I45" i="4"/>
  <c r="I316" i="4"/>
  <c r="I131" i="4"/>
  <c r="I373" i="4"/>
  <c r="I235" i="4"/>
  <c r="I181" i="4"/>
  <c r="I338" i="1"/>
  <c r="I337" i="4"/>
  <c r="I398" i="1"/>
  <c r="I397" i="4"/>
  <c r="I141" i="4"/>
  <c r="I142" i="1"/>
  <c r="I182" i="1"/>
  <c r="I197" i="1"/>
  <c r="I196" i="4"/>
  <c r="I248" i="1"/>
  <c r="I247" i="4"/>
  <c r="I177" i="1"/>
  <c r="I176" i="4"/>
  <c r="I121" i="1"/>
  <c r="I120" i="4"/>
  <c r="I54" i="4"/>
  <c r="H64" i="1"/>
  <c r="H63" i="4" s="1"/>
  <c r="I64" i="4"/>
  <c r="I346" i="1"/>
  <c r="I345" i="4"/>
  <c r="I239" i="4"/>
  <c r="I309" i="4"/>
  <c r="I68" i="1"/>
  <c r="I67" i="4"/>
  <c r="H303" i="1"/>
  <c r="H302" i="4" s="1"/>
  <c r="I303" i="4"/>
  <c r="H357" i="1"/>
  <c r="H356" i="4" s="1"/>
  <c r="I357" i="4"/>
  <c r="I457" i="1"/>
  <c r="I456" i="4"/>
  <c r="I391" i="4"/>
  <c r="I392" i="1"/>
  <c r="I306" i="1"/>
  <c r="I305" i="4"/>
  <c r="I137" i="4"/>
  <c r="I494" i="4"/>
  <c r="I440" i="1"/>
  <c r="I439" i="4"/>
  <c r="I476" i="1"/>
  <c r="I475" i="4"/>
  <c r="I362" i="1"/>
  <c r="I361" i="4"/>
  <c r="H125" i="1"/>
  <c r="H124" i="4" s="1"/>
  <c r="I125" i="4"/>
  <c r="I126" i="1"/>
  <c r="I257" i="1"/>
  <c r="I256" i="4"/>
  <c r="H366" i="1"/>
  <c r="H365" i="4" s="1"/>
  <c r="I376" i="4"/>
  <c r="I355" i="1"/>
  <c r="I354" i="4"/>
  <c r="G357" i="1"/>
  <c r="G356" i="4" s="1"/>
  <c r="I320" i="4"/>
  <c r="I339" i="4"/>
  <c r="I340" i="1"/>
  <c r="I145" i="4"/>
  <c r="I394" i="4"/>
  <c r="I103" i="4"/>
  <c r="I377" i="4"/>
  <c r="I308" i="4"/>
  <c r="H245" i="1"/>
  <c r="H244" i="4" s="1"/>
  <c r="I123" i="1"/>
  <c r="I122" i="4"/>
  <c r="I350" i="4"/>
  <c r="I144" i="4"/>
  <c r="I384" i="4"/>
  <c r="I35" i="1"/>
  <c r="I34" i="4"/>
  <c r="H213" i="1"/>
  <c r="H212" i="4" s="1"/>
  <c r="I218" i="4"/>
  <c r="I495" i="1"/>
  <c r="I455" i="1"/>
  <c r="I454" i="4"/>
  <c r="I348" i="4"/>
  <c r="I149" i="1"/>
  <c r="I500" i="1"/>
  <c r="I276" i="1"/>
  <c r="I275" i="4"/>
  <c r="I486" i="1"/>
  <c r="I79" i="1"/>
  <c r="I146" i="1"/>
  <c r="I483" i="4"/>
  <c r="I484" i="1"/>
  <c r="I184" i="1"/>
  <c r="I183" i="4"/>
  <c r="I104" i="1"/>
  <c r="I386" i="4"/>
  <c r="H106" i="1"/>
  <c r="H105" i="4" s="1"/>
  <c r="I422" i="1"/>
  <c r="I421" i="4"/>
  <c r="I351" i="1"/>
  <c r="I228" i="4"/>
  <c r="H497" i="1"/>
  <c r="H496" i="4" s="1"/>
  <c r="I204" i="4"/>
  <c r="I493" i="4"/>
  <c r="I42" i="1"/>
  <c r="I41" i="4"/>
  <c r="I239" i="1"/>
  <c r="I238" i="4"/>
  <c r="I81" i="1"/>
  <c r="I80" i="4"/>
  <c r="I316" i="1"/>
  <c r="I315" i="4"/>
  <c r="I136" i="1"/>
  <c r="I135" i="4"/>
  <c r="I284" i="1"/>
  <c r="I283" i="4"/>
  <c r="I167" i="1"/>
  <c r="I166" i="4"/>
  <c r="I268" i="1"/>
  <c r="I253" i="1"/>
  <c r="I252" i="4"/>
  <c r="G473" i="1"/>
  <c r="G472" i="4" s="1"/>
  <c r="I412" i="1"/>
  <c r="I95" i="1"/>
  <c r="I94" i="4"/>
  <c r="I188" i="1"/>
  <c r="I187" i="4"/>
  <c r="I226" i="1"/>
  <c r="H250" i="1"/>
  <c r="H249" i="4" s="1"/>
  <c r="I327" i="1"/>
  <c r="I326" i="4"/>
  <c r="H78" i="1"/>
  <c r="H77" i="4" s="1"/>
  <c r="I490" i="1"/>
  <c r="I489" i="4"/>
  <c r="I414" i="1"/>
  <c r="I413" i="4"/>
  <c r="I99" i="1"/>
  <c r="I98" i="4"/>
  <c r="I35" i="4"/>
  <c r="I329" i="4"/>
  <c r="N18" i="1"/>
  <c r="I126" i="4"/>
  <c r="I223" i="1"/>
  <c r="I222" i="4"/>
  <c r="I344" i="4"/>
  <c r="I102" i="1"/>
  <c r="I101" i="4"/>
  <c r="I237" i="1"/>
  <c r="I236" i="4"/>
  <c r="I415" i="4"/>
  <c r="I416" i="1"/>
  <c r="I342" i="4"/>
  <c r="I272" i="1"/>
  <c r="I271" i="4"/>
  <c r="I373" i="1"/>
  <c r="I372" i="4"/>
  <c r="H383" i="1"/>
  <c r="H382" i="4" s="1"/>
  <c r="I383" i="4"/>
  <c r="I243" i="1"/>
  <c r="I242" i="4"/>
  <c r="I318" i="1"/>
  <c r="I317" i="4"/>
  <c r="I153" i="1"/>
  <c r="I152" i="4"/>
  <c r="I179" i="4"/>
  <c r="H464" i="1"/>
  <c r="I464" i="4"/>
  <c r="I151" i="1"/>
  <c r="I150" i="4"/>
  <c r="I245" i="4"/>
  <c r="I287" i="1"/>
  <c r="I119" i="1"/>
  <c r="I118" i="4"/>
  <c r="I219" i="1"/>
  <c r="G106" i="1"/>
  <c r="G105" i="4" s="1"/>
  <c r="H71" i="1"/>
  <c r="I420" i="1"/>
  <c r="I419" i="4"/>
  <c r="I304" i="4"/>
  <c r="I406" i="1"/>
  <c r="I405" i="4"/>
  <c r="I390" i="1"/>
  <c r="I389" i="4"/>
  <c r="I82" i="4"/>
  <c r="I432" i="4"/>
  <c r="I117" i="4"/>
  <c r="H492" i="1"/>
  <c r="H491" i="4" s="1"/>
  <c r="I492" i="4"/>
  <c r="I358" i="4"/>
  <c r="I180" i="4"/>
  <c r="I151" i="4"/>
  <c r="I471" i="1"/>
  <c r="I478" i="1"/>
  <c r="I217" i="1"/>
  <c r="I216" i="4"/>
  <c r="I91" i="1"/>
  <c r="I90" i="4"/>
  <c r="I379" i="4"/>
  <c r="I497" i="4"/>
  <c r="I498" i="1"/>
  <c r="I431" i="4"/>
  <c r="I360" i="1"/>
  <c r="I359" i="4"/>
  <c r="I468" i="4"/>
  <c r="H225" i="1"/>
  <c r="H224" i="4" s="1"/>
  <c r="I227" i="4"/>
  <c r="I204" i="1"/>
  <c r="I203" i="4"/>
  <c r="I486" i="4"/>
  <c r="I435" i="4"/>
  <c r="I85" i="1"/>
  <c r="I84" i="4"/>
  <c r="I470" i="4"/>
  <c r="H88" i="1"/>
  <c r="I180" i="1"/>
  <c r="G179" i="1"/>
  <c r="G178" i="4" s="1"/>
  <c r="I295" i="1"/>
  <c r="I432" i="1"/>
  <c r="H473" i="1"/>
  <c r="H472" i="4" s="1"/>
  <c r="I112" i="1"/>
  <c r="G111" i="1"/>
  <c r="G110" i="4" s="1"/>
  <c r="I493" i="1"/>
  <c r="G492" i="1"/>
  <c r="G491" i="4" s="1"/>
  <c r="I453" i="1"/>
  <c r="G446" i="1"/>
  <c r="G445" i="4" s="1"/>
  <c r="H446" i="1"/>
  <c r="H445" i="4" s="1"/>
  <c r="G383" i="1"/>
  <c r="G382" i="4" s="1"/>
  <c r="H148" i="1"/>
  <c r="H147" i="4" s="1"/>
  <c r="I233" i="1"/>
  <c r="G232" i="1"/>
  <c r="G231" i="4" s="1"/>
  <c r="G348" i="1"/>
  <c r="G347" i="4" s="1"/>
  <c r="G366" i="1"/>
  <c r="G365" i="4" s="1"/>
  <c r="I158" i="1"/>
  <c r="G157" i="1"/>
  <c r="G156" i="4" s="1"/>
  <c r="G245" i="1"/>
  <c r="G244" i="4" s="1"/>
  <c r="I246" i="1"/>
  <c r="I377" i="1"/>
  <c r="G213" i="1"/>
  <c r="G212" i="4" s="1"/>
  <c r="I384" i="1"/>
  <c r="G125" i="1"/>
  <c r="G124" i="4" s="1"/>
  <c r="I330" i="1"/>
  <c r="M18" i="1"/>
  <c r="I209" i="1"/>
  <c r="G208" i="1"/>
  <c r="G207" i="4" s="1"/>
  <c r="G286" i="1"/>
  <c r="G285" i="4" s="1"/>
  <c r="G497" i="1"/>
  <c r="G496" i="4" s="1"/>
  <c r="H157" i="1"/>
  <c r="H156" i="4" s="1"/>
  <c r="G308" i="1"/>
  <c r="G307" i="4" s="1"/>
  <c r="I425" i="1"/>
  <c r="G424" i="1"/>
  <c r="G423" i="4" s="1"/>
  <c r="G405" i="1"/>
  <c r="G404" i="4" s="1"/>
  <c r="I410" i="1"/>
  <c r="I342" i="1"/>
  <c r="G337" i="1"/>
  <c r="G336" i="4" s="1"/>
  <c r="G250" i="1"/>
  <c r="G249" i="4" s="1"/>
  <c r="H405" i="1"/>
  <c r="H404" i="4" s="1"/>
  <c r="G27" i="1"/>
  <c r="G26" i="4" s="1"/>
  <c r="I28" i="1"/>
  <c r="G116" i="1"/>
  <c r="G115" i="4" s="1"/>
  <c r="I401" i="1"/>
  <c r="H400" i="1"/>
  <c r="H399" i="4" s="1"/>
  <c r="I262" i="1"/>
  <c r="G261" i="1"/>
  <c r="G260" i="4" s="1"/>
  <c r="I88" i="1"/>
  <c r="G78" i="1"/>
  <c r="G77" i="4" s="1"/>
  <c r="H70" i="4" l="1"/>
  <c r="I70" i="4" s="1"/>
  <c r="H26" i="4"/>
  <c r="N15" i="4" s="1"/>
  <c r="G87" i="4"/>
  <c r="M16" i="4" s="1"/>
  <c r="H87" i="4"/>
  <c r="I87" i="4" s="1"/>
  <c r="H463" i="4"/>
  <c r="I463" i="4" s="1"/>
  <c r="I224" i="4"/>
  <c r="I464" i="1"/>
  <c r="G87" i="1"/>
  <c r="G86" i="4" s="1"/>
  <c r="I232" i="1"/>
  <c r="I231" i="4"/>
  <c r="I473" i="1"/>
  <c r="I472" i="4"/>
  <c r="I106" i="1"/>
  <c r="I105" i="4"/>
  <c r="I225" i="1"/>
  <c r="I125" i="1"/>
  <c r="I124" i="4"/>
  <c r="I302" i="4"/>
  <c r="I357" i="1"/>
  <c r="I356" i="4"/>
  <c r="I424" i="1"/>
  <c r="I423" i="4"/>
  <c r="I400" i="1"/>
  <c r="I399" i="4"/>
  <c r="I303" i="1"/>
  <c r="I261" i="1"/>
  <c r="I260" i="4"/>
  <c r="I148" i="1"/>
  <c r="I147" i="4"/>
  <c r="H26" i="1"/>
  <c r="H25" i="4" s="1"/>
  <c r="I212" i="4"/>
  <c r="I383" i="1"/>
  <c r="I382" i="4"/>
  <c r="I179" i="1"/>
  <c r="I178" i="4"/>
  <c r="I111" i="1"/>
  <c r="I110" i="4"/>
  <c r="I116" i="1"/>
  <c r="I115" i="4"/>
  <c r="I63" i="4"/>
  <c r="I51" i="1"/>
  <c r="I50" i="4"/>
  <c r="I499" i="4"/>
  <c r="I64" i="1"/>
  <c r="I308" i="1"/>
  <c r="I307" i="4"/>
  <c r="I26" i="4"/>
  <c r="M15" i="4"/>
  <c r="I245" i="1"/>
  <c r="I244" i="4"/>
  <c r="H336" i="1"/>
  <c r="H335" i="4" s="1"/>
  <c r="I404" i="4"/>
  <c r="I286" i="1"/>
  <c r="I285" i="4"/>
  <c r="H463" i="1"/>
  <c r="H462" i="4" s="1"/>
  <c r="I492" i="1"/>
  <c r="I491" i="4"/>
  <c r="I497" i="1"/>
  <c r="I496" i="4"/>
  <c r="H212" i="1"/>
  <c r="H211" i="4" s="1"/>
  <c r="I250" i="1"/>
  <c r="I249" i="4"/>
  <c r="I156" i="4"/>
  <c r="I108" i="4"/>
  <c r="I348" i="1"/>
  <c r="I347" i="4"/>
  <c r="I445" i="4"/>
  <c r="I78" i="1"/>
  <c r="I77" i="4"/>
  <c r="M19" i="4"/>
  <c r="I336" i="4"/>
  <c r="I208" i="1"/>
  <c r="I207" i="4"/>
  <c r="I71" i="1"/>
  <c r="I366" i="1"/>
  <c r="I365" i="4"/>
  <c r="I213" i="1"/>
  <c r="G212" i="1"/>
  <c r="G211" i="4" s="1"/>
  <c r="G336" i="1"/>
  <c r="G335" i="4" s="1"/>
  <c r="I337" i="1"/>
  <c r="I157" i="1"/>
  <c r="I446" i="1"/>
  <c r="G463" i="1"/>
  <c r="G462" i="4" s="1"/>
  <c r="M16" i="1"/>
  <c r="I405" i="1"/>
  <c r="G26" i="1"/>
  <c r="I27" i="1"/>
  <c r="H87" i="1"/>
  <c r="H86" i="4" s="1"/>
  <c r="N16" i="4" l="1"/>
  <c r="G25" i="4"/>
  <c r="I25" i="4" s="1"/>
  <c r="J501" i="4" s="1"/>
  <c r="I87" i="1"/>
  <c r="N19" i="1"/>
  <c r="I463" i="1"/>
  <c r="I462" i="4"/>
  <c r="N15" i="1"/>
  <c r="I335" i="4"/>
  <c r="H25" i="1"/>
  <c r="H24" i="4" s="1"/>
  <c r="N16" i="1"/>
  <c r="I86" i="4"/>
  <c r="I212" i="1"/>
  <c r="I211" i="4"/>
  <c r="I336" i="1"/>
  <c r="M19" i="1"/>
  <c r="I26" i="1"/>
  <c r="G25" i="1"/>
  <c r="M15" i="1"/>
  <c r="I24" i="4" l="1"/>
  <c r="I25" i="1"/>
  <c r="J87" i="1" s="1"/>
  <c r="J77" i="1"/>
  <c r="J67" i="1"/>
  <c r="J38" i="1"/>
  <c r="J122" i="1"/>
  <c r="J115" i="1"/>
  <c r="J108" i="1"/>
  <c r="J101" i="1"/>
  <c r="J433" i="1"/>
  <c r="J278" i="1"/>
  <c r="J49" i="1"/>
  <c r="J61" i="1"/>
  <c r="J185" i="1"/>
  <c r="J397" i="1"/>
  <c r="J458" i="1"/>
  <c r="J162" i="1"/>
  <c r="J451" i="1"/>
  <c r="J244" i="1"/>
  <c r="J163" i="1"/>
  <c r="J325" i="1"/>
  <c r="J423" i="1"/>
  <c r="J293" i="1"/>
  <c r="J374" i="1"/>
  <c r="J96" i="1"/>
  <c r="J124" i="1"/>
  <c r="J40" i="1"/>
  <c r="J76" i="1"/>
  <c r="J210" i="1"/>
  <c r="J419" i="1"/>
  <c r="J496" i="1"/>
  <c r="J181" i="1"/>
  <c r="J133" i="1"/>
  <c r="J183" i="1"/>
  <c r="J442" i="1"/>
  <c r="J363" i="1"/>
  <c r="J431" i="1"/>
  <c r="J299" i="1"/>
  <c r="J156" i="1"/>
  <c r="J171" i="1"/>
  <c r="J326" i="1"/>
  <c r="J43" i="1"/>
  <c r="J317" i="1"/>
  <c r="J53" i="1"/>
  <c r="J60" i="1"/>
  <c r="J62" i="1"/>
  <c r="J231" i="1"/>
  <c r="J150" i="1"/>
  <c r="J194" i="1"/>
  <c r="J421" i="1"/>
  <c r="J292" i="1"/>
  <c r="J154" i="1"/>
  <c r="J206" i="1"/>
  <c r="J459" i="1"/>
  <c r="J393" i="1"/>
  <c r="J448" i="1"/>
  <c r="J313" i="1"/>
  <c r="J176" i="1"/>
  <c r="J485" i="1"/>
  <c r="J75" i="1"/>
  <c r="J92" i="1"/>
  <c r="J45" i="1"/>
  <c r="J283" i="1"/>
  <c r="J224" i="1"/>
  <c r="J439" i="1"/>
  <c r="J445" i="1"/>
  <c r="J145" i="1"/>
  <c r="J301" i="1"/>
  <c r="J175" i="1"/>
  <c r="J229" i="1"/>
  <c r="J190" i="1"/>
  <c r="J147" i="1"/>
  <c r="J216" i="1"/>
  <c r="J240" i="1"/>
  <c r="J460" i="1"/>
  <c r="J63" i="1"/>
  <c r="J409" i="1"/>
  <c r="J120" i="1"/>
  <c r="J294" i="1"/>
  <c r="J456" i="1"/>
  <c r="J152" i="1"/>
  <c r="J310" i="1"/>
  <c r="J311" i="1"/>
  <c r="J200" i="1"/>
  <c r="J270" i="1"/>
  <c r="J479" i="1"/>
  <c r="J247" i="1"/>
  <c r="J164" i="1"/>
  <c r="J265" i="1"/>
  <c r="J501" i="1"/>
  <c r="J417" i="1"/>
  <c r="J385" i="1"/>
  <c r="J69" i="1"/>
  <c r="J59" i="1"/>
  <c r="J56" i="1"/>
  <c r="J105" i="1"/>
  <c r="J30" i="1"/>
  <c r="J315" i="1"/>
  <c r="J462" i="1"/>
  <c r="J323" i="1"/>
  <c r="J178" i="1"/>
  <c r="J273" i="1"/>
  <c r="J221" i="1"/>
  <c r="J332" i="1"/>
  <c r="J275" i="1"/>
  <c r="J134" i="1"/>
  <c r="J277" i="1"/>
  <c r="J191" i="1"/>
  <c r="J334" i="1"/>
  <c r="J449" i="1"/>
  <c r="J319" i="1"/>
  <c r="J57" i="1"/>
  <c r="J103" i="1"/>
  <c r="J32" i="1"/>
  <c r="J113" i="1"/>
  <c r="J290" i="1"/>
  <c r="J487" i="1"/>
  <c r="J329" i="1"/>
  <c r="J199" i="1"/>
  <c r="J260" i="1"/>
  <c r="J203" i="1"/>
  <c r="J205" i="1"/>
  <c r="J345" i="1"/>
  <c r="J370" i="1"/>
  <c r="J170" i="1"/>
  <c r="J298" i="1"/>
  <c r="J196" i="1"/>
  <c r="J380" i="1"/>
  <c r="J347" i="1"/>
  <c r="J202" i="1"/>
  <c r="J258" i="1"/>
  <c r="J402" i="1"/>
  <c r="J211" i="1"/>
  <c r="J399" i="1"/>
  <c r="J305" i="1"/>
  <c r="J58" i="1"/>
  <c r="J37" i="1"/>
  <c r="J110" i="1"/>
  <c r="J118" i="1"/>
  <c r="J127" i="1"/>
  <c r="J137" i="1"/>
  <c r="J296" i="1"/>
  <c r="J266" i="1"/>
  <c r="J343" i="1"/>
  <c r="J267" i="1"/>
  <c r="J143" i="1"/>
  <c r="J361" i="1"/>
  <c r="J441" i="1"/>
  <c r="J222" i="1"/>
  <c r="J321" i="1"/>
  <c r="J201" i="1"/>
  <c r="J395" i="1"/>
  <c r="J356" i="1"/>
  <c r="J238" i="1"/>
  <c r="J282" i="1"/>
  <c r="J475" i="1"/>
  <c r="J33" i="1"/>
  <c r="J31" i="1"/>
  <c r="J160" i="1"/>
  <c r="J341" i="1"/>
  <c r="J368" i="1"/>
  <c r="J236" i="1"/>
  <c r="J466" i="1"/>
  <c r="J264" i="1"/>
  <c r="J141" i="1"/>
  <c r="J491" i="1"/>
  <c r="J70" i="1"/>
  <c r="J378" i="1"/>
  <c r="J443" i="1"/>
  <c r="J297" i="1"/>
  <c r="J48" i="1"/>
  <c r="J335" i="1"/>
  <c r="J307" i="1"/>
  <c r="J279" i="1"/>
  <c r="J187" i="1"/>
  <c r="J220" i="1"/>
  <c r="J227" i="1"/>
  <c r="J387" i="1"/>
  <c r="J333" i="1"/>
  <c r="J215" i="1"/>
  <c r="J404" i="1"/>
  <c r="J426" i="1"/>
  <c r="J29" i="1"/>
  <c r="J452" i="1"/>
  <c r="J354" i="1"/>
  <c r="J430" i="1"/>
  <c r="J39" i="1"/>
  <c r="J36" i="1"/>
  <c r="J129" i="1"/>
  <c r="J166" i="1"/>
  <c r="J350" i="1"/>
  <c r="J173" i="1"/>
  <c r="J391" i="1"/>
  <c r="J252" i="1"/>
  <c r="J254" i="1"/>
  <c r="J415" i="1"/>
  <c r="J169" i="1"/>
  <c r="J472" i="1"/>
  <c r="J339" i="1"/>
  <c r="J288" i="1"/>
  <c r="J389" i="1"/>
  <c r="J271" i="1"/>
  <c r="J55" i="1"/>
  <c r="J172" i="1"/>
  <c r="J382" i="1"/>
  <c r="J198" i="1"/>
  <c r="J359" i="1"/>
  <c r="J193" i="1"/>
  <c r="J407" i="1"/>
  <c r="J161" i="1"/>
  <c r="J435" i="1"/>
  <c r="J411" i="1"/>
  <c r="J159" i="1"/>
  <c r="J454" i="1"/>
  <c r="J437" i="1"/>
  <c r="J90" i="1"/>
  <c r="J328" i="1"/>
  <c r="J269" i="1"/>
  <c r="J372" i="1"/>
  <c r="J256" i="1"/>
  <c r="J331" i="1"/>
  <c r="J73" i="1"/>
  <c r="J413" i="1"/>
  <c r="J263" i="1"/>
  <c r="J80" i="1"/>
  <c r="J242" i="1"/>
  <c r="J131" i="1"/>
  <c r="J66" i="1"/>
  <c r="J365" i="1"/>
  <c r="J218" i="1"/>
  <c r="J249" i="1"/>
  <c r="J189" i="1"/>
  <c r="J285" i="1"/>
  <c r="J195" i="1"/>
  <c r="J139" i="1"/>
  <c r="J94" i="1"/>
  <c r="J100" i="1"/>
  <c r="J47" i="1"/>
  <c r="J400" i="1"/>
  <c r="J330" i="1"/>
  <c r="J26" i="1"/>
  <c r="J212" i="1"/>
  <c r="J463" i="1"/>
  <c r="J34" i="1" l="1"/>
  <c r="J86" i="1"/>
  <c r="J84" i="1"/>
  <c r="J274" i="1"/>
  <c r="J470" i="1"/>
  <c r="J281" i="1"/>
  <c r="J477" i="1"/>
  <c r="J174" i="1"/>
  <c r="J481" i="1"/>
  <c r="J168" i="1"/>
  <c r="J165" i="1"/>
  <c r="J352" i="1"/>
  <c r="J135" i="1"/>
  <c r="J207" i="1"/>
  <c r="J82" i="1"/>
  <c r="J302" i="1"/>
  <c r="J300" i="1"/>
  <c r="J483" i="1"/>
  <c r="J289" i="1"/>
  <c r="J280" i="1"/>
  <c r="J468" i="1"/>
  <c r="J428" i="1"/>
  <c r="J132" i="1"/>
  <c r="J336" i="1"/>
  <c r="J25" i="1" s="1"/>
  <c r="J98" i="1"/>
  <c r="J489" i="1"/>
  <c r="J50" i="1"/>
  <c r="J291" i="1"/>
  <c r="J494" i="1"/>
  <c r="J376" i="1"/>
  <c r="J499" i="1"/>
  <c r="J234" i="1"/>
  <c r="J41" i="1"/>
</calcChain>
</file>

<file path=xl/sharedStrings.xml><?xml version="1.0" encoding="utf-8"?>
<sst xmlns="http://schemas.openxmlformats.org/spreadsheetml/2006/main" count="6999" uniqueCount="396">
  <si>
    <t>Form. No.6 SRS</t>
  </si>
  <si>
    <t>Servicio Nacional de Salud</t>
  </si>
  <si>
    <t>Dirección de Fizcalización</t>
  </si>
  <si>
    <t>Consolidado de Ingresos y Gastos por Fuente de Financiamiento</t>
  </si>
  <si>
    <t>HOSPITAL MATERNO INFANTIL SAN LORENZO DE LOS MINA</t>
  </si>
  <si>
    <t>SEPTIEMBRE 2025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</si>
  <si>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</si>
  <si>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</si>
  <si>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</si>
  <si>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</si>
  <si>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</si>
  <si>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</si>
  <si>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</si>
  <si>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</si>
  <si>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</si>
  <si>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</si>
  <si>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</si>
  <si>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</si>
  <si>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</si>
  <si>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</si>
  <si>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</si>
  <si>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</si>
  <si>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TOTAL</t>
  </si>
  <si>
    <t>%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</si>
  <si>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</si>
  <si>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</si>
  <si>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</si>
  <si>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</si>
  <si>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</si>
  <si>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</si>
  <si>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</si>
  <si>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</si>
  <si>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</si>
  <si>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</si>
  <si>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>Remuneraciones al personal fijo</t>
  </si>
  <si>
    <t>01</t>
  </si>
  <si>
    <t xml:space="preserve"> Sueldos a empleados fijos</t>
  </si>
  <si>
    <t>02</t>
  </si>
  <si>
    <t>Sueldos a médicos</t>
  </si>
  <si>
    <t>03</t>
  </si>
  <si>
    <t>Ascensos a militares</t>
  </si>
  <si>
    <t>04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</si>
  <si>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</si>
  <si>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</si>
  <si>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</si>
  <si>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</si>
  <si>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</si>
  <si>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</si>
  <si>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</si>
  <si>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</si>
  <si>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</si>
  <si>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</si>
  <si>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Empleados temporales</t>
  </si>
  <si>
    <t>09</t>
  </si>
  <si>
    <t>Personal de carácter eventual</t>
  </si>
  <si>
    <t>11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</si>
  <si>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</si>
  <si>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</si>
  <si>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</si>
  <si>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</si>
  <si>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</si>
  <si>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Prestación laboral por desvinculación</t>
  </si>
  <si>
    <t>Proporción de vacaciones no disfrutadas</t>
  </si>
  <si>
    <t>Sobresueldos</t>
  </si>
  <si>
    <t>Primas por antigüedad</t>
  </si>
  <si>
    <t>Compensación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</si>
  <si>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</si>
  <si>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</si>
  <si>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</si>
  <si>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</si>
  <si>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</si>
  <si>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</si>
  <si>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</si>
  <si>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Compensaciones especiales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</si>
  <si>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</si>
  <si>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</si>
  <si>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</si>
  <si>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</si>
  <si>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</si>
  <si>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</si>
  <si>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</si>
  <si>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</si>
  <si>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</si>
  <si>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</si>
  <si>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</si>
  <si>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</si>
  <si>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</si>
  <si>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</si>
  <si>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</si>
  <si>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</si>
  <si>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</si>
  <si>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</si>
  <si>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</si>
  <si>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</si>
  <si>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</si>
  <si>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</si>
  <si>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</si>
  <si>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</si>
  <si>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Teléfono local</t>
  </si>
  <si>
    <t>Telefax y correos</t>
  </si>
  <si>
    <t>Servicio de Internet y televisión por cable</t>
  </si>
  <si>
    <t>Electricidad</t>
  </si>
  <si>
    <t>Energía eléctrica</t>
  </si>
  <si>
    <t>Electricidad no cortable</t>
  </si>
  <si>
    <t>Agua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</si>
  <si>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</si>
  <si>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</si>
  <si>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</si>
  <si>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</si>
  <si>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</si>
  <si>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</si>
  <si>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</si>
  <si>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Transporte y Almacenaje</t>
  </si>
  <si>
    <t>Pasajes</t>
  </si>
  <si>
    <t>Fletes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</si>
  <si>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</si>
  <si>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</si>
  <si>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</si>
  <si>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</si>
  <si>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</si>
  <si>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</si>
  <si>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</si>
  <si>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educacional</t>
  </si>
  <si>
    <t>Alquiler de equipo de tecnologia y almacenamiento de datos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</si>
  <si>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</si>
  <si>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</si>
  <si>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</si>
  <si>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</si>
  <si>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</si>
  <si>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</si>
  <si>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</si>
  <si>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Otros alquileres</t>
  </si>
  <si>
    <t>Derechos de uso</t>
  </si>
  <si>
    <t>Licencias informaticas</t>
  </si>
  <si>
    <t>Seguros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</si>
  <si>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</si>
  <si>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</si>
  <si>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</si>
  <si>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</si>
  <si>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</si>
  <si>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</si>
  <si>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Obras menores en edificaciones</t>
  </si>
  <si>
    <t>Servicios especiales de mantenimiento y reparación</t>
  </si>
  <si>
    <t>Limpieza, desmalezamiento de tierras y terrenos</t>
  </si>
  <si>
    <t>Mantenimiento y reparación de obras civiles en instalaciones varias</t>
  </si>
  <si>
    <t>Obras en bienes de dominio público</t>
  </si>
  <si>
    <t>Instalaciones eléctricas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</si>
  <si>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</si>
  <si>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</si>
  <si>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</si>
  <si>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</si>
  <si>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</si>
  <si>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</si>
  <si>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</si>
  <si>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</si>
  <si>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</si>
  <si>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</si>
  <si>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</si>
  <si>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</si>
  <si>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</si>
  <si>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</si>
  <si>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Otros Servicios No Personales</t>
  </si>
  <si>
    <t>Gastos judiciales</t>
  </si>
  <si>
    <t>Comisiones y gastos bancarios</t>
  </si>
  <si>
    <t>Servicios sanitarios médicos y veterinarios</t>
  </si>
  <si>
    <t>Servicios funerarios y gastos conexos</t>
  </si>
  <si>
    <t>Fumigación, lavandería, limpieza e higiene</t>
  </si>
  <si>
    <t>Fumigación</t>
  </si>
  <si>
    <t>Lavandería</t>
  </si>
  <si>
    <t>Limpieza e higiene</t>
  </si>
  <si>
    <t>Organización de eventos y festividades</t>
  </si>
  <si>
    <t>Eventos generales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</si>
  <si>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</si>
  <si>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</si>
  <si>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</si>
  <si>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</si>
  <si>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</si>
  <si>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</si>
  <si>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</si>
  <si>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</si>
  <si>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</si>
  <si>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</si>
  <si>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</si>
  <si>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</si>
  <si>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</si>
  <si>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</si>
  <si>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Otras Contrataciones de Servicios</t>
  </si>
  <si>
    <t>Servicios de alimentación</t>
  </si>
  <si>
    <t xml:space="preserve">Servicios de alimentación </t>
  </si>
  <si>
    <t>Servicios de catering</t>
  </si>
  <si>
    <t>Materiales y Suministros</t>
  </si>
  <si>
    <t>Alimentos y Productos Agroforestales</t>
  </si>
  <si>
    <t>Alimentos y bebidas para personas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</si>
  <si>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</si>
  <si>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</si>
  <si>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</si>
  <si>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</si>
  <si>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</si>
  <si>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</si>
  <si>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</si>
  <si>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Textiles y Vestuarios</t>
  </si>
  <si>
    <t>Hilados y telas</t>
  </si>
  <si>
    <t>Acabados textiles</t>
  </si>
  <si>
    <t>Prendas de vestir</t>
  </si>
  <si>
    <t>Productos de Papel, Cartón e Impresos</t>
  </si>
  <si>
    <t>Papel de escritorio</t>
  </si>
  <si>
    <t>Papel y cartón</t>
  </si>
  <si>
    <t>Productos de artes gráficas</t>
  </si>
  <si>
    <t>Libros, revistas y periódicos</t>
  </si>
  <si>
    <t>Textos de enseñanza</t>
  </si>
  <si>
    <t>Especies timbrados y valoradas</t>
  </si>
  <si>
    <t>Productos Farmacéuticos</t>
  </si>
  <si>
    <t>Productos medicinales para uso humano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</si>
  <si>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</si>
  <si>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</si>
  <si>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</si>
  <si>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</si>
  <si>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</si>
  <si>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caucho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</si>
  <si>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</si>
  <si>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</si>
  <si>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</si>
  <si>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</si>
  <si>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cal</t>
  </si>
  <si>
    <t>Productos de asbestos</t>
  </si>
  <si>
    <t>Productos de yeso</t>
  </si>
  <si>
    <t>Productos de arcilla y derivados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</si>
  <si>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</si>
  <si>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</si>
  <si>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</si>
  <si>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</si>
  <si>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</si>
  <si>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</si>
  <si>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</si>
  <si>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</si>
  <si>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</si>
  <si>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</si>
  <si>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</si>
  <si>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</si>
  <si>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</si>
  <si>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</si>
  <si>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</si>
  <si>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</si>
  <si>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</si>
  <si>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</si>
  <si>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</si>
  <si>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</si>
  <si>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</si>
  <si>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</si>
  <si>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</si>
  <si>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</si>
  <si>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</si>
  <si>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</si>
  <si>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Gas Natural</t>
  </si>
  <si>
    <t>Productos químicos y conexos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</si>
  <si>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</si>
  <si>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</si>
  <si>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</si>
  <si>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</si>
  <si>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</si>
  <si>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</si>
  <si>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</si>
  <si>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</si>
  <si>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</si>
  <si>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</si>
  <si>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</si>
  <si>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Material para limpieza</t>
  </si>
  <si>
    <t>Útiles y materiales de limpieza e higiene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</si>
  <si>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</si>
  <si>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</si>
  <si>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</si>
  <si>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</si>
  <si>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</si>
  <si>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Útiles de cocina y comedor</t>
  </si>
  <si>
    <t>Productos eléctricos y afines</t>
  </si>
  <si>
    <t>Productos y útiles veterinarios</t>
  </si>
  <si>
    <t>Repuestos y accesorios menores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</si>
  <si>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</si>
  <si>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</si>
  <si>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</si>
  <si>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</si>
  <si>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</si>
  <si>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</si>
  <si>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Ayudas y donaciones ocasionales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</si>
  <si>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</si>
  <si>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</si>
  <si>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</si>
  <si>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</si>
  <si>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</si>
  <si>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Muebles, equipos de oficina y estantería</t>
  </si>
  <si>
    <t>Muebles de alojamiento, excepto de oficina y estantería</t>
  </si>
  <si>
    <t>Equipo de tecnologia de la informacion y comunicación</t>
  </si>
  <si>
    <t>Electrodomésticos</t>
  </si>
  <si>
    <t>Otros mobiliarios y equipos no identificados precedentemente</t>
  </si>
  <si>
    <t>Mobiliario y Eq. de Audio, Audiovisual, Recreativo y Educacional</t>
  </si>
  <si>
    <t>Equipos y aparatos audiovisuales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</si>
  <si>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</si>
  <si>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</si>
  <si>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</si>
  <si>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</si>
  <si>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médico y de laboratorio</t>
  </si>
  <si>
    <t>Instrumental médico y de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</si>
  <si>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</si>
  <si>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</si>
  <si>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</si>
  <si>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</si>
  <si>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</si>
  <si>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</si>
  <si>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</si>
  <si>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</si>
  <si>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</si>
  <si>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</si>
  <si>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</si>
  <si>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</si>
  <si>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</si>
  <si>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industrial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</si>
  <si>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</si>
  <si>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</si>
  <si>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</si>
  <si>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</si>
  <si>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Máquinas-herramientas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</si>
  <si>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</si>
  <si>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</si>
  <si>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</si>
  <si>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</si>
  <si>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</si>
  <si>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</si>
  <si>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</si>
  <si>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</si>
  <si>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</si>
  <si>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</si>
  <si>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</si>
  <si>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</si>
  <si>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</si>
  <si>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</si>
  <si>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</si>
  <si>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</si>
  <si>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</si>
  <si>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</si>
  <si>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</si>
  <si>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</si>
  <si>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</si>
  <si>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</si>
  <si>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</si>
  <si>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</si>
  <si>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</si>
  <si>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</si>
  <si>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</si>
  <si>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</si>
  <si>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</si>
  <si>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</si>
  <si>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</si>
  <si>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</si>
  <si>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</si>
  <si>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</si>
  <si>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</si>
  <si>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</si>
  <si>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</si>
  <si>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</si>
  <si>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</si>
  <si>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</si>
  <si>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</si>
  <si>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</si>
  <si>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</si>
  <si>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</si>
  <si>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</si>
  <si>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</si>
  <si>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</si>
  <si>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</si>
  <si>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</si>
  <si>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</si>
  <si>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</si>
  <si>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Infraestructura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</si>
  <si>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</si>
  <si>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</si>
  <si>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</si>
  <si>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</si>
  <si>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</si>
  <si>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</si>
  <si>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</si>
  <si>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</si>
  <si>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</si>
  <si>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</si>
  <si>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</si>
  <si>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</si>
  <si>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</si>
  <si>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</si>
  <si>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</si>
  <si>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t>NOMBRE ESTABLECIMIENTO</t>
  </si>
  <si>
    <t>AGOSTO 2025</t>
  </si>
  <si>
    <t>JULIO 2025</t>
  </si>
  <si>
    <t>OCTUBRE 2025</t>
  </si>
  <si>
    <t>ENERO-JUNIO 2025</t>
  </si>
  <si>
    <t>RESUMEN DE EJECUCION ENERO-</t>
  </si>
  <si>
    <t>DICIEMBRE 2025</t>
  </si>
  <si>
    <t>OCTUBRE-DICIEMBRE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</si>
</sst>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6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47">
    <xf numFmtId="0" fontId="0" fillId="0" borderId="0" xfId="0"/>
    <xf numFmtId="0" fontId="3" fillId="2" borderId="1" xfId="3" applyFont="1" applyFill="1" applyBorder="1"/>
    <xf numFmtId="0" fontId="3" fillId="2" borderId="2" xfId="3" applyFont="1" applyFill="1" applyBorder="1"/>
    <xf numFmtId="0" fontId="4" fillId="2" borderId="2" xfId="3" applyFont="1" applyFill="1" applyBorder="1"/>
    <xf numFmtId="0" fontId="4" fillId="2" borderId="3" xfId="3" applyFont="1" applyFill="1" applyBorder="1"/>
    <xf numFmtId="0" fontId="2" fillId="0" borderId="0" xfId="3"/>
    <xf numFmtId="0" fontId="4" fillId="2" borderId="0" xfId="3" applyFont="1" applyFill="1"/>
    <xf numFmtId="0" fontId="4" fillId="2" borderId="5" xfId="3" applyFont="1" applyFill="1" applyBorder="1"/>
    <xf numFmtId="0" fontId="2" fillId="2" borderId="0" xfId="3" applyFill="1"/>
    <xf numFmtId="0" fontId="9" fillId="4" borderId="4" xfId="3" applyFont="1" applyFill="1" applyBorder="1" applyAlignment="1">
      <alignment horizontal="left"/>
    </xf>
    <xf numFmtId="0" fontId="9" fillId="4" borderId="0" xfId="3" applyFont="1" applyFill="1" applyAlignment="1">
      <alignment horizontal="left"/>
    </xf>
    <xf numFmtId="0" fontId="9" fillId="4" borderId="5" xfId="3" applyFont="1" applyFill="1" applyBorder="1" applyAlignment="1">
      <alignment horizontal="left"/>
    </xf>
    <xf numFmtId="0" fontId="10" fillId="3" borderId="4" xfId="3" applyFont="1" applyFill="1" applyBorder="1"/>
    <xf numFmtId="0" fontId="10" fillId="3" borderId="0" xfId="3" applyFont="1" applyFill="1"/>
    <xf numFmtId="0" fontId="11" fillId="3" borderId="0" xfId="3" applyFont="1" applyFill="1" applyAlignment="1">
      <alignment horizontal="left" indent="3"/>
    </xf>
    <xf numFmtId="0" fontId="11" fillId="2" borderId="0" xfId="3" applyFont="1" applyFill="1" applyAlignment="1">
      <alignment horizontal="center"/>
    </xf>
    <xf numFmtId="0" fontId="12" fillId="3" borderId="0" xfId="3" applyFont="1" applyFill="1"/>
    <xf numFmtId="0" fontId="11" fillId="2" borderId="5" xfId="3" applyFont="1" applyFill="1" applyBorder="1" applyAlignment="1">
      <alignment horizontal="center"/>
    </xf>
    <xf numFmtId="4" fontId="11" fillId="3" borderId="0" xfId="3" applyNumberFormat="1" applyFont="1" applyFill="1" applyAlignment="1">
      <alignment horizontal="left" indent="11"/>
    </xf>
    <xf numFmtId="4" fontId="12" fillId="3" borderId="6" xfId="3" applyNumberFormat="1" applyFont="1" applyFill="1" applyBorder="1"/>
    <xf numFmtId="4" fontId="13" fillId="3" borderId="0" xfId="3" applyNumberFormat="1" applyFont="1" applyFill="1" applyAlignment="1">
      <alignment horizontal="left" indent="2"/>
    </xf>
    <xf numFmtId="0" fontId="14" fillId="0" borderId="0" xfId="3" applyFont="1"/>
    <xf numFmtId="4" fontId="15" fillId="3" borderId="0" xfId="3" applyNumberFormat="1" applyFont="1" applyFill="1" applyAlignment="1">
      <alignment horizontal="left" indent="2"/>
    </xf>
    <xf numFmtId="4" fontId="12" fillId="3" borderId="0" xfId="3" applyNumberFormat="1" applyFont="1" applyFill="1"/>
    <xf numFmtId="4" fontId="12" fillId="3" borderId="7" xfId="3" applyNumberFormat="1" applyFont="1" applyFill="1" applyBorder="1"/>
    <xf numFmtId="4" fontId="11" fillId="3" borderId="0" xfId="3" applyNumberFormat="1" applyFont="1" applyFill="1" applyAlignment="1">
      <alignment horizontal="left" indent="2"/>
    </xf>
    <xf numFmtId="4" fontId="11" fillId="3" borderId="0" xfId="3" applyNumberFormat="1" applyFont="1" applyFill="1" applyAlignment="1">
      <alignment horizontal="left" indent="3"/>
    </xf>
    <xf numFmtId="164" fontId="2" fillId="0" borderId="0" xfId="3" applyNumberFormat="1"/>
    <xf numFmtId="4" fontId="12" fillId="3" borderId="2" xfId="3" applyNumberFormat="1" applyFont="1" applyFill="1" applyBorder="1"/>
    <xf numFmtId="43" fontId="11" fillId="0" borderId="0" xfId="4" applyFont="1" applyBorder="1" applyAlignment="1">
      <alignment horizontal="left"/>
    </xf>
    <xf numFmtId="4" fontId="9" fillId="3" borderId="0" xfId="3" applyNumberFormat="1" applyFont="1" applyFill="1" applyAlignment="1">
      <alignment horizontal="left" indent="11"/>
    </xf>
    <xf numFmtId="4" fontId="11" fillId="3" borderId="0" xfId="3" applyNumberFormat="1" applyFont="1" applyFill="1" applyAlignment="1">
      <alignment horizontal="center"/>
    </xf>
    <xf numFmtId="4" fontId="12" fillId="3" borderId="0" xfId="3" applyNumberFormat="1" applyFont="1" applyFill="1" applyAlignment="1">
      <alignment horizontal="center"/>
    </xf>
    <xf numFmtId="0" fontId="10" fillId="4" borderId="4" xfId="3" applyFont="1" applyFill="1" applyBorder="1"/>
    <xf numFmtId="0" fontId="9" fillId="4" borderId="0" xfId="3" applyFont="1" applyFill="1"/>
    <xf numFmtId="4" fontId="9" fillId="4" borderId="0" xfId="3" applyNumberFormat="1" applyFont="1" applyFill="1" applyAlignment="1">
      <alignment horizontal="left"/>
    </xf>
    <xf numFmtId="0" fontId="10" fillId="4" borderId="0" xfId="3" applyFont="1" applyFill="1"/>
    <xf numFmtId="4" fontId="9" fillId="4" borderId="0" xfId="3" applyNumberFormat="1" applyFont="1" applyFill="1"/>
    <xf numFmtId="4" fontId="10" fillId="4" borderId="0" xfId="3" applyNumberFormat="1" applyFont="1" applyFill="1"/>
    <xf numFmtId="4" fontId="13" fillId="4" borderId="0" xfId="3" applyNumberFormat="1" applyFont="1" applyFill="1"/>
    <xf numFmtId="0" fontId="11" fillId="2" borderId="4" xfId="3" applyFont="1" applyFill="1" applyBorder="1" applyAlignment="1">
      <alignment horizontal="center"/>
    </xf>
    <xf numFmtId="0" fontId="17" fillId="5" borderId="8" xfId="5" applyFont="1" applyFill="1" applyBorder="1" applyAlignment="1">
      <alignment horizontal="center"/>
    </xf>
    <xf numFmtId="0" fontId="18" fillId="5" borderId="8" xfId="5" applyFont="1" applyFill="1" applyBorder="1" applyAlignment="1">
      <alignment horizontal="center"/>
    </xf>
    <xf numFmtId="0" fontId="2" fillId="0" borderId="0" xfId="3" applyAlignment="1">
      <alignment horizontal="center"/>
    </xf>
    <xf numFmtId="0" fontId="23" fillId="7" borderId="13" xfId="5" applyFont="1" applyFill="1" applyBorder="1" applyAlignment="1">
      <alignment vertical="top"/>
    </xf>
    <xf numFmtId="0" fontId="24" fillId="7" borderId="13" xfId="5" applyFont="1" applyFill="1" applyBorder="1" applyAlignment="1">
      <alignment horizontal="center" vertical="top"/>
    </xf>
    <xf numFmtId="0" fontId="24" fillId="7" borderId="13" xfId="5" applyFont="1" applyFill="1" applyBorder="1" applyAlignment="1">
      <alignment vertical="top"/>
    </xf>
    <xf numFmtId="164" fontId="24" fillId="7" borderId="13" xfId="4" applyNumberFormat="1" applyFont="1" applyFill="1" applyBorder="1" applyAlignment="1">
      <alignment vertical="top"/>
    </xf>
    <xf numFmtId="9" fontId="24" fillId="7" borderId="10" xfId="6" applyFont="1" applyFill="1" applyBorder="1" applyAlignment="1">
      <alignment vertical="top"/>
    </xf>
    <xf numFmtId="0" fontId="13" fillId="8" borderId="14" xfId="5" applyFont="1" applyFill="1" applyBorder="1" applyAlignment="1">
      <alignment vertical="top"/>
    </xf>
    <xf numFmtId="0" fontId="11" fillId="8" borderId="14" xfId="5" applyFont="1" applyFill="1" applyBorder="1" applyAlignment="1">
      <alignment horizontal="center" vertical="top"/>
    </xf>
    <xf numFmtId="0" fontId="11" fillId="8" borderId="14" xfId="5" applyFont="1" applyFill="1" applyBorder="1" applyAlignment="1">
      <alignment vertical="top"/>
    </xf>
    <xf numFmtId="164" fontId="11" fillId="8" borderId="14" xfId="4" applyNumberFormat="1" applyFont="1" applyFill="1" applyBorder="1" applyAlignment="1">
      <alignment vertical="top"/>
    </xf>
    <xf numFmtId="9" fontId="11" fillId="8" borderId="8" xfId="6" applyFont="1" applyFill="1" applyBorder="1" applyAlignment="1">
      <alignment vertical="top"/>
    </xf>
    <xf numFmtId="0" fontId="11" fillId="8" borderId="8" xfId="5" applyFont="1" applyFill="1" applyBorder="1" applyAlignment="1">
      <alignment vertical="top"/>
    </xf>
    <xf numFmtId="0" fontId="11" fillId="8" borderId="8" xfId="5" applyFont="1" applyFill="1" applyBorder="1" applyAlignment="1">
      <alignment horizontal="center" vertical="top"/>
    </xf>
    <xf numFmtId="164" fontId="11" fillId="8" borderId="8" xfId="4" applyNumberFormat="1" applyFont="1" applyFill="1" applyBorder="1" applyAlignment="1">
      <alignment vertical="top"/>
    </xf>
    <xf numFmtId="0" fontId="3" fillId="9" borderId="8" xfId="5" applyFont="1" applyFill="1" applyBorder="1" applyAlignment="1">
      <alignment vertical="top"/>
    </xf>
    <xf numFmtId="0" fontId="3" fillId="9" borderId="8" xfId="5" applyFont="1" applyFill="1" applyBorder="1" applyAlignment="1">
      <alignment horizontal="center" vertical="top"/>
    </xf>
    <xf numFmtId="164" fontId="3" fillId="9" borderId="8" xfId="4" applyNumberFormat="1" applyFont="1" applyFill="1" applyBorder="1" applyAlignment="1">
      <alignment vertical="top"/>
    </xf>
    <xf numFmtId="9" fontId="3" fillId="9" borderId="8" xfId="6" applyFont="1" applyFill="1" applyBorder="1" applyAlignment="1">
      <alignment vertical="top"/>
    </xf>
    <xf numFmtId="0" fontId="3" fillId="3" borderId="8" xfId="5" applyFont="1" applyFill="1" applyBorder="1" applyAlignment="1">
      <alignment vertical="top"/>
    </xf>
    <xf numFmtId="0" fontId="3" fillId="3" borderId="8" xfId="5" applyFont="1" applyFill="1" applyBorder="1" applyAlignment="1">
      <alignment horizontal="center" vertical="top"/>
    </xf>
    <xf numFmtId="0" fontId="3" fillId="3" borderId="8" xfId="5" quotePrefix="1" applyFont="1" applyFill="1" applyBorder="1" applyAlignment="1">
      <alignment horizontal="center" vertical="top"/>
    </xf>
    <xf numFmtId="164" fontId="3" fillId="3" borderId="8" xfId="4" applyNumberFormat="1" applyFont="1" applyFill="1" applyBorder="1" applyAlignment="1">
      <alignment vertical="top"/>
    </xf>
    <xf numFmtId="9" fontId="3" fillId="2" borderId="8" xfId="6" applyFont="1" applyFill="1" applyBorder="1" applyAlignment="1">
      <alignment vertical="top"/>
    </xf>
    <xf numFmtId="0" fontId="3" fillId="3" borderId="8" xfId="3" applyFont="1" applyFill="1" applyBorder="1" applyAlignment="1">
      <alignment vertical="top"/>
    </xf>
    <xf numFmtId="0" fontId="3" fillId="9" borderId="8" xfId="3" applyFont="1" applyFill="1" applyBorder="1" applyAlignment="1">
      <alignment vertical="top"/>
    </xf>
    <xf numFmtId="0" fontId="11" fillId="8" borderId="8" xfId="3" applyFont="1" applyFill="1" applyBorder="1" applyAlignment="1">
      <alignment vertical="top"/>
    </xf>
    <xf numFmtId="0" fontId="3" fillId="3" borderId="8" xfId="3" applyFont="1" applyFill="1" applyBorder="1" applyAlignment="1">
      <alignment vertical="top" wrapText="1"/>
    </xf>
    <xf numFmtId="0" fontId="11" fillId="8" borderId="8" xfId="5" applyFont="1" applyFill="1" applyBorder="1"/>
    <xf numFmtId="0" fontId="11" fillId="8" borderId="8" xfId="3" applyFont="1" applyFill="1" applyBorder="1"/>
    <xf numFmtId="0" fontId="3" fillId="9" borderId="8" xfId="5" applyFont="1" applyFill="1" applyBorder="1"/>
    <xf numFmtId="0" fontId="3" fillId="9" borderId="8" xfId="3" applyFont="1" applyFill="1" applyBorder="1"/>
    <xf numFmtId="0" fontId="3" fillId="3" borderId="8" xfId="5" applyFont="1" applyFill="1" applyBorder="1"/>
    <xf numFmtId="0" fontId="3" fillId="3" borderId="8" xfId="3" applyFont="1" applyFill="1" applyBorder="1"/>
    <xf numFmtId="0" fontId="11" fillId="8" borderId="8" xfId="5" applyFont="1" applyFill="1" applyBorder="1" applyAlignment="1">
      <alignment horizontal="center"/>
    </xf>
    <xf numFmtId="0" fontId="11" fillId="9" borderId="8" xfId="5" applyFont="1" applyFill="1" applyBorder="1" applyAlignment="1">
      <alignment horizontal="center" vertical="top"/>
    </xf>
    <xf numFmtId="0" fontId="3" fillId="8" borderId="8" xfId="5" applyFont="1" applyFill="1" applyBorder="1" applyAlignment="1">
      <alignment horizontal="center" vertical="top"/>
    </xf>
    <xf numFmtId="0" fontId="11" fillId="8" borderId="8" xfId="3" applyFont="1" applyFill="1" applyBorder="1" applyAlignment="1">
      <alignment wrapText="1"/>
    </xf>
    <xf numFmtId="0" fontId="3" fillId="3" borderId="8" xfId="3" applyFont="1" applyFill="1" applyBorder="1" applyAlignment="1">
      <alignment wrapText="1"/>
    </xf>
    <xf numFmtId="0" fontId="3" fillId="3" borderId="8" xfId="5" applyFont="1" applyFill="1" applyBorder="1" applyAlignment="1">
      <alignment vertical="top" wrapText="1"/>
    </xf>
    <xf numFmtId="0" fontId="3" fillId="9" borderId="8" xfId="5" applyFont="1" applyFill="1" applyBorder="1" applyAlignment="1">
      <alignment vertical="top" wrapText="1"/>
    </xf>
    <xf numFmtId="0" fontId="11" fillId="8" borderId="8" xfId="5" applyFont="1" applyFill="1" applyBorder="1" applyAlignment="1">
      <alignment vertical="top" wrapText="1"/>
    </xf>
    <xf numFmtId="0" fontId="3" fillId="3" borderId="8" xfId="5" applyFont="1" applyFill="1" applyBorder="1" applyAlignment="1">
      <alignment horizontal="justify" vertical="top" wrapText="1"/>
    </xf>
    <xf numFmtId="0" fontId="11" fillId="8" borderId="8" xfId="3" applyFont="1" applyFill="1" applyBorder="1" applyAlignment="1">
      <alignment vertical="top" wrapText="1"/>
    </xf>
    <xf numFmtId="0" fontId="3" fillId="9" borderId="8" xfId="3" applyFont="1" applyFill="1" applyBorder="1" applyAlignment="1">
      <alignment vertical="top" wrapText="1"/>
    </xf>
    <xf numFmtId="0" fontId="11" fillId="8" borderId="8" xfId="5" applyFont="1" applyFill="1" applyBorder="1" applyAlignment="1">
      <alignment horizontal="right" vertical="top"/>
    </xf>
    <xf numFmtId="0" fontId="11" fillId="8" borderId="8" xfId="5" applyFont="1" applyFill="1" applyBorder="1" applyAlignment="1">
      <alignment horizontal="left" vertical="top"/>
    </xf>
    <xf numFmtId="0" fontId="3" fillId="0" borderId="8" xfId="5" applyFont="1" applyBorder="1"/>
    <xf numFmtId="0" fontId="3" fillId="0" borderId="8" xfId="5" applyFont="1" applyBorder="1" applyAlignment="1">
      <alignment horizontal="center" vertical="top"/>
    </xf>
    <xf numFmtId="0" fontId="3" fillId="0" borderId="8" xfId="3" applyFont="1" applyBorder="1" applyAlignment="1">
      <alignment vertical="top" wrapText="1"/>
    </xf>
    <xf numFmtId="164" fontId="3" fillId="0" borderId="8" xfId="4" applyNumberFormat="1" applyFont="1" applyFill="1" applyBorder="1" applyAlignment="1">
      <alignment vertical="top"/>
    </xf>
    <xf numFmtId="0" fontId="25" fillId="0" borderId="0" xfId="3" applyFont="1"/>
    <xf numFmtId="9" fontId="25" fillId="0" borderId="0" xfId="3" applyNumberFormat="1" applyFont="1"/>
    <xf numFmtId="0" fontId="18" fillId="5" borderId="9" xfId="5" applyFont="1" applyFill="1" applyBorder="1" applyAlignment="1">
      <alignment horizontal="center"/>
    </xf>
    <xf numFmtId="0" fontId="18" fillId="5" borderId="7" xfId="5" applyFont="1" applyFill="1" applyBorder="1" applyAlignment="1">
      <alignment horizontal="center"/>
    </xf>
    <xf numFmtId="0" fontId="19" fillId="6" borderId="8" xfId="3" applyFont="1" applyFill="1" applyBorder="1" applyAlignment="1">
      <alignment horizontal="center" vertical="center"/>
    </xf>
    <xf numFmtId="0" fontId="20" fillId="6" borderId="10" xfId="3" applyFont="1" applyFill="1" applyBorder="1" applyAlignment="1">
      <alignment horizontal="center" vertical="center"/>
    </xf>
    <xf numFmtId="0" fontId="21" fillId="6" borderId="9" xfId="3" applyFont="1" applyFill="1" applyBorder="1" applyAlignment="1">
      <alignment horizontal="center" vertical="center" wrapText="1"/>
    </xf>
    <xf numFmtId="0" fontId="21" fillId="6" borderId="7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wrapText="1"/>
    </xf>
    <xf numFmtId="9" fontId="22" fillId="6" borderId="10" xfId="6" applyFont="1" applyFill="1" applyBorder="1" applyAlignment="1">
      <alignment horizontal="center" vertical="center"/>
    </xf>
    <xf numFmtId="0" fontId="17" fillId="6" borderId="10" xfId="5" applyFont="1" applyFill="1" applyBorder="1" applyAlignment="1">
      <alignment horizontal="center" vertical="center" textRotation="90"/>
    </xf>
    <xf numFmtId="0" fontId="20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 wrapText="1"/>
    </xf>
    <xf numFmtId="0" fontId="17" fillId="6" borderId="11" xfId="5" applyFont="1" applyFill="1" applyBorder="1" applyAlignment="1">
      <alignment horizontal="center" vertical="center" wrapText="1"/>
    </xf>
    <xf numFmtId="9" fontId="22" fillId="6" borderId="11" xfId="6" applyFont="1" applyFill="1" applyBorder="1" applyAlignment="1">
      <alignment horizontal="center" vertical="center"/>
    </xf>
    <xf numFmtId="0" fontId="17" fillId="6" borderId="12" xfId="5" applyFont="1" applyFill="1" applyBorder="1" applyAlignment="1">
      <alignment horizontal="center" vertical="center" textRotation="90"/>
    </xf>
    <xf numFmtId="0" fontId="20" fillId="6" borderId="12" xfId="3" applyFont="1" applyFill="1" applyBorder="1" applyAlignment="1">
      <alignment horizontal="center" vertical="center"/>
    </xf>
    <xf numFmtId="0" fontId="9" fillId="6" borderId="8" xfId="3" applyFont="1" applyFill="1" applyBorder="1" applyAlignment="1">
      <alignment horizontal="center" vertical="center" wrapText="1"/>
    </xf>
    <xf numFmtId="0" fontId="17" fillId="6" borderId="12" xfId="5" applyFont="1" applyFill="1" applyBorder="1" applyAlignment="1">
      <alignment horizontal="center" vertical="center" wrapText="1"/>
    </xf>
    <xf numFmtId="9" fontId="22" fillId="6" borderId="12" xfId="6" applyFont="1" applyFill="1" applyBorder="1" applyAlignment="1">
      <alignment horizontal="center" vertical="center"/>
    </xf>
    <xf numFmtId="4" fontId="11" fillId="2" borderId="5" xfId="3" applyNumberFormat="1" applyFont="1" applyFill="1" applyBorder="1" applyAlignment="1">
      <alignment horizontal="center"/>
    </xf>
    <xf numFmtId="0" fontId="24" fillId="7" borderId="13" xfId="5" applyFont="1" applyFill="1" applyBorder="1" applyAlignment="1">
      <alignment vertical="top" wrapText="1"/>
    </xf>
    <xf numFmtId="0" fontId="11" fillId="8" borderId="14" xfId="5" applyFont="1" applyFill="1" applyBorder="1" applyAlignment="1">
      <alignment vertical="top" wrapText="1"/>
    </xf>
    <xf numFmtId="9" fontId="3" fillId="9" borderId="8" xfId="2" applyFont="1" applyFill="1" applyBorder="1" applyAlignment="1">
      <alignment vertical="top"/>
    </xf>
    <xf numFmtId="0" fontId="3" fillId="9" borderId="8" xfId="3" applyFont="1" applyFill="1" applyBorder="1" applyAlignment="1">
      <alignment wrapText="1"/>
    </xf>
    <xf numFmtId="0" fontId="11" fillId="8" borderId="8" xfId="5" applyFont="1" applyFill="1" applyBorder="1" applyAlignment="1">
      <alignment horizontal="left" vertical="top" wrapText="1"/>
    </xf>
    <xf numFmtId="43" fontId="24" fillId="7" borderId="13" xfId="1" applyFont="1" applyFill="1" applyBorder="1" applyAlignment="1">
      <alignment vertical="top" wrapText="1"/>
    </xf>
    <xf numFmtId="43" fontId="11" fillId="8" borderId="14" xfId="1" applyFont="1" applyFill="1" applyBorder="1" applyAlignment="1">
      <alignment vertical="top" wrapText="1"/>
    </xf>
    <xf numFmtId="43" fontId="11" fillId="8" borderId="8" xfId="1" applyFont="1" applyFill="1" applyBorder="1" applyAlignment="1">
      <alignment vertical="top" wrapText="1"/>
    </xf>
    <xf numFmtId="43" fontId="3" fillId="9" borderId="8" xfId="1" applyFont="1" applyFill="1" applyBorder="1" applyAlignment="1">
      <alignment vertical="top" wrapText="1"/>
    </xf>
    <xf numFmtId="43" fontId="3" fillId="3" borderId="8" xfId="1" applyFont="1" applyFill="1" applyBorder="1" applyAlignment="1">
      <alignment vertical="top" wrapText="1"/>
    </xf>
    <xf numFmtId="43" fontId="11" fillId="8" borderId="8" xfId="1" applyFont="1" applyFill="1" applyBorder="1" applyAlignment="1">
      <alignment wrapText="1"/>
    </xf>
    <xf numFmtId="43" fontId="3" fillId="9" borderId="8" xfId="1" applyFont="1" applyFill="1" applyBorder="1" applyAlignment="1">
      <alignment wrapText="1"/>
    </xf>
    <xf numFmtId="43" fontId="3" fillId="3" borderId="8" xfId="1" applyFont="1" applyFill="1" applyBorder="1" applyAlignment="1">
      <alignment wrapText="1"/>
    </xf>
    <xf numFmtId="43" fontId="3" fillId="3" borderId="8" xfId="1" applyFont="1" applyFill="1" applyBorder="1" applyAlignment="1">
      <alignment horizontal="justify" vertical="top" wrapText="1"/>
    </xf>
    <xf numFmtId="43" fontId="11" fillId="8" borderId="8" xfId="1" applyFont="1" applyFill="1" applyBorder="1" applyAlignment="1">
      <alignment horizontal="left" vertical="top" wrapText="1"/>
    </xf>
    <xf numFmtId="43" fontId="3" fillId="0" borderId="8" xfId="1" applyFont="1" applyBorder="1" applyAlignment="1">
      <alignment vertical="top" wrapText="1"/>
    </xf>
    <xf numFmtId="0" fontId="17" fillId="5" borderId="8" xfId="5" applyFont="1" applyFill="1" applyBorder="1" applyAlignment="1">
      <alignment horizontal="center"/>
    </xf>
    <xf numFmtId="0" fontId="3" fillId="2" borderId="1" xfId="5" applyFont="1" applyFill="1" applyBorder="1"/>
    <xf numFmtId="0" fontId="3" fillId="2" borderId="2" xfId="5" applyFont="1" applyFill="1" applyBorder="1"/>
    <xf numFmtId="0" fontId="4" fillId="2" borderId="2" xfId="5" applyFont="1" applyFill="1" applyBorder="1"/>
    <xf numFmtId="0" fontId="4" fillId="2" borderId="3" xfId="5" applyFont="1" applyFill="1" applyBorder="1"/>
    <xf numFmtId="0" fontId="4" fillId="2" borderId="0" xfId="5" applyFont="1" applyFill="1"/>
    <xf numFmtId="0" fontId="4" fillId="2" borderId="5" xfId="5" applyFont="1" applyFill="1" applyBorder="1"/>
    <xf numFmtId="0" fontId="9" fillId="4" borderId="4" xfId="5" applyFont="1" applyFill="1" applyBorder="1" applyAlignment="1">
      <alignment horizontal="left"/>
    </xf>
    <xf numFmtId="0" fontId="9" fillId="4" borderId="0" xfId="5" applyFont="1" applyFill="1" applyAlignment="1">
      <alignment horizontal="left"/>
    </xf>
    <xf numFmtId="0" fontId="9" fillId="4" borderId="5" xfId="5" applyFont="1" applyFill="1" applyBorder="1" applyAlignment="1">
      <alignment horizontal="left"/>
    </xf>
    <xf numFmtId="0" fontId="10" fillId="3" borderId="4" xfId="5" applyFont="1" applyFill="1" applyBorder="1"/>
    <xf numFmtId="0" fontId="10" fillId="3" borderId="0" xfId="5" applyFont="1" applyFill="1"/>
    <xf numFmtId="0" fontId="11" fillId="3" borderId="0" xfId="5" applyFont="1" applyFill="1" applyAlignment="1">
      <alignment horizontal="left" indent="3"/>
    </xf>
    <xf numFmtId="0" fontId="11" fillId="2" borderId="0" xfId="5" applyFont="1" applyFill="1" applyAlignment="1">
      <alignment horizontal="center"/>
    </xf>
    <xf numFmtId="0" fontId="12" fillId="3" borderId="0" xfId="5" applyFont="1" applyFill="1"/>
    <xf numFmtId="0" fontId="11" fillId="2" borderId="5" xfId="5" applyFont="1" applyFill="1" applyBorder="1" applyAlignment="1">
      <alignment horizontal="center"/>
    </xf>
    <xf numFmtId="4" fontId="11" fillId="3" borderId="0" xfId="5" applyNumberFormat="1" applyFont="1" applyFill="1" applyAlignment="1">
      <alignment horizontal="left" indent="11"/>
    </xf>
    <xf numFmtId="4" fontId="12" fillId="3" borderId="6" xfId="5" applyNumberFormat="1" applyFont="1" applyFill="1" applyBorder="1"/>
    <xf numFmtId="4" fontId="13" fillId="3" borderId="0" xfId="5" applyNumberFormat="1" applyFont="1" applyFill="1" applyAlignment="1">
      <alignment horizontal="left" indent="2"/>
    </xf>
    <xf numFmtId="4" fontId="15" fillId="3" borderId="0" xfId="5" applyNumberFormat="1" applyFont="1" applyFill="1" applyAlignment="1">
      <alignment horizontal="left" indent="2"/>
    </xf>
    <xf numFmtId="4" fontId="12" fillId="3" borderId="0" xfId="5" applyNumberFormat="1" applyFont="1" applyFill="1"/>
    <xf numFmtId="4" fontId="12" fillId="3" borderId="7" xfId="5" applyNumberFormat="1" applyFont="1" applyFill="1" applyBorder="1"/>
    <xf numFmtId="4" fontId="11" fillId="3" borderId="0" xfId="5" applyNumberFormat="1" applyFont="1" applyFill="1" applyAlignment="1">
      <alignment horizontal="left" indent="2"/>
    </xf>
    <xf numFmtId="4" fontId="11" fillId="3" borderId="0" xfId="5" applyNumberFormat="1" applyFont="1" applyFill="1" applyAlignment="1">
      <alignment horizontal="left" indent="3"/>
    </xf>
    <xf numFmtId="164" fontId="11" fillId="2" borderId="5" xfId="5" applyNumberFormat="1" applyFont="1" applyFill="1" applyBorder="1" applyAlignment="1">
      <alignment horizontal="center"/>
    </xf>
    <xf numFmtId="4" fontId="12" fillId="3" borderId="2" xfId="5" applyNumberFormat="1" applyFont="1" applyFill="1" applyBorder="1"/>
    <xf numFmtId="0" fontId="11" fillId="0" borderId="0" xfId="5" applyFont="1"/>
    <xf numFmtId="4" fontId="9" fillId="3" borderId="0" xfId="5" applyNumberFormat="1" applyFont="1" applyFill="1" applyAlignment="1">
      <alignment horizontal="left" indent="11"/>
    </xf>
    <xf numFmtId="4" fontId="11" fillId="3" borderId="0" xfId="5" applyNumberFormat="1" applyFont="1" applyFill="1" applyAlignment="1">
      <alignment horizontal="center"/>
    </xf>
    <xf numFmtId="4" fontId="12" fillId="3" borderId="0" xfId="5" applyNumberFormat="1" applyFont="1" applyFill="1" applyAlignment="1">
      <alignment horizontal="center"/>
    </xf>
    <xf numFmtId="0" fontId="10" fillId="4" borderId="4" xfId="5" applyFont="1" applyFill="1" applyBorder="1"/>
    <xf numFmtId="0" fontId="9" fillId="4" borderId="0" xfId="5" applyFont="1" applyFill="1"/>
    <xf numFmtId="4" fontId="9" fillId="4" borderId="0" xfId="5" applyNumberFormat="1" applyFont="1" applyFill="1" applyAlignment="1">
      <alignment horizontal="left"/>
    </xf>
    <xf numFmtId="0" fontId="10" fillId="4" borderId="0" xfId="5" applyFont="1" applyFill="1"/>
    <xf numFmtId="4" fontId="9" fillId="4" borderId="0" xfId="5" applyNumberFormat="1" applyFont="1" applyFill="1"/>
    <xf numFmtId="4" fontId="10" fillId="4" borderId="0" xfId="5" applyNumberFormat="1" applyFont="1" applyFill="1"/>
    <xf numFmtId="4" fontId="13" fillId="4" borderId="0" xfId="5" applyNumberFormat="1" applyFont="1" applyFill="1"/>
    <xf numFmtId="0" fontId="11" fillId="2" borderId="4" xfId="5" applyFont="1" applyFill="1" applyBorder="1" applyAlignment="1">
      <alignment horizontal="center"/>
    </xf>
    <xf numFmtId="9" fontId="3" fillId="3" borderId="8" xfId="2" applyFont="1" applyFill="1" applyBorder="1" applyAlignment="1">
      <alignment vertical="top"/>
    </xf>
    <xf numFmtId="164" fontId="11" fillId="3" borderId="8" xfId="4" applyNumberFormat="1" applyFont="1" applyFill="1" applyBorder="1" applyAlignment="1">
      <alignment vertical="top"/>
    </xf>
    <xf numFmtId="0" fontId="11" fillId="8" borderId="8" xfId="5" applyFont="1" applyFill="1" applyBorder="1" applyAlignment="1">
      <alignment wrapText="1"/>
    </xf>
    <xf numFmtId="0" fontId="3" fillId="3" borderId="8" xfId="5" applyFont="1" applyFill="1" applyBorder="1" applyAlignment="1">
      <alignment wrapText="1"/>
    </xf>
    <xf numFmtId="0" fontId="3" fillId="0" borderId="8" xfId="5" applyFont="1" applyBorder="1" applyAlignment="1">
      <alignment vertical="top" wrapText="1"/>
    </xf>
    <xf numFmtId="0" fontId="2" fillId="0" borderId="0" xfId="3" applyAlignment="1">
      <alignment horizontal="center"/>
    </xf>
    <xf numFmtId="0" fontId="17" fillId="5" borderId="8" xfId="5" applyFont="1" applyFill="1" applyBorder="1" applyAlignment="1">
      <alignment horizontal="center"/>
    </xf>
    <xf numFmtId="49" fontId="9" fillId="3" borderId="4" xfId="3" applyNumberFormat="1" applyFont="1" applyFill="1" applyBorder="1" applyAlignment="1">
      <alignment horizontal="center"/>
    </xf>
    <xf numFmtId="49" fontId="9" fillId="3" borderId="0" xfId="3" applyNumberFormat="1" applyFont="1" applyFill="1" applyAlignment="1">
      <alignment horizontal="center"/>
    </xf>
    <xf numFmtId="49" fontId="9" fillId="3" borderId="5" xfId="3" applyNumberFormat="1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5" xfId="3" applyFont="1" applyFill="1" applyBorder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8" fillId="2" borderId="4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9" fillId="3" borderId="4" xfId="3" applyFont="1" applyFill="1" applyBorder="1" applyAlignment="1">
      <alignment horizontal="center"/>
    </xf>
    <xf numFmtId="0" fontId="9" fillId="3" borderId="0" xfId="3" applyFont="1" applyFill="1" applyAlignment="1">
      <alignment horizontal="center"/>
    </xf>
    <xf numFmtId="0" fontId="9" fillId="3" borderId="5" xfId="3" applyFont="1" applyFill="1" applyBorder="1" applyAlignment="1">
      <alignment horizontal="center"/>
    </xf>
    <xf numFmtId="0" fontId="9" fillId="6" borderId="12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2" fillId="0" borderId="0" xfId="3" applyAlignment="1">
      <alignment horizontal="center"/>
    </xf>
    <xf numFmtId="0" fontId="19" fillId="6" borderId="8" xfId="3" applyFont="1" applyFill="1" applyBorder="1" applyAlignment="1">
      <alignment horizontal="center" vertical="center"/>
    </xf>
    <xf numFmtId="0" fontId="20" fillId="6" borderId="10" xfId="3" applyFont="1" applyFill="1" applyBorder="1" applyAlignment="1">
      <alignment horizontal="center" vertical="center" wrapText="1"/>
    </xf>
    <xf numFmtId="0" fontId="20" fillId="6" borderId="11" xfId="3" applyFont="1" applyFill="1" applyBorder="1" applyAlignment="1">
      <alignment horizontal="center" vertical="center" wrapText="1"/>
    </xf>
    <xf numFmtId="0" fontId="20" fillId="6" borderId="12" xfId="3" applyFont="1" applyFill="1" applyBorder="1" applyAlignment="1">
      <alignment horizontal="center" vertical="center" wrapText="1"/>
    </xf>
    <xf numFmtId="0" fontId="21" fillId="6" borderId="9" xfId="3" applyFont="1" applyFill="1" applyBorder="1" applyAlignment="1">
      <alignment horizontal="center" vertical="center" wrapText="1"/>
    </xf>
    <xf numFmtId="0" fontId="21" fillId="6" borderId="7" xfId="3" applyFont="1" applyFill="1" applyBorder="1" applyAlignment="1">
      <alignment horizontal="center" vertical="center" wrapText="1"/>
    </xf>
    <xf numFmtId="0" fontId="17" fillId="6" borderId="10" xfId="5" applyFont="1" applyFill="1" applyBorder="1" applyAlignment="1">
      <alignment horizontal="center" vertical="center" wrapText="1"/>
    </xf>
    <xf numFmtId="0" fontId="17" fillId="6" borderId="11" xfId="5" applyFont="1" applyFill="1" applyBorder="1" applyAlignment="1">
      <alignment horizontal="center" vertical="center" wrapText="1"/>
    </xf>
    <xf numFmtId="0" fontId="17" fillId="6" borderId="12" xfId="5" applyFont="1" applyFill="1" applyBorder="1" applyAlignment="1">
      <alignment horizontal="center" vertical="center" wrapText="1"/>
    </xf>
    <xf numFmtId="9" fontId="22" fillId="6" borderId="10" xfId="6" applyFont="1" applyFill="1" applyBorder="1" applyAlignment="1">
      <alignment horizontal="center" vertical="center"/>
    </xf>
    <xf numFmtId="9" fontId="22" fillId="6" borderId="11" xfId="6" applyFont="1" applyFill="1" applyBorder="1" applyAlignment="1">
      <alignment horizontal="center" vertical="center"/>
    </xf>
    <xf numFmtId="9" fontId="22" fillId="6" borderId="12" xfId="6" applyFont="1" applyFill="1" applyBorder="1" applyAlignment="1">
      <alignment horizontal="center" vertical="center"/>
    </xf>
    <xf numFmtId="0" fontId="17" fillId="6" borderId="10" xfId="5" applyFont="1" applyFill="1" applyBorder="1" applyAlignment="1">
      <alignment horizontal="center" vertical="center" textRotation="90"/>
    </xf>
    <xf numFmtId="0" fontId="17" fillId="6" borderId="12" xfId="5" applyFont="1" applyFill="1" applyBorder="1" applyAlignment="1">
      <alignment horizontal="center" vertical="center" textRotation="90"/>
    </xf>
    <xf numFmtId="0" fontId="17" fillId="5" borderId="8" xfId="5" applyFont="1" applyFill="1" applyBorder="1" applyAlignment="1">
      <alignment horizontal="center"/>
    </xf>
    <xf numFmtId="0" fontId="18" fillId="5" borderId="9" xfId="5" applyFont="1" applyFill="1" applyBorder="1" applyAlignment="1">
      <alignment horizontal="center"/>
    </xf>
    <xf numFmtId="0" fontId="18" fillId="5" borderId="7" xfId="5" applyFont="1" applyFill="1" applyBorder="1" applyAlignment="1">
      <alignment horizontal="center"/>
    </xf>
    <xf numFmtId="0" fontId="20" fillId="6" borderId="10" xfId="3" applyFont="1" applyFill="1" applyBorder="1" applyAlignment="1">
      <alignment horizontal="center" vertical="center"/>
    </xf>
    <xf numFmtId="0" fontId="20" fillId="6" borderId="11" xfId="3" applyFont="1" applyFill="1" applyBorder="1" applyAlignment="1">
      <alignment horizontal="center" vertical="center"/>
    </xf>
    <xf numFmtId="0" fontId="20" fillId="6" borderId="12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5" fillId="2" borderId="5" xfId="3" applyFont="1" applyFill="1" applyBorder="1" applyAlignment="1">
      <alignment horizontal="center"/>
    </xf>
    <xf numFmtId="49" fontId="9" fillId="3" borderId="4" xfId="5" applyNumberFormat="1" applyFont="1" applyFill="1" applyBorder="1" applyAlignment="1">
      <alignment horizontal="center"/>
    </xf>
    <xf numFmtId="49" fontId="9" fillId="3" borderId="0" xfId="5" applyNumberFormat="1" applyFont="1" applyFill="1" applyAlignment="1">
      <alignment horizontal="center"/>
    </xf>
    <xf numFmtId="49" fontId="9" fillId="3" borderId="5" xfId="5" applyNumberFormat="1" applyFont="1" applyFill="1" applyBorder="1" applyAlignment="1">
      <alignment horizontal="center"/>
    </xf>
    <xf numFmtId="0" fontId="5" fillId="2" borderId="4" xfId="5" applyFont="1" applyFill="1" applyBorder="1" applyAlignment="1">
      <alignment horizontal="center"/>
    </xf>
    <xf numFmtId="0" fontId="5" fillId="2" borderId="0" xfId="5" applyFont="1" applyFill="1" applyAlignment="1">
      <alignment horizontal="center"/>
    </xf>
    <xf numFmtId="0" fontId="6" fillId="2" borderId="4" xfId="5" applyFont="1" applyFill="1" applyBorder="1" applyAlignment="1">
      <alignment horizontal="center"/>
    </xf>
    <xf numFmtId="0" fontId="6" fillId="2" borderId="0" xfId="5" applyFont="1" applyFill="1" applyAlignment="1">
      <alignment horizontal="center"/>
    </xf>
    <xf numFmtId="0" fontId="6" fillId="2" borderId="5" xfId="5" applyFont="1" applyFill="1" applyBorder="1" applyAlignment="1">
      <alignment horizontal="center"/>
    </xf>
    <xf numFmtId="0" fontId="7" fillId="10" borderId="4" xfId="5" applyFont="1" applyFill="1" applyBorder="1" applyAlignment="1">
      <alignment horizontal="center"/>
    </xf>
    <xf numFmtId="0" fontId="7" fillId="10" borderId="0" xfId="5" applyFont="1" applyFill="1" applyAlignment="1">
      <alignment horizontal="center"/>
    </xf>
    <xf numFmtId="0" fontId="7" fillId="10" borderId="5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/>
    </xf>
    <xf numFmtId="0" fontId="8" fillId="2" borderId="0" xfId="5" applyFont="1" applyFill="1" applyAlignment="1">
      <alignment horizontal="center"/>
    </xf>
    <xf numFmtId="0" fontId="8" fillId="2" borderId="5" xfId="5" applyFont="1" applyFill="1" applyBorder="1" applyAlignment="1">
      <alignment horizontal="center"/>
    </xf>
    <xf numFmtId="0" fontId="9" fillId="3" borderId="4" xfId="5" applyFont="1" applyFill="1" applyBorder="1" applyAlignment="1">
      <alignment horizontal="center"/>
    </xf>
    <xf numFmtId="0" fontId="9" fillId="3" borderId="0" xfId="5" applyFont="1" applyFill="1" applyAlignment="1">
      <alignment horizontal="center"/>
    </xf>
    <xf numFmtId="0" fontId="9" fillId="3" borderId="5" xfId="5" applyFont="1" applyFill="1" applyBorder="1" applyAlignment="1">
      <alignment horizontal="center"/>
    </xf>
    <xf numFmtId="0" fontId="19" fillId="6" borderId="8" xfId="5" applyFont="1" applyFill="1" applyBorder="1" applyAlignment="1">
      <alignment horizontal="center" vertical="center"/>
    </xf>
    <xf numFmtId="0" fontId="20" fillId="6" borderId="10" xfId="5" applyFont="1" applyFill="1" applyBorder="1" applyAlignment="1">
      <alignment horizontal="center" vertical="center"/>
    </xf>
    <xf numFmtId="0" fontId="20" fillId="6" borderId="11" xfId="5" applyFont="1" applyFill="1" applyBorder="1" applyAlignment="1">
      <alignment horizontal="center" vertical="center"/>
    </xf>
    <xf numFmtId="0" fontId="20" fillId="6" borderId="12" xfId="5" applyFont="1" applyFill="1" applyBorder="1" applyAlignment="1">
      <alignment horizontal="center" vertical="center"/>
    </xf>
    <xf numFmtId="0" fontId="21" fillId="6" borderId="9" xfId="5" applyFont="1" applyFill="1" applyBorder="1" applyAlignment="1">
      <alignment horizontal="center" vertical="center" wrapText="1"/>
    </xf>
    <xf numFmtId="0" fontId="21" fillId="6" borderId="7" xfId="5" applyFont="1" applyFill="1" applyBorder="1" applyAlignment="1">
      <alignment horizontal="center" vertical="center" wrapText="1"/>
    </xf>
    <xf numFmtId="0" fontId="21" fillId="6" borderId="15" xfId="5" applyFont="1" applyFill="1" applyBorder="1" applyAlignment="1">
      <alignment horizontal="center" vertical="center" wrapText="1"/>
    </xf>
    <xf numFmtId="0" fontId="9" fillId="6" borderId="12" xfId="5" applyFont="1" applyFill="1" applyBorder="1" applyAlignment="1">
      <alignment horizontal="center" vertical="center" wrapText="1"/>
    </xf>
    <xf numFmtId="0" fontId="9" fillId="6" borderId="8" xfId="5" applyFont="1" applyFill="1" applyBorder="1" applyAlignment="1">
      <alignment horizontal="center" vertical="center" wrapText="1"/>
    </xf>
    <xf numFmtId="0" fontId="21" fillId="6" borderId="11" xfId="5" applyFont="1" applyFill="1" applyBorder="1" applyAlignment="1">
      <alignment horizontal="center" vertical="center" wrapText="1"/>
    </xf>
    <xf numFmtId="0" fontId="21" fillId="6" borderId="12" xfId="5" applyFont="1" applyFill="1" applyBorder="1" applyAlignment="1">
      <alignment horizontal="center" vertical="center" wrapText="1"/>
    </xf>
  </cellXfs>
  <cellStyles count="7">
    <cellStyle name="Millares" xfId="1" builtinId="3"/>
    <cellStyle name="Millares 2 2" xfId="4" xr:uid="{8CBD1948-0773-4CB6-B19E-9B6E1830C1A0}"/>
    <cellStyle name="Normal" xfId="0" builtinId="0"/>
    <cellStyle name="Normal 2" xfId="3" xr:uid="{AA0EBCAE-47DE-4DAB-B9E1-DF3C5DE7EACA}"/>
    <cellStyle name="Normal 2 2" xfId="5" xr:uid="{3EAA3ADC-ABEB-4F85-B855-5D9436B86DB0}"/>
    <cellStyle name="Porcentaje" xfId="2" builtinId="5"/>
    <cellStyle name="Porcentaje 2" xfId="6" xr:uid="{33C218B5-E896-4705-A707-7AABC8DC19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MATRIZ%20ACTUALIZADA%2006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SEPTIEMBRE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AGOSTO%202025/MATRIZ%20ACTUALIZADA%20AGOSTO%202025%20actualizada%20Angeli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OCTUBRE%202025/MATRIZ%20ACTUALIZADA%20OCTUBRE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resumen%20semestr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NOVIEMBRE%202025/MATRIZ%20ACTUALIZADA%20NOVIEMBRE%202025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DICIEMBRE%202025/MATRIZ%20ACTUALIZADA%20DIC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/>
      <sheetData sheetId="1"/>
      <sheetData sheetId="2">
        <row r="106">
          <cell r="JH106">
            <v>0</v>
          </cell>
        </row>
      </sheetData>
      <sheetData sheetId="3"/>
      <sheetData sheetId="4">
        <row r="212">
          <cell r="G212">
            <v>15408530.41</v>
          </cell>
          <cell r="H212">
            <v>999513.81</v>
          </cell>
        </row>
        <row r="463">
          <cell r="G463">
            <v>0</v>
          </cell>
          <cell r="H463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3">
          <cell r="E23">
            <v>3631511.44</v>
          </cell>
        </row>
        <row r="31">
          <cell r="E31">
            <v>1026168.74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>
        <row r="212">
          <cell r="G212">
            <v>25141648.079999998</v>
          </cell>
          <cell r="H212">
            <v>3168875.6799999997</v>
          </cell>
        </row>
        <row r="463">
          <cell r="G463">
            <v>0</v>
          </cell>
          <cell r="H463">
            <v>0</v>
          </cell>
        </row>
      </sheetData>
      <sheetData sheetId="3">
        <row r="126">
          <cell r="A126">
            <v>58052893.829999998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1112531.03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2702311.62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288000</v>
          </cell>
          <cell r="AA126">
            <v>0</v>
          </cell>
          <cell r="AB126">
            <v>286593.99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4194829.3899999997</v>
          </cell>
          <cell r="AL126">
            <v>4200746.84</v>
          </cell>
          <cell r="AM126">
            <v>708597.18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47633.3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1567740.53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13039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3779000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2314511</v>
          </cell>
          <cell r="DK126">
            <v>2180362.58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1258116.06</v>
          </cell>
          <cell r="DT126">
            <v>0</v>
          </cell>
          <cell r="DU126">
            <v>0</v>
          </cell>
          <cell r="DV126">
            <v>124608</v>
          </cell>
          <cell r="DW126">
            <v>242372</v>
          </cell>
          <cell r="DX126">
            <v>0</v>
          </cell>
          <cell r="DY126">
            <v>0</v>
          </cell>
          <cell r="DZ126">
            <v>0</v>
          </cell>
          <cell r="EA126">
            <v>9434300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337200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4665860.22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599529.09</v>
          </cell>
          <cell r="FR126">
            <v>0</v>
          </cell>
          <cell r="FS126">
            <v>271071.5</v>
          </cell>
          <cell r="FT126">
            <v>5921554.2699999996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106674.36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566354.13</v>
          </cell>
          <cell r="GI126">
            <v>0</v>
          </cell>
          <cell r="GJ126">
            <v>468405.84</v>
          </cell>
          <cell r="GK126">
            <v>111510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4197628.18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277701.2</v>
          </cell>
          <cell r="HI126">
            <v>0</v>
          </cell>
          <cell r="HJ126">
            <v>131924</v>
          </cell>
          <cell r="HK126">
            <v>0</v>
          </cell>
          <cell r="HL126">
            <v>66080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0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4413127.5500000007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111421.68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50000</v>
          </cell>
          <cell r="AX75">
            <v>0</v>
          </cell>
          <cell r="AY75">
            <v>269720.57</v>
          </cell>
          <cell r="AZ75">
            <v>0</v>
          </cell>
          <cell r="BA75">
            <v>0</v>
          </cell>
          <cell r="BB75">
            <v>0</v>
          </cell>
          <cell r="BC75">
            <v>68000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132966.46</v>
          </cell>
          <cell r="CI75">
            <v>0</v>
          </cell>
          <cell r="CJ75">
            <v>33714.29</v>
          </cell>
          <cell r="CK75">
            <v>0</v>
          </cell>
          <cell r="CL75">
            <v>635339.50999999989</v>
          </cell>
          <cell r="CM75">
            <v>0</v>
          </cell>
          <cell r="CN75">
            <v>0</v>
          </cell>
          <cell r="CO75">
            <v>0</v>
          </cell>
          <cell r="CP75">
            <v>21179.93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145345</v>
          </cell>
          <cell r="DF75">
            <v>0</v>
          </cell>
          <cell r="DG75">
            <v>0</v>
          </cell>
          <cell r="DH75">
            <v>0</v>
          </cell>
          <cell r="DI75">
            <v>90048.75</v>
          </cell>
          <cell r="DJ75">
            <v>0</v>
          </cell>
          <cell r="DK75">
            <v>1046945.66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17600.03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74000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172000</v>
          </cell>
          <cell r="FB75">
            <v>0</v>
          </cell>
          <cell r="FC75">
            <v>0</v>
          </cell>
          <cell r="FD75">
            <v>22638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4800</v>
          </cell>
          <cell r="FK75">
            <v>0</v>
          </cell>
          <cell r="FL75">
            <v>0</v>
          </cell>
          <cell r="FM75">
            <v>0</v>
          </cell>
          <cell r="FN75">
            <v>829658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27704.04</v>
          </cell>
          <cell r="FU75">
            <v>0</v>
          </cell>
          <cell r="FV75">
            <v>861440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112089.95000000001</v>
          </cell>
          <cell r="GB75">
            <v>0</v>
          </cell>
          <cell r="GC75">
            <v>21600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162142.87</v>
          </cell>
          <cell r="GI75">
            <v>0</v>
          </cell>
          <cell r="GJ75">
            <v>1819265</v>
          </cell>
          <cell r="GK75">
            <v>26658.16</v>
          </cell>
          <cell r="GL75">
            <v>237299.99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0</v>
          </cell>
          <cell r="GR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105741368.23999999</v>
          </cell>
        </row>
        <row r="30">
          <cell r="E30">
            <v>12277160.450000001</v>
          </cell>
        </row>
        <row r="38">
          <cell r="E38">
            <v>489300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  <sheetName val="conciliacion"/>
    </sheetNames>
    <sheetDataSet>
      <sheetData sheetId="0"/>
      <sheetData sheetId="1"/>
      <sheetData sheetId="2">
        <row r="212">
          <cell r="G212">
            <v>14321739.580000002</v>
          </cell>
          <cell r="H212">
            <v>2478357.52</v>
          </cell>
        </row>
        <row r="463">
          <cell r="G463">
            <v>0</v>
          </cell>
          <cell r="H463">
            <v>0</v>
          </cell>
        </row>
      </sheetData>
      <sheetData sheetId="3">
        <row r="461">
          <cell r="A461">
            <v>57719080.159999996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1112531.03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130000</v>
          </cell>
          <cell r="R461">
            <v>448744.8</v>
          </cell>
          <cell r="S461">
            <v>2702311.62</v>
          </cell>
          <cell r="T461">
            <v>0</v>
          </cell>
          <cell r="U461">
            <v>0</v>
          </cell>
          <cell r="V461">
            <v>0</v>
          </cell>
          <cell r="W461">
            <v>45000</v>
          </cell>
          <cell r="X461">
            <v>0</v>
          </cell>
          <cell r="Y461">
            <v>0</v>
          </cell>
          <cell r="Z461">
            <v>334200</v>
          </cell>
          <cell r="AA461">
            <v>0</v>
          </cell>
          <cell r="AB461">
            <v>286593.99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4171161.9400000004</v>
          </cell>
          <cell r="AL461">
            <v>4177046.06</v>
          </cell>
          <cell r="AM461">
            <v>704591.41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60535</v>
          </cell>
          <cell r="AW461">
            <v>0</v>
          </cell>
          <cell r="AX461">
            <v>0</v>
          </cell>
          <cell r="AY461">
            <v>88795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150000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1829000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1000002.8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2077230.72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53100</v>
          </cell>
          <cell r="DT461">
            <v>127440</v>
          </cell>
          <cell r="DU461">
            <v>10148</v>
          </cell>
          <cell r="DV461">
            <v>367469.7</v>
          </cell>
          <cell r="DW461">
            <v>535350</v>
          </cell>
          <cell r="DX461">
            <v>0</v>
          </cell>
          <cell r="DY461">
            <v>0</v>
          </cell>
          <cell r="DZ461">
            <v>0</v>
          </cell>
          <cell r="EA461">
            <v>2962573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14278</v>
          </cell>
          <cell r="EG461">
            <v>4035.6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251015.5</v>
          </cell>
          <cell r="EO461">
            <v>0</v>
          </cell>
          <cell r="EP461">
            <v>2802.5</v>
          </cell>
          <cell r="EQ461">
            <v>0</v>
          </cell>
          <cell r="ER461">
            <v>32686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1643406.7000000002</v>
          </cell>
          <cell r="FK461">
            <v>0</v>
          </cell>
          <cell r="FL461">
            <v>0</v>
          </cell>
          <cell r="FM461">
            <v>155537.28</v>
          </cell>
          <cell r="FN461">
            <v>600000</v>
          </cell>
          <cell r="FO461">
            <v>0</v>
          </cell>
          <cell r="FP461">
            <v>0</v>
          </cell>
          <cell r="FQ461">
            <v>49986.22</v>
          </cell>
          <cell r="FR461">
            <v>0</v>
          </cell>
          <cell r="FS461">
            <v>670504.5</v>
          </cell>
          <cell r="FT461">
            <v>4188418.4600000004</v>
          </cell>
          <cell r="FU461">
            <v>0</v>
          </cell>
          <cell r="FV461">
            <v>325656.40000000002</v>
          </cell>
          <cell r="FW461">
            <v>175023.5</v>
          </cell>
          <cell r="FX461">
            <v>0</v>
          </cell>
          <cell r="FY461">
            <v>11357.5</v>
          </cell>
          <cell r="FZ461">
            <v>63720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937588.78</v>
          </cell>
          <cell r="GI461">
            <v>0</v>
          </cell>
          <cell r="GJ461">
            <v>1766474.16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878388.16999999993</v>
          </cell>
          <cell r="GR461">
            <v>417012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1013620</v>
          </cell>
          <cell r="HE461">
            <v>0</v>
          </cell>
          <cell r="HF461">
            <v>3351970</v>
          </cell>
          <cell r="HG461">
            <v>216185.44</v>
          </cell>
          <cell r="HH461">
            <v>2009540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  <cell r="IW461">
            <v>0</v>
          </cell>
          <cell r="IX461">
            <v>0</v>
          </cell>
          <cell r="IY461">
            <v>0</v>
          </cell>
          <cell r="IZ461">
            <v>0</v>
          </cell>
          <cell r="JA461">
            <v>0</v>
          </cell>
          <cell r="JB461">
            <v>0</v>
          </cell>
          <cell r="JC461">
            <v>0</v>
          </cell>
          <cell r="JD461">
            <v>0</v>
          </cell>
          <cell r="JE461">
            <v>0</v>
          </cell>
          <cell r="JF461">
            <v>0</v>
          </cell>
          <cell r="JG461">
            <v>0</v>
          </cell>
          <cell r="JH461">
            <v>0</v>
          </cell>
        </row>
      </sheetData>
      <sheetData sheetId="4"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213611.83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720000</v>
          </cell>
          <cell r="AX225">
            <v>0</v>
          </cell>
          <cell r="AY225">
            <v>336559.6</v>
          </cell>
          <cell r="AZ225">
            <v>0</v>
          </cell>
          <cell r="BA225">
            <v>0</v>
          </cell>
          <cell r="BB225">
            <v>0</v>
          </cell>
          <cell r="BC225">
            <v>44000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628164.1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216800.19999999998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40000</v>
          </cell>
          <cell r="CD225">
            <v>0</v>
          </cell>
          <cell r="CE225">
            <v>30102.05</v>
          </cell>
          <cell r="CF225">
            <v>0</v>
          </cell>
          <cell r="CG225">
            <v>0</v>
          </cell>
          <cell r="CH225">
            <v>23010</v>
          </cell>
          <cell r="CI225">
            <v>0</v>
          </cell>
          <cell r="CJ225">
            <v>0</v>
          </cell>
          <cell r="CK225">
            <v>0</v>
          </cell>
          <cell r="CL225">
            <v>615762.96</v>
          </cell>
          <cell r="CM225">
            <v>0</v>
          </cell>
          <cell r="CN225">
            <v>0</v>
          </cell>
          <cell r="CO225">
            <v>0</v>
          </cell>
          <cell r="CP225">
            <v>13746.67</v>
          </cell>
          <cell r="CQ225">
            <v>195000</v>
          </cell>
          <cell r="CR225">
            <v>0</v>
          </cell>
          <cell r="CS225">
            <v>0</v>
          </cell>
          <cell r="CT225">
            <v>0</v>
          </cell>
          <cell r="CU225">
            <v>197673.60000000001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108500</v>
          </cell>
          <cell r="DF225">
            <v>9912</v>
          </cell>
          <cell r="DG225">
            <v>0</v>
          </cell>
          <cell r="DH225">
            <v>0</v>
          </cell>
          <cell r="DI225">
            <v>0</v>
          </cell>
          <cell r="DJ225">
            <v>459680.8</v>
          </cell>
          <cell r="DK225">
            <v>166750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469640</v>
          </cell>
          <cell r="DW225">
            <v>220542</v>
          </cell>
          <cell r="DX225">
            <v>0</v>
          </cell>
          <cell r="DY225">
            <v>0</v>
          </cell>
          <cell r="DZ225">
            <v>0</v>
          </cell>
          <cell r="EA225">
            <v>269200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62924.77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187394.11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172000</v>
          </cell>
          <cell r="FB225">
            <v>0</v>
          </cell>
          <cell r="FC225">
            <v>0</v>
          </cell>
          <cell r="FD225">
            <v>48020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9600</v>
          </cell>
          <cell r="FK225">
            <v>0</v>
          </cell>
          <cell r="FL225">
            <v>0</v>
          </cell>
          <cell r="FM225">
            <v>0</v>
          </cell>
          <cell r="FN225">
            <v>21230.02</v>
          </cell>
          <cell r="FO225">
            <v>0</v>
          </cell>
          <cell r="FP225">
            <v>0</v>
          </cell>
          <cell r="FQ225">
            <v>238456.75999999998</v>
          </cell>
          <cell r="FR225">
            <v>0</v>
          </cell>
          <cell r="FS225">
            <v>0</v>
          </cell>
          <cell r="FT225">
            <v>438045</v>
          </cell>
          <cell r="FU225">
            <v>0</v>
          </cell>
          <cell r="FV225">
            <v>0</v>
          </cell>
          <cell r="FW225">
            <v>76228</v>
          </cell>
          <cell r="FX225">
            <v>0</v>
          </cell>
          <cell r="FY225">
            <v>0</v>
          </cell>
          <cell r="FZ225">
            <v>40800</v>
          </cell>
          <cell r="GA225">
            <v>57526.86</v>
          </cell>
          <cell r="GB225">
            <v>0</v>
          </cell>
          <cell r="GC225">
            <v>30000</v>
          </cell>
          <cell r="GD225">
            <v>3600</v>
          </cell>
          <cell r="GE225">
            <v>0</v>
          </cell>
          <cell r="GF225">
            <v>0</v>
          </cell>
          <cell r="GG225">
            <v>0</v>
          </cell>
          <cell r="GH225">
            <v>507584.75</v>
          </cell>
          <cell r="GI225">
            <v>0</v>
          </cell>
          <cell r="GJ225">
            <v>0</v>
          </cell>
          <cell r="GK225">
            <v>177047.2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1230992.52</v>
          </cell>
          <cell r="GR225">
            <v>0</v>
          </cell>
          <cell r="GS225">
            <v>0</v>
          </cell>
          <cell r="GT225">
            <v>479451.94</v>
          </cell>
          <cell r="GU225">
            <v>0</v>
          </cell>
          <cell r="GV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  <cell r="IL225">
            <v>0</v>
          </cell>
          <cell r="IM225">
            <v>0</v>
          </cell>
          <cell r="IN225">
            <v>0</v>
          </cell>
          <cell r="IO225">
            <v>0</v>
          </cell>
          <cell r="IP225">
            <v>0</v>
          </cell>
          <cell r="IQ225">
            <v>0</v>
          </cell>
          <cell r="IR225">
            <v>0</v>
          </cell>
          <cell r="IS225">
            <v>0</v>
          </cell>
          <cell r="IT225">
            <v>0</v>
          </cell>
          <cell r="IU225">
            <v>0</v>
          </cell>
          <cell r="IV225">
            <v>0</v>
          </cell>
          <cell r="IW225">
            <v>0</v>
          </cell>
          <cell r="IX225">
            <v>0</v>
          </cell>
          <cell r="IY225">
            <v>0</v>
          </cell>
          <cell r="IZ225">
            <v>0</v>
          </cell>
          <cell r="JA225">
            <v>0</v>
          </cell>
          <cell r="JB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9">
          <cell r="E29">
            <v>6887322.669999999</v>
          </cell>
        </row>
        <row r="37">
          <cell r="E37">
            <v>590200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/>
      <sheetData sheetId="3">
        <row r="126">
          <cell r="A126">
            <v>59105567.299999997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1292531.03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2702311.62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278000</v>
          </cell>
          <cell r="AA126">
            <v>0</v>
          </cell>
          <cell r="AB126">
            <v>269735.52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4282225.93</v>
          </cell>
          <cell r="AL126">
            <v>4288266.66</v>
          </cell>
          <cell r="AM126">
            <v>723209.27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54044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298561.91999999998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22656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34601.14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322500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1611805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67260</v>
          </cell>
          <cell r="DU126">
            <v>14868</v>
          </cell>
          <cell r="DV126">
            <v>781118</v>
          </cell>
          <cell r="DW126">
            <v>88500</v>
          </cell>
          <cell r="DX126">
            <v>0</v>
          </cell>
          <cell r="DY126">
            <v>0</v>
          </cell>
          <cell r="DZ126">
            <v>0</v>
          </cell>
          <cell r="EA126">
            <v>2958714.3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10400.030000000001</v>
          </cell>
          <cell r="EG126">
            <v>612801.4</v>
          </cell>
          <cell r="EH126">
            <v>1800.09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81590.63</v>
          </cell>
          <cell r="EN126">
            <v>0</v>
          </cell>
          <cell r="EO126">
            <v>44620.01</v>
          </cell>
          <cell r="EP126">
            <v>7379.96</v>
          </cell>
          <cell r="EQ126">
            <v>0</v>
          </cell>
          <cell r="ER126">
            <v>101075.01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664800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17989295.59</v>
          </cell>
          <cell r="FK126">
            <v>0</v>
          </cell>
          <cell r="FL126">
            <v>0</v>
          </cell>
          <cell r="FM126">
            <v>418385.44</v>
          </cell>
          <cell r="FN126">
            <v>369736.07</v>
          </cell>
          <cell r="FO126">
            <v>0</v>
          </cell>
          <cell r="FP126">
            <v>0</v>
          </cell>
          <cell r="FQ126">
            <v>1050324.0899999999</v>
          </cell>
          <cell r="FR126">
            <v>0</v>
          </cell>
          <cell r="FS126">
            <v>479990.6</v>
          </cell>
          <cell r="FT126">
            <v>3160289.31</v>
          </cell>
          <cell r="FU126">
            <v>0</v>
          </cell>
          <cell r="FV126">
            <v>0</v>
          </cell>
          <cell r="FW126">
            <v>687442.16</v>
          </cell>
          <cell r="FX126">
            <v>0</v>
          </cell>
          <cell r="FY126">
            <v>0</v>
          </cell>
          <cell r="FZ126">
            <v>634490.41</v>
          </cell>
          <cell r="GA126">
            <v>17742.71</v>
          </cell>
          <cell r="GB126">
            <v>42008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541393.32000000007</v>
          </cell>
          <cell r="GI126">
            <v>0</v>
          </cell>
          <cell r="GJ126">
            <v>75520</v>
          </cell>
          <cell r="GK126">
            <v>442930.22000000003</v>
          </cell>
          <cell r="GL126">
            <v>55100.67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1250567.54</v>
          </cell>
          <cell r="GR126">
            <v>67614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221840</v>
          </cell>
          <cell r="HE126">
            <v>0</v>
          </cell>
          <cell r="HF126">
            <v>249168.8</v>
          </cell>
          <cell r="HG126">
            <v>520380</v>
          </cell>
          <cell r="HH126">
            <v>0</v>
          </cell>
          <cell r="HI126">
            <v>12750.01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0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423099.93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745000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40000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298143.38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3449.08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6500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15000</v>
          </cell>
          <cell r="CR75">
            <v>0</v>
          </cell>
          <cell r="CS75">
            <v>0</v>
          </cell>
          <cell r="CT75">
            <v>0</v>
          </cell>
          <cell r="CU75">
            <v>216648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17700</v>
          </cell>
          <cell r="DB75">
            <v>0</v>
          </cell>
          <cell r="DC75">
            <v>0</v>
          </cell>
          <cell r="DD75">
            <v>146556</v>
          </cell>
          <cell r="DE75">
            <v>52745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285227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2183260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875.01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44590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117140</v>
          </cell>
          <cell r="FK75">
            <v>0</v>
          </cell>
          <cell r="FL75">
            <v>0</v>
          </cell>
          <cell r="FM75">
            <v>0</v>
          </cell>
          <cell r="FN75">
            <v>617175.4</v>
          </cell>
          <cell r="FO75">
            <v>0</v>
          </cell>
          <cell r="FP75">
            <v>0</v>
          </cell>
          <cell r="FQ75">
            <v>401624.8</v>
          </cell>
          <cell r="FR75">
            <v>0</v>
          </cell>
          <cell r="FS75">
            <v>0</v>
          </cell>
          <cell r="FT75">
            <v>1975005.44</v>
          </cell>
          <cell r="FU75">
            <v>0</v>
          </cell>
          <cell r="FV75">
            <v>0</v>
          </cell>
          <cell r="FW75">
            <v>148734.6</v>
          </cell>
          <cell r="FX75">
            <v>0</v>
          </cell>
          <cell r="FY75">
            <v>0</v>
          </cell>
          <cell r="FZ75">
            <v>42480</v>
          </cell>
          <cell r="GA75">
            <v>0</v>
          </cell>
          <cell r="GB75">
            <v>69400.009999999995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  <cell r="GJ75">
            <v>0</v>
          </cell>
          <cell r="GK75">
            <v>7986.24</v>
          </cell>
          <cell r="GL75">
            <v>0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112271.1</v>
          </cell>
          <cell r="GR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190450.01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106070561.59999999</v>
          </cell>
        </row>
        <row r="27">
          <cell r="E27">
            <v>7453961.2500000019</v>
          </cell>
        </row>
        <row r="34">
          <cell r="E34">
            <v>718200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io 2025"/>
      <sheetName val="mayo 2025"/>
      <sheetName val="abril"/>
      <sheetName val="marzo"/>
      <sheetName val="febrero"/>
      <sheetName val="enero "/>
      <sheetName val="Resumen"/>
    </sheetNames>
    <sheetDataSet>
      <sheetData sheetId="0" refreshError="1">
        <row r="25">
          <cell r="H25">
            <v>6526648.7599999998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3952145.9899999998</v>
          </cell>
        </row>
        <row r="88">
          <cell r="H88">
            <v>964509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204509</v>
          </cell>
        </row>
        <row r="94">
          <cell r="H94">
            <v>204509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760000</v>
          </cell>
        </row>
        <row r="105">
          <cell r="H105">
            <v>760000</v>
          </cell>
        </row>
        <row r="106">
          <cell r="H106">
            <v>310139.40000000002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310139.40000000002</v>
          </cell>
        </row>
        <row r="110">
          <cell r="H110">
            <v>310139.40000000002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20000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20000</v>
          </cell>
        </row>
        <row r="120">
          <cell r="H120">
            <v>20000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635040.89999999979</v>
          </cell>
        </row>
        <row r="158">
          <cell r="H158">
            <v>91392.2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91392.2</v>
          </cell>
        </row>
        <row r="167">
          <cell r="H167">
            <v>543648.69999999984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110320.01</v>
          </cell>
        </row>
        <row r="174">
          <cell r="H174">
            <v>0</v>
          </cell>
        </row>
        <row r="175">
          <cell r="H175">
            <v>433328.68999999989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1112169.29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13506.89</v>
          </cell>
        </row>
        <row r="183">
          <cell r="H183">
            <v>13506.89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197673.60000000001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197673.60000000001</v>
          </cell>
        </row>
        <row r="192">
          <cell r="H192">
            <v>240720</v>
          </cell>
        </row>
        <row r="193">
          <cell r="H193">
            <v>240720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660268.80000000005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29305.8</v>
          </cell>
        </row>
        <row r="202">
          <cell r="H202">
            <v>0</v>
          </cell>
        </row>
        <row r="203">
          <cell r="H203">
            <v>630963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910287.4</v>
          </cell>
        </row>
        <row r="209">
          <cell r="H209">
            <v>910287.4</v>
          </cell>
        </row>
        <row r="210">
          <cell r="H210">
            <v>910287.4</v>
          </cell>
        </row>
        <row r="211">
          <cell r="H211">
            <v>0</v>
          </cell>
        </row>
        <row r="212">
          <cell r="H212">
            <v>999513.81</v>
          </cell>
        </row>
        <row r="213">
          <cell r="H213">
            <v>213305</v>
          </cell>
        </row>
        <row r="214">
          <cell r="H214">
            <v>213305</v>
          </cell>
        </row>
        <row r="215">
          <cell r="H215">
            <v>213305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205178.4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205178.4</v>
          </cell>
        </row>
        <row r="231">
          <cell r="H231">
            <v>205178.4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180120.76</v>
          </cell>
        </row>
        <row r="246">
          <cell r="H246">
            <v>180120.76</v>
          </cell>
        </row>
        <row r="247">
          <cell r="H247">
            <v>180120.76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207742</v>
          </cell>
        </row>
        <row r="287">
          <cell r="H287">
            <v>194542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22542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13200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13200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193167.65</v>
          </cell>
        </row>
        <row r="309">
          <cell r="H309">
            <v>122720</v>
          </cell>
        </row>
        <row r="310">
          <cell r="H310">
            <v>122720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14004.25</v>
          </cell>
        </row>
        <row r="315">
          <cell r="H315">
            <v>14004.25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56443.4</v>
          </cell>
        </row>
        <row r="328">
          <cell r="H328">
            <v>56443.4</v>
          </cell>
        </row>
        <row r="329">
          <cell r="H329">
            <v>0</v>
          </cell>
        </row>
        <row r="330">
          <cell r="H330">
            <v>118600</v>
          </cell>
        </row>
        <row r="331">
          <cell r="H331">
            <v>58600</v>
          </cell>
        </row>
        <row r="332">
          <cell r="H332">
            <v>60000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1456388.96</v>
          </cell>
        </row>
        <row r="337">
          <cell r="H337">
            <v>7995.01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7995.01</v>
          </cell>
        </row>
        <row r="341">
          <cell r="H341">
            <v>7995.01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1399834</v>
          </cell>
        </row>
        <row r="349">
          <cell r="H349">
            <v>1399834</v>
          </cell>
        </row>
        <row r="350">
          <cell r="H350">
            <v>1399834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48559.95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48559.95</v>
          </cell>
        </row>
        <row r="365">
          <cell r="H365">
            <v>48559.95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1" refreshError="1">
        <row r="25">
          <cell r="H25">
            <v>9022144.8100000005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2056893.02</v>
          </cell>
        </row>
        <row r="88">
          <cell r="H88">
            <v>1098463.42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209036.41</v>
          </cell>
        </row>
        <row r="94">
          <cell r="H94">
            <v>209036.41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104427.01</v>
          </cell>
        </row>
        <row r="98">
          <cell r="H98">
            <v>104427.01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785000</v>
          </cell>
        </row>
        <row r="105">
          <cell r="H105">
            <v>785000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76000</v>
          </cell>
        </row>
        <row r="117">
          <cell r="H117">
            <v>20000</v>
          </cell>
        </row>
        <row r="118">
          <cell r="H118">
            <v>20000</v>
          </cell>
        </row>
        <row r="119">
          <cell r="H119">
            <v>56000</v>
          </cell>
        </row>
        <row r="120">
          <cell r="H120">
            <v>56000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529650.64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476550.64</v>
          </cell>
        </row>
        <row r="131">
          <cell r="H131">
            <v>0</v>
          </cell>
        </row>
        <row r="132">
          <cell r="H132">
            <v>476550.64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53100</v>
          </cell>
        </row>
        <row r="145">
          <cell r="H145">
            <v>53100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205899.13999999998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205899.13999999998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205899.13999999998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146879.82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12830.42</v>
          </cell>
        </row>
        <row r="183">
          <cell r="H183">
            <v>12830.42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92016.4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92016.4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42033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42033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2557401.6</v>
          </cell>
        </row>
        <row r="213">
          <cell r="H213">
            <v>355075</v>
          </cell>
        </row>
        <row r="214">
          <cell r="H214">
            <v>355075</v>
          </cell>
        </row>
        <row r="215">
          <cell r="H215">
            <v>355075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141128</v>
          </cell>
        </row>
        <row r="226">
          <cell r="H226">
            <v>141128</v>
          </cell>
        </row>
        <row r="227">
          <cell r="H227">
            <v>141128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607165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498900</v>
          </cell>
        </row>
        <row r="236">
          <cell r="H236">
            <v>498900</v>
          </cell>
        </row>
        <row r="237">
          <cell r="H237">
            <v>108265</v>
          </cell>
        </row>
        <row r="238">
          <cell r="H238">
            <v>108265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130100</v>
          </cell>
        </row>
        <row r="246">
          <cell r="H246">
            <v>130100</v>
          </cell>
        </row>
        <row r="247">
          <cell r="H247">
            <v>130100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1065923</v>
          </cell>
        </row>
        <row r="287">
          <cell r="H287">
            <v>219073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47073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846850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846850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258010.6</v>
          </cell>
        </row>
        <row r="309">
          <cell r="H309">
            <v>98506.4</v>
          </cell>
        </row>
        <row r="310">
          <cell r="H310">
            <v>98506.4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108884.20000000001</v>
          </cell>
        </row>
        <row r="315">
          <cell r="H315">
            <v>108884.20000000001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50620</v>
          </cell>
        </row>
        <row r="328">
          <cell r="H328">
            <v>50620</v>
          </cell>
        </row>
        <row r="329">
          <cell r="H329">
            <v>0</v>
          </cell>
        </row>
        <row r="330">
          <cell r="H330">
            <v>480808</v>
          </cell>
        </row>
        <row r="331">
          <cell r="H331">
            <v>0</v>
          </cell>
        </row>
        <row r="332">
          <cell r="H332">
            <v>480808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3927042.19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3927042.19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2221942.19</v>
          </cell>
        </row>
        <row r="361">
          <cell r="H361">
            <v>2221942.19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1705100</v>
          </cell>
        </row>
        <row r="365">
          <cell r="H365">
            <v>1705100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2" refreshError="1">
        <row r="25">
          <cell r="H25">
            <v>4881550.2899999991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1256712.0899999999</v>
          </cell>
        </row>
        <row r="88">
          <cell r="H88">
            <v>285608.3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104569.42</v>
          </cell>
        </row>
        <row r="94">
          <cell r="H94">
            <v>104569.42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106038.88</v>
          </cell>
        </row>
        <row r="98">
          <cell r="H98">
            <v>106038.88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75000</v>
          </cell>
        </row>
        <row r="105">
          <cell r="H105">
            <v>75000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229519.78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229519.78</v>
          </cell>
        </row>
        <row r="131">
          <cell r="H131">
            <v>0</v>
          </cell>
        </row>
        <row r="132">
          <cell r="H132">
            <v>229519.78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199877.53</v>
          </cell>
        </row>
        <row r="158">
          <cell r="H158">
            <v>199877.53</v>
          </cell>
        </row>
        <row r="159">
          <cell r="H159">
            <v>199877.53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541706.48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17193.48</v>
          </cell>
        </row>
        <row r="183">
          <cell r="H183">
            <v>17193.48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325326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325326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199187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199187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3000265.1999999997</v>
          </cell>
        </row>
        <row r="213">
          <cell r="H213">
            <v>94850</v>
          </cell>
        </row>
        <row r="214">
          <cell r="H214">
            <v>94850</v>
          </cell>
        </row>
        <row r="215">
          <cell r="H215">
            <v>94850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196824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196824</v>
          </cell>
        </row>
        <row r="238">
          <cell r="H238">
            <v>196824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92000</v>
          </cell>
        </row>
        <row r="246">
          <cell r="H246">
            <v>92000</v>
          </cell>
        </row>
        <row r="247">
          <cell r="H247">
            <v>92000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226537</v>
          </cell>
        </row>
        <row r="287">
          <cell r="H287">
            <v>193879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21879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32658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32658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2390054.1999999997</v>
          </cell>
        </row>
        <row r="309">
          <cell r="H309">
            <v>1744571</v>
          </cell>
        </row>
        <row r="310">
          <cell r="H310">
            <v>1744571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527418.59</v>
          </cell>
        </row>
        <row r="315">
          <cell r="H315">
            <v>527418.59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118064.61</v>
          </cell>
        </row>
        <row r="328">
          <cell r="H328">
            <v>56114.61</v>
          </cell>
        </row>
        <row r="329">
          <cell r="H329">
            <v>61950</v>
          </cell>
        </row>
        <row r="330">
          <cell r="H330">
            <v>624573</v>
          </cell>
        </row>
        <row r="331">
          <cell r="H331">
            <v>203615</v>
          </cell>
        </row>
        <row r="332">
          <cell r="H332">
            <v>420958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3" refreshError="1">
        <row r="25">
          <cell r="H25">
            <v>11816507.499999998</v>
          </cell>
        </row>
        <row r="26">
          <cell r="H26">
            <v>5231553.59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5231553.59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5231553.59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5231553.59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4359456.22</v>
          </cell>
        </row>
        <row r="88">
          <cell r="H88">
            <v>1731191.19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211191.19</v>
          </cell>
        </row>
        <row r="94">
          <cell r="H94">
            <v>211191.19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1520000</v>
          </cell>
        </row>
        <row r="105">
          <cell r="H105">
            <v>1520000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32000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32000</v>
          </cell>
        </row>
        <row r="120">
          <cell r="H120">
            <v>32000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2019575.16</v>
          </cell>
        </row>
        <row r="158">
          <cell r="H158">
            <v>904710.71</v>
          </cell>
        </row>
        <row r="159">
          <cell r="H159">
            <v>904710.71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1114864.45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636067.19999999995</v>
          </cell>
        </row>
        <row r="174">
          <cell r="H174">
            <v>0</v>
          </cell>
        </row>
        <row r="175">
          <cell r="H175">
            <v>478797.25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576689.87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8323.8700000000008</v>
          </cell>
        </row>
        <row r="183">
          <cell r="H183">
            <v>8323.8700000000008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188564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188564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379802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48852</v>
          </cell>
        </row>
        <row r="203">
          <cell r="H203">
            <v>330950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1797538.3199999998</v>
          </cell>
        </row>
        <row r="213">
          <cell r="H213">
            <v>658799</v>
          </cell>
        </row>
        <row r="214">
          <cell r="H214">
            <v>658799</v>
          </cell>
        </row>
        <row r="215">
          <cell r="H215">
            <v>658799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57997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57997</v>
          </cell>
        </row>
        <row r="238">
          <cell r="H238">
            <v>57997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250000</v>
          </cell>
        </row>
        <row r="246">
          <cell r="H246">
            <v>250000</v>
          </cell>
        </row>
        <row r="247">
          <cell r="H247">
            <v>250000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317663.67000000004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282823.65000000002</v>
          </cell>
        </row>
        <row r="256">
          <cell r="H256">
            <v>282823.65000000002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34840.020000000004</v>
          </cell>
        </row>
        <row r="260">
          <cell r="H260">
            <v>34840.020000000004</v>
          </cell>
        </row>
        <row r="261">
          <cell r="H261">
            <v>110224.97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15149.94</v>
          </cell>
        </row>
        <row r="269">
          <cell r="H269">
            <v>15149.94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95075.03</v>
          </cell>
        </row>
        <row r="273">
          <cell r="H273">
            <v>87250.03</v>
          </cell>
        </row>
        <row r="274">
          <cell r="H274">
            <v>0</v>
          </cell>
        </row>
        <row r="275">
          <cell r="H275">
            <v>7825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317328.99</v>
          </cell>
        </row>
        <row r="287">
          <cell r="H287">
            <v>273439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101439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43889.99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43889.99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85524.69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34220</v>
          </cell>
        </row>
        <row r="315">
          <cell r="H315">
            <v>34220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51304.69</v>
          </cell>
        </row>
        <row r="328">
          <cell r="H328">
            <v>51304.69</v>
          </cell>
        </row>
        <row r="329">
          <cell r="H329">
            <v>0</v>
          </cell>
        </row>
        <row r="330">
          <cell r="H330">
            <v>127420</v>
          </cell>
        </row>
        <row r="331">
          <cell r="H331">
            <v>0</v>
          </cell>
        </row>
        <row r="332">
          <cell r="H332">
            <v>127420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300539.37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107609.37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107609.37</v>
          </cell>
        </row>
        <row r="378">
          <cell r="H378">
            <v>107609.37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192930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192930</v>
          </cell>
        </row>
        <row r="391">
          <cell r="H391">
            <v>192930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4" refreshError="1">
        <row r="25">
          <cell r="H25">
            <v>7556671.6400000006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1213383.3500000001</v>
          </cell>
        </row>
        <row r="88">
          <cell r="H88">
            <v>259054.40000000002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259054.40000000002</v>
          </cell>
        </row>
        <row r="94">
          <cell r="H94">
            <v>259054.40000000002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24000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24000</v>
          </cell>
        </row>
        <row r="120">
          <cell r="H120">
            <v>24000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252960.9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252960.9</v>
          </cell>
        </row>
        <row r="131">
          <cell r="H131">
            <v>0</v>
          </cell>
        </row>
        <row r="132">
          <cell r="H132">
            <v>252960.9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472756.61</v>
          </cell>
        </row>
        <row r="158">
          <cell r="H158">
            <v>472756.61</v>
          </cell>
        </row>
        <row r="159">
          <cell r="H159">
            <v>257071.41999999998</v>
          </cell>
        </row>
        <row r="160">
          <cell r="H160">
            <v>215685.19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204611.44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11179.44</v>
          </cell>
        </row>
        <row r="183">
          <cell r="H183">
            <v>11179.44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193432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48852</v>
          </cell>
        </row>
        <row r="203">
          <cell r="H203">
            <v>144580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2432378.29</v>
          </cell>
        </row>
        <row r="213">
          <cell r="H213">
            <v>300691.8</v>
          </cell>
        </row>
        <row r="214">
          <cell r="H214">
            <v>300691.8</v>
          </cell>
        </row>
        <row r="215">
          <cell r="H215">
            <v>300691.8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107616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107616</v>
          </cell>
        </row>
        <row r="238">
          <cell r="H238">
            <v>107616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249831.2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249831.2</v>
          </cell>
        </row>
        <row r="260">
          <cell r="H260">
            <v>249831.2</v>
          </cell>
        </row>
        <row r="261">
          <cell r="H261">
            <v>183732.33000000002</v>
          </cell>
        </row>
        <row r="262">
          <cell r="H262">
            <v>989.98</v>
          </cell>
        </row>
        <row r="263">
          <cell r="H263">
            <v>989.98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123045.27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123045.27</v>
          </cell>
        </row>
        <row r="272">
          <cell r="H272">
            <v>59697.08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59697.08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1114592.73</v>
          </cell>
        </row>
        <row r="287">
          <cell r="H287">
            <v>195844.13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23844.13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918748.6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18975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899773.6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475914.23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419800</v>
          </cell>
        </row>
        <row r="315">
          <cell r="H315">
            <v>419800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4050.01</v>
          </cell>
        </row>
        <row r="321">
          <cell r="H321">
            <v>4050.01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52064.22</v>
          </cell>
        </row>
        <row r="328">
          <cell r="H328">
            <v>52064.22</v>
          </cell>
        </row>
        <row r="329">
          <cell r="H329">
            <v>0</v>
          </cell>
        </row>
        <row r="330">
          <cell r="H330">
            <v>23400</v>
          </cell>
        </row>
        <row r="331">
          <cell r="H331">
            <v>0</v>
          </cell>
        </row>
        <row r="332">
          <cell r="H332">
            <v>23400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3887510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2075030</v>
          </cell>
        </row>
        <row r="358">
          <cell r="H358">
            <v>413000</v>
          </cell>
        </row>
        <row r="359">
          <cell r="H359">
            <v>413000</v>
          </cell>
        </row>
        <row r="360">
          <cell r="H360">
            <v>1662030</v>
          </cell>
        </row>
        <row r="361">
          <cell r="H361">
            <v>1662030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1812480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1770000</v>
          </cell>
        </row>
        <row r="387">
          <cell r="H387">
            <v>1770000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42480</v>
          </cell>
        </row>
        <row r="395">
          <cell r="H395">
            <v>42480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5" refreshError="1">
        <row r="25">
          <cell r="H25">
            <v>6821436.5000000009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2733844.2900000005</v>
          </cell>
        </row>
        <row r="88">
          <cell r="H88">
            <v>351316.33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301316.33</v>
          </cell>
        </row>
        <row r="94">
          <cell r="H94">
            <v>301316.33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50000</v>
          </cell>
        </row>
        <row r="105">
          <cell r="H105">
            <v>50000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266664.26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266664.26</v>
          </cell>
        </row>
        <row r="131">
          <cell r="H131">
            <v>0</v>
          </cell>
        </row>
        <row r="132">
          <cell r="H132">
            <v>266664.26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2064518.35</v>
          </cell>
        </row>
        <row r="158">
          <cell r="H158">
            <v>152918.35</v>
          </cell>
        </row>
        <row r="159">
          <cell r="H159">
            <v>21673.46</v>
          </cell>
        </row>
        <row r="160">
          <cell r="H160">
            <v>131244.89000000001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1911600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1888000</v>
          </cell>
        </row>
        <row r="172">
          <cell r="H172">
            <v>0</v>
          </cell>
        </row>
        <row r="173">
          <cell r="H173">
            <v>23600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51345.35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13357.35</v>
          </cell>
        </row>
        <row r="183">
          <cell r="H183">
            <v>13357.35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10148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10148</v>
          </cell>
        </row>
        <row r="192">
          <cell r="H192">
            <v>0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27840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27840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3062630.67</v>
          </cell>
        </row>
        <row r="213">
          <cell r="H213">
            <v>541265</v>
          </cell>
        </row>
        <row r="214">
          <cell r="H214">
            <v>541265</v>
          </cell>
        </row>
        <row r="215">
          <cell r="H215">
            <v>541265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85550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85550</v>
          </cell>
        </row>
        <row r="238">
          <cell r="H238">
            <v>85550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308000</v>
          </cell>
        </row>
        <row r="246">
          <cell r="H246">
            <v>308000</v>
          </cell>
        </row>
        <row r="247">
          <cell r="H247">
            <v>308000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228412.84</v>
          </cell>
        </row>
        <row r="287">
          <cell r="H287">
            <v>221512.84</v>
          </cell>
        </row>
        <row r="288">
          <cell r="H288">
            <v>172000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49512.84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6900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6900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1899402.83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1799341.1300000001</v>
          </cell>
        </row>
        <row r="315">
          <cell r="H315">
            <v>1799341.1300000001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100061.7</v>
          </cell>
        </row>
        <row r="328">
          <cell r="H328">
            <v>100061.7</v>
          </cell>
        </row>
        <row r="329">
          <cell r="H329">
            <v>0</v>
          </cell>
        </row>
        <row r="330">
          <cell r="H330">
            <v>136966.70000000001</v>
          </cell>
        </row>
        <row r="331">
          <cell r="H331">
            <v>6800</v>
          </cell>
        </row>
        <row r="332">
          <cell r="H332">
            <v>130166.7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887994.84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887994.84</v>
          </cell>
        </row>
        <row r="358">
          <cell r="H358">
            <v>887994.84</v>
          </cell>
        </row>
        <row r="359">
          <cell r="H359">
            <v>887994.84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  <row r="375">
          <cell r="H375">
            <v>0</v>
          </cell>
        </row>
        <row r="376">
          <cell r="H376">
            <v>0</v>
          </cell>
        </row>
        <row r="377">
          <cell r="H377">
            <v>0</v>
          </cell>
        </row>
        <row r="378">
          <cell r="H378">
            <v>0</v>
          </cell>
        </row>
        <row r="379">
          <cell r="H379">
            <v>0</v>
          </cell>
        </row>
        <row r="380">
          <cell r="H380">
            <v>0</v>
          </cell>
        </row>
        <row r="381">
          <cell r="H381">
            <v>0</v>
          </cell>
        </row>
        <row r="382">
          <cell r="H382">
            <v>0</v>
          </cell>
        </row>
        <row r="383">
          <cell r="H383">
            <v>0</v>
          </cell>
        </row>
        <row r="384">
          <cell r="H384">
            <v>0</v>
          </cell>
        </row>
        <row r="385">
          <cell r="H385">
            <v>0</v>
          </cell>
        </row>
        <row r="386">
          <cell r="H386">
            <v>0</v>
          </cell>
        </row>
        <row r="387">
          <cell r="H387">
            <v>0</v>
          </cell>
        </row>
        <row r="388">
          <cell r="H388">
            <v>0</v>
          </cell>
        </row>
        <row r="389">
          <cell r="H389">
            <v>0</v>
          </cell>
        </row>
        <row r="390">
          <cell r="H390">
            <v>0</v>
          </cell>
        </row>
        <row r="391">
          <cell r="H391">
            <v>0</v>
          </cell>
        </row>
        <row r="392">
          <cell r="H392">
            <v>0</v>
          </cell>
        </row>
        <row r="393">
          <cell r="H393">
            <v>0</v>
          </cell>
        </row>
        <row r="394">
          <cell r="H394">
            <v>0</v>
          </cell>
        </row>
        <row r="395">
          <cell r="H395">
            <v>0</v>
          </cell>
        </row>
        <row r="396">
          <cell r="H396">
            <v>0</v>
          </cell>
        </row>
        <row r="397">
          <cell r="H397">
            <v>0</v>
          </cell>
        </row>
        <row r="398">
          <cell r="H398">
            <v>0</v>
          </cell>
        </row>
        <row r="399">
          <cell r="H399">
            <v>0</v>
          </cell>
        </row>
        <row r="400">
          <cell r="H400">
            <v>0</v>
          </cell>
        </row>
        <row r="401">
          <cell r="H401">
            <v>0</v>
          </cell>
        </row>
        <row r="402">
          <cell r="H402">
            <v>0</v>
          </cell>
        </row>
        <row r="403">
          <cell r="H403">
            <v>0</v>
          </cell>
        </row>
        <row r="404">
          <cell r="H404">
            <v>0</v>
          </cell>
        </row>
        <row r="405">
          <cell r="H405">
            <v>0</v>
          </cell>
        </row>
        <row r="406">
          <cell r="H406">
            <v>0</v>
          </cell>
        </row>
        <row r="407">
          <cell r="H407">
            <v>0</v>
          </cell>
        </row>
        <row r="408">
          <cell r="H408">
            <v>0</v>
          </cell>
        </row>
        <row r="409">
          <cell r="H409">
            <v>0</v>
          </cell>
        </row>
        <row r="410">
          <cell r="H410">
            <v>0</v>
          </cell>
        </row>
        <row r="411">
          <cell r="H411">
            <v>0</v>
          </cell>
        </row>
        <row r="412">
          <cell r="H412">
            <v>0</v>
          </cell>
        </row>
        <row r="413">
          <cell r="H413">
            <v>0</v>
          </cell>
        </row>
        <row r="414">
          <cell r="H414">
            <v>0</v>
          </cell>
        </row>
        <row r="415">
          <cell r="H415">
            <v>0</v>
          </cell>
        </row>
        <row r="416">
          <cell r="H416">
            <v>0</v>
          </cell>
        </row>
        <row r="417">
          <cell r="H417">
            <v>0</v>
          </cell>
        </row>
        <row r="418">
          <cell r="H418">
            <v>0</v>
          </cell>
        </row>
        <row r="419">
          <cell r="H419">
            <v>0</v>
          </cell>
        </row>
        <row r="420">
          <cell r="H420">
            <v>0</v>
          </cell>
        </row>
        <row r="421">
          <cell r="H421">
            <v>0</v>
          </cell>
        </row>
        <row r="422">
          <cell r="H422">
            <v>0</v>
          </cell>
        </row>
        <row r="423">
          <cell r="H423">
            <v>0</v>
          </cell>
        </row>
        <row r="424">
          <cell r="H424">
            <v>0</v>
          </cell>
        </row>
        <row r="425">
          <cell r="H425">
            <v>0</v>
          </cell>
        </row>
        <row r="426">
          <cell r="H426">
            <v>0</v>
          </cell>
        </row>
        <row r="427">
          <cell r="H427">
            <v>0</v>
          </cell>
        </row>
        <row r="428">
          <cell r="H428">
            <v>0</v>
          </cell>
        </row>
        <row r="429">
          <cell r="H429">
            <v>0</v>
          </cell>
        </row>
        <row r="430">
          <cell r="H430">
            <v>0</v>
          </cell>
        </row>
        <row r="431">
          <cell r="H431">
            <v>0</v>
          </cell>
        </row>
        <row r="432">
          <cell r="H432">
            <v>0</v>
          </cell>
        </row>
        <row r="433">
          <cell r="H433">
            <v>0</v>
          </cell>
        </row>
        <row r="434">
          <cell r="H434">
            <v>0</v>
          </cell>
        </row>
        <row r="435">
          <cell r="H435">
            <v>0</v>
          </cell>
        </row>
        <row r="436">
          <cell r="H436">
            <v>0</v>
          </cell>
        </row>
        <row r="437">
          <cell r="H437">
            <v>0</v>
          </cell>
        </row>
        <row r="438">
          <cell r="H438">
            <v>0</v>
          </cell>
        </row>
        <row r="439">
          <cell r="H439">
            <v>0</v>
          </cell>
        </row>
        <row r="440">
          <cell r="H440">
            <v>0</v>
          </cell>
        </row>
        <row r="441">
          <cell r="H441">
            <v>0</v>
          </cell>
        </row>
        <row r="442">
          <cell r="H442">
            <v>0</v>
          </cell>
        </row>
        <row r="443">
          <cell r="H443">
            <v>0</v>
          </cell>
        </row>
        <row r="444">
          <cell r="H444">
            <v>0</v>
          </cell>
        </row>
        <row r="445">
          <cell r="H445">
            <v>0</v>
          </cell>
        </row>
        <row r="446">
          <cell r="H446">
            <v>0</v>
          </cell>
        </row>
        <row r="447">
          <cell r="H447">
            <v>0</v>
          </cell>
        </row>
        <row r="448">
          <cell r="H448">
            <v>0</v>
          </cell>
        </row>
        <row r="449">
          <cell r="H449">
            <v>0</v>
          </cell>
        </row>
        <row r="450">
          <cell r="H450">
            <v>0</v>
          </cell>
        </row>
        <row r="451">
          <cell r="H451">
            <v>0</v>
          </cell>
        </row>
        <row r="452">
          <cell r="H452">
            <v>0</v>
          </cell>
        </row>
        <row r="453">
          <cell r="H453">
            <v>0</v>
          </cell>
        </row>
        <row r="454">
          <cell r="H454">
            <v>0</v>
          </cell>
        </row>
        <row r="455">
          <cell r="H455">
            <v>0</v>
          </cell>
        </row>
        <row r="456">
          <cell r="H456">
            <v>0</v>
          </cell>
        </row>
        <row r="457">
          <cell r="H457">
            <v>0</v>
          </cell>
        </row>
        <row r="458">
          <cell r="H458">
            <v>0</v>
          </cell>
        </row>
        <row r="459">
          <cell r="H459">
            <v>0</v>
          </cell>
        </row>
        <row r="460">
          <cell r="H460">
            <v>0</v>
          </cell>
        </row>
        <row r="461">
          <cell r="H461">
            <v>0</v>
          </cell>
        </row>
        <row r="462">
          <cell r="H462">
            <v>0</v>
          </cell>
        </row>
        <row r="463">
          <cell r="H463">
            <v>0</v>
          </cell>
        </row>
        <row r="464">
          <cell r="H464">
            <v>0</v>
          </cell>
        </row>
        <row r="465">
          <cell r="H465">
            <v>0</v>
          </cell>
        </row>
        <row r="466">
          <cell r="H466">
            <v>0</v>
          </cell>
        </row>
        <row r="467">
          <cell r="H467">
            <v>0</v>
          </cell>
        </row>
        <row r="468">
          <cell r="H468">
            <v>0</v>
          </cell>
        </row>
        <row r="469">
          <cell r="H469">
            <v>0</v>
          </cell>
        </row>
        <row r="470">
          <cell r="H470">
            <v>0</v>
          </cell>
        </row>
        <row r="471">
          <cell r="H471">
            <v>0</v>
          </cell>
        </row>
        <row r="472">
          <cell r="H472">
            <v>0</v>
          </cell>
        </row>
        <row r="473">
          <cell r="H473">
            <v>0</v>
          </cell>
        </row>
        <row r="474">
          <cell r="H474">
            <v>0</v>
          </cell>
        </row>
        <row r="475">
          <cell r="H475">
            <v>0</v>
          </cell>
        </row>
        <row r="476">
          <cell r="H476">
            <v>0</v>
          </cell>
        </row>
        <row r="477">
          <cell r="H477">
            <v>0</v>
          </cell>
        </row>
        <row r="478">
          <cell r="H478">
            <v>0</v>
          </cell>
        </row>
        <row r="479">
          <cell r="H479">
            <v>0</v>
          </cell>
        </row>
        <row r="480">
          <cell r="H480">
            <v>0</v>
          </cell>
        </row>
        <row r="481">
          <cell r="H481">
            <v>0</v>
          </cell>
        </row>
        <row r="482">
          <cell r="H482">
            <v>0</v>
          </cell>
        </row>
        <row r="483">
          <cell r="H483">
            <v>0</v>
          </cell>
        </row>
        <row r="484">
          <cell r="H484">
            <v>0</v>
          </cell>
        </row>
        <row r="485">
          <cell r="H485">
            <v>0</v>
          </cell>
        </row>
        <row r="486">
          <cell r="H486">
            <v>0</v>
          </cell>
        </row>
        <row r="487">
          <cell r="H487">
            <v>0</v>
          </cell>
        </row>
        <row r="488">
          <cell r="H488">
            <v>0</v>
          </cell>
        </row>
        <row r="489">
          <cell r="H489">
            <v>0</v>
          </cell>
        </row>
        <row r="490">
          <cell r="H490">
            <v>0</v>
          </cell>
        </row>
        <row r="491">
          <cell r="H491">
            <v>0</v>
          </cell>
        </row>
        <row r="492">
          <cell r="H492">
            <v>0</v>
          </cell>
        </row>
        <row r="493">
          <cell r="H493">
            <v>0</v>
          </cell>
        </row>
        <row r="494">
          <cell r="H494">
            <v>0</v>
          </cell>
        </row>
        <row r="495">
          <cell r="H495">
            <v>0</v>
          </cell>
        </row>
        <row r="496">
          <cell r="H496">
            <v>0</v>
          </cell>
        </row>
        <row r="497">
          <cell r="H497">
            <v>0</v>
          </cell>
        </row>
        <row r="498">
          <cell r="H498">
            <v>0</v>
          </cell>
        </row>
        <row r="499">
          <cell r="H499">
            <v>0</v>
          </cell>
        </row>
        <row r="500">
          <cell r="H500">
            <v>0</v>
          </cell>
        </row>
        <row r="501">
          <cell r="H501">
            <v>0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/>
      <sheetData sheetId="4"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T288">
            <v>0</v>
          </cell>
          <cell r="U288">
            <v>0</v>
          </cell>
          <cell r="V288">
            <v>0</v>
          </cell>
          <cell r="X288">
            <v>0</v>
          </cell>
          <cell r="Y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W288">
            <v>0</v>
          </cell>
          <cell r="AX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X288">
            <v>0</v>
          </cell>
          <cell r="BY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I288">
            <v>0</v>
          </cell>
          <cell r="CK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T288">
            <v>0</v>
          </cell>
          <cell r="DX288">
            <v>0</v>
          </cell>
          <cell r="DY288">
            <v>0</v>
          </cell>
          <cell r="DZ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H288">
            <v>0</v>
          </cell>
          <cell r="EI288">
            <v>0</v>
          </cell>
          <cell r="EJ288">
            <v>0</v>
          </cell>
          <cell r="EL288">
            <v>0</v>
          </cell>
          <cell r="EN288">
            <v>0</v>
          </cell>
          <cell r="EQ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I288">
            <v>0</v>
          </cell>
          <cell r="FK288">
            <v>0</v>
          </cell>
          <cell r="FL288">
            <v>0</v>
          </cell>
          <cell r="FO288">
            <v>0</v>
          </cell>
          <cell r="FP288">
            <v>0</v>
          </cell>
          <cell r="FR288">
            <v>0</v>
          </cell>
          <cell r="FU288">
            <v>0</v>
          </cell>
          <cell r="FV288">
            <v>0</v>
          </cell>
          <cell r="FX288">
            <v>0</v>
          </cell>
          <cell r="GA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N288">
            <v>0</v>
          </cell>
          <cell r="GO288">
            <v>0</v>
          </cell>
          <cell r="GS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E288">
            <v>0</v>
          </cell>
          <cell r="HG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  <cell r="IW288">
            <v>0</v>
          </cell>
          <cell r="IX288">
            <v>0</v>
          </cell>
          <cell r="IY288">
            <v>0</v>
          </cell>
          <cell r="IZ288">
            <v>0</v>
          </cell>
          <cell r="JA288">
            <v>0</v>
          </cell>
          <cell r="JB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</row>
      </sheetData>
      <sheetData sheetId="5"/>
      <sheetData sheetId="6"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>
        <row r="212">
          <cell r="G212">
            <v>13779851.370000001</v>
          </cell>
          <cell r="H212">
            <v>2184325.87</v>
          </cell>
        </row>
        <row r="463">
          <cell r="G463">
            <v>0</v>
          </cell>
          <cell r="H463">
            <v>0</v>
          </cell>
        </row>
      </sheetData>
      <sheetData sheetId="3">
        <row r="97">
          <cell r="A97">
            <v>59046800.350000001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1342531.03</v>
          </cell>
          <cell r="K97">
            <v>0</v>
          </cell>
          <cell r="L97">
            <v>0</v>
          </cell>
          <cell r="M97">
            <v>0</v>
          </cell>
          <cell r="N97">
            <v>60212858.700000003</v>
          </cell>
          <cell r="O97">
            <v>0</v>
          </cell>
          <cell r="P97">
            <v>0</v>
          </cell>
          <cell r="Q97">
            <v>51000</v>
          </cell>
          <cell r="R97">
            <v>479819.29</v>
          </cell>
          <cell r="S97">
            <v>2652914.66</v>
          </cell>
          <cell r="T97">
            <v>0</v>
          </cell>
          <cell r="U97">
            <v>0</v>
          </cell>
          <cell r="V97">
            <v>0</v>
          </cell>
          <cell r="W97">
            <v>75000</v>
          </cell>
          <cell r="X97">
            <v>0</v>
          </cell>
          <cell r="Y97">
            <v>0</v>
          </cell>
          <cell r="Z97">
            <v>317800</v>
          </cell>
          <cell r="AA97">
            <v>0</v>
          </cell>
          <cell r="AB97">
            <v>269735.52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4281604.3899999997</v>
          </cell>
          <cell r="AL97">
            <v>4287644.2299999995</v>
          </cell>
          <cell r="AM97">
            <v>723104.06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60535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1575209.38</v>
          </cell>
          <cell r="BX97">
            <v>30861.53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5691.23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224500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292565.2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557734.03</v>
          </cell>
          <cell r="DS97">
            <v>0</v>
          </cell>
          <cell r="DT97">
            <v>0</v>
          </cell>
          <cell r="DU97">
            <v>0</v>
          </cell>
          <cell r="DV97">
            <v>918335</v>
          </cell>
          <cell r="DW97">
            <v>737205</v>
          </cell>
          <cell r="DX97">
            <v>0</v>
          </cell>
          <cell r="DY97">
            <v>0</v>
          </cell>
          <cell r="DZ97">
            <v>0</v>
          </cell>
          <cell r="EA97">
            <v>3574335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18154.650000000001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1971730.37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1373621</v>
          </cell>
          <cell r="FR97">
            <v>0</v>
          </cell>
          <cell r="FS97">
            <v>225498</v>
          </cell>
          <cell r="FT97">
            <v>4028781.1199999996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15340</v>
          </cell>
          <cell r="GA97">
            <v>0</v>
          </cell>
          <cell r="GB97">
            <v>66552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89681.02</v>
          </cell>
          <cell r="GI97">
            <v>0</v>
          </cell>
          <cell r="GJ97">
            <v>0</v>
          </cell>
          <cell r="GK97">
            <v>38940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6301889.96</v>
          </cell>
          <cell r="GR97">
            <v>59000</v>
          </cell>
          <cell r="GS97">
            <v>0</v>
          </cell>
          <cell r="GT97">
            <v>1456293.22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42057.86</v>
          </cell>
          <cell r="HG97">
            <v>0</v>
          </cell>
          <cell r="HH97">
            <v>0</v>
          </cell>
          <cell r="HI97">
            <v>22585.200000000001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  <cell r="IL97">
            <v>0</v>
          </cell>
          <cell r="IM97">
            <v>0</v>
          </cell>
          <cell r="IN97">
            <v>0</v>
          </cell>
          <cell r="IO97">
            <v>0</v>
          </cell>
          <cell r="IP97">
            <v>0</v>
          </cell>
          <cell r="IQ97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>
            <v>0</v>
          </cell>
          <cell r="IW97">
            <v>0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</row>
      </sheetData>
      <sheetData sheetId="4"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745000</v>
          </cell>
          <cell r="AX75">
            <v>221258.85</v>
          </cell>
          <cell r="AY75">
            <v>0</v>
          </cell>
          <cell r="AZ75">
            <v>0</v>
          </cell>
          <cell r="BA75">
            <v>0</v>
          </cell>
          <cell r="BB75">
            <v>20000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57795.91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361378.54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185260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244260</v>
          </cell>
          <cell r="DE75">
            <v>234780</v>
          </cell>
          <cell r="DF75">
            <v>14087.239999999996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163325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384300</v>
          </cell>
          <cell r="EB75">
            <v>0</v>
          </cell>
          <cell r="EC75">
            <v>0</v>
          </cell>
          <cell r="ED75">
            <v>0</v>
          </cell>
          <cell r="EE75">
            <v>298561.91999999998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172000</v>
          </cell>
          <cell r="FB75">
            <v>0</v>
          </cell>
          <cell r="FC75">
            <v>0</v>
          </cell>
          <cell r="FD75">
            <v>21952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140797.6</v>
          </cell>
          <cell r="FO75">
            <v>0</v>
          </cell>
          <cell r="FP75">
            <v>0</v>
          </cell>
          <cell r="FQ75">
            <v>420561</v>
          </cell>
          <cell r="FR75">
            <v>0</v>
          </cell>
          <cell r="FS75">
            <v>0</v>
          </cell>
          <cell r="FT75">
            <v>64664</v>
          </cell>
          <cell r="FU75">
            <v>0</v>
          </cell>
          <cell r="FV75">
            <v>0</v>
          </cell>
          <cell r="FW75">
            <v>41819.199999999997</v>
          </cell>
          <cell r="FX75">
            <v>0</v>
          </cell>
          <cell r="FY75">
            <v>0</v>
          </cell>
          <cell r="FZ75">
            <v>0</v>
          </cell>
          <cell r="GA75">
            <v>56945.15</v>
          </cell>
          <cell r="GB75">
            <v>419400</v>
          </cell>
          <cell r="GC75">
            <v>3600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442444.72</v>
          </cell>
          <cell r="GI75">
            <v>0</v>
          </cell>
          <cell r="GJ75">
            <v>0</v>
          </cell>
          <cell r="GK75">
            <v>0</v>
          </cell>
          <cell r="GL75">
            <v>0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0</v>
          </cell>
          <cell r="GR75">
            <v>1899800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0</v>
          </cell>
          <cell r="HG75">
            <v>0</v>
          </cell>
          <cell r="HH75">
            <v>413000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156268217.93000001</v>
          </cell>
        </row>
        <row r="35">
          <cell r="E35">
            <v>8925194.0899999999</v>
          </cell>
        </row>
        <row r="42">
          <cell r="E42">
            <v>384175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Sheet2"/>
      <sheetName val="TRANSFERENCIA CORRIENTE"/>
      <sheetName val="VS"/>
      <sheetName val="OBLIGACIONES PENDIENTES"/>
      <sheetName val="INGR SEGUN ORIGEN"/>
      <sheetName val="Sheet1"/>
      <sheetName val="DEUDA"/>
      <sheetName val="INGRESOS POR A.R.S"/>
      <sheetName val="GLOSA"/>
    </sheetNames>
    <sheetDataSet>
      <sheetData sheetId="0"/>
      <sheetData sheetId="1"/>
      <sheetData sheetId="2">
        <row r="212">
          <cell r="G212">
            <v>71708916.149999991</v>
          </cell>
          <cell r="H212">
            <v>11135613.280000001</v>
          </cell>
        </row>
        <row r="463">
          <cell r="G463">
            <v>0</v>
          </cell>
          <cell r="H463">
            <v>0</v>
          </cell>
        </row>
      </sheetData>
      <sheetData sheetId="3">
        <row r="210">
          <cell r="A210">
            <v>59174005.049999997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1342531.03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558888</v>
          </cell>
          <cell r="R210">
            <v>341907.01999999996</v>
          </cell>
          <cell r="S210">
            <v>2652914.66</v>
          </cell>
          <cell r="T210">
            <v>0</v>
          </cell>
          <cell r="U210">
            <v>0</v>
          </cell>
          <cell r="V210">
            <v>0</v>
          </cell>
          <cell r="W210">
            <v>75000</v>
          </cell>
          <cell r="X210">
            <v>0</v>
          </cell>
          <cell r="Y210">
            <v>0</v>
          </cell>
          <cell r="Z210">
            <v>301200</v>
          </cell>
          <cell r="AA210">
            <v>0</v>
          </cell>
          <cell r="AB210">
            <v>7959137.9900000002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4290757.45</v>
          </cell>
          <cell r="AL210">
            <v>4296541.5199999996</v>
          </cell>
          <cell r="AM210">
            <v>724838.13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211735</v>
          </cell>
          <cell r="AW210">
            <v>0</v>
          </cell>
          <cell r="AX210">
            <v>0</v>
          </cell>
          <cell r="AY210">
            <v>300172.65000000002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632942.94999999995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10151865.189999999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992191</v>
          </cell>
          <cell r="CI210">
            <v>0</v>
          </cell>
          <cell r="CJ210">
            <v>0</v>
          </cell>
          <cell r="CK210">
            <v>0</v>
          </cell>
          <cell r="CL210">
            <v>1328349.6000000001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5340259.88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317487</v>
          </cell>
          <cell r="DT210">
            <v>0</v>
          </cell>
          <cell r="DU210">
            <v>0</v>
          </cell>
          <cell r="DV210">
            <v>55804.21</v>
          </cell>
          <cell r="DW210">
            <v>271695</v>
          </cell>
          <cell r="DX210">
            <v>0</v>
          </cell>
          <cell r="DY210">
            <v>0</v>
          </cell>
          <cell r="DZ210">
            <v>0</v>
          </cell>
          <cell r="EA210">
            <v>19624399.5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267714.86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19020.419999999998</v>
          </cell>
          <cell r="EQ210">
            <v>0</v>
          </cell>
          <cell r="ER210">
            <v>18413.810000000001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12262492.049999999</v>
          </cell>
          <cell r="FK210">
            <v>0</v>
          </cell>
          <cell r="FL210">
            <v>0</v>
          </cell>
          <cell r="FM210">
            <v>259349.43</v>
          </cell>
          <cell r="FN210">
            <v>0</v>
          </cell>
          <cell r="FO210">
            <v>0</v>
          </cell>
          <cell r="FP210">
            <v>0</v>
          </cell>
          <cell r="FQ210">
            <v>1140351.21</v>
          </cell>
          <cell r="FR210">
            <v>0</v>
          </cell>
          <cell r="FS210">
            <v>220046.4</v>
          </cell>
          <cell r="FT210">
            <v>31811444.18</v>
          </cell>
          <cell r="FU210">
            <v>0</v>
          </cell>
          <cell r="FV210">
            <v>31152</v>
          </cell>
          <cell r="FW210">
            <v>0</v>
          </cell>
          <cell r="FX210">
            <v>0</v>
          </cell>
          <cell r="FY210">
            <v>0</v>
          </cell>
          <cell r="FZ210">
            <v>52215</v>
          </cell>
          <cell r="GA210">
            <v>17071.2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1199690.19</v>
          </cell>
          <cell r="GI210">
            <v>0</v>
          </cell>
          <cell r="GJ210">
            <v>3223093.4</v>
          </cell>
          <cell r="GK210">
            <v>61822.92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11946084.119999999</v>
          </cell>
          <cell r="GR210">
            <v>1564314.96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  <cell r="IL210">
            <v>0</v>
          </cell>
          <cell r="IM210">
            <v>0</v>
          </cell>
          <cell r="IN210">
            <v>0</v>
          </cell>
          <cell r="IO210">
            <v>0</v>
          </cell>
          <cell r="IP210">
            <v>0</v>
          </cell>
          <cell r="IQ210">
            <v>0</v>
          </cell>
          <cell r="IR210">
            <v>0</v>
          </cell>
          <cell r="IS210">
            <v>0</v>
          </cell>
          <cell r="IT210">
            <v>0</v>
          </cell>
          <cell r="IU210">
            <v>0</v>
          </cell>
          <cell r="IV210">
            <v>0</v>
          </cell>
          <cell r="IW210">
            <v>0</v>
          </cell>
          <cell r="IX210">
            <v>0</v>
          </cell>
          <cell r="IY210">
            <v>0</v>
          </cell>
          <cell r="IZ210">
            <v>0</v>
          </cell>
          <cell r="JA210">
            <v>0</v>
          </cell>
          <cell r="JB210">
            <v>0</v>
          </cell>
          <cell r="JC210">
            <v>0</v>
          </cell>
          <cell r="JD210">
            <v>0</v>
          </cell>
          <cell r="JE210">
            <v>0</v>
          </cell>
          <cell r="JF210">
            <v>0</v>
          </cell>
          <cell r="JG210">
            <v>0</v>
          </cell>
          <cell r="JH210">
            <v>0</v>
          </cell>
        </row>
      </sheetData>
      <sheetData sheetId="4"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213516.07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1465000</v>
          </cell>
          <cell r="AX498">
            <v>0</v>
          </cell>
          <cell r="AY498">
            <v>554568.57000000007</v>
          </cell>
          <cell r="AZ498">
            <v>0</v>
          </cell>
          <cell r="BA498">
            <v>0</v>
          </cell>
          <cell r="BB498">
            <v>20000</v>
          </cell>
          <cell r="BC498">
            <v>48000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1927835.1199999999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513300</v>
          </cell>
          <cell r="CI498">
            <v>0</v>
          </cell>
          <cell r="CJ498">
            <v>252741.56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202960</v>
          </cell>
          <cell r="CT498">
            <v>0</v>
          </cell>
          <cell r="CU498">
            <v>255493.61000000002</v>
          </cell>
          <cell r="CV498">
            <v>86730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315560</v>
          </cell>
          <cell r="DF498">
            <v>10850</v>
          </cell>
          <cell r="DG498">
            <v>0</v>
          </cell>
          <cell r="DH498">
            <v>0</v>
          </cell>
          <cell r="DI498">
            <v>0</v>
          </cell>
          <cell r="DJ498">
            <v>1734600</v>
          </cell>
          <cell r="DK498">
            <v>197315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0</v>
          </cell>
          <cell r="DR498">
            <v>0</v>
          </cell>
          <cell r="DS498">
            <v>623449.22</v>
          </cell>
          <cell r="DT498">
            <v>0</v>
          </cell>
          <cell r="DU498">
            <v>0</v>
          </cell>
          <cell r="DV498">
            <v>0</v>
          </cell>
          <cell r="DW498">
            <v>289100</v>
          </cell>
          <cell r="DX498">
            <v>0</v>
          </cell>
          <cell r="DY498">
            <v>0</v>
          </cell>
          <cell r="DZ498">
            <v>0</v>
          </cell>
          <cell r="EA498">
            <v>454061.65</v>
          </cell>
          <cell r="EB498">
            <v>0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10970.210000000001</v>
          </cell>
          <cell r="EH498">
            <v>0</v>
          </cell>
          <cell r="EI498">
            <v>0</v>
          </cell>
          <cell r="EJ498">
            <v>0</v>
          </cell>
          <cell r="EK498">
            <v>0</v>
          </cell>
          <cell r="EL498">
            <v>0</v>
          </cell>
          <cell r="EM498">
            <v>9246.01</v>
          </cell>
          <cell r="EN498">
            <v>0</v>
          </cell>
          <cell r="EO498">
            <v>8500</v>
          </cell>
          <cell r="EP498">
            <v>78291.990000000005</v>
          </cell>
          <cell r="EQ498">
            <v>0</v>
          </cell>
          <cell r="ER498">
            <v>84826.57</v>
          </cell>
          <cell r="ES498">
            <v>0</v>
          </cell>
          <cell r="ET498">
            <v>0</v>
          </cell>
          <cell r="EU498">
            <v>0</v>
          </cell>
          <cell r="EV498">
            <v>0</v>
          </cell>
          <cell r="EW498">
            <v>0</v>
          </cell>
          <cell r="EX498">
            <v>0</v>
          </cell>
          <cell r="EY498">
            <v>0</v>
          </cell>
          <cell r="EZ498">
            <v>3749.92</v>
          </cell>
          <cell r="FA498">
            <v>172000</v>
          </cell>
          <cell r="FB498">
            <v>1124000</v>
          </cell>
          <cell r="FC498">
            <v>0</v>
          </cell>
          <cell r="FD498">
            <v>44590</v>
          </cell>
          <cell r="FE498">
            <v>0</v>
          </cell>
          <cell r="FF498">
            <v>0</v>
          </cell>
          <cell r="FG498">
            <v>0</v>
          </cell>
          <cell r="FH498">
            <v>0</v>
          </cell>
          <cell r="FI498">
            <v>0</v>
          </cell>
          <cell r="FJ498">
            <v>129593</v>
          </cell>
          <cell r="FK498">
            <v>0</v>
          </cell>
          <cell r="FL498">
            <v>0</v>
          </cell>
          <cell r="FM498">
            <v>0</v>
          </cell>
          <cell r="FN498">
            <v>1743484</v>
          </cell>
          <cell r="FO498">
            <v>0</v>
          </cell>
          <cell r="FP498">
            <v>0</v>
          </cell>
          <cell r="FQ498">
            <v>312110</v>
          </cell>
          <cell r="FR498">
            <v>0</v>
          </cell>
          <cell r="FS498">
            <v>93868.950000000012</v>
          </cell>
          <cell r="FT498">
            <v>3083216.5400000005</v>
          </cell>
          <cell r="FU498">
            <v>50870.39</v>
          </cell>
          <cell r="FV498">
            <v>0</v>
          </cell>
          <cell r="FW498">
            <v>157157.64000000001</v>
          </cell>
          <cell r="FX498">
            <v>0</v>
          </cell>
          <cell r="FY498">
            <v>1387459.34</v>
          </cell>
          <cell r="FZ498">
            <v>361550.87</v>
          </cell>
          <cell r="GA498">
            <v>112919.38</v>
          </cell>
          <cell r="GB498">
            <v>603282.60000000009</v>
          </cell>
          <cell r="GC498">
            <v>3600</v>
          </cell>
          <cell r="GD498">
            <v>12400</v>
          </cell>
          <cell r="GE498">
            <v>0</v>
          </cell>
          <cell r="GF498">
            <v>0</v>
          </cell>
          <cell r="GG498">
            <v>0</v>
          </cell>
          <cell r="GH498">
            <v>186481.72999999998</v>
          </cell>
          <cell r="GI498">
            <v>46091.27</v>
          </cell>
          <cell r="GJ498">
            <v>0</v>
          </cell>
          <cell r="GK498">
            <v>60550.060000000005</v>
          </cell>
          <cell r="GL498">
            <v>0</v>
          </cell>
          <cell r="GM498">
            <v>0</v>
          </cell>
          <cell r="GN498">
            <v>0</v>
          </cell>
          <cell r="GO498">
            <v>0</v>
          </cell>
          <cell r="GP498">
            <v>0</v>
          </cell>
          <cell r="GQ498">
            <v>2680384.16</v>
          </cell>
          <cell r="GR498">
            <v>283200</v>
          </cell>
          <cell r="GS498">
            <v>0</v>
          </cell>
          <cell r="GT498">
            <v>0</v>
          </cell>
          <cell r="GU498">
            <v>0</v>
          </cell>
          <cell r="GV498">
            <v>0</v>
          </cell>
          <cell r="GX498">
            <v>0</v>
          </cell>
          <cell r="GY498">
            <v>0</v>
          </cell>
          <cell r="GZ498">
            <v>0</v>
          </cell>
          <cell r="HA498">
            <v>0</v>
          </cell>
          <cell r="HB498">
            <v>0</v>
          </cell>
          <cell r="HC498">
            <v>0</v>
          </cell>
          <cell r="HD498">
            <v>711998.01</v>
          </cell>
          <cell r="HE498">
            <v>0</v>
          </cell>
          <cell r="HF498">
            <v>0</v>
          </cell>
          <cell r="HG498">
            <v>0</v>
          </cell>
          <cell r="HH498">
            <v>0</v>
          </cell>
          <cell r="HI498">
            <v>41010.06</v>
          </cell>
          <cell r="HJ498">
            <v>0</v>
          </cell>
          <cell r="HK498">
            <v>0</v>
          </cell>
          <cell r="HL498">
            <v>186179.05</v>
          </cell>
          <cell r="HM498">
            <v>0</v>
          </cell>
          <cell r="HN498">
            <v>0</v>
          </cell>
          <cell r="HO498">
            <v>0</v>
          </cell>
          <cell r="HP498">
            <v>0</v>
          </cell>
          <cell r="HQ498">
            <v>0</v>
          </cell>
          <cell r="HR498">
            <v>0</v>
          </cell>
          <cell r="HS498">
            <v>0</v>
          </cell>
          <cell r="HT498">
            <v>0</v>
          </cell>
          <cell r="HU498">
            <v>0</v>
          </cell>
          <cell r="HV498">
            <v>0</v>
          </cell>
          <cell r="HW498">
            <v>0</v>
          </cell>
          <cell r="HX498">
            <v>0</v>
          </cell>
          <cell r="HY498">
            <v>0</v>
          </cell>
          <cell r="HZ498">
            <v>0</v>
          </cell>
          <cell r="IA498">
            <v>0</v>
          </cell>
          <cell r="IB498">
            <v>0</v>
          </cell>
          <cell r="IC498">
            <v>0</v>
          </cell>
          <cell r="ID498">
            <v>0</v>
          </cell>
          <cell r="IE498">
            <v>0</v>
          </cell>
          <cell r="IF498">
            <v>0</v>
          </cell>
          <cell r="IG498">
            <v>0</v>
          </cell>
          <cell r="IH498">
            <v>0</v>
          </cell>
          <cell r="II498">
            <v>0</v>
          </cell>
          <cell r="IJ498">
            <v>0</v>
          </cell>
          <cell r="IK498">
            <v>0</v>
          </cell>
          <cell r="IL498">
            <v>0</v>
          </cell>
          <cell r="IM498">
            <v>0</v>
          </cell>
          <cell r="IN498">
            <v>0</v>
          </cell>
          <cell r="IO498">
            <v>154881.20000000001</v>
          </cell>
          <cell r="IP498">
            <v>0</v>
          </cell>
          <cell r="IQ498">
            <v>0</v>
          </cell>
          <cell r="IR498">
            <v>0</v>
          </cell>
          <cell r="IS498">
            <v>0</v>
          </cell>
          <cell r="IT498">
            <v>0</v>
          </cell>
          <cell r="IU498">
            <v>0</v>
          </cell>
          <cell r="IV498">
            <v>0</v>
          </cell>
          <cell r="IW498">
            <v>0</v>
          </cell>
          <cell r="IX498">
            <v>0</v>
          </cell>
          <cell r="IY498">
            <v>0</v>
          </cell>
          <cell r="IZ498">
            <v>0</v>
          </cell>
          <cell r="JA498">
            <v>0</v>
          </cell>
          <cell r="JB498">
            <v>0</v>
          </cell>
          <cell r="JC498">
            <v>0</v>
          </cell>
          <cell r="JD498">
            <v>0</v>
          </cell>
          <cell r="JE498">
            <v>0</v>
          </cell>
          <cell r="JF498">
            <v>0</v>
          </cell>
          <cell r="JG498">
            <v>0</v>
          </cell>
          <cell r="JH49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">
          <cell r="E12">
            <v>122574580.69</v>
          </cell>
        </row>
        <row r="26">
          <cell r="E26">
            <v>16364862.450000001</v>
          </cell>
        </row>
        <row r="33">
          <cell r="E33">
            <v>468350</v>
          </cell>
        </row>
      </sheetData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6CD7-C532-4133-86C1-C07AF8B16ABF}">
  <dimension ref="A1:P511"/>
  <sheetViews>
    <sheetView view="pageBreakPreview" topLeftCell="A4" zoomScale="106" zoomScaleNormal="100" zoomScaleSheetLayoutView="106" workbookViewId="0">
      <selection activeCell="G24" sqref="G24"/>
    </sheetView>
  </sheetViews>
  <sheetFormatPr baseColWidth="10" defaultColWidth="2.85546875" defaultRowHeight="12.75" x14ac:dyDescent="0.2"/>
  <cols>
    <col min="1" max="5" width="3.5703125" style="5" customWidth="1"/>
    <col min="6" max="6" width="43.7109375" style="5" customWidth="1"/>
    <col min="7" max="7" width="20.85546875" style="5" bestFit="1" customWidth="1"/>
    <col min="8" max="8" width="22.5703125" style="5" customWidth="1"/>
    <col min="9" max="9" width="20.42578125" style="5" customWidth="1"/>
    <col min="10" max="10" width="14" style="5" bestFit="1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393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/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>
        <v>0</v>
      </c>
      <c r="H14" s="20" t="s">
        <v>9</v>
      </c>
      <c r="I14" s="19">
        <f>+SEPTIEMBRE!I14+'AGOSTO '!I14+JULIO!I14</f>
        <v>2105668.7400000002</v>
      </c>
      <c r="J14" s="113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+SEPTIEMBRE!G15+'AGOSTO '!G15+JULIO!G15</f>
        <v>306374958.39999998</v>
      </c>
      <c r="H15" s="25" t="s">
        <v>17</v>
      </c>
      <c r="I15" s="19">
        <v>0</v>
      </c>
      <c r="J15" s="113"/>
      <c r="L15" s="5">
        <v>2.1</v>
      </c>
      <c r="M15" s="27">
        <f>G26</f>
        <v>565929285.6500001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+SEPTIEMBRE!G16+'AGOSTO '!G16+JULIO!G16</f>
        <v>22795994.560000002</v>
      </c>
      <c r="H16" s="25"/>
      <c r="I16" s="23"/>
      <c r="J16" s="17"/>
      <c r="L16" s="5">
        <v>2.2000000000000002</v>
      </c>
      <c r="M16" s="27">
        <f>G87</f>
        <v>2443769.2999999998</v>
      </c>
      <c r="N16" s="27">
        <f>H87</f>
        <v>8735180.129999999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331276621.69999999</v>
      </c>
      <c r="J17" s="17"/>
      <c r="L17" s="5">
        <v>2.2999999999999998</v>
      </c>
      <c r="M17" s="27">
        <f>'[1]CONS. FUENTES FINAN'!G212</f>
        <v>15408530.41</v>
      </c>
      <c r="N17" s="27">
        <f>'[1]CONS. FUENTES FINAN'!H212</f>
        <v>999513.81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350986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11931242.440000001</v>
      </c>
      <c r="N19" s="27">
        <f>H336</f>
        <v>2945979.2199999997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'[1]CONS. FUENTES FINAN'!G463</f>
        <v>0</v>
      </c>
      <c r="N20" s="27">
        <f>'[1]CONS. FUENTES FINAN'!H463</f>
        <v>0</v>
      </c>
    </row>
    <row r="21" spans="1:16" ht="24.75" customHeight="1" x14ac:dyDescent="0.2">
      <c r="A21" s="195" t="s">
        <v>19</v>
      </c>
      <c r="B21" s="195"/>
      <c r="C21" s="195"/>
      <c r="D21" s="195"/>
      <c r="E21" s="195"/>
      <c r="F21" s="196" t="s">
        <v>20</v>
      </c>
      <c r="G21" s="199" t="s">
        <v>21</v>
      </c>
      <c r="H21" s="200"/>
      <c r="I21" s="201" t="s">
        <v>22</v>
      </c>
      <c r="J21" s="204" t="s">
        <v>23</v>
      </c>
    </row>
    <row r="22" spans="1:16" ht="24" customHeight="1" x14ac:dyDescent="0.2">
      <c r="A22" s="207" t="s">
        <v>24</v>
      </c>
      <c r="B22" s="207" t="s">
        <v>25</v>
      </c>
      <c r="C22" s="207" t="s">
        <v>26</v>
      </c>
      <c r="D22" s="207" t="s">
        <v>27</v>
      </c>
      <c r="E22" s="207" t="s">
        <v>28</v>
      </c>
      <c r="F22" s="197"/>
      <c r="G22" s="192" t="s">
        <v>29</v>
      </c>
      <c r="H22" s="192" t="s">
        <v>30</v>
      </c>
      <c r="I22" s="202"/>
      <c r="J22" s="205"/>
    </row>
    <row r="23" spans="1:16" ht="29.25" customHeight="1" x14ac:dyDescent="0.2">
      <c r="A23" s="208"/>
      <c r="B23" s="208"/>
      <c r="C23" s="208"/>
      <c r="D23" s="208"/>
      <c r="E23" s="208"/>
      <c r="F23" s="198"/>
      <c r="G23" s="193"/>
      <c r="H23" s="193"/>
      <c r="I23" s="203"/>
      <c r="J23" s="206"/>
      <c r="L23" s="194"/>
      <c r="M23" s="194"/>
      <c r="N23" s="194"/>
      <c r="O23" s="194"/>
      <c r="P23" s="194"/>
    </row>
    <row r="24" spans="1:16" ht="18.75" customHeight="1" thickBot="1" x14ac:dyDescent="0.25">
      <c r="A24" s="44">
        <v>2</v>
      </c>
      <c r="B24" s="45"/>
      <c r="C24" s="45"/>
      <c r="D24" s="45"/>
      <c r="E24" s="45"/>
      <c r="F24" s="114" t="s">
        <v>31</v>
      </c>
      <c r="G24" s="119">
        <f>+SEPTIEMBRE!G25+'AGOSTO '!G25+JULIO!G24+'OCTUBRE '!G25+'ENERO-JUNIO 2025'!G25+'RESUMEN TRIMESTRE OCTUBRE-DIC'!G25</f>
        <v>1425905452.1099999</v>
      </c>
      <c r="H24" s="119">
        <f>+SEPTIEMBRE!H25+'AGOSTO '!H25+JULIO!H24+'OCTUBRE '!H25+'ENERO-JUNIO 2025'!H25</f>
        <v>84207144.310000002</v>
      </c>
      <c r="I24" s="119">
        <f>+G24+H24</f>
        <v>1510112596.4199998</v>
      </c>
      <c r="J24" s="48">
        <v>1</v>
      </c>
      <c r="L24" s="43"/>
      <c r="M24" s="43"/>
      <c r="N24" s="43"/>
      <c r="O24" s="43"/>
      <c r="P24" s="43"/>
    </row>
    <row r="25" spans="1:16" ht="13.5" thickTop="1" x14ac:dyDescent="0.2">
      <c r="A25" s="49">
        <v>2</v>
      </c>
      <c r="B25" s="50">
        <v>1</v>
      </c>
      <c r="C25" s="50"/>
      <c r="D25" s="50"/>
      <c r="E25" s="50"/>
      <c r="F25" s="115" t="s">
        <v>32</v>
      </c>
      <c r="G25" s="120">
        <f>+SEPTIEMBRE!G26+'AGOSTO '!G26+JULIO!G25+'OCTUBRE '!G26+'ENERO-JUNIO 2025'!G26</f>
        <v>686076345.65999997</v>
      </c>
      <c r="H25" s="120">
        <f>+SEPTIEMBRE!H26+'AGOSTO '!H26+JULIO!H25+'OCTUBRE '!H26+'ENERO-JUNIO 2025'!H26</f>
        <v>9644681.1400000006</v>
      </c>
      <c r="I25" s="120">
        <f t="shared" ref="I25:I88" si="0">+G25+H25</f>
        <v>695721026.79999995</v>
      </c>
      <c r="J25" s="53">
        <v>0.59671634863680134</v>
      </c>
    </row>
    <row r="26" spans="1:16" x14ac:dyDescent="0.2">
      <c r="A26" s="54">
        <v>2</v>
      </c>
      <c r="B26" s="55">
        <v>1</v>
      </c>
      <c r="C26" s="55">
        <v>1</v>
      </c>
      <c r="D26" s="55"/>
      <c r="E26" s="55"/>
      <c r="F26" s="83" t="s">
        <v>33</v>
      </c>
      <c r="G26" s="121">
        <f>+SEPTIEMBRE!G27+'AGOSTO '!G27+JULIO!G26+'OCTUBRE '!G27+'ENERO-JUNIO 2025'!G27</f>
        <v>565929285.6500001</v>
      </c>
      <c r="H26" s="121">
        <f>+SEPTIEMBRE!H27+'AGOSTO '!H27+JULIO!H26+'OCTUBRE '!H27+'ENERO-JUNIO 2025'!H27</f>
        <v>0</v>
      </c>
      <c r="I26" s="121">
        <f t="shared" si="0"/>
        <v>565929285.6500001</v>
      </c>
      <c r="J26" s="53">
        <v>0.49290571240998249</v>
      </c>
    </row>
    <row r="27" spans="1:16" x14ac:dyDescent="0.2">
      <c r="A27" s="57">
        <v>2</v>
      </c>
      <c r="B27" s="58">
        <v>1</v>
      </c>
      <c r="C27" s="58">
        <v>1</v>
      </c>
      <c r="D27" s="58">
        <v>1</v>
      </c>
      <c r="E27" s="58"/>
      <c r="F27" s="82" t="s">
        <v>34</v>
      </c>
      <c r="G27" s="122">
        <f>+SEPTIEMBRE!G28+'AGOSTO '!G28+JULIO!G27+'OCTUBRE '!G28+'ENERO-JUNIO 2025'!G28</f>
        <v>552167796.80999994</v>
      </c>
      <c r="H27" s="122">
        <f>+SEPTIEMBRE!H28+'AGOSTO '!H28+JULIO!H27+'OCTUBRE '!H28+'ENERO-JUNIO 2025'!H28</f>
        <v>0</v>
      </c>
      <c r="I27" s="122">
        <f t="shared" si="0"/>
        <v>552167796.80999994</v>
      </c>
      <c r="J27" s="116">
        <v>0.48334770925124593</v>
      </c>
    </row>
    <row r="28" spans="1:16" x14ac:dyDescent="0.2">
      <c r="A28" s="61">
        <v>2</v>
      </c>
      <c r="B28" s="62">
        <v>1</v>
      </c>
      <c r="C28" s="62">
        <v>1</v>
      </c>
      <c r="D28" s="62">
        <v>1</v>
      </c>
      <c r="E28" s="63" t="s">
        <v>35</v>
      </c>
      <c r="F28" s="81" t="s">
        <v>36</v>
      </c>
      <c r="G28" s="123">
        <f>+SEPTIEMBRE!G29+'AGOSTO '!G29+JULIO!G28+'OCTUBRE '!G29+'ENERO-JUNIO 2025'!G29</f>
        <v>552167796.80999994</v>
      </c>
      <c r="H28" s="123">
        <f>+SEPTIEMBRE!H29+'AGOSTO '!H29+JULIO!H28+'OCTUBRE '!H29+'ENERO-JUNIO 2025'!H29</f>
        <v>0</v>
      </c>
      <c r="I28" s="123">
        <f t="shared" si="0"/>
        <v>552167796.80999994</v>
      </c>
      <c r="J28" s="65">
        <v>0.48334770925124593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37</v>
      </c>
      <c r="F29" s="69" t="s">
        <v>38</v>
      </c>
      <c r="G29" s="123">
        <f>+SEPTIEMBRE!G30+'AGOSTO '!G30+JULIO!G29+'OCTUBRE '!G30+'ENERO-JUNIO 2025'!G30</f>
        <v>0</v>
      </c>
      <c r="H29" s="123">
        <f>+SEPTIEMBRE!H30+'AGOSTO '!H30+JULIO!H29+'OCTUBRE '!H30+'ENERO-JUNIO 2025'!H30</f>
        <v>0</v>
      </c>
      <c r="I29" s="123">
        <f t="shared" si="0"/>
        <v>0</v>
      </c>
      <c r="J29" s="65">
        <v>0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39</v>
      </c>
      <c r="F30" s="69" t="s">
        <v>40</v>
      </c>
      <c r="G30" s="123">
        <f>+SEPTIEMBRE!G31+'AGOSTO '!G31+JULIO!G30+'OCTUBRE '!G31+'ENERO-JUNIO 2025'!G31</f>
        <v>0</v>
      </c>
      <c r="H30" s="123">
        <f>+SEPTIEMBRE!H31+'AGOSTO '!H31+JULIO!H30+'OCTUBRE '!H31+'ENERO-JUNIO 2025'!H31</f>
        <v>0</v>
      </c>
      <c r="I30" s="123">
        <f t="shared" si="0"/>
        <v>0</v>
      </c>
      <c r="J30" s="65"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41</v>
      </c>
      <c r="F31" s="69" t="s">
        <v>42</v>
      </c>
      <c r="G31" s="123">
        <f>+SEPTIEMBRE!G32+'AGOSTO '!G32+JULIO!G31+'OCTUBRE '!G32+'ENERO-JUNIO 2025'!G32</f>
        <v>0</v>
      </c>
      <c r="H31" s="123">
        <f>+SEPTIEMBRE!H32+'AGOSTO '!H32+JULIO!H31+'OCTUBRE '!H32+'ENERO-JUNIO 2025'!H32</f>
        <v>0</v>
      </c>
      <c r="I31" s="123">
        <f t="shared" si="0"/>
        <v>0</v>
      </c>
      <c r="J31" s="65"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43</v>
      </c>
      <c r="F32" s="69" t="s">
        <v>44</v>
      </c>
      <c r="G32" s="123">
        <f>+SEPTIEMBRE!G33+'AGOSTO '!G33+JULIO!G32+'OCTUBRE '!G33+'ENERO-JUNIO 2025'!G33</f>
        <v>0</v>
      </c>
      <c r="H32" s="123">
        <f>+SEPTIEMBRE!H33+'AGOSTO '!H33+JULIO!H32+'OCTUBRE '!H33+'ENERO-JUNIO 2025'!H33</f>
        <v>0</v>
      </c>
      <c r="I32" s="123">
        <f t="shared" si="0"/>
        <v>0</v>
      </c>
      <c r="J32" s="65"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45</v>
      </c>
      <c r="F33" s="69" t="s">
        <v>46</v>
      </c>
      <c r="G33" s="123">
        <f>+SEPTIEMBRE!G34+'AGOSTO '!G34+JULIO!G33+'OCTUBRE '!G34+'ENERO-JUNIO 2025'!G34</f>
        <v>0</v>
      </c>
      <c r="H33" s="123">
        <f>+SEPTIEMBRE!H34+'AGOSTO '!H34+JULIO!H33+'OCTUBRE '!H34+'ENERO-JUNIO 2025'!H34</f>
        <v>0</v>
      </c>
      <c r="I33" s="123">
        <f t="shared" si="0"/>
        <v>0</v>
      </c>
      <c r="J33" s="65">
        <v>0</v>
      </c>
    </row>
    <row r="34" spans="1:10" x14ac:dyDescent="0.2">
      <c r="A34" s="57">
        <v>2</v>
      </c>
      <c r="B34" s="58">
        <v>1</v>
      </c>
      <c r="C34" s="58">
        <v>1</v>
      </c>
      <c r="D34" s="58">
        <v>2</v>
      </c>
      <c r="E34" s="58"/>
      <c r="F34" s="86" t="s">
        <v>47</v>
      </c>
      <c r="G34" s="122">
        <f>+SEPTIEMBRE!G35+'AGOSTO '!G35+JULIO!G34+'OCTUBRE '!G35+'ENERO-JUNIO 2025'!G35</f>
        <v>11194310.300000001</v>
      </c>
      <c r="H34" s="122">
        <f>+SEPTIEMBRE!H35+'AGOSTO '!H35+JULIO!H34+'OCTUBRE '!H35+'ENERO-JUNIO 2025'!H35</f>
        <v>0</v>
      </c>
      <c r="I34" s="122">
        <f t="shared" si="0"/>
        <v>11194310.300000001</v>
      </c>
      <c r="J34" s="60"/>
    </row>
    <row r="35" spans="1:10" x14ac:dyDescent="0.2">
      <c r="A35" s="61">
        <v>2</v>
      </c>
      <c r="B35" s="62">
        <v>1</v>
      </c>
      <c r="C35" s="62">
        <v>1</v>
      </c>
      <c r="D35" s="62">
        <v>2</v>
      </c>
      <c r="E35" s="63" t="s">
        <v>39</v>
      </c>
      <c r="F35" s="69" t="s">
        <v>48</v>
      </c>
      <c r="G35" s="123">
        <f>+SEPTIEMBRE!G36+'AGOSTO '!G36+JULIO!G35+'OCTUBRE '!G36+'ENERO-JUNIO 2025'!G36</f>
        <v>0</v>
      </c>
      <c r="H35" s="123">
        <f>+SEPTIEMBRE!H36+'AGOSTO '!H36+JULIO!H35+'OCTUBRE '!H36+'ENERO-JUNIO 2025'!H36</f>
        <v>0</v>
      </c>
      <c r="I35" s="123">
        <f t="shared" si="0"/>
        <v>0</v>
      </c>
      <c r="J35" s="65">
        <v>0</v>
      </c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43</v>
      </c>
      <c r="F36" s="69" t="s">
        <v>49</v>
      </c>
      <c r="G36" s="123">
        <f>+SEPTIEMBRE!G37+'AGOSTO '!G37+JULIO!G36+'OCTUBRE '!G37+'ENERO-JUNIO 2025'!G37</f>
        <v>0</v>
      </c>
      <c r="H36" s="123">
        <f>+SEPTIEMBRE!H37+'AGOSTO '!H37+JULIO!H36+'OCTUBRE '!H37+'ENERO-JUNIO 2025'!H37</f>
        <v>0</v>
      </c>
      <c r="I36" s="123">
        <f t="shared" si="0"/>
        <v>0</v>
      </c>
      <c r="J36" s="65"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45</v>
      </c>
      <c r="F37" s="69" t="s">
        <v>50</v>
      </c>
      <c r="G37" s="123">
        <f>+SEPTIEMBRE!G38+'AGOSTO '!G38+JULIO!G37+'OCTUBRE '!G38+'ENERO-JUNIO 2025'!G38</f>
        <v>0</v>
      </c>
      <c r="H37" s="123">
        <f>+SEPTIEMBRE!H38+'AGOSTO '!H38+JULIO!H37+'OCTUBRE '!H38+'ENERO-JUNIO 2025'!H38</f>
        <v>0</v>
      </c>
      <c r="I37" s="123">
        <f t="shared" si="0"/>
        <v>0</v>
      </c>
      <c r="J37" s="65"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51</v>
      </c>
      <c r="F38" s="69" t="s">
        <v>52</v>
      </c>
      <c r="G38" s="123">
        <f>+SEPTIEMBRE!G39+'AGOSTO '!G39+JULIO!G38+'OCTUBRE '!G39+'ENERO-JUNIO 2025'!G39</f>
        <v>11194310.300000001</v>
      </c>
      <c r="H38" s="123">
        <f>+SEPTIEMBRE!H39+'AGOSTO '!H39+JULIO!H38+'OCTUBRE '!H39+'ENERO-JUNIO 2025'!H39</f>
        <v>0</v>
      </c>
      <c r="I38" s="123">
        <f t="shared" si="0"/>
        <v>11194310.300000001</v>
      </c>
      <c r="J38" s="65">
        <v>9.4567877749562722E-3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53</v>
      </c>
      <c r="F39" s="69" t="s">
        <v>54</v>
      </c>
      <c r="G39" s="123">
        <f>+SEPTIEMBRE!G40+'AGOSTO '!G40+JULIO!G39+'OCTUBRE '!G40+'ENERO-JUNIO 2025'!G40</f>
        <v>0</v>
      </c>
      <c r="H39" s="123">
        <f>+SEPTIEMBRE!H40+'AGOSTO '!H40+JULIO!H39+'OCTUBRE '!H40+'ENERO-JUNIO 2025'!H40</f>
        <v>0</v>
      </c>
      <c r="I39" s="123">
        <f t="shared" si="0"/>
        <v>0</v>
      </c>
      <c r="J39" s="65">
        <v>0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55</v>
      </c>
      <c r="F40" s="69" t="s">
        <v>56</v>
      </c>
      <c r="G40" s="123">
        <f>+SEPTIEMBRE!G41+'AGOSTO '!G41+JULIO!G40+'OCTUBRE '!G41+'ENERO-JUNIO 2025'!G41</f>
        <v>0</v>
      </c>
      <c r="H40" s="123">
        <f>+SEPTIEMBRE!H41+'AGOSTO '!H41+JULIO!H40+'OCTUBRE '!H41+'ENERO-JUNIO 2025'!H41</f>
        <v>0</v>
      </c>
      <c r="I40" s="123">
        <f t="shared" si="0"/>
        <v>0</v>
      </c>
      <c r="J40" s="65">
        <v>0</v>
      </c>
    </row>
    <row r="41" spans="1:10" x14ac:dyDescent="0.2">
      <c r="A41" s="57">
        <v>2</v>
      </c>
      <c r="B41" s="58">
        <v>1</v>
      </c>
      <c r="C41" s="58">
        <v>1</v>
      </c>
      <c r="D41" s="58">
        <v>3</v>
      </c>
      <c r="E41" s="58"/>
      <c r="F41" s="86" t="s">
        <v>57</v>
      </c>
      <c r="G41" s="122">
        <f>+SEPTIEMBRE!G42+'AGOSTO '!G42+JULIO!G41+'OCTUBRE '!G42+'ENERO-JUNIO 2025'!G42</f>
        <v>0</v>
      </c>
      <c r="H41" s="122">
        <f>+SEPTIEMBRE!H42+'AGOSTO '!H42+JULIO!H41+'OCTUBRE '!H42+'ENERO-JUNIO 2025'!H42</f>
        <v>0</v>
      </c>
      <c r="I41" s="122">
        <f t="shared" si="0"/>
        <v>0</v>
      </c>
      <c r="J41" s="60"/>
    </row>
    <row r="42" spans="1:10" x14ac:dyDescent="0.2">
      <c r="A42" s="61">
        <v>2</v>
      </c>
      <c r="B42" s="62">
        <v>1</v>
      </c>
      <c r="C42" s="62">
        <v>1</v>
      </c>
      <c r="D42" s="62">
        <v>3</v>
      </c>
      <c r="E42" s="63" t="s">
        <v>35</v>
      </c>
      <c r="F42" s="69" t="s">
        <v>57</v>
      </c>
      <c r="G42" s="123">
        <f>+SEPTIEMBRE!G43+'AGOSTO '!G43+JULIO!G42+'OCTUBRE '!G43+'ENERO-JUNIO 2025'!G43</f>
        <v>0</v>
      </c>
      <c r="H42" s="123">
        <f>+SEPTIEMBRE!H43+'AGOSTO '!H43+JULIO!H42+'OCTUBRE '!H43+'ENERO-JUNIO 2025'!H43</f>
        <v>0</v>
      </c>
      <c r="I42" s="123">
        <f t="shared" si="0"/>
        <v>0</v>
      </c>
      <c r="J42" s="65">
        <v>0</v>
      </c>
    </row>
    <row r="43" spans="1:10" x14ac:dyDescent="0.2">
      <c r="A43" s="57">
        <v>2</v>
      </c>
      <c r="B43" s="58">
        <v>1</v>
      </c>
      <c r="C43" s="58">
        <v>1</v>
      </c>
      <c r="D43" s="58">
        <v>4</v>
      </c>
      <c r="E43" s="58"/>
      <c r="F43" s="86" t="s">
        <v>58</v>
      </c>
      <c r="G43" s="122">
        <f>+SEPTIEMBRE!G44+'AGOSTO '!G44+JULIO!G43+'OCTUBRE '!G44+'ENERO-JUNIO 2025'!G44</f>
        <v>0</v>
      </c>
      <c r="H43" s="122">
        <f>+SEPTIEMBRE!H44+'AGOSTO '!H44+JULIO!H43+'OCTUBRE '!H44+'ENERO-JUNIO 2025'!H44</f>
        <v>0</v>
      </c>
      <c r="I43" s="122">
        <f t="shared" si="0"/>
        <v>0</v>
      </c>
      <c r="J43" s="60"/>
    </row>
    <row r="44" spans="1:10" x14ac:dyDescent="0.2">
      <c r="A44" s="61">
        <v>2</v>
      </c>
      <c r="B44" s="62">
        <v>1</v>
      </c>
      <c r="C44" s="62">
        <v>1</v>
      </c>
      <c r="D44" s="62">
        <v>4</v>
      </c>
      <c r="E44" s="63" t="s">
        <v>35</v>
      </c>
      <c r="F44" s="69" t="s">
        <v>58</v>
      </c>
      <c r="G44" s="123">
        <f>+SEPTIEMBRE!G45+'AGOSTO '!G45+JULIO!G44+'OCTUBRE '!G45+'ENERO-JUNIO 2025'!G45</f>
        <v>0</v>
      </c>
      <c r="H44" s="123">
        <f>+SEPTIEMBRE!H45+'AGOSTO '!H45+JULIO!H44+'OCTUBRE '!H45+'ENERO-JUNIO 2025'!H45</f>
        <v>0</v>
      </c>
      <c r="I44" s="123">
        <f t="shared" si="0"/>
        <v>0</v>
      </c>
      <c r="J44" s="65">
        <v>0</v>
      </c>
    </row>
    <row r="45" spans="1:10" x14ac:dyDescent="0.2">
      <c r="A45" s="57">
        <v>2</v>
      </c>
      <c r="B45" s="58">
        <v>1</v>
      </c>
      <c r="C45" s="58">
        <v>1</v>
      </c>
      <c r="D45" s="58">
        <v>5</v>
      </c>
      <c r="E45" s="58"/>
      <c r="F45" s="86" t="s">
        <v>59</v>
      </c>
      <c r="G45" s="122">
        <f>+SEPTIEMBRE!G46+'AGOSTO '!G46+JULIO!G45+'OCTUBRE '!G46+'ENERO-JUNIO 2025'!G46</f>
        <v>2567178.54</v>
      </c>
      <c r="H45" s="122">
        <f>+SEPTIEMBRE!H46+'AGOSTO '!H46+JULIO!H45+'OCTUBRE '!H46+'ENERO-JUNIO 2025'!H46</f>
        <v>0</v>
      </c>
      <c r="I45" s="122">
        <f t="shared" si="0"/>
        <v>2567178.54</v>
      </c>
      <c r="J45" s="60"/>
    </row>
    <row r="46" spans="1:10" x14ac:dyDescent="0.2">
      <c r="A46" s="61">
        <v>2</v>
      </c>
      <c r="B46" s="62">
        <v>1</v>
      </c>
      <c r="C46" s="62">
        <v>1</v>
      </c>
      <c r="D46" s="62">
        <v>5</v>
      </c>
      <c r="E46" s="63" t="s">
        <v>35</v>
      </c>
      <c r="F46" s="69" t="s">
        <v>59</v>
      </c>
      <c r="G46" s="123">
        <f>+SEPTIEMBRE!G47+'AGOSTO '!G47+JULIO!G46+'OCTUBRE '!G47+'ENERO-JUNIO 2025'!G47</f>
        <v>0</v>
      </c>
      <c r="H46" s="123">
        <f>+SEPTIEMBRE!H47+'AGOSTO '!H47+JULIO!H46+'OCTUBRE '!H47+'ENERO-JUNIO 2025'!H47</f>
        <v>0</v>
      </c>
      <c r="I46" s="123">
        <f t="shared" si="0"/>
        <v>0</v>
      </c>
      <c r="J46" s="65">
        <v>0</v>
      </c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37</v>
      </c>
      <c r="F47" s="69" t="s">
        <v>60</v>
      </c>
      <c r="G47" s="123">
        <f>+SEPTIEMBRE!G48+'AGOSTO '!G48+JULIO!G47+'OCTUBRE '!G48+'ENERO-JUNIO 2025'!G48</f>
        <v>0</v>
      </c>
      <c r="H47" s="123">
        <f>+SEPTIEMBRE!H48+'AGOSTO '!H48+JULIO!H47+'OCTUBRE '!H48+'ENERO-JUNIO 2025'!H48</f>
        <v>0</v>
      </c>
      <c r="I47" s="123">
        <f t="shared" si="0"/>
        <v>0</v>
      </c>
      <c r="J47" s="65"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39</v>
      </c>
      <c r="F48" s="69" t="s">
        <v>61</v>
      </c>
      <c r="G48" s="123">
        <f>+SEPTIEMBRE!G49+'AGOSTO '!G49+JULIO!G48+'OCTUBRE '!G49+'ENERO-JUNIO 2025'!G49</f>
        <v>1261233.33</v>
      </c>
      <c r="H48" s="123">
        <f>+SEPTIEMBRE!H49+'AGOSTO '!H49+JULIO!H48+'OCTUBRE '!H49+'ENERO-JUNIO 2025'!H49</f>
        <v>0</v>
      </c>
      <c r="I48" s="123">
        <f t="shared" si="0"/>
        <v>1261233.33</v>
      </c>
      <c r="J48" s="65">
        <v>1.01215383780285E-4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41</v>
      </c>
      <c r="F49" s="69" t="s">
        <v>62</v>
      </c>
      <c r="G49" s="123">
        <f>+SEPTIEMBRE!G50+'AGOSTO '!G50+JULIO!G49+'OCTUBRE '!G50+'ENERO-JUNIO 2025'!G50</f>
        <v>1305945.21</v>
      </c>
      <c r="H49" s="123">
        <f>+SEPTIEMBRE!H50+'AGOSTO '!H50+JULIO!H49+'OCTUBRE '!H50+'ENERO-JUNIO 2025'!H50</f>
        <v>0</v>
      </c>
      <c r="I49" s="123">
        <f t="shared" si="0"/>
        <v>1305945.21</v>
      </c>
      <c r="J49" s="65">
        <v>0</v>
      </c>
    </row>
    <row r="50" spans="1:10" x14ac:dyDescent="0.2">
      <c r="A50" s="54">
        <v>2</v>
      </c>
      <c r="B50" s="55">
        <v>1</v>
      </c>
      <c r="C50" s="55">
        <v>2</v>
      </c>
      <c r="D50" s="55"/>
      <c r="E50" s="55"/>
      <c r="F50" s="85" t="s">
        <v>63</v>
      </c>
      <c r="G50" s="121">
        <f>+SEPTIEMBRE!G51+'AGOSTO '!G51+JULIO!G50+'OCTUBRE '!G51+'ENERO-JUNIO 2025'!G51</f>
        <v>33460136.300000001</v>
      </c>
      <c r="H50" s="121">
        <f>+SEPTIEMBRE!H51+'AGOSTO '!H51+JULIO!H50+'OCTUBRE '!H51+'ENERO-JUNIO 2025'!H51</f>
        <v>9644681.1400000006</v>
      </c>
      <c r="I50" s="121">
        <f t="shared" si="0"/>
        <v>43104817.439999998</v>
      </c>
      <c r="J50" s="53"/>
    </row>
    <row r="51" spans="1:10" x14ac:dyDescent="0.2">
      <c r="A51" s="57">
        <v>2</v>
      </c>
      <c r="B51" s="58">
        <v>1</v>
      </c>
      <c r="C51" s="58">
        <v>2</v>
      </c>
      <c r="D51" s="58">
        <v>1</v>
      </c>
      <c r="E51" s="58"/>
      <c r="F51" s="86" t="s">
        <v>64</v>
      </c>
      <c r="G51" s="122">
        <f>+SEPTIEMBRE!G52+'AGOSTO '!G52+JULIO!G51+'OCTUBRE '!G52+'ENERO-JUNIO 2025'!G52</f>
        <v>27240639.520000003</v>
      </c>
      <c r="H51" s="122">
        <f>+SEPTIEMBRE!H52+'AGOSTO '!H52+JULIO!H51+'OCTUBRE '!H52+'ENERO-JUNIO 2025'!H52</f>
        <v>0</v>
      </c>
      <c r="I51" s="122">
        <f t="shared" si="0"/>
        <v>27240639.520000003</v>
      </c>
      <c r="J51" s="60"/>
    </row>
    <row r="52" spans="1:10" x14ac:dyDescent="0.2">
      <c r="A52" s="61">
        <v>2</v>
      </c>
      <c r="B52" s="62">
        <v>1</v>
      </c>
      <c r="C52" s="62">
        <v>2</v>
      </c>
      <c r="D52" s="62">
        <v>1</v>
      </c>
      <c r="E52" s="63" t="s">
        <v>35</v>
      </c>
      <c r="F52" s="69" t="s">
        <v>64</v>
      </c>
      <c r="G52" s="123">
        <f>+SEPTIEMBRE!G53+'AGOSTO '!G53+JULIO!G52+'OCTUBRE '!G53+'ENERO-JUNIO 2025'!G53</f>
        <v>27240639.520000003</v>
      </c>
      <c r="H52" s="123">
        <f>+SEPTIEMBRE!H53+'AGOSTO '!H53+JULIO!H52+'OCTUBRE '!H53+'ENERO-JUNIO 2025'!H53</f>
        <v>0</v>
      </c>
      <c r="I52" s="123">
        <f t="shared" si="0"/>
        <v>27240639.520000003</v>
      </c>
      <c r="J52" s="65">
        <v>2.2644526335480444E-2</v>
      </c>
    </row>
    <row r="53" spans="1:10" x14ac:dyDescent="0.2">
      <c r="A53" s="57">
        <v>2</v>
      </c>
      <c r="B53" s="58">
        <v>1</v>
      </c>
      <c r="C53" s="58">
        <v>2</v>
      </c>
      <c r="D53" s="58">
        <v>2</v>
      </c>
      <c r="E53" s="58"/>
      <c r="F53" s="86" t="s">
        <v>65</v>
      </c>
      <c r="G53" s="122">
        <f>+SEPTIEMBRE!G54+'AGOSTO '!G54+JULIO!G53+'OCTUBRE '!G54+'ENERO-JUNIO 2025'!G54</f>
        <v>6219496.7800000003</v>
      </c>
      <c r="H53" s="122">
        <f>+SEPTIEMBRE!H54+'AGOSTO '!H54+JULIO!H53+'OCTUBRE '!H54+'ENERO-JUNIO 2025'!H54</f>
        <v>9644681.1400000006</v>
      </c>
      <c r="I53" s="122">
        <f t="shared" si="0"/>
        <v>15864177.920000002</v>
      </c>
      <c r="J53" s="60"/>
    </row>
    <row r="54" spans="1:10" x14ac:dyDescent="0.2">
      <c r="A54" s="61">
        <v>2</v>
      </c>
      <c r="B54" s="62">
        <v>1</v>
      </c>
      <c r="C54" s="62">
        <v>2</v>
      </c>
      <c r="D54" s="62">
        <v>2</v>
      </c>
      <c r="E54" s="63" t="s">
        <v>35</v>
      </c>
      <c r="F54" s="69" t="s">
        <v>66</v>
      </c>
      <c r="G54" s="123">
        <f>+SEPTIEMBRE!G55+'AGOSTO '!G55+JULIO!G54+'OCTUBRE '!G55+'ENERO-JUNIO 2025'!G55</f>
        <v>0</v>
      </c>
      <c r="H54" s="123">
        <f>+SEPTIEMBRE!H55+'AGOSTO '!H55+JULIO!H54+'OCTUBRE '!H55+'ENERO-JUNIO 2025'!H55</f>
        <v>0</v>
      </c>
      <c r="I54" s="123">
        <f t="shared" si="0"/>
        <v>0</v>
      </c>
      <c r="J54" s="65">
        <v>0</v>
      </c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39</v>
      </c>
      <c r="F55" s="69" t="s">
        <v>67</v>
      </c>
      <c r="G55" s="123">
        <f>+SEPTIEMBRE!G56+'AGOSTO '!G56+JULIO!G55+'OCTUBRE '!G56+'ENERO-JUNIO 2025'!G56</f>
        <v>0</v>
      </c>
      <c r="H55" s="123">
        <f>+SEPTIEMBRE!H56+'AGOSTO '!H56+JULIO!H55+'OCTUBRE '!H56+'ENERO-JUNIO 2025'!H56</f>
        <v>0</v>
      </c>
      <c r="I55" s="123">
        <f t="shared" si="0"/>
        <v>0</v>
      </c>
      <c r="J55" s="65"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41</v>
      </c>
      <c r="F56" s="69" t="s">
        <v>68</v>
      </c>
      <c r="G56" s="123">
        <f>+SEPTIEMBRE!G57+'AGOSTO '!G57+JULIO!G56+'OCTUBRE '!G57+'ENERO-JUNIO 2025'!G57</f>
        <v>0</v>
      </c>
      <c r="H56" s="123">
        <f>+SEPTIEMBRE!H57+'AGOSTO '!H57+JULIO!H56+'OCTUBRE '!H57+'ENERO-JUNIO 2025'!H57</f>
        <v>0</v>
      </c>
      <c r="I56" s="123">
        <f t="shared" si="0"/>
        <v>0</v>
      </c>
      <c r="J56" s="65"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43</v>
      </c>
      <c r="F57" s="69" t="s">
        <v>69</v>
      </c>
      <c r="G57" s="123">
        <f>+SEPTIEMBRE!G58+'AGOSTO '!G58+JULIO!G57+'OCTUBRE '!G58+'ENERO-JUNIO 2025'!G58</f>
        <v>450000</v>
      </c>
      <c r="H57" s="123">
        <f>+SEPTIEMBRE!H58+'AGOSTO '!H58+JULIO!H57+'OCTUBRE '!H58+'ENERO-JUNIO 2025'!H58</f>
        <v>0</v>
      </c>
      <c r="I57" s="123">
        <f t="shared" si="0"/>
        <v>450000</v>
      </c>
      <c r="J57" s="65">
        <v>3.7642084876965496E-4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45</v>
      </c>
      <c r="F58" s="69" t="s">
        <v>70</v>
      </c>
      <c r="G58" s="123">
        <f>+SEPTIEMBRE!G59+'AGOSTO '!G59+JULIO!G58+'OCTUBRE '!G59+'ENERO-JUNIO 2025'!G59</f>
        <v>0</v>
      </c>
      <c r="H58" s="123">
        <f>+SEPTIEMBRE!H59+'AGOSTO '!H59+JULIO!H58+'OCTUBRE '!H59+'ENERO-JUNIO 2025'!H59</f>
        <v>9644681.1400000006</v>
      </c>
      <c r="I58" s="123">
        <f t="shared" si="0"/>
        <v>9644681.1400000006</v>
      </c>
      <c r="J58" s="65">
        <v>0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71</v>
      </c>
      <c r="F59" s="69" t="s">
        <v>72</v>
      </c>
      <c r="G59" s="123">
        <f>+SEPTIEMBRE!G60+'AGOSTO '!G60+JULIO!G59+'OCTUBRE '!G60+'ENERO-JUNIO 2025'!G60</f>
        <v>0</v>
      </c>
      <c r="H59" s="123">
        <f>+SEPTIEMBRE!H60+'AGOSTO '!H60+JULIO!H59+'OCTUBRE '!H60+'ENERO-JUNIO 2025'!H60</f>
        <v>0</v>
      </c>
      <c r="I59" s="123">
        <f t="shared" si="0"/>
        <v>0</v>
      </c>
      <c r="J59" s="65"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51</v>
      </c>
      <c r="F60" s="69" t="s">
        <v>73</v>
      </c>
      <c r="G60" s="123">
        <f>+SEPTIEMBRE!G61+'AGOSTO '!G61+JULIO!G60+'OCTUBRE '!G61+'ENERO-JUNIO 2025'!G61</f>
        <v>3205400</v>
      </c>
      <c r="H60" s="123">
        <f>+SEPTIEMBRE!H61+'AGOSTO '!H61+JULIO!H60+'OCTUBRE '!H61+'ENERO-JUNIO 2025'!H61</f>
        <v>0</v>
      </c>
      <c r="I60" s="123">
        <f t="shared" si="0"/>
        <v>3205400</v>
      </c>
      <c r="J60" s="65">
        <v>2.5613347531837413E-3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53</v>
      </c>
      <c r="F61" s="69" t="s">
        <v>74</v>
      </c>
      <c r="G61" s="123">
        <f>+SEPTIEMBRE!G62+'AGOSTO '!G62+JULIO!G61+'OCTUBRE '!G62+'ENERO-JUNIO 2025'!G62</f>
        <v>443970.11</v>
      </c>
      <c r="H61" s="123">
        <f>+SEPTIEMBRE!H62+'AGOSTO '!H62+JULIO!H61+'OCTUBRE '!H62+'ENERO-JUNIO 2025'!H62</f>
        <v>0</v>
      </c>
      <c r="I61" s="123">
        <f t="shared" si="0"/>
        <v>443970.11</v>
      </c>
      <c r="J61" s="65">
        <v>0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2">
        <v>10</v>
      </c>
      <c r="F62" s="69" t="s">
        <v>75</v>
      </c>
      <c r="G62" s="123">
        <f>+SEPTIEMBRE!G63+'AGOSTO '!G63+JULIO!G62+'OCTUBRE '!G63+'ENERO-JUNIO 2025'!G63</f>
        <v>2120126.67</v>
      </c>
      <c r="H62" s="123">
        <f>+SEPTIEMBRE!H63+'AGOSTO '!H63+JULIO!H62+'OCTUBRE '!H63+'ENERO-JUNIO 2025'!H63</f>
        <v>0</v>
      </c>
      <c r="I62" s="123">
        <f t="shared" si="0"/>
        <v>2120126.67</v>
      </c>
      <c r="J62" s="65">
        <v>2.3973322881796003E-3</v>
      </c>
    </row>
    <row r="63" spans="1:10" x14ac:dyDescent="0.2">
      <c r="A63" s="70">
        <v>2</v>
      </c>
      <c r="B63" s="55">
        <v>1</v>
      </c>
      <c r="C63" s="55">
        <v>3</v>
      </c>
      <c r="D63" s="55"/>
      <c r="E63" s="55"/>
      <c r="F63" s="79" t="s">
        <v>76</v>
      </c>
      <c r="G63" s="124">
        <f>+SEPTIEMBRE!G64+'AGOSTO '!G64+JULIO!G63+'OCTUBRE '!G64+'ENERO-JUNIO 2025'!G64</f>
        <v>0</v>
      </c>
      <c r="H63" s="124">
        <f>+SEPTIEMBRE!H64+'AGOSTO '!H64+JULIO!H63+'OCTUBRE '!H64+'ENERO-JUNIO 2025'!H64</f>
        <v>0</v>
      </c>
      <c r="I63" s="124">
        <f t="shared" si="0"/>
        <v>0</v>
      </c>
      <c r="J63" s="53"/>
    </row>
    <row r="64" spans="1:10" x14ac:dyDescent="0.2">
      <c r="A64" s="72">
        <v>2</v>
      </c>
      <c r="B64" s="58">
        <v>1</v>
      </c>
      <c r="C64" s="58">
        <v>3</v>
      </c>
      <c r="D64" s="58">
        <v>1</v>
      </c>
      <c r="E64" s="58"/>
      <c r="F64" s="117" t="s">
        <v>77</v>
      </c>
      <c r="G64" s="125">
        <f>+SEPTIEMBRE!G65+'AGOSTO '!G65+JULIO!G64+'OCTUBRE '!G65+'ENERO-JUNIO 2025'!G65</f>
        <v>0</v>
      </c>
      <c r="H64" s="125">
        <f>+SEPTIEMBRE!H65+'AGOSTO '!H65+JULIO!H64+'OCTUBRE '!H65+'ENERO-JUNIO 2025'!H65</f>
        <v>0</v>
      </c>
      <c r="I64" s="125">
        <f t="shared" si="0"/>
        <v>0</v>
      </c>
      <c r="J64" s="60"/>
    </row>
    <row r="65" spans="1:10" x14ac:dyDescent="0.2">
      <c r="A65" s="74">
        <v>2</v>
      </c>
      <c r="B65" s="62">
        <v>1</v>
      </c>
      <c r="C65" s="62">
        <v>3</v>
      </c>
      <c r="D65" s="62">
        <v>1</v>
      </c>
      <c r="E65" s="63" t="s">
        <v>35</v>
      </c>
      <c r="F65" s="80" t="s">
        <v>78</v>
      </c>
      <c r="G65" s="126">
        <f>+SEPTIEMBRE!G66+'AGOSTO '!G66+JULIO!G65+'OCTUBRE '!G66+'ENERO-JUNIO 2025'!G66</f>
        <v>0</v>
      </c>
      <c r="H65" s="126">
        <f>+SEPTIEMBRE!H66+'AGOSTO '!H66+JULIO!H65+'OCTUBRE '!H66+'ENERO-JUNIO 2025'!H66</f>
        <v>0</v>
      </c>
      <c r="I65" s="126">
        <f t="shared" si="0"/>
        <v>0</v>
      </c>
      <c r="J65" s="65">
        <v>0</v>
      </c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37</v>
      </c>
      <c r="F66" s="80" t="s">
        <v>79</v>
      </c>
      <c r="G66" s="126">
        <f>+SEPTIEMBRE!G67+'AGOSTO '!G67+JULIO!G66+'OCTUBRE '!G67+'ENERO-JUNIO 2025'!G67</f>
        <v>0</v>
      </c>
      <c r="H66" s="126">
        <f>+SEPTIEMBRE!H67+'AGOSTO '!H67+JULIO!H66+'OCTUBRE '!H67+'ENERO-JUNIO 2025'!H67</f>
        <v>0</v>
      </c>
      <c r="I66" s="126">
        <f t="shared" si="0"/>
        <v>0</v>
      </c>
      <c r="J66" s="65">
        <v>0</v>
      </c>
    </row>
    <row r="67" spans="1:10" x14ac:dyDescent="0.2">
      <c r="A67" s="72">
        <v>2</v>
      </c>
      <c r="B67" s="58">
        <v>1</v>
      </c>
      <c r="C67" s="58">
        <v>3</v>
      </c>
      <c r="D67" s="58">
        <v>2</v>
      </c>
      <c r="E67" s="58"/>
      <c r="F67" s="117" t="s">
        <v>80</v>
      </c>
      <c r="G67" s="125">
        <f>+SEPTIEMBRE!G68+'AGOSTO '!G68+JULIO!G67+'OCTUBRE '!G68+'ENERO-JUNIO 2025'!G68</f>
        <v>0</v>
      </c>
      <c r="H67" s="125">
        <f>+SEPTIEMBRE!H68+'AGOSTO '!H68+JULIO!H67+'OCTUBRE '!H68+'ENERO-JUNIO 2025'!H68</f>
        <v>0</v>
      </c>
      <c r="I67" s="125">
        <f t="shared" si="0"/>
        <v>0</v>
      </c>
      <c r="J67" s="60"/>
    </row>
    <row r="68" spans="1:10" x14ac:dyDescent="0.2">
      <c r="A68" s="74">
        <v>2</v>
      </c>
      <c r="B68" s="62">
        <v>1</v>
      </c>
      <c r="C68" s="62">
        <v>3</v>
      </c>
      <c r="D68" s="62">
        <v>2</v>
      </c>
      <c r="E68" s="63" t="s">
        <v>35</v>
      </c>
      <c r="F68" s="80" t="s">
        <v>81</v>
      </c>
      <c r="G68" s="126">
        <f>+SEPTIEMBRE!G69+'AGOSTO '!G69+JULIO!G68+'OCTUBRE '!G69+'ENERO-JUNIO 2025'!G69</f>
        <v>0</v>
      </c>
      <c r="H68" s="126">
        <f>+SEPTIEMBRE!H69+'AGOSTO '!H69+JULIO!H68+'OCTUBRE '!H69+'ENERO-JUNIO 2025'!H69</f>
        <v>0</v>
      </c>
      <c r="I68" s="126">
        <f t="shared" si="0"/>
        <v>0</v>
      </c>
      <c r="J68" s="65">
        <v>0</v>
      </c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37</v>
      </c>
      <c r="F69" s="80" t="s">
        <v>82</v>
      </c>
      <c r="G69" s="126">
        <f>+SEPTIEMBRE!G70+'AGOSTO '!G70+JULIO!G69+'OCTUBRE '!G70+'ENERO-JUNIO 2025'!G70</f>
        <v>0</v>
      </c>
      <c r="H69" s="126">
        <f>+SEPTIEMBRE!H70+'AGOSTO '!H70+JULIO!H69+'OCTUBRE '!H70+'ENERO-JUNIO 2025'!H70</f>
        <v>0</v>
      </c>
      <c r="I69" s="126">
        <f t="shared" si="0"/>
        <v>0</v>
      </c>
      <c r="J69" s="65">
        <v>0</v>
      </c>
    </row>
    <row r="70" spans="1:10" x14ac:dyDescent="0.2">
      <c r="A70" s="70">
        <v>2</v>
      </c>
      <c r="B70" s="55">
        <v>1</v>
      </c>
      <c r="C70" s="55">
        <v>4</v>
      </c>
      <c r="D70" s="55"/>
      <c r="E70" s="55"/>
      <c r="F70" s="79" t="s">
        <v>83</v>
      </c>
      <c r="G70" s="124">
        <f>+SEPTIEMBRE!G71+'AGOSTO '!G71+JULIO!G70+'OCTUBRE '!G71+'ENERO-JUNIO 2025'!G71</f>
        <v>0</v>
      </c>
      <c r="H70" s="124">
        <f>+SEPTIEMBRE!H71+'AGOSTO '!H71+JULIO!H70+'OCTUBRE '!H71+'ENERO-JUNIO 2025'!H71</f>
        <v>0</v>
      </c>
      <c r="I70" s="124">
        <f t="shared" si="0"/>
        <v>0</v>
      </c>
      <c r="J70" s="53"/>
    </row>
    <row r="71" spans="1:10" x14ac:dyDescent="0.2">
      <c r="A71" s="57">
        <v>2</v>
      </c>
      <c r="B71" s="58">
        <v>1</v>
      </c>
      <c r="C71" s="58">
        <v>4</v>
      </c>
      <c r="D71" s="58">
        <v>1</v>
      </c>
      <c r="E71" s="58"/>
      <c r="F71" s="86" t="s">
        <v>84</v>
      </c>
      <c r="G71" s="122">
        <f>+SEPTIEMBRE!G72+'AGOSTO '!G72+JULIO!G71+'OCTUBRE '!G72+'ENERO-JUNIO 2025'!G72</f>
        <v>0</v>
      </c>
      <c r="H71" s="122">
        <f>+SEPTIEMBRE!H72+'AGOSTO '!H72+JULIO!H71+'OCTUBRE '!H72+'ENERO-JUNIO 2025'!H72</f>
        <v>0</v>
      </c>
      <c r="I71" s="122">
        <f t="shared" si="0"/>
        <v>0</v>
      </c>
      <c r="J71" s="60"/>
    </row>
    <row r="72" spans="1:10" x14ac:dyDescent="0.2">
      <c r="A72" s="61">
        <v>2</v>
      </c>
      <c r="B72" s="62">
        <v>1</v>
      </c>
      <c r="C72" s="62">
        <v>4</v>
      </c>
      <c r="D72" s="62">
        <v>1</v>
      </c>
      <c r="E72" s="63" t="s">
        <v>35</v>
      </c>
      <c r="F72" s="69" t="s">
        <v>84</v>
      </c>
      <c r="G72" s="123">
        <f>+SEPTIEMBRE!G73+'AGOSTO '!G73+JULIO!G72+'OCTUBRE '!G73+'ENERO-JUNIO 2025'!G73</f>
        <v>0</v>
      </c>
      <c r="H72" s="123">
        <f>+SEPTIEMBRE!H73+'AGOSTO '!H73+JULIO!H72+'OCTUBRE '!H73+'ENERO-JUNIO 2025'!H73</f>
        <v>0</v>
      </c>
      <c r="I72" s="123">
        <f t="shared" si="0"/>
        <v>0</v>
      </c>
      <c r="J72" s="65">
        <v>0</v>
      </c>
    </row>
    <row r="73" spans="1:10" x14ac:dyDescent="0.2">
      <c r="A73" s="57">
        <v>2</v>
      </c>
      <c r="B73" s="58">
        <v>1</v>
      </c>
      <c r="C73" s="58">
        <v>4</v>
      </c>
      <c r="D73" s="58">
        <v>2</v>
      </c>
      <c r="E73" s="58"/>
      <c r="F73" s="86" t="s">
        <v>85</v>
      </c>
      <c r="G73" s="122">
        <f>+SEPTIEMBRE!G74+'AGOSTO '!G74+JULIO!G73+'OCTUBRE '!G74+'ENERO-JUNIO 2025'!G74</f>
        <v>0</v>
      </c>
      <c r="H73" s="122">
        <f>+SEPTIEMBRE!H74+'AGOSTO '!H74+JULIO!H73+'OCTUBRE '!H74+'ENERO-JUNIO 2025'!H74</f>
        <v>0</v>
      </c>
      <c r="I73" s="122">
        <f t="shared" si="0"/>
        <v>0</v>
      </c>
      <c r="J73" s="60"/>
    </row>
    <row r="74" spans="1:10" x14ac:dyDescent="0.2">
      <c r="A74" s="61">
        <v>2</v>
      </c>
      <c r="B74" s="62">
        <v>1</v>
      </c>
      <c r="C74" s="62">
        <v>4</v>
      </c>
      <c r="D74" s="62">
        <v>2</v>
      </c>
      <c r="E74" s="63" t="s">
        <v>35</v>
      </c>
      <c r="F74" s="69" t="s">
        <v>86</v>
      </c>
      <c r="G74" s="123">
        <f>+SEPTIEMBRE!G75+'AGOSTO '!G75+JULIO!G74+'OCTUBRE '!G75+'ENERO-JUNIO 2025'!G75</f>
        <v>0</v>
      </c>
      <c r="H74" s="123">
        <f>+SEPTIEMBRE!H75+'AGOSTO '!H75+JULIO!H74+'OCTUBRE '!H75+'ENERO-JUNIO 2025'!H75</f>
        <v>0</v>
      </c>
      <c r="I74" s="123">
        <f t="shared" si="0"/>
        <v>0</v>
      </c>
      <c r="J74" s="65">
        <v>0</v>
      </c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37</v>
      </c>
      <c r="F75" s="69" t="s">
        <v>87</v>
      </c>
      <c r="G75" s="123">
        <f>+SEPTIEMBRE!G76+'AGOSTO '!G76+JULIO!G75+'OCTUBRE '!G76+'ENERO-JUNIO 2025'!G76</f>
        <v>0</v>
      </c>
      <c r="H75" s="123">
        <f>+SEPTIEMBRE!H76+'AGOSTO '!H76+JULIO!H75+'OCTUBRE '!H76+'ENERO-JUNIO 2025'!H76</f>
        <v>0</v>
      </c>
      <c r="I75" s="123">
        <f t="shared" si="0"/>
        <v>0</v>
      </c>
      <c r="J75" s="65"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39</v>
      </c>
      <c r="F76" s="69" t="s">
        <v>88</v>
      </c>
      <c r="G76" s="123">
        <f>+SEPTIEMBRE!G77+'AGOSTO '!G77+JULIO!G76+'OCTUBRE '!G77+'ENERO-JUNIO 2025'!G77</f>
        <v>0</v>
      </c>
      <c r="H76" s="123">
        <f>+SEPTIEMBRE!H77+'AGOSTO '!H77+JULIO!H76+'OCTUBRE '!H77+'ENERO-JUNIO 2025'!H77</f>
        <v>0</v>
      </c>
      <c r="I76" s="123">
        <f t="shared" si="0"/>
        <v>0</v>
      </c>
      <c r="J76" s="65">
        <v>0</v>
      </c>
    </row>
    <row r="77" spans="1:10" x14ac:dyDescent="0.2">
      <c r="A77" s="70">
        <v>2</v>
      </c>
      <c r="B77" s="55">
        <v>1</v>
      </c>
      <c r="C77" s="55">
        <v>5</v>
      </c>
      <c r="D77" s="55"/>
      <c r="E77" s="55"/>
      <c r="F77" s="79" t="s">
        <v>89</v>
      </c>
      <c r="G77" s="124">
        <f>+SEPTIEMBRE!G78+'AGOSTO '!G78+JULIO!G77+'OCTUBRE '!G78+'ENERO-JUNIO 2025'!G78</f>
        <v>86686923.710000008</v>
      </c>
      <c r="H77" s="124">
        <f>+SEPTIEMBRE!H78+'AGOSTO '!H78+JULIO!H77+'OCTUBRE '!H78+'ENERO-JUNIO 2025'!H78</f>
        <v>0</v>
      </c>
      <c r="I77" s="124">
        <f t="shared" si="0"/>
        <v>86686923.710000008</v>
      </c>
      <c r="J77" s="53"/>
    </row>
    <row r="78" spans="1:10" x14ac:dyDescent="0.2">
      <c r="A78" s="57">
        <v>2</v>
      </c>
      <c r="B78" s="58">
        <v>1</v>
      </c>
      <c r="C78" s="58">
        <v>5</v>
      </c>
      <c r="D78" s="58">
        <v>1</v>
      </c>
      <c r="E78" s="58"/>
      <c r="F78" s="86" t="s">
        <v>90</v>
      </c>
      <c r="G78" s="122">
        <f>+SEPTIEMBRE!G79+'AGOSTO '!G79+JULIO!G78+'OCTUBRE '!G79+'ENERO-JUNIO 2025'!G79</f>
        <v>39942390.140000001</v>
      </c>
      <c r="H78" s="122">
        <f>+SEPTIEMBRE!H79+'AGOSTO '!H79+JULIO!H78+'OCTUBRE '!H79+'ENERO-JUNIO 2025'!H79</f>
        <v>0</v>
      </c>
      <c r="I78" s="122">
        <f t="shared" si="0"/>
        <v>39942390.140000001</v>
      </c>
      <c r="J78" s="60"/>
    </row>
    <row r="79" spans="1:10" x14ac:dyDescent="0.2">
      <c r="A79" s="61">
        <v>2</v>
      </c>
      <c r="B79" s="62">
        <v>1</v>
      </c>
      <c r="C79" s="62">
        <v>5</v>
      </c>
      <c r="D79" s="62">
        <v>1</v>
      </c>
      <c r="E79" s="63" t="s">
        <v>35</v>
      </c>
      <c r="F79" s="69" t="s">
        <v>90</v>
      </c>
      <c r="G79" s="123">
        <f>+SEPTIEMBRE!G80+'AGOSTO '!G80+JULIO!G79+'OCTUBRE '!G80+'ENERO-JUNIO 2025'!G80</f>
        <v>39942390.140000001</v>
      </c>
      <c r="H79" s="123">
        <f>+SEPTIEMBRE!H80+'AGOSTO '!H80+JULIO!H79+'OCTUBRE '!H80+'ENERO-JUNIO 2025'!H80</f>
        <v>0</v>
      </c>
      <c r="I79" s="123">
        <f t="shared" si="0"/>
        <v>39942390.140000001</v>
      </c>
      <c r="J79" s="65">
        <v>3.4939844674759968E-2</v>
      </c>
    </row>
    <row r="80" spans="1:10" x14ac:dyDescent="0.2">
      <c r="A80" s="57">
        <v>2</v>
      </c>
      <c r="B80" s="58">
        <v>1</v>
      </c>
      <c r="C80" s="58">
        <v>5</v>
      </c>
      <c r="D80" s="58">
        <v>2</v>
      </c>
      <c r="E80" s="58"/>
      <c r="F80" s="86" t="s">
        <v>91</v>
      </c>
      <c r="G80" s="122">
        <f>+SEPTIEMBRE!G81+'AGOSTO '!G81+JULIO!G80+'OCTUBRE '!G81+'ENERO-JUNIO 2025'!G81</f>
        <v>39998719.010000005</v>
      </c>
      <c r="H80" s="122">
        <f>+SEPTIEMBRE!H81+'AGOSTO '!H81+JULIO!H80+'OCTUBRE '!H81+'ENERO-JUNIO 2025'!H81</f>
        <v>0</v>
      </c>
      <c r="I80" s="122">
        <f t="shared" si="0"/>
        <v>39998719.010000005</v>
      </c>
      <c r="J80" s="60"/>
    </row>
    <row r="81" spans="1:10" x14ac:dyDescent="0.2">
      <c r="A81" s="61">
        <v>2</v>
      </c>
      <c r="B81" s="62">
        <v>1</v>
      </c>
      <c r="C81" s="62">
        <v>5</v>
      </c>
      <c r="D81" s="62">
        <v>2</v>
      </c>
      <c r="E81" s="63" t="s">
        <v>35</v>
      </c>
      <c r="F81" s="69" t="s">
        <v>91</v>
      </c>
      <c r="G81" s="123">
        <f>+SEPTIEMBRE!G82+'AGOSTO '!G82+JULIO!G81+'OCTUBRE '!G82+'ENERO-JUNIO 2025'!G82</f>
        <v>39998719.010000005</v>
      </c>
      <c r="H81" s="123">
        <f>+SEPTIEMBRE!H82+'AGOSTO '!H82+JULIO!H81+'OCTUBRE '!H82+'ENERO-JUNIO 2025'!H82</f>
        <v>0</v>
      </c>
      <c r="I81" s="123">
        <f t="shared" si="0"/>
        <v>39998719.010000005</v>
      </c>
      <c r="J81" s="65">
        <v>3.4989133220697868E-2</v>
      </c>
    </row>
    <row r="82" spans="1:10" x14ac:dyDescent="0.2">
      <c r="A82" s="57">
        <v>2</v>
      </c>
      <c r="B82" s="58">
        <v>1</v>
      </c>
      <c r="C82" s="58">
        <v>5</v>
      </c>
      <c r="D82" s="58">
        <v>3</v>
      </c>
      <c r="E82" s="58"/>
      <c r="F82" s="86" t="s">
        <v>92</v>
      </c>
      <c r="G82" s="122">
        <f>+SEPTIEMBRE!G83+'AGOSTO '!G83+JULIO!G82+'OCTUBRE '!G83+'ENERO-JUNIO 2025'!G83</f>
        <v>6745814.5600000005</v>
      </c>
      <c r="H82" s="122">
        <f>+SEPTIEMBRE!H83+'AGOSTO '!H83+JULIO!H82+'OCTUBRE '!H83+'ENERO-JUNIO 2025'!H83</f>
        <v>0</v>
      </c>
      <c r="I82" s="122">
        <f t="shared" si="0"/>
        <v>6745814.5600000005</v>
      </c>
      <c r="J82" s="60"/>
    </row>
    <row r="83" spans="1:10" x14ac:dyDescent="0.2">
      <c r="A83" s="61">
        <v>2</v>
      </c>
      <c r="B83" s="62">
        <v>1</v>
      </c>
      <c r="C83" s="62">
        <v>5</v>
      </c>
      <c r="D83" s="62">
        <v>3</v>
      </c>
      <c r="E83" s="63" t="s">
        <v>35</v>
      </c>
      <c r="F83" s="69" t="s">
        <v>92</v>
      </c>
      <c r="G83" s="123">
        <f>+SEPTIEMBRE!G84+'AGOSTO '!G84+JULIO!G83+'OCTUBRE '!G84+'ENERO-JUNIO 2025'!G84</f>
        <v>6745814.5600000005</v>
      </c>
      <c r="H83" s="123">
        <f>+SEPTIEMBRE!H84+'AGOSTO '!H84+JULIO!H83+'OCTUBRE '!H84+'ENERO-JUNIO 2025'!H84</f>
        <v>0</v>
      </c>
      <c r="I83" s="123">
        <f t="shared" si="0"/>
        <v>6745814.5600000005</v>
      </c>
      <c r="J83" s="65">
        <v>5.9020441057476359E-3</v>
      </c>
    </row>
    <row r="84" spans="1:10" x14ac:dyDescent="0.2">
      <c r="A84" s="57">
        <v>2</v>
      </c>
      <c r="B84" s="58">
        <v>1</v>
      </c>
      <c r="C84" s="58">
        <v>5</v>
      </c>
      <c r="D84" s="58">
        <v>4</v>
      </c>
      <c r="E84" s="58"/>
      <c r="F84" s="86" t="s">
        <v>93</v>
      </c>
      <c r="G84" s="122">
        <f>+SEPTIEMBRE!G85+'AGOSTO '!G85+JULIO!G84+'OCTUBRE '!G85+'ENERO-JUNIO 2025'!G85</f>
        <v>0</v>
      </c>
      <c r="H84" s="122">
        <f>+SEPTIEMBRE!H85+'AGOSTO '!H85+JULIO!H84+'OCTUBRE '!H85+'ENERO-JUNIO 2025'!H85</f>
        <v>0</v>
      </c>
      <c r="I84" s="122">
        <f t="shared" si="0"/>
        <v>0</v>
      </c>
      <c r="J84" s="60"/>
    </row>
    <row r="85" spans="1:10" x14ac:dyDescent="0.2">
      <c r="A85" s="61">
        <v>2</v>
      </c>
      <c r="B85" s="62">
        <v>1</v>
      </c>
      <c r="C85" s="62">
        <v>5</v>
      </c>
      <c r="D85" s="62">
        <v>4</v>
      </c>
      <c r="E85" s="63" t="s">
        <v>35</v>
      </c>
      <c r="F85" s="69" t="s">
        <v>93</v>
      </c>
      <c r="G85" s="123">
        <f>+SEPTIEMBRE!G86+'AGOSTO '!G86+JULIO!G85+'OCTUBRE '!G86+'ENERO-JUNIO 2025'!G86</f>
        <v>0</v>
      </c>
      <c r="H85" s="123">
        <f>+SEPTIEMBRE!H86+'AGOSTO '!H86+JULIO!H85+'OCTUBRE '!H86+'ENERO-JUNIO 2025'!H86</f>
        <v>0</v>
      </c>
      <c r="I85" s="123">
        <f t="shared" si="0"/>
        <v>0</v>
      </c>
      <c r="J85" s="65">
        <v>0</v>
      </c>
    </row>
    <row r="86" spans="1:10" x14ac:dyDescent="0.2">
      <c r="A86" s="70">
        <v>2</v>
      </c>
      <c r="B86" s="76">
        <v>2</v>
      </c>
      <c r="C86" s="55"/>
      <c r="D86" s="55"/>
      <c r="E86" s="55"/>
      <c r="F86" s="79" t="s">
        <v>94</v>
      </c>
      <c r="G86" s="124">
        <f>+SEPTIEMBRE!G87+'AGOSTO '!G87+JULIO!G86+'OCTUBRE '!G87+'ENERO-JUNIO 2025'!G87</f>
        <v>34653438.549999997</v>
      </c>
      <c r="H86" s="124">
        <f>+SEPTIEMBRE!H87+'AGOSTO '!H87+JULIO!H86+'OCTUBRE '!H87+'ENERO-JUNIO 2025'!H87</f>
        <v>27959692.100000001</v>
      </c>
      <c r="I86" s="124">
        <f t="shared" si="0"/>
        <v>62613130.649999999</v>
      </c>
      <c r="J86" s="53">
        <v>7.1283414473360965E-2</v>
      </c>
    </row>
    <row r="87" spans="1:10" x14ac:dyDescent="0.2">
      <c r="A87" s="70">
        <v>2</v>
      </c>
      <c r="B87" s="55">
        <v>2</v>
      </c>
      <c r="C87" s="55">
        <v>1</v>
      </c>
      <c r="D87" s="55"/>
      <c r="E87" s="55"/>
      <c r="F87" s="79" t="s">
        <v>95</v>
      </c>
      <c r="G87" s="124">
        <f>+SEPTIEMBRE!G88+'AGOSTO '!G88+JULIO!G87+'OCTUBRE '!G88+'ENERO-JUNIO 2025'!G88</f>
        <v>2443769.2999999998</v>
      </c>
      <c r="H87" s="124">
        <f>+SEPTIEMBRE!H88+'AGOSTO '!H88+JULIO!H87+'OCTUBRE '!H88+'ENERO-JUNIO 2025'!H88</f>
        <v>8735180.129999999</v>
      </c>
      <c r="I87" s="124">
        <f t="shared" si="0"/>
        <v>11178949.43</v>
      </c>
      <c r="J87" s="53"/>
    </row>
    <row r="88" spans="1:10" x14ac:dyDescent="0.2">
      <c r="A88" s="72">
        <v>2</v>
      </c>
      <c r="B88" s="58">
        <v>2</v>
      </c>
      <c r="C88" s="58">
        <v>1</v>
      </c>
      <c r="D88" s="58">
        <v>1</v>
      </c>
      <c r="E88" s="58"/>
      <c r="F88" s="117" t="s">
        <v>96</v>
      </c>
      <c r="G88" s="125">
        <f>+SEPTIEMBRE!G89+'AGOSTO '!G89+JULIO!G88+'OCTUBRE '!G89+'ENERO-JUNIO 2025'!G89</f>
        <v>0</v>
      </c>
      <c r="H88" s="125">
        <f>+SEPTIEMBRE!H89+'AGOSTO '!H89+JULIO!H88+'OCTUBRE '!H89+'ENERO-JUNIO 2025'!H89</f>
        <v>0</v>
      </c>
      <c r="I88" s="125">
        <f t="shared" si="0"/>
        <v>0</v>
      </c>
      <c r="J88" s="60"/>
    </row>
    <row r="89" spans="1:10" x14ac:dyDescent="0.2">
      <c r="A89" s="74">
        <v>2</v>
      </c>
      <c r="B89" s="62">
        <v>2</v>
      </c>
      <c r="C89" s="62">
        <v>1</v>
      </c>
      <c r="D89" s="62">
        <v>1</v>
      </c>
      <c r="E89" s="63" t="s">
        <v>35</v>
      </c>
      <c r="F89" s="80" t="s">
        <v>96</v>
      </c>
      <c r="G89" s="126">
        <f>+SEPTIEMBRE!G90+'AGOSTO '!G90+JULIO!G89+'OCTUBRE '!G90+'ENERO-JUNIO 2025'!G90</f>
        <v>0</v>
      </c>
      <c r="H89" s="126">
        <f>+SEPTIEMBRE!H90+'AGOSTO '!H90+JULIO!H89+'OCTUBRE '!H90+'ENERO-JUNIO 2025'!H90</f>
        <v>0</v>
      </c>
      <c r="I89" s="126">
        <f t="shared" ref="I89:I152" si="1">+G89+H89</f>
        <v>0</v>
      </c>
      <c r="J89" s="65">
        <v>0</v>
      </c>
    </row>
    <row r="90" spans="1:10" x14ac:dyDescent="0.2">
      <c r="A90" s="72">
        <v>2</v>
      </c>
      <c r="B90" s="58">
        <v>2</v>
      </c>
      <c r="C90" s="58">
        <v>1</v>
      </c>
      <c r="D90" s="58">
        <v>2</v>
      </c>
      <c r="E90" s="58"/>
      <c r="F90" s="117" t="s">
        <v>97</v>
      </c>
      <c r="G90" s="125">
        <f>+SEPTIEMBRE!G91+'AGOSTO '!G91+JULIO!G90+'OCTUBRE '!G91+'ENERO-JUNIO 2025'!G91</f>
        <v>0</v>
      </c>
      <c r="H90" s="125">
        <f>+SEPTIEMBRE!H91+'AGOSTO '!H91+JULIO!H90+'OCTUBRE '!H91+'ENERO-JUNIO 2025'!H91</f>
        <v>0</v>
      </c>
      <c r="I90" s="125">
        <f t="shared" si="1"/>
        <v>0</v>
      </c>
      <c r="J90" s="60"/>
    </row>
    <row r="91" spans="1:10" x14ac:dyDescent="0.2">
      <c r="A91" s="74">
        <v>2</v>
      </c>
      <c r="B91" s="62">
        <v>2</v>
      </c>
      <c r="C91" s="62">
        <v>1</v>
      </c>
      <c r="D91" s="62">
        <v>2</v>
      </c>
      <c r="E91" s="63" t="s">
        <v>35</v>
      </c>
      <c r="F91" s="80" t="s">
        <v>97</v>
      </c>
      <c r="G91" s="126">
        <f>+SEPTIEMBRE!G92+'AGOSTO '!G92+JULIO!G91+'OCTUBRE '!G92+'ENERO-JUNIO 2025'!G92</f>
        <v>0</v>
      </c>
      <c r="H91" s="126">
        <f>+SEPTIEMBRE!H92+'AGOSTO '!H92+JULIO!H91+'OCTUBRE '!H92+'ENERO-JUNIO 2025'!H92</f>
        <v>0</v>
      </c>
      <c r="I91" s="126">
        <f t="shared" si="1"/>
        <v>0</v>
      </c>
      <c r="J91" s="65">
        <v>0</v>
      </c>
    </row>
    <row r="92" spans="1:10" x14ac:dyDescent="0.2">
      <c r="A92" s="72">
        <v>2</v>
      </c>
      <c r="B92" s="58">
        <v>2</v>
      </c>
      <c r="C92" s="58">
        <v>1</v>
      </c>
      <c r="D92" s="58">
        <v>3</v>
      </c>
      <c r="E92" s="58"/>
      <c r="F92" s="117" t="s">
        <v>98</v>
      </c>
      <c r="G92" s="125">
        <f>+SEPTIEMBRE!G93+'AGOSTO '!G93+JULIO!G92+'OCTUBRE '!G93+'ENERO-JUNIO 2025'!G93</f>
        <v>0</v>
      </c>
      <c r="H92" s="125">
        <f>+SEPTIEMBRE!H93+'AGOSTO '!H93+JULIO!H92+'OCTUBRE '!H93+'ENERO-JUNIO 2025'!H93</f>
        <v>2249714.2400000002</v>
      </c>
      <c r="I92" s="125">
        <f t="shared" si="1"/>
        <v>2249714.2400000002</v>
      </c>
      <c r="J92" s="60"/>
    </row>
    <row r="93" spans="1:10" x14ac:dyDescent="0.2">
      <c r="A93" s="74">
        <v>2</v>
      </c>
      <c r="B93" s="62">
        <v>2</v>
      </c>
      <c r="C93" s="62">
        <v>1</v>
      </c>
      <c r="D93" s="62">
        <v>3</v>
      </c>
      <c r="E93" s="63" t="s">
        <v>35</v>
      </c>
      <c r="F93" s="80" t="s">
        <v>98</v>
      </c>
      <c r="G93" s="126">
        <f>+SEPTIEMBRE!G94+'AGOSTO '!G94+JULIO!G93+'OCTUBRE '!G94+'ENERO-JUNIO 2025'!G94</f>
        <v>0</v>
      </c>
      <c r="H93" s="126">
        <f>+SEPTIEMBRE!H94+'AGOSTO '!H94+JULIO!H93+'OCTUBRE '!H94+'ENERO-JUNIO 2025'!H94</f>
        <v>2249714.2400000002</v>
      </c>
      <c r="I93" s="126">
        <f t="shared" si="1"/>
        <v>2249714.2400000002</v>
      </c>
      <c r="J93" s="65">
        <v>1.7725578301939421E-3</v>
      </c>
    </row>
    <row r="94" spans="1:10" x14ac:dyDescent="0.2">
      <c r="A94" s="72">
        <v>2</v>
      </c>
      <c r="B94" s="58">
        <v>2</v>
      </c>
      <c r="C94" s="58">
        <v>1</v>
      </c>
      <c r="D94" s="58">
        <v>4</v>
      </c>
      <c r="E94" s="58"/>
      <c r="F94" s="117" t="s">
        <v>99</v>
      </c>
      <c r="G94" s="125">
        <f>+SEPTIEMBRE!G95+'AGOSTO '!G95+JULIO!G94+'OCTUBRE '!G95+'ENERO-JUNIO 2025'!G95</f>
        <v>0</v>
      </c>
      <c r="H94" s="125">
        <f>+SEPTIEMBRE!H95+'AGOSTO '!H95+JULIO!H94+'OCTUBRE '!H95+'ENERO-JUNIO 2025'!H95</f>
        <v>0</v>
      </c>
      <c r="I94" s="125">
        <f t="shared" si="1"/>
        <v>0</v>
      </c>
      <c r="J94" s="60"/>
    </row>
    <row r="95" spans="1:10" x14ac:dyDescent="0.2">
      <c r="A95" s="74">
        <v>2</v>
      </c>
      <c r="B95" s="62">
        <v>2</v>
      </c>
      <c r="C95" s="62">
        <v>1</v>
      </c>
      <c r="D95" s="62">
        <v>4</v>
      </c>
      <c r="E95" s="63" t="s">
        <v>35</v>
      </c>
      <c r="F95" s="80" t="s">
        <v>99</v>
      </c>
      <c r="G95" s="126">
        <f>+SEPTIEMBRE!G96+'AGOSTO '!G96+JULIO!G95+'OCTUBRE '!G96+'ENERO-JUNIO 2025'!G96</f>
        <v>0</v>
      </c>
      <c r="H95" s="126">
        <f>+SEPTIEMBRE!H96+'AGOSTO '!H96+JULIO!H95+'OCTUBRE '!H96+'ENERO-JUNIO 2025'!H96</f>
        <v>0</v>
      </c>
      <c r="I95" s="126">
        <f t="shared" si="1"/>
        <v>0</v>
      </c>
      <c r="J95" s="65">
        <v>0</v>
      </c>
    </row>
    <row r="96" spans="1:10" x14ac:dyDescent="0.2">
      <c r="A96" s="72">
        <v>2</v>
      </c>
      <c r="B96" s="58">
        <v>2</v>
      </c>
      <c r="C96" s="58">
        <v>1</v>
      </c>
      <c r="D96" s="58">
        <v>5</v>
      </c>
      <c r="E96" s="58"/>
      <c r="F96" s="117" t="s">
        <v>100</v>
      </c>
      <c r="G96" s="125">
        <f>+SEPTIEMBRE!G97+'AGOSTO '!G97+JULIO!G96+'OCTUBRE '!G97+'ENERO-JUNIO 2025'!G97</f>
        <v>0</v>
      </c>
      <c r="H96" s="125">
        <f>+SEPTIEMBRE!H97+'AGOSTO '!H97+JULIO!H96+'OCTUBRE '!H97+'ENERO-JUNIO 2025'!H97</f>
        <v>210465.89</v>
      </c>
      <c r="I96" s="125">
        <f t="shared" si="1"/>
        <v>210465.89</v>
      </c>
      <c r="J96" s="60"/>
    </row>
    <row r="97" spans="1:10" x14ac:dyDescent="0.2">
      <c r="A97" s="74">
        <v>2</v>
      </c>
      <c r="B97" s="62">
        <v>2</v>
      </c>
      <c r="C97" s="62">
        <v>1</v>
      </c>
      <c r="D97" s="62">
        <v>5</v>
      </c>
      <c r="E97" s="63" t="s">
        <v>35</v>
      </c>
      <c r="F97" s="80" t="s">
        <v>100</v>
      </c>
      <c r="G97" s="126">
        <f>+SEPTIEMBRE!G98+'AGOSTO '!G98+JULIO!G97+'OCTUBRE '!G98+'ENERO-JUNIO 2025'!G98</f>
        <v>0</v>
      </c>
      <c r="H97" s="126">
        <f>+SEPTIEMBRE!H98+'AGOSTO '!H98+JULIO!H97+'OCTUBRE '!H98+'ENERO-JUNIO 2025'!H98</f>
        <v>210465.89</v>
      </c>
      <c r="I97" s="126">
        <f t="shared" si="1"/>
        <v>210465.89</v>
      </c>
      <c r="J97" s="65">
        <v>0</v>
      </c>
    </row>
    <row r="98" spans="1:10" x14ac:dyDescent="0.2">
      <c r="A98" s="72">
        <v>2</v>
      </c>
      <c r="B98" s="58">
        <v>2</v>
      </c>
      <c r="C98" s="58">
        <v>1</v>
      </c>
      <c r="D98" s="58">
        <v>6</v>
      </c>
      <c r="E98" s="58"/>
      <c r="F98" s="117" t="s">
        <v>101</v>
      </c>
      <c r="G98" s="125">
        <f>+SEPTIEMBRE!G99+'AGOSTO '!G99+JULIO!G98+'OCTUBRE '!G99+'ENERO-JUNIO 2025'!G99</f>
        <v>0</v>
      </c>
      <c r="H98" s="125">
        <f>+SEPTIEMBRE!H99+'AGOSTO '!H99+JULIO!H98+'OCTUBRE '!H99+'ENERO-JUNIO 2025'!H99</f>
        <v>0</v>
      </c>
      <c r="I98" s="125">
        <f t="shared" si="1"/>
        <v>0</v>
      </c>
      <c r="J98" s="60"/>
    </row>
    <row r="99" spans="1:10" x14ac:dyDescent="0.2">
      <c r="A99" s="74">
        <v>2</v>
      </c>
      <c r="B99" s="62">
        <v>2</v>
      </c>
      <c r="C99" s="62">
        <v>1</v>
      </c>
      <c r="D99" s="62">
        <v>6</v>
      </c>
      <c r="E99" s="63" t="s">
        <v>35</v>
      </c>
      <c r="F99" s="80" t="s">
        <v>102</v>
      </c>
      <c r="G99" s="126">
        <f>+SEPTIEMBRE!G100+'AGOSTO '!G100+JULIO!G99+'OCTUBRE '!G100+'ENERO-JUNIO 2025'!G100</f>
        <v>0</v>
      </c>
      <c r="H99" s="126">
        <f>+SEPTIEMBRE!H100+'AGOSTO '!H100+JULIO!H99+'OCTUBRE '!H100+'ENERO-JUNIO 2025'!H100</f>
        <v>0</v>
      </c>
      <c r="I99" s="126">
        <f t="shared" si="1"/>
        <v>0</v>
      </c>
      <c r="J99" s="65">
        <v>0</v>
      </c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37</v>
      </c>
      <c r="F100" s="80" t="s">
        <v>103</v>
      </c>
      <c r="G100" s="126">
        <f>+SEPTIEMBRE!G101+'AGOSTO '!G101+JULIO!G100+'OCTUBRE '!G101+'ENERO-JUNIO 2025'!G101</f>
        <v>0</v>
      </c>
      <c r="H100" s="126">
        <f>+SEPTIEMBRE!H101+'AGOSTO '!H101+JULIO!H100+'OCTUBRE '!H101+'ENERO-JUNIO 2025'!H101</f>
        <v>0</v>
      </c>
      <c r="I100" s="126">
        <f t="shared" si="1"/>
        <v>0</v>
      </c>
      <c r="J100" s="65">
        <v>0</v>
      </c>
    </row>
    <row r="101" spans="1:10" x14ac:dyDescent="0.2">
      <c r="A101" s="72">
        <v>2</v>
      </c>
      <c r="B101" s="58">
        <v>2</v>
      </c>
      <c r="C101" s="58">
        <v>1</v>
      </c>
      <c r="D101" s="58">
        <v>7</v>
      </c>
      <c r="E101" s="58"/>
      <c r="F101" s="117" t="s">
        <v>104</v>
      </c>
      <c r="G101" s="125">
        <f>+SEPTIEMBRE!G102+'AGOSTO '!G102+JULIO!G101+'OCTUBRE '!G102+'ENERO-JUNIO 2025'!G102</f>
        <v>2443769.2999999998</v>
      </c>
      <c r="H101" s="125">
        <f>+SEPTIEMBRE!H102+'AGOSTO '!H102+JULIO!H101+'OCTUBRE '!H102+'ENERO-JUNIO 2025'!H102</f>
        <v>0</v>
      </c>
      <c r="I101" s="125">
        <f t="shared" si="1"/>
        <v>2443769.2999999998</v>
      </c>
      <c r="J101" s="60"/>
    </row>
    <row r="102" spans="1:10" x14ac:dyDescent="0.2">
      <c r="A102" s="74">
        <v>2</v>
      </c>
      <c r="B102" s="62">
        <v>2</v>
      </c>
      <c r="C102" s="62">
        <v>1</v>
      </c>
      <c r="D102" s="62">
        <v>7</v>
      </c>
      <c r="E102" s="63" t="s">
        <v>35</v>
      </c>
      <c r="F102" s="80" t="s">
        <v>104</v>
      </c>
      <c r="G102" s="126">
        <f>+SEPTIEMBRE!G103+'AGOSTO '!G103+JULIO!G102+'OCTUBRE '!G103+'ENERO-JUNIO 2025'!G103</f>
        <v>2443769.2999999998</v>
      </c>
      <c r="H102" s="126">
        <f>+SEPTIEMBRE!H103+'AGOSTO '!H103+JULIO!H102+'OCTUBRE '!H103+'ENERO-JUNIO 2025'!H103</f>
        <v>0</v>
      </c>
      <c r="I102" s="126">
        <f t="shared" si="1"/>
        <v>2443769.2999999998</v>
      </c>
      <c r="J102" s="65">
        <v>5.0636969067269027E-4</v>
      </c>
    </row>
    <row r="103" spans="1:10" x14ac:dyDescent="0.2">
      <c r="A103" s="72">
        <v>2</v>
      </c>
      <c r="B103" s="58">
        <v>2</v>
      </c>
      <c r="C103" s="58">
        <v>1</v>
      </c>
      <c r="D103" s="58">
        <v>8</v>
      </c>
      <c r="E103" s="58"/>
      <c r="F103" s="117" t="s">
        <v>105</v>
      </c>
      <c r="G103" s="125">
        <f>+SEPTIEMBRE!G104+'AGOSTO '!G104+JULIO!G103+'OCTUBRE '!G104+'ENERO-JUNIO 2025'!G104</f>
        <v>0</v>
      </c>
      <c r="H103" s="125">
        <f>+SEPTIEMBRE!H104+'AGOSTO '!H104+JULIO!H103+'OCTUBRE '!H104+'ENERO-JUNIO 2025'!H104</f>
        <v>6275000</v>
      </c>
      <c r="I103" s="125">
        <f t="shared" si="1"/>
        <v>6275000</v>
      </c>
      <c r="J103" s="60"/>
    </row>
    <row r="104" spans="1:10" x14ac:dyDescent="0.2">
      <c r="A104" s="74">
        <v>2</v>
      </c>
      <c r="B104" s="62">
        <v>2</v>
      </c>
      <c r="C104" s="62">
        <v>1</v>
      </c>
      <c r="D104" s="62">
        <v>8</v>
      </c>
      <c r="E104" s="63" t="s">
        <v>35</v>
      </c>
      <c r="F104" s="80" t="s">
        <v>105</v>
      </c>
      <c r="G104" s="126">
        <f>+SEPTIEMBRE!G105+'AGOSTO '!G105+JULIO!G104+'OCTUBRE '!G105+'ENERO-JUNIO 2025'!G105</f>
        <v>0</v>
      </c>
      <c r="H104" s="126">
        <f>+SEPTIEMBRE!H105+'AGOSTO '!H105+JULIO!H104+'OCTUBRE '!H105+'ENERO-JUNIO 2025'!H105</f>
        <v>6275000</v>
      </c>
      <c r="I104" s="126">
        <f t="shared" si="1"/>
        <v>6275000</v>
      </c>
      <c r="J104" s="65">
        <v>1.313290516818574E-2</v>
      </c>
    </row>
    <row r="105" spans="1:10" x14ac:dyDescent="0.2">
      <c r="A105" s="70">
        <v>2</v>
      </c>
      <c r="B105" s="55">
        <v>2</v>
      </c>
      <c r="C105" s="55">
        <v>2</v>
      </c>
      <c r="D105" s="55"/>
      <c r="E105" s="55"/>
      <c r="F105" s="79" t="s">
        <v>106</v>
      </c>
      <c r="G105" s="124">
        <f>+SEPTIEMBRE!G106+'AGOSTO '!G106+JULIO!G105+'OCTUBRE '!G106+'ENERO-JUNIO 2025'!G106</f>
        <v>866672.96</v>
      </c>
      <c r="H105" s="124">
        <f>+SEPTIEMBRE!H106+'AGOSTO '!H106+JULIO!H105+'OCTUBRE '!H106+'ENERO-JUNIO 2025'!H106</f>
        <v>1497864.5699999998</v>
      </c>
      <c r="I105" s="124">
        <f t="shared" si="1"/>
        <v>2364537.5299999998</v>
      </c>
      <c r="J105" s="53"/>
    </row>
    <row r="106" spans="1:10" x14ac:dyDescent="0.2">
      <c r="A106" s="72">
        <v>2</v>
      </c>
      <c r="B106" s="58">
        <v>2</v>
      </c>
      <c r="C106" s="58">
        <v>2</v>
      </c>
      <c r="D106" s="58">
        <v>1</v>
      </c>
      <c r="E106" s="58"/>
      <c r="F106" s="117" t="s">
        <v>107</v>
      </c>
      <c r="G106" s="125">
        <f>+SEPTIEMBRE!G107+'AGOSTO '!G107+JULIO!G106+'OCTUBRE '!G107+'ENERO-JUNIO 2025'!G107</f>
        <v>0</v>
      </c>
      <c r="H106" s="125">
        <f>+SEPTIEMBRE!H107+'AGOSTO '!H107+JULIO!H106+'OCTUBRE '!H107+'ENERO-JUNIO 2025'!H107</f>
        <v>0</v>
      </c>
      <c r="I106" s="125">
        <f t="shared" si="1"/>
        <v>0</v>
      </c>
      <c r="J106" s="60"/>
    </row>
    <row r="107" spans="1:10" x14ac:dyDescent="0.2">
      <c r="A107" s="74">
        <v>2</v>
      </c>
      <c r="B107" s="62">
        <v>2</v>
      </c>
      <c r="C107" s="62">
        <v>2</v>
      </c>
      <c r="D107" s="62">
        <v>1</v>
      </c>
      <c r="E107" s="63" t="s">
        <v>35</v>
      </c>
      <c r="F107" s="80" t="s">
        <v>107</v>
      </c>
      <c r="G107" s="126">
        <f>+SEPTIEMBRE!G108+'AGOSTO '!G108+JULIO!G107+'OCTUBRE '!G108+'ENERO-JUNIO 2025'!G108</f>
        <v>0</v>
      </c>
      <c r="H107" s="126">
        <f>+SEPTIEMBRE!H108+'AGOSTO '!H108+JULIO!H107+'OCTUBRE '!H108+'ENERO-JUNIO 2025'!H108</f>
        <v>0</v>
      </c>
      <c r="I107" s="126">
        <f t="shared" si="1"/>
        <v>0</v>
      </c>
      <c r="J107" s="65">
        <v>0</v>
      </c>
    </row>
    <row r="108" spans="1:10" x14ac:dyDescent="0.2">
      <c r="A108" s="72">
        <v>2</v>
      </c>
      <c r="B108" s="58">
        <v>2</v>
      </c>
      <c r="C108" s="58">
        <v>2</v>
      </c>
      <c r="D108" s="58">
        <v>2</v>
      </c>
      <c r="E108" s="58"/>
      <c r="F108" s="117" t="s">
        <v>108</v>
      </c>
      <c r="G108" s="125">
        <f>+SEPTIEMBRE!G109+'AGOSTO '!G109+JULIO!G108+'OCTUBRE '!G109+'ENERO-JUNIO 2025'!G109</f>
        <v>866672.96</v>
      </c>
      <c r="H108" s="125">
        <f>+SEPTIEMBRE!H109+'AGOSTO '!H109+JULIO!H108+'OCTUBRE '!H109+'ENERO-JUNIO 2025'!H109</f>
        <v>1497864.5699999998</v>
      </c>
      <c r="I108" s="125">
        <f t="shared" si="1"/>
        <v>2364537.5299999998</v>
      </c>
      <c r="J108" s="60"/>
    </row>
    <row r="109" spans="1:10" x14ac:dyDescent="0.2">
      <c r="A109" s="74">
        <v>2</v>
      </c>
      <c r="B109" s="62">
        <v>2</v>
      </c>
      <c r="C109" s="62">
        <v>2</v>
      </c>
      <c r="D109" s="62">
        <v>2</v>
      </c>
      <c r="E109" s="63" t="s">
        <v>35</v>
      </c>
      <c r="F109" s="80" t="s">
        <v>108</v>
      </c>
      <c r="G109" s="126">
        <f>+SEPTIEMBRE!G110+'AGOSTO '!G110+JULIO!G109+'OCTUBRE '!G110+'ENERO-JUNIO 2025'!G110</f>
        <v>866672.96</v>
      </c>
      <c r="H109" s="126">
        <f>+SEPTIEMBRE!H110+'AGOSTO '!H110+JULIO!H109+'OCTUBRE '!H110+'ENERO-JUNIO 2025'!H110</f>
        <v>1497864.5699999998</v>
      </c>
      <c r="I109" s="126">
        <f t="shared" si="1"/>
        <v>2364537.5299999998</v>
      </c>
      <c r="J109" s="65">
        <v>4.8637337869527116E-3</v>
      </c>
    </row>
    <row r="110" spans="1:10" x14ac:dyDescent="0.2">
      <c r="A110" s="70">
        <v>2</v>
      </c>
      <c r="B110" s="55">
        <v>2</v>
      </c>
      <c r="C110" s="55">
        <v>3</v>
      </c>
      <c r="D110" s="55"/>
      <c r="E110" s="55"/>
      <c r="F110" s="79" t="s">
        <v>109</v>
      </c>
      <c r="G110" s="124">
        <f>+SEPTIEMBRE!G111+'AGOSTO '!G111+JULIO!G110+'OCTUBRE '!G111+'ENERO-JUNIO 2025'!G111</f>
        <v>0</v>
      </c>
      <c r="H110" s="124">
        <f>+SEPTIEMBRE!H111+'AGOSTO '!H111+JULIO!H110+'OCTUBRE '!H111+'ENERO-JUNIO 2025'!H111</f>
        <v>0</v>
      </c>
      <c r="I110" s="124">
        <f t="shared" si="1"/>
        <v>0</v>
      </c>
      <c r="J110" s="53"/>
    </row>
    <row r="111" spans="1:10" x14ac:dyDescent="0.2">
      <c r="A111" s="72">
        <v>2</v>
      </c>
      <c r="B111" s="58">
        <v>2</v>
      </c>
      <c r="C111" s="58">
        <v>3</v>
      </c>
      <c r="D111" s="58">
        <v>1</v>
      </c>
      <c r="E111" s="58"/>
      <c r="F111" s="117" t="s">
        <v>110</v>
      </c>
      <c r="G111" s="125">
        <f>+SEPTIEMBRE!G112+'AGOSTO '!G112+JULIO!G111+'OCTUBRE '!G112+'ENERO-JUNIO 2025'!G112</f>
        <v>0</v>
      </c>
      <c r="H111" s="125">
        <f>+SEPTIEMBRE!H112+'AGOSTO '!H112+JULIO!H111+'OCTUBRE '!H112+'ENERO-JUNIO 2025'!H112</f>
        <v>0</v>
      </c>
      <c r="I111" s="125">
        <f t="shared" si="1"/>
        <v>0</v>
      </c>
      <c r="J111" s="60"/>
    </row>
    <row r="112" spans="1:10" x14ac:dyDescent="0.2">
      <c r="A112" s="74">
        <v>2</v>
      </c>
      <c r="B112" s="62">
        <v>2</v>
      </c>
      <c r="C112" s="62">
        <v>3</v>
      </c>
      <c r="D112" s="62">
        <v>1</v>
      </c>
      <c r="E112" s="63" t="s">
        <v>35</v>
      </c>
      <c r="F112" s="80" t="s">
        <v>110</v>
      </c>
      <c r="G112" s="126">
        <f>+SEPTIEMBRE!G113+'AGOSTO '!G113+JULIO!G112+'OCTUBRE '!G113+'ENERO-JUNIO 2025'!G113</f>
        <v>0</v>
      </c>
      <c r="H112" s="126">
        <f>+SEPTIEMBRE!H113+'AGOSTO '!H113+JULIO!H112+'OCTUBRE '!H113+'ENERO-JUNIO 2025'!H113</f>
        <v>0</v>
      </c>
      <c r="I112" s="126">
        <f t="shared" si="1"/>
        <v>0</v>
      </c>
      <c r="J112" s="65">
        <v>0</v>
      </c>
    </row>
    <row r="113" spans="1:10" x14ac:dyDescent="0.2">
      <c r="A113" s="72">
        <v>2</v>
      </c>
      <c r="B113" s="58">
        <v>2</v>
      </c>
      <c r="C113" s="58">
        <v>3</v>
      </c>
      <c r="D113" s="58">
        <v>2</v>
      </c>
      <c r="E113" s="58"/>
      <c r="F113" s="117" t="s">
        <v>111</v>
      </c>
      <c r="G113" s="125">
        <f>+SEPTIEMBRE!G114+'AGOSTO '!G114+JULIO!G113+'OCTUBRE '!G114+'ENERO-JUNIO 2025'!G114</f>
        <v>0</v>
      </c>
      <c r="H113" s="125">
        <f>+SEPTIEMBRE!H114+'AGOSTO '!H114+JULIO!H113+'OCTUBRE '!H114+'ENERO-JUNIO 2025'!H114</f>
        <v>0</v>
      </c>
      <c r="I113" s="125">
        <f t="shared" si="1"/>
        <v>0</v>
      </c>
      <c r="J113" s="60"/>
    </row>
    <row r="114" spans="1:10" x14ac:dyDescent="0.2">
      <c r="A114" s="74">
        <v>2</v>
      </c>
      <c r="B114" s="62">
        <v>2</v>
      </c>
      <c r="C114" s="62">
        <v>3</v>
      </c>
      <c r="D114" s="62">
        <v>2</v>
      </c>
      <c r="E114" s="63" t="s">
        <v>35</v>
      </c>
      <c r="F114" s="80" t="s">
        <v>111</v>
      </c>
      <c r="G114" s="126">
        <f>+SEPTIEMBRE!G115+'AGOSTO '!G115+JULIO!G114+'OCTUBRE '!G115+'ENERO-JUNIO 2025'!G115</f>
        <v>0</v>
      </c>
      <c r="H114" s="126">
        <f>+SEPTIEMBRE!H115+'AGOSTO '!H115+JULIO!H114+'OCTUBRE '!H115+'ENERO-JUNIO 2025'!H115</f>
        <v>0</v>
      </c>
      <c r="I114" s="126">
        <f t="shared" si="1"/>
        <v>0</v>
      </c>
      <c r="J114" s="65">
        <v>0</v>
      </c>
    </row>
    <row r="115" spans="1:10" x14ac:dyDescent="0.2">
      <c r="A115" s="70">
        <v>2</v>
      </c>
      <c r="B115" s="55">
        <v>2</v>
      </c>
      <c r="C115" s="55">
        <v>4</v>
      </c>
      <c r="D115" s="55"/>
      <c r="E115" s="55"/>
      <c r="F115" s="79" t="s">
        <v>112</v>
      </c>
      <c r="G115" s="124">
        <f>+SEPTIEMBRE!G116+'AGOSTO '!G116+JULIO!G115+'OCTUBRE '!G116+'ENERO-JUNIO 2025'!G116</f>
        <v>0</v>
      </c>
      <c r="H115" s="124">
        <f>+SEPTIEMBRE!H116+'AGOSTO '!H116+JULIO!H115+'OCTUBRE '!H116+'ENERO-JUNIO 2025'!H116</f>
        <v>312000</v>
      </c>
      <c r="I115" s="124">
        <f t="shared" si="1"/>
        <v>312000</v>
      </c>
      <c r="J115" s="53"/>
    </row>
    <row r="116" spans="1:10" x14ac:dyDescent="0.2">
      <c r="A116" s="72">
        <v>2</v>
      </c>
      <c r="B116" s="58">
        <v>2</v>
      </c>
      <c r="C116" s="58">
        <v>4</v>
      </c>
      <c r="D116" s="58">
        <v>1</v>
      </c>
      <c r="E116" s="58"/>
      <c r="F116" s="117" t="s">
        <v>113</v>
      </c>
      <c r="G116" s="125">
        <f>+SEPTIEMBRE!G117+'AGOSTO '!G117+JULIO!G116+'OCTUBRE '!G117+'ENERO-JUNIO 2025'!G117</f>
        <v>0</v>
      </c>
      <c r="H116" s="125">
        <f>+SEPTIEMBRE!H117+'AGOSTO '!H117+JULIO!H116+'OCTUBRE '!H117+'ENERO-JUNIO 2025'!H117</f>
        <v>20000</v>
      </c>
      <c r="I116" s="125">
        <f t="shared" si="1"/>
        <v>20000</v>
      </c>
      <c r="J116" s="60"/>
    </row>
    <row r="117" spans="1:10" x14ac:dyDescent="0.2">
      <c r="A117" s="74">
        <v>2</v>
      </c>
      <c r="B117" s="62">
        <v>2</v>
      </c>
      <c r="C117" s="62">
        <v>4</v>
      </c>
      <c r="D117" s="62">
        <v>1</v>
      </c>
      <c r="E117" s="63" t="s">
        <v>35</v>
      </c>
      <c r="F117" s="80" t="s">
        <v>113</v>
      </c>
      <c r="G117" s="126">
        <f>+SEPTIEMBRE!G118+'AGOSTO '!G118+JULIO!G117+'OCTUBRE '!G118+'ENERO-JUNIO 2025'!G118</f>
        <v>0</v>
      </c>
      <c r="H117" s="126">
        <f>+SEPTIEMBRE!H118+'AGOSTO '!H118+JULIO!H117+'OCTUBRE '!H118+'ENERO-JUNIO 2025'!H118</f>
        <v>20000</v>
      </c>
      <c r="I117" s="126">
        <f t="shared" si="1"/>
        <v>20000</v>
      </c>
      <c r="J117" s="65">
        <v>0</v>
      </c>
    </row>
    <row r="118" spans="1:10" x14ac:dyDescent="0.2">
      <c r="A118" s="72">
        <v>2</v>
      </c>
      <c r="B118" s="58">
        <v>2</v>
      </c>
      <c r="C118" s="58">
        <v>4</v>
      </c>
      <c r="D118" s="58">
        <v>2</v>
      </c>
      <c r="E118" s="58"/>
      <c r="F118" s="117" t="s">
        <v>114</v>
      </c>
      <c r="G118" s="125">
        <f>+SEPTIEMBRE!G119+'AGOSTO '!G119+JULIO!G118+'OCTUBRE '!G119+'ENERO-JUNIO 2025'!G119</f>
        <v>0</v>
      </c>
      <c r="H118" s="125">
        <f>+SEPTIEMBRE!H119+'AGOSTO '!H119+JULIO!H118+'OCTUBRE '!H119+'ENERO-JUNIO 2025'!H119</f>
        <v>292000</v>
      </c>
      <c r="I118" s="125">
        <f t="shared" si="1"/>
        <v>292000</v>
      </c>
      <c r="J118" s="60"/>
    </row>
    <row r="119" spans="1:10" x14ac:dyDescent="0.2">
      <c r="A119" s="74">
        <v>2</v>
      </c>
      <c r="B119" s="62">
        <v>2</v>
      </c>
      <c r="C119" s="62">
        <v>4</v>
      </c>
      <c r="D119" s="62">
        <v>2</v>
      </c>
      <c r="E119" s="63" t="s">
        <v>35</v>
      </c>
      <c r="F119" s="80" t="s">
        <v>114</v>
      </c>
      <c r="G119" s="126">
        <f>+SEPTIEMBRE!G120+'AGOSTO '!G120+JULIO!G119+'OCTUBRE '!G120+'ENERO-JUNIO 2025'!G120</f>
        <v>0</v>
      </c>
      <c r="H119" s="126">
        <f>+SEPTIEMBRE!H120+'AGOSTO '!H120+JULIO!H119+'OCTUBRE '!H120+'ENERO-JUNIO 2025'!H120</f>
        <v>292000</v>
      </c>
      <c r="I119" s="126">
        <f t="shared" si="1"/>
        <v>292000</v>
      </c>
      <c r="J119" s="65">
        <v>6.6919262003494218E-5</v>
      </c>
    </row>
    <row r="120" spans="1:10" x14ac:dyDescent="0.2">
      <c r="A120" s="72">
        <v>2</v>
      </c>
      <c r="B120" s="58">
        <v>2</v>
      </c>
      <c r="C120" s="58">
        <v>4</v>
      </c>
      <c r="D120" s="58">
        <v>3</v>
      </c>
      <c r="E120" s="58"/>
      <c r="F120" s="117" t="s">
        <v>115</v>
      </c>
      <c r="G120" s="125">
        <f>+SEPTIEMBRE!G121+'AGOSTO '!G121+JULIO!G120+'OCTUBRE '!G121+'ENERO-JUNIO 2025'!G121</f>
        <v>0</v>
      </c>
      <c r="H120" s="125">
        <f>+SEPTIEMBRE!H121+'AGOSTO '!H121+JULIO!H120+'OCTUBRE '!H121+'ENERO-JUNIO 2025'!H121</f>
        <v>0</v>
      </c>
      <c r="I120" s="125">
        <f t="shared" si="1"/>
        <v>0</v>
      </c>
      <c r="J120" s="60"/>
    </row>
    <row r="121" spans="1:10" x14ac:dyDescent="0.2">
      <c r="A121" s="74">
        <v>2</v>
      </c>
      <c r="B121" s="62">
        <v>2</v>
      </c>
      <c r="C121" s="62">
        <v>4</v>
      </c>
      <c r="D121" s="62">
        <v>3</v>
      </c>
      <c r="E121" s="63" t="s">
        <v>35</v>
      </c>
      <c r="F121" s="80" t="s">
        <v>115</v>
      </c>
      <c r="G121" s="126">
        <f>+SEPTIEMBRE!G122+'AGOSTO '!G122+JULIO!G121+'OCTUBRE '!G122+'ENERO-JUNIO 2025'!G122</f>
        <v>0</v>
      </c>
      <c r="H121" s="126">
        <f>+SEPTIEMBRE!H122+'AGOSTO '!H122+JULIO!H121+'OCTUBRE '!H122+'ENERO-JUNIO 2025'!H122</f>
        <v>0</v>
      </c>
      <c r="I121" s="126">
        <f t="shared" si="1"/>
        <v>0</v>
      </c>
      <c r="J121" s="65">
        <v>0</v>
      </c>
    </row>
    <row r="122" spans="1:10" x14ac:dyDescent="0.2">
      <c r="A122" s="72">
        <v>2</v>
      </c>
      <c r="B122" s="58">
        <v>2</v>
      </c>
      <c r="C122" s="58">
        <v>4</v>
      </c>
      <c r="D122" s="58">
        <v>4</v>
      </c>
      <c r="E122" s="58"/>
      <c r="F122" s="117" t="s">
        <v>116</v>
      </c>
      <c r="G122" s="125">
        <f>+SEPTIEMBRE!G123+'AGOSTO '!G123+JULIO!G122+'OCTUBRE '!G123+'ENERO-JUNIO 2025'!G123</f>
        <v>0</v>
      </c>
      <c r="H122" s="125">
        <f>+SEPTIEMBRE!H123+'AGOSTO '!H123+JULIO!H122+'OCTUBRE '!H123+'ENERO-JUNIO 2025'!H123</f>
        <v>0</v>
      </c>
      <c r="I122" s="125">
        <f t="shared" si="1"/>
        <v>0</v>
      </c>
      <c r="J122" s="60"/>
    </row>
    <row r="123" spans="1:10" x14ac:dyDescent="0.2">
      <c r="A123" s="74">
        <v>2</v>
      </c>
      <c r="B123" s="62">
        <v>2</v>
      </c>
      <c r="C123" s="62">
        <v>4</v>
      </c>
      <c r="D123" s="62">
        <v>4</v>
      </c>
      <c r="E123" s="63" t="s">
        <v>35</v>
      </c>
      <c r="F123" s="80" t="s">
        <v>116</v>
      </c>
      <c r="G123" s="126">
        <f>+SEPTIEMBRE!G124+'AGOSTO '!G124+JULIO!G123+'OCTUBRE '!G124+'ENERO-JUNIO 2025'!G124</f>
        <v>0</v>
      </c>
      <c r="H123" s="126">
        <f>+SEPTIEMBRE!H124+'AGOSTO '!H124+JULIO!H123+'OCTUBRE '!H124+'ENERO-JUNIO 2025'!H124</f>
        <v>0</v>
      </c>
      <c r="I123" s="126">
        <f t="shared" si="1"/>
        <v>0</v>
      </c>
      <c r="J123" s="65">
        <v>0</v>
      </c>
    </row>
    <row r="124" spans="1:10" x14ac:dyDescent="0.2">
      <c r="A124" s="54">
        <v>2</v>
      </c>
      <c r="B124" s="55">
        <v>2</v>
      </c>
      <c r="C124" s="55">
        <v>5</v>
      </c>
      <c r="D124" s="55"/>
      <c r="E124" s="55"/>
      <c r="F124" s="79" t="s">
        <v>117</v>
      </c>
      <c r="G124" s="124">
        <f>+SEPTIEMBRE!G125+'AGOSTO '!G125+JULIO!G124+'OCTUBRE '!G125+'ENERO-JUNIO 2025'!G125</f>
        <v>598561.91999999993</v>
      </c>
      <c r="H124" s="124">
        <f>+SEPTIEMBRE!H125+'AGOSTO '!H125+JULIO!H124+'OCTUBRE '!H125+'ENERO-JUNIO 2025'!H125</f>
        <v>2503964.6</v>
      </c>
      <c r="I124" s="124">
        <f t="shared" si="1"/>
        <v>3102526.52</v>
      </c>
      <c r="J124" s="53"/>
    </row>
    <row r="125" spans="1:10" x14ac:dyDescent="0.2">
      <c r="A125" s="72">
        <v>2</v>
      </c>
      <c r="B125" s="58">
        <v>2</v>
      </c>
      <c r="C125" s="58">
        <v>5</v>
      </c>
      <c r="D125" s="58">
        <v>1</v>
      </c>
      <c r="E125" s="77"/>
      <c r="F125" s="117" t="s">
        <v>118</v>
      </c>
      <c r="G125" s="125">
        <f>+SEPTIEMBRE!G126+'AGOSTO '!G126+JULIO!G125+'OCTUBRE '!G126+'ENERO-JUNIO 2025'!G126</f>
        <v>0</v>
      </c>
      <c r="H125" s="125">
        <f>+SEPTIEMBRE!H126+'AGOSTO '!H126+JULIO!H125+'OCTUBRE '!H126+'ENERO-JUNIO 2025'!H126</f>
        <v>0</v>
      </c>
      <c r="I125" s="125">
        <f t="shared" si="1"/>
        <v>0</v>
      </c>
      <c r="J125" s="60"/>
    </row>
    <row r="126" spans="1:10" x14ac:dyDescent="0.2">
      <c r="A126" s="74">
        <v>2</v>
      </c>
      <c r="B126" s="62">
        <v>2</v>
      </c>
      <c r="C126" s="62">
        <v>5</v>
      </c>
      <c r="D126" s="62">
        <v>1</v>
      </c>
      <c r="E126" s="63" t="s">
        <v>35</v>
      </c>
      <c r="F126" s="80" t="s">
        <v>118</v>
      </c>
      <c r="G126" s="126">
        <f>+SEPTIEMBRE!G127+'AGOSTO '!G127+JULIO!G126+'OCTUBRE '!G127+'ENERO-JUNIO 2025'!G127</f>
        <v>0</v>
      </c>
      <c r="H126" s="126">
        <f>+SEPTIEMBRE!H127+'AGOSTO '!H127+JULIO!H126+'OCTUBRE '!H127+'ENERO-JUNIO 2025'!H127</f>
        <v>0</v>
      </c>
      <c r="I126" s="126">
        <f t="shared" si="1"/>
        <v>0</v>
      </c>
      <c r="J126" s="65">
        <v>0</v>
      </c>
    </row>
    <row r="127" spans="1:10" x14ac:dyDescent="0.2">
      <c r="A127" s="72">
        <v>2</v>
      </c>
      <c r="B127" s="58">
        <v>2</v>
      </c>
      <c r="C127" s="58">
        <v>5</v>
      </c>
      <c r="D127" s="58">
        <v>2</v>
      </c>
      <c r="E127" s="77"/>
      <c r="F127" s="117" t="s">
        <v>119</v>
      </c>
      <c r="G127" s="125">
        <f>+SEPTIEMBRE!G128+'AGOSTO '!G128+JULIO!G127+'OCTUBRE '!G128+'ENERO-JUNIO 2025'!G128</f>
        <v>0</v>
      </c>
      <c r="H127" s="125">
        <f>+SEPTIEMBRE!H128+'AGOSTO '!H128+JULIO!H127+'OCTUBRE '!H128+'ENERO-JUNIO 2025'!H128</f>
        <v>0</v>
      </c>
      <c r="I127" s="125">
        <f t="shared" si="1"/>
        <v>0</v>
      </c>
      <c r="J127" s="60"/>
    </row>
    <row r="128" spans="1:10" x14ac:dyDescent="0.2">
      <c r="A128" s="74">
        <v>2</v>
      </c>
      <c r="B128" s="62">
        <v>2</v>
      </c>
      <c r="C128" s="62">
        <v>5</v>
      </c>
      <c r="D128" s="62">
        <v>2</v>
      </c>
      <c r="E128" s="63" t="s">
        <v>35</v>
      </c>
      <c r="F128" s="80" t="s">
        <v>120</v>
      </c>
      <c r="G128" s="126">
        <f>+SEPTIEMBRE!G129+'AGOSTO '!G129+JULIO!G128+'OCTUBRE '!G129+'ENERO-JUNIO 2025'!G129</f>
        <v>0</v>
      </c>
      <c r="H128" s="126">
        <f>+SEPTIEMBRE!H129+'AGOSTO '!H129+JULIO!H128+'OCTUBRE '!H129+'ENERO-JUNIO 2025'!H129</f>
        <v>0</v>
      </c>
      <c r="I128" s="126">
        <f t="shared" si="1"/>
        <v>0</v>
      </c>
      <c r="J128" s="65">
        <v>0</v>
      </c>
    </row>
    <row r="129" spans="1:10" x14ac:dyDescent="0.2">
      <c r="A129" s="72">
        <v>2</v>
      </c>
      <c r="B129" s="58">
        <v>2</v>
      </c>
      <c r="C129" s="58">
        <v>5</v>
      </c>
      <c r="D129" s="58">
        <v>3</v>
      </c>
      <c r="E129" s="77"/>
      <c r="F129" s="117" t="s">
        <v>121</v>
      </c>
      <c r="G129" s="125">
        <f>+SEPTIEMBRE!G130+'AGOSTO '!G130+JULIO!G129+'OCTUBRE '!G130+'ENERO-JUNIO 2025'!G130</f>
        <v>298561.91999999998</v>
      </c>
      <c r="H129" s="125">
        <f>+SEPTIEMBRE!H130+'AGOSTO '!H130+JULIO!H129+'OCTUBRE '!H130+'ENERO-JUNIO 2025'!H130</f>
        <v>2450864.6</v>
      </c>
      <c r="I129" s="125">
        <f t="shared" si="1"/>
        <v>2749426.52</v>
      </c>
      <c r="J129" s="60"/>
    </row>
    <row r="130" spans="1:10" x14ac:dyDescent="0.2">
      <c r="A130" s="74">
        <v>2</v>
      </c>
      <c r="B130" s="62">
        <v>2</v>
      </c>
      <c r="C130" s="62">
        <v>5</v>
      </c>
      <c r="D130" s="62">
        <v>3</v>
      </c>
      <c r="E130" s="63" t="s">
        <v>35</v>
      </c>
      <c r="F130" s="80" t="s">
        <v>122</v>
      </c>
      <c r="G130" s="126">
        <f>+SEPTIEMBRE!G131+'AGOSTO '!G131+JULIO!G130+'OCTUBRE '!G131+'ENERO-JUNIO 2025'!G131</f>
        <v>0</v>
      </c>
      <c r="H130" s="126">
        <f>+SEPTIEMBRE!H131+'AGOSTO '!H131+JULIO!H130+'OCTUBRE '!H131+'ENERO-JUNIO 2025'!H131</f>
        <v>0</v>
      </c>
      <c r="I130" s="126">
        <f t="shared" si="1"/>
        <v>0</v>
      </c>
      <c r="J130" s="65">
        <v>0</v>
      </c>
    </row>
    <row r="131" spans="1:10" ht="25.5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37</v>
      </c>
      <c r="F131" s="80" t="s">
        <v>123</v>
      </c>
      <c r="G131" s="126">
        <f>+SEPTIEMBRE!G132+'AGOSTO '!G132+JULIO!G131+'OCTUBRE '!G132+'ENERO-JUNIO 2025'!G132</f>
        <v>298561.91999999998</v>
      </c>
      <c r="H131" s="126">
        <f>+SEPTIEMBRE!H132+'AGOSTO '!H132+JULIO!H131+'OCTUBRE '!H132+'ENERO-JUNIO 2025'!H132</f>
        <v>2450864.6</v>
      </c>
      <c r="I131" s="126">
        <f t="shared" si="1"/>
        <v>2749426.52</v>
      </c>
      <c r="J131" s="65">
        <v>2.4999492122534709E-3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39</v>
      </c>
      <c r="F132" s="80" t="s">
        <v>124</v>
      </c>
      <c r="G132" s="126">
        <f>+SEPTIEMBRE!G133+'AGOSTO '!G133+JULIO!G132+'OCTUBRE '!G133+'ENERO-JUNIO 2025'!G133</f>
        <v>0</v>
      </c>
      <c r="H132" s="126">
        <f>+SEPTIEMBRE!H133+'AGOSTO '!H133+JULIO!H132+'OCTUBRE '!H133+'ENERO-JUNIO 2025'!H133</f>
        <v>0</v>
      </c>
      <c r="I132" s="126">
        <f t="shared" si="1"/>
        <v>0</v>
      </c>
      <c r="J132" s="65"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41</v>
      </c>
      <c r="F133" s="80" t="s">
        <v>125</v>
      </c>
      <c r="G133" s="126">
        <f>+SEPTIEMBRE!G134+'AGOSTO '!G134+JULIO!G133+'OCTUBRE '!G134+'ENERO-JUNIO 2025'!G134</f>
        <v>0</v>
      </c>
      <c r="H133" s="126">
        <f>+SEPTIEMBRE!H134+'AGOSTO '!H134+JULIO!H133+'OCTUBRE '!H134+'ENERO-JUNIO 2025'!H134</f>
        <v>0</v>
      </c>
      <c r="I133" s="126">
        <f t="shared" si="1"/>
        <v>0</v>
      </c>
      <c r="J133" s="65"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43</v>
      </c>
      <c r="F134" s="80" t="s">
        <v>126</v>
      </c>
      <c r="G134" s="126">
        <f>+SEPTIEMBRE!G135+'AGOSTO '!G135+JULIO!G134+'OCTUBRE '!G135+'ENERO-JUNIO 2025'!G135</f>
        <v>0</v>
      </c>
      <c r="H134" s="126">
        <f>+SEPTIEMBRE!H135+'AGOSTO '!H135+JULIO!H134+'OCTUBRE '!H135+'ENERO-JUNIO 2025'!H135</f>
        <v>0</v>
      </c>
      <c r="I134" s="126">
        <f t="shared" si="1"/>
        <v>0</v>
      </c>
      <c r="J134" s="65">
        <v>0</v>
      </c>
    </row>
    <row r="135" spans="1:10" ht="25.5" x14ac:dyDescent="0.2">
      <c r="A135" s="72">
        <v>2</v>
      </c>
      <c r="B135" s="58">
        <v>2</v>
      </c>
      <c r="C135" s="58">
        <v>5</v>
      </c>
      <c r="D135" s="58">
        <v>4</v>
      </c>
      <c r="E135" s="77"/>
      <c r="F135" s="117" t="s">
        <v>127</v>
      </c>
      <c r="G135" s="125">
        <f>+SEPTIEMBRE!G136+'AGOSTO '!G136+JULIO!G135+'OCTUBRE '!G136+'ENERO-JUNIO 2025'!G136</f>
        <v>0</v>
      </c>
      <c r="H135" s="125">
        <f>+SEPTIEMBRE!H136+'AGOSTO '!H136+JULIO!H135+'OCTUBRE '!H136+'ENERO-JUNIO 2025'!H136</f>
        <v>0</v>
      </c>
      <c r="I135" s="125">
        <f t="shared" si="1"/>
        <v>0</v>
      </c>
      <c r="J135" s="60"/>
    </row>
    <row r="136" spans="1:10" ht="25.5" x14ac:dyDescent="0.2">
      <c r="A136" s="74">
        <v>2</v>
      </c>
      <c r="B136" s="62">
        <v>2</v>
      </c>
      <c r="C136" s="62">
        <v>5</v>
      </c>
      <c r="D136" s="62">
        <v>4</v>
      </c>
      <c r="E136" s="63" t="s">
        <v>35</v>
      </c>
      <c r="F136" s="80" t="s">
        <v>127</v>
      </c>
      <c r="G136" s="126">
        <f>+SEPTIEMBRE!G137+'AGOSTO '!G137+JULIO!G136+'OCTUBRE '!G137+'ENERO-JUNIO 2025'!G137</f>
        <v>0</v>
      </c>
      <c r="H136" s="126">
        <f>+SEPTIEMBRE!H137+'AGOSTO '!H137+JULIO!H136+'OCTUBRE '!H137+'ENERO-JUNIO 2025'!H137</f>
        <v>0</v>
      </c>
      <c r="I136" s="126">
        <f t="shared" si="1"/>
        <v>0</v>
      </c>
      <c r="J136" s="65">
        <v>0</v>
      </c>
    </row>
    <row r="137" spans="1:10" x14ac:dyDescent="0.2">
      <c r="A137" s="72">
        <v>2</v>
      </c>
      <c r="B137" s="58">
        <v>2</v>
      </c>
      <c r="C137" s="58">
        <v>5</v>
      </c>
      <c r="D137" s="58">
        <v>5</v>
      </c>
      <c r="E137" s="77"/>
      <c r="F137" s="117" t="s">
        <v>128</v>
      </c>
      <c r="G137" s="125">
        <f>+SEPTIEMBRE!G138+'AGOSTO '!G138+JULIO!G137+'OCTUBRE '!G138+'ENERO-JUNIO 2025'!G138</f>
        <v>0</v>
      </c>
      <c r="H137" s="125">
        <f>+SEPTIEMBRE!H138+'AGOSTO '!H138+JULIO!H137+'OCTUBRE '!H138+'ENERO-JUNIO 2025'!H138</f>
        <v>0</v>
      </c>
      <c r="I137" s="125">
        <f t="shared" si="1"/>
        <v>0</v>
      </c>
      <c r="J137" s="60"/>
    </row>
    <row r="138" spans="1:10" x14ac:dyDescent="0.2">
      <c r="A138" s="74">
        <v>2</v>
      </c>
      <c r="B138" s="62">
        <v>2</v>
      </c>
      <c r="C138" s="62">
        <v>5</v>
      </c>
      <c r="D138" s="62">
        <v>5</v>
      </c>
      <c r="E138" s="63" t="s">
        <v>35</v>
      </c>
      <c r="F138" s="80" t="s">
        <v>128</v>
      </c>
      <c r="G138" s="126">
        <f>+SEPTIEMBRE!G139+'AGOSTO '!G139+JULIO!G138+'OCTUBRE '!G139+'ENERO-JUNIO 2025'!G139</f>
        <v>0</v>
      </c>
      <c r="H138" s="126">
        <f>+SEPTIEMBRE!H139+'AGOSTO '!H139+JULIO!H138+'OCTUBRE '!H139+'ENERO-JUNIO 2025'!H139</f>
        <v>0</v>
      </c>
      <c r="I138" s="126">
        <f t="shared" si="1"/>
        <v>0</v>
      </c>
      <c r="J138" s="65">
        <v>0</v>
      </c>
    </row>
    <row r="139" spans="1:10" x14ac:dyDescent="0.2">
      <c r="A139" s="72">
        <v>2</v>
      </c>
      <c r="B139" s="58">
        <v>2</v>
      </c>
      <c r="C139" s="58">
        <v>5</v>
      </c>
      <c r="D139" s="58">
        <v>6</v>
      </c>
      <c r="E139" s="77"/>
      <c r="F139" s="117" t="s">
        <v>129</v>
      </c>
      <c r="G139" s="125">
        <f>+SEPTIEMBRE!G140+'AGOSTO '!G140+JULIO!G139+'OCTUBRE '!G140+'ENERO-JUNIO 2025'!G140</f>
        <v>0</v>
      </c>
      <c r="H139" s="125">
        <f>+SEPTIEMBRE!H140+'AGOSTO '!H140+JULIO!H139+'OCTUBRE '!H140+'ENERO-JUNIO 2025'!H140</f>
        <v>0</v>
      </c>
      <c r="I139" s="125">
        <f t="shared" si="1"/>
        <v>0</v>
      </c>
      <c r="J139" s="60"/>
    </row>
    <row r="140" spans="1:10" x14ac:dyDescent="0.2">
      <c r="A140" s="74">
        <v>2</v>
      </c>
      <c r="B140" s="62">
        <v>2</v>
      </c>
      <c r="C140" s="62">
        <v>5</v>
      </c>
      <c r="D140" s="62">
        <v>6</v>
      </c>
      <c r="E140" s="63" t="s">
        <v>35</v>
      </c>
      <c r="F140" s="80" t="s">
        <v>129</v>
      </c>
      <c r="G140" s="126">
        <f>+SEPTIEMBRE!G141+'AGOSTO '!G141+JULIO!G140+'OCTUBRE '!G141+'ENERO-JUNIO 2025'!G141</f>
        <v>0</v>
      </c>
      <c r="H140" s="126">
        <f>+SEPTIEMBRE!H141+'AGOSTO '!H141+JULIO!H140+'OCTUBRE '!H141+'ENERO-JUNIO 2025'!H141</f>
        <v>0</v>
      </c>
      <c r="I140" s="126">
        <f t="shared" si="1"/>
        <v>0</v>
      </c>
      <c r="J140" s="65">
        <v>0</v>
      </c>
    </row>
    <row r="141" spans="1:10" ht="25.5" x14ac:dyDescent="0.2">
      <c r="A141" s="72">
        <v>2</v>
      </c>
      <c r="B141" s="58">
        <v>2</v>
      </c>
      <c r="C141" s="58">
        <v>5</v>
      </c>
      <c r="D141" s="58">
        <v>7</v>
      </c>
      <c r="E141" s="77"/>
      <c r="F141" s="117" t="s">
        <v>130</v>
      </c>
      <c r="G141" s="125">
        <f>+SEPTIEMBRE!G142+'AGOSTO '!G142+JULIO!G141+'OCTUBRE '!G142+'ENERO-JUNIO 2025'!G142</f>
        <v>0</v>
      </c>
      <c r="H141" s="125">
        <f>+SEPTIEMBRE!H142+'AGOSTO '!H142+JULIO!H141+'OCTUBRE '!H142+'ENERO-JUNIO 2025'!H142</f>
        <v>0</v>
      </c>
      <c r="I141" s="125">
        <f t="shared" si="1"/>
        <v>0</v>
      </c>
      <c r="J141" s="60"/>
    </row>
    <row r="142" spans="1:10" ht="25.5" x14ac:dyDescent="0.2">
      <c r="A142" s="74">
        <v>2</v>
      </c>
      <c r="B142" s="62">
        <v>2</v>
      </c>
      <c r="C142" s="62">
        <v>5</v>
      </c>
      <c r="D142" s="62">
        <v>7</v>
      </c>
      <c r="E142" s="63" t="s">
        <v>35</v>
      </c>
      <c r="F142" s="80" t="s">
        <v>130</v>
      </c>
      <c r="G142" s="126">
        <f>+SEPTIEMBRE!G143+'AGOSTO '!G143+JULIO!G142+'OCTUBRE '!G143+'ENERO-JUNIO 2025'!G143</f>
        <v>0</v>
      </c>
      <c r="H142" s="126">
        <f>+SEPTIEMBRE!H143+'AGOSTO '!H143+JULIO!H142+'OCTUBRE '!H143+'ENERO-JUNIO 2025'!H143</f>
        <v>0</v>
      </c>
      <c r="I142" s="126">
        <f t="shared" si="1"/>
        <v>0</v>
      </c>
      <c r="J142" s="65">
        <v>0</v>
      </c>
    </row>
    <row r="143" spans="1:10" x14ac:dyDescent="0.2">
      <c r="A143" s="72">
        <v>2</v>
      </c>
      <c r="B143" s="58">
        <v>2</v>
      </c>
      <c r="C143" s="58">
        <v>5</v>
      </c>
      <c r="D143" s="58">
        <v>8</v>
      </c>
      <c r="E143" s="77"/>
      <c r="F143" s="117" t="s">
        <v>131</v>
      </c>
      <c r="G143" s="125">
        <f>+SEPTIEMBRE!G144+'AGOSTO '!G144+JULIO!G143+'OCTUBRE '!G144+'ENERO-JUNIO 2025'!G144</f>
        <v>0</v>
      </c>
      <c r="H143" s="125">
        <f>+SEPTIEMBRE!H144+'AGOSTO '!H144+JULIO!H143+'OCTUBRE '!H144+'ENERO-JUNIO 2025'!H144</f>
        <v>53100</v>
      </c>
      <c r="I143" s="125">
        <f t="shared" si="1"/>
        <v>53100</v>
      </c>
      <c r="J143" s="60"/>
    </row>
    <row r="144" spans="1:10" x14ac:dyDescent="0.2">
      <c r="A144" s="74">
        <v>2</v>
      </c>
      <c r="B144" s="62">
        <v>2</v>
      </c>
      <c r="C144" s="62">
        <v>5</v>
      </c>
      <c r="D144" s="62">
        <v>8</v>
      </c>
      <c r="E144" s="63" t="s">
        <v>35</v>
      </c>
      <c r="F144" s="80" t="s">
        <v>131</v>
      </c>
      <c r="G144" s="126">
        <f>+SEPTIEMBRE!G145+'AGOSTO '!G145+JULIO!G144+'OCTUBRE '!G145+'ENERO-JUNIO 2025'!G145</f>
        <v>0</v>
      </c>
      <c r="H144" s="126">
        <f>+SEPTIEMBRE!H145+'AGOSTO '!H145+JULIO!H144+'OCTUBRE '!H145+'ENERO-JUNIO 2025'!H145</f>
        <v>53100</v>
      </c>
      <c r="I144" s="126">
        <f t="shared" si="1"/>
        <v>53100</v>
      </c>
      <c r="J144" s="65">
        <v>0</v>
      </c>
    </row>
    <row r="145" spans="1:10" x14ac:dyDescent="0.2">
      <c r="A145" s="72">
        <v>2</v>
      </c>
      <c r="B145" s="58">
        <v>2</v>
      </c>
      <c r="C145" s="58">
        <v>5</v>
      </c>
      <c r="D145" s="58">
        <v>9</v>
      </c>
      <c r="E145" s="77"/>
      <c r="F145" s="117" t="s">
        <v>132</v>
      </c>
      <c r="G145" s="125">
        <f>+SEPTIEMBRE!G146+'AGOSTO '!G146+JULIO!G145+'OCTUBRE '!G146+'ENERO-JUNIO 2025'!G146</f>
        <v>300000</v>
      </c>
      <c r="H145" s="125">
        <f>+SEPTIEMBRE!H146+'AGOSTO '!H146+JULIO!H145+'OCTUBRE '!H146+'ENERO-JUNIO 2025'!H146</f>
        <v>0</v>
      </c>
      <c r="I145" s="125">
        <f t="shared" si="1"/>
        <v>300000</v>
      </c>
      <c r="J145" s="60"/>
    </row>
    <row r="146" spans="1:10" x14ac:dyDescent="0.2">
      <c r="A146" s="74">
        <v>2</v>
      </c>
      <c r="B146" s="62">
        <v>2</v>
      </c>
      <c r="C146" s="62">
        <v>5</v>
      </c>
      <c r="D146" s="62">
        <v>9</v>
      </c>
      <c r="E146" s="63" t="s">
        <v>35</v>
      </c>
      <c r="F146" s="80" t="s">
        <v>133</v>
      </c>
      <c r="G146" s="126">
        <f>+SEPTIEMBRE!G147+'AGOSTO '!G147+JULIO!G146+'OCTUBRE '!G147+'ENERO-JUNIO 2025'!G147</f>
        <v>300000</v>
      </c>
      <c r="H146" s="126">
        <f>+SEPTIEMBRE!H147+'AGOSTO '!H147+JULIO!H146+'OCTUBRE '!H147+'ENERO-JUNIO 2025'!H147</f>
        <v>0</v>
      </c>
      <c r="I146" s="126">
        <f t="shared" si="1"/>
        <v>300000</v>
      </c>
      <c r="J146" s="65">
        <v>0</v>
      </c>
    </row>
    <row r="147" spans="1:10" x14ac:dyDescent="0.2">
      <c r="A147" s="54">
        <v>2</v>
      </c>
      <c r="B147" s="55">
        <v>2</v>
      </c>
      <c r="C147" s="55">
        <v>6</v>
      </c>
      <c r="D147" s="55"/>
      <c r="E147" s="55"/>
      <c r="F147" s="79" t="s">
        <v>134</v>
      </c>
      <c r="G147" s="124">
        <f>+SEPTIEMBRE!G148+'AGOSTO '!G148+JULIO!G147+'OCTUBRE '!G148+'ENERO-JUNIO 2025'!G148</f>
        <v>0</v>
      </c>
      <c r="H147" s="124">
        <f>+SEPTIEMBRE!H148+'AGOSTO '!H148+JULIO!H147+'OCTUBRE '!H148+'ENERO-JUNIO 2025'!H148</f>
        <v>3449.08</v>
      </c>
      <c r="I147" s="124">
        <f t="shared" si="1"/>
        <v>3449.08</v>
      </c>
      <c r="J147" s="53"/>
    </row>
    <row r="148" spans="1:10" x14ac:dyDescent="0.2">
      <c r="A148" s="72">
        <v>2</v>
      </c>
      <c r="B148" s="58">
        <v>2</v>
      </c>
      <c r="C148" s="58">
        <v>6</v>
      </c>
      <c r="D148" s="58">
        <v>1</v>
      </c>
      <c r="E148" s="77"/>
      <c r="F148" s="117" t="s">
        <v>135</v>
      </c>
      <c r="G148" s="125">
        <f>+SEPTIEMBRE!G149+'AGOSTO '!G149+JULIO!G148+'OCTUBRE '!G149+'ENERO-JUNIO 2025'!G149</f>
        <v>0</v>
      </c>
      <c r="H148" s="125">
        <f>+SEPTIEMBRE!H149+'AGOSTO '!H149+JULIO!H148+'OCTUBRE '!H149+'ENERO-JUNIO 2025'!H149</f>
        <v>0</v>
      </c>
      <c r="I148" s="125">
        <f t="shared" si="1"/>
        <v>0</v>
      </c>
      <c r="J148" s="60"/>
    </row>
    <row r="149" spans="1:10" x14ac:dyDescent="0.2">
      <c r="A149" s="74">
        <v>2</v>
      </c>
      <c r="B149" s="62">
        <v>2</v>
      </c>
      <c r="C149" s="62">
        <v>6</v>
      </c>
      <c r="D149" s="62">
        <v>1</v>
      </c>
      <c r="E149" s="63" t="s">
        <v>35</v>
      </c>
      <c r="F149" s="80" t="s">
        <v>135</v>
      </c>
      <c r="G149" s="126">
        <f>+SEPTIEMBRE!G150+'AGOSTO '!G150+JULIO!G149+'OCTUBRE '!G150+'ENERO-JUNIO 2025'!G150</f>
        <v>0</v>
      </c>
      <c r="H149" s="126">
        <f>+SEPTIEMBRE!H150+'AGOSTO '!H150+JULIO!H149+'OCTUBRE '!H150+'ENERO-JUNIO 2025'!H150</f>
        <v>0</v>
      </c>
      <c r="I149" s="126">
        <f t="shared" si="1"/>
        <v>0</v>
      </c>
      <c r="J149" s="65">
        <v>0</v>
      </c>
    </row>
    <row r="150" spans="1:10" x14ac:dyDescent="0.2">
      <c r="A150" s="72">
        <v>2</v>
      </c>
      <c r="B150" s="58">
        <v>2</v>
      </c>
      <c r="C150" s="58">
        <v>6</v>
      </c>
      <c r="D150" s="58">
        <v>2</v>
      </c>
      <c r="E150" s="58"/>
      <c r="F150" s="117" t="s">
        <v>136</v>
      </c>
      <c r="G150" s="125">
        <f>+SEPTIEMBRE!G151+'AGOSTO '!G151+JULIO!G150+'OCTUBRE '!G151+'ENERO-JUNIO 2025'!G151</f>
        <v>0</v>
      </c>
      <c r="H150" s="125">
        <f>+SEPTIEMBRE!H151+'AGOSTO '!H151+JULIO!H150+'OCTUBRE '!H151+'ENERO-JUNIO 2025'!H151</f>
        <v>0</v>
      </c>
      <c r="I150" s="125">
        <f t="shared" si="1"/>
        <v>0</v>
      </c>
      <c r="J150" s="60"/>
    </row>
    <row r="151" spans="1:10" x14ac:dyDescent="0.2">
      <c r="A151" s="74">
        <v>2</v>
      </c>
      <c r="B151" s="62">
        <v>2</v>
      </c>
      <c r="C151" s="62">
        <v>6</v>
      </c>
      <c r="D151" s="62">
        <v>2</v>
      </c>
      <c r="E151" s="63" t="s">
        <v>35</v>
      </c>
      <c r="F151" s="80" t="s">
        <v>136</v>
      </c>
      <c r="G151" s="126">
        <f>+SEPTIEMBRE!G152+'AGOSTO '!G152+JULIO!G151+'OCTUBRE '!G152+'ENERO-JUNIO 2025'!G152</f>
        <v>0</v>
      </c>
      <c r="H151" s="126">
        <f>+SEPTIEMBRE!H152+'AGOSTO '!H152+JULIO!H151+'OCTUBRE '!H152+'ENERO-JUNIO 2025'!H152</f>
        <v>0</v>
      </c>
      <c r="I151" s="126">
        <f t="shared" si="1"/>
        <v>0</v>
      </c>
      <c r="J151" s="65">
        <v>0</v>
      </c>
    </row>
    <row r="152" spans="1:10" x14ac:dyDescent="0.2">
      <c r="A152" s="72">
        <v>2</v>
      </c>
      <c r="B152" s="58">
        <v>2</v>
      </c>
      <c r="C152" s="58">
        <v>6</v>
      </c>
      <c r="D152" s="58">
        <v>3</v>
      </c>
      <c r="E152" s="58"/>
      <c r="F152" s="117" t="s">
        <v>137</v>
      </c>
      <c r="G152" s="125">
        <f>+SEPTIEMBRE!G153+'AGOSTO '!G153+JULIO!G152+'OCTUBRE '!G153+'ENERO-JUNIO 2025'!G153</f>
        <v>0</v>
      </c>
      <c r="H152" s="125">
        <f>+SEPTIEMBRE!H153+'AGOSTO '!H153+JULIO!H152+'OCTUBRE '!H153+'ENERO-JUNIO 2025'!H153</f>
        <v>3449.08</v>
      </c>
      <c r="I152" s="125">
        <f t="shared" si="1"/>
        <v>3449.08</v>
      </c>
      <c r="J152" s="60"/>
    </row>
    <row r="153" spans="1:10" x14ac:dyDescent="0.2">
      <c r="A153" s="74">
        <v>2</v>
      </c>
      <c r="B153" s="62">
        <v>2</v>
      </c>
      <c r="C153" s="62">
        <v>6</v>
      </c>
      <c r="D153" s="62">
        <v>3</v>
      </c>
      <c r="E153" s="63" t="s">
        <v>35</v>
      </c>
      <c r="F153" s="80" t="s">
        <v>137</v>
      </c>
      <c r="G153" s="126">
        <f>+SEPTIEMBRE!G154+'AGOSTO '!G154+JULIO!G153+'OCTUBRE '!G154+'ENERO-JUNIO 2025'!G154</f>
        <v>0</v>
      </c>
      <c r="H153" s="126">
        <f>+SEPTIEMBRE!H154+'AGOSTO '!H154+JULIO!H153+'OCTUBRE '!H154+'ENERO-JUNIO 2025'!H154</f>
        <v>3449.08</v>
      </c>
      <c r="I153" s="126">
        <f t="shared" ref="I153:I216" si="2">+G153+H153</f>
        <v>3449.08</v>
      </c>
      <c r="J153" s="65">
        <v>0</v>
      </c>
    </row>
    <row r="154" spans="1:10" x14ac:dyDescent="0.2">
      <c r="A154" s="72">
        <v>2</v>
      </c>
      <c r="B154" s="58">
        <v>2</v>
      </c>
      <c r="C154" s="58">
        <v>6</v>
      </c>
      <c r="D154" s="58">
        <v>4</v>
      </c>
      <c r="E154" s="58"/>
      <c r="F154" s="117" t="s">
        <v>138</v>
      </c>
      <c r="G154" s="125">
        <f>+SEPTIEMBRE!G155+'AGOSTO '!G155+JULIO!G154+'OCTUBRE '!G155+'ENERO-JUNIO 2025'!G155</f>
        <v>0</v>
      </c>
      <c r="H154" s="125">
        <f>+SEPTIEMBRE!H155+'AGOSTO '!H155+JULIO!H154+'OCTUBRE '!H155+'ENERO-JUNIO 2025'!H155</f>
        <v>0</v>
      </c>
      <c r="I154" s="125">
        <f t="shared" si="2"/>
        <v>0</v>
      </c>
      <c r="J154" s="60"/>
    </row>
    <row r="155" spans="1:10" x14ac:dyDescent="0.2">
      <c r="A155" s="74">
        <v>2</v>
      </c>
      <c r="B155" s="62">
        <v>2</v>
      </c>
      <c r="C155" s="62">
        <v>6</v>
      </c>
      <c r="D155" s="62">
        <v>4</v>
      </c>
      <c r="E155" s="63" t="s">
        <v>35</v>
      </c>
      <c r="F155" s="80" t="s">
        <v>138</v>
      </c>
      <c r="G155" s="126">
        <f>+SEPTIEMBRE!G156+'AGOSTO '!G156+JULIO!G155+'OCTUBRE '!G156+'ENERO-JUNIO 2025'!G156</f>
        <v>0</v>
      </c>
      <c r="H155" s="126">
        <f>+SEPTIEMBRE!H156+'AGOSTO '!H156+JULIO!H155+'OCTUBRE '!H156+'ENERO-JUNIO 2025'!H156</f>
        <v>0</v>
      </c>
      <c r="I155" s="126">
        <f t="shared" si="2"/>
        <v>0</v>
      </c>
      <c r="J155" s="65">
        <v>0</v>
      </c>
    </row>
    <row r="156" spans="1:10" ht="25.5" x14ac:dyDescent="0.2">
      <c r="A156" s="54">
        <v>2</v>
      </c>
      <c r="B156" s="55">
        <v>2</v>
      </c>
      <c r="C156" s="55">
        <v>7</v>
      </c>
      <c r="D156" s="55"/>
      <c r="E156" s="78"/>
      <c r="F156" s="79" t="s">
        <v>139</v>
      </c>
      <c r="G156" s="124">
        <f>+SEPTIEMBRE!G157+'AGOSTO '!G157+JULIO!G156+'OCTUBRE '!G157+'ENERO-JUNIO 2025'!G157</f>
        <v>20001978.329999998</v>
      </c>
      <c r="H156" s="124">
        <f>+SEPTIEMBRE!H157+'AGOSTO '!H157+JULIO!H156+'OCTUBRE '!H157+'ENERO-JUNIO 2025'!H157</f>
        <v>8964436.4399999995</v>
      </c>
      <c r="I156" s="124">
        <f t="shared" si="2"/>
        <v>28966414.769999996</v>
      </c>
      <c r="J156" s="53"/>
    </row>
    <row r="157" spans="1:10" x14ac:dyDescent="0.2">
      <c r="A157" s="72">
        <v>2</v>
      </c>
      <c r="B157" s="58">
        <v>2</v>
      </c>
      <c r="C157" s="58">
        <v>7</v>
      </c>
      <c r="D157" s="58">
        <v>1</v>
      </c>
      <c r="E157" s="58"/>
      <c r="F157" s="117" t="s">
        <v>140</v>
      </c>
      <c r="G157" s="125">
        <f>+SEPTIEMBRE!G158+'AGOSTO '!G158+JULIO!G157+'OCTUBRE '!G158+'ENERO-JUNIO 2025'!G158</f>
        <v>14617593.23</v>
      </c>
      <c r="H157" s="125">
        <f>+SEPTIEMBRE!H158+'AGOSTO '!H158+JULIO!H157+'OCTUBRE '!H158+'ENERO-JUNIO 2025'!H158</f>
        <v>2210180.2399999998</v>
      </c>
      <c r="I157" s="125">
        <f t="shared" si="2"/>
        <v>16827773.469999999</v>
      </c>
      <c r="J157" s="60"/>
    </row>
    <row r="158" spans="1:10" x14ac:dyDescent="0.2">
      <c r="A158" s="61">
        <v>2</v>
      </c>
      <c r="B158" s="62">
        <v>2</v>
      </c>
      <c r="C158" s="62">
        <v>7</v>
      </c>
      <c r="D158" s="62">
        <v>1</v>
      </c>
      <c r="E158" s="63" t="s">
        <v>35</v>
      </c>
      <c r="F158" s="80" t="s">
        <v>141</v>
      </c>
      <c r="G158" s="126">
        <f>+SEPTIEMBRE!G159+'AGOSTO '!G159+JULIO!G158+'OCTUBRE '!G159+'ENERO-JUNIO 2025'!G159</f>
        <v>12788593.23</v>
      </c>
      <c r="H158" s="126">
        <f>+SEPTIEMBRE!H159+'AGOSTO '!H159+JULIO!H158+'OCTUBRE '!H159+'ENERO-JUNIO 2025'!H159</f>
        <v>1600133.3199999998</v>
      </c>
      <c r="I158" s="126">
        <f t="shared" si="2"/>
        <v>14388726.550000001</v>
      </c>
      <c r="J158" s="65">
        <v>1.4417058871029838E-2</v>
      </c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37</v>
      </c>
      <c r="F159" s="80" t="s">
        <v>142</v>
      </c>
      <c r="G159" s="126">
        <f>+SEPTIEMBRE!G160+'AGOSTO '!G160+JULIO!G159+'OCTUBRE '!G160+'ENERO-JUNIO 2025'!G160</f>
        <v>0</v>
      </c>
      <c r="H159" s="126">
        <f>+SEPTIEMBRE!H160+'AGOSTO '!H160+JULIO!H159+'OCTUBRE '!H160+'ENERO-JUNIO 2025'!H160</f>
        <v>346930.08</v>
      </c>
      <c r="I159" s="126">
        <f t="shared" si="2"/>
        <v>346930.08</v>
      </c>
      <c r="J159" s="65">
        <v>0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39</v>
      </c>
      <c r="F160" s="80" t="s">
        <v>143</v>
      </c>
      <c r="G160" s="126">
        <f>+SEPTIEMBRE!G161+'AGOSTO '!G161+JULIO!G160+'OCTUBRE '!G161+'ENERO-JUNIO 2025'!G161</f>
        <v>0</v>
      </c>
      <c r="H160" s="126">
        <f>+SEPTIEMBRE!H161+'AGOSTO '!H161+JULIO!H160+'OCTUBRE '!H161+'ENERO-JUNIO 2025'!H161</f>
        <v>0</v>
      </c>
      <c r="I160" s="126">
        <f t="shared" si="2"/>
        <v>0</v>
      </c>
      <c r="J160" s="65">
        <v>0</v>
      </c>
    </row>
    <row r="161" spans="1:10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41</v>
      </c>
      <c r="F161" s="80" t="s">
        <v>144</v>
      </c>
      <c r="G161" s="126">
        <f>+SEPTIEMBRE!G162+'AGOSTO '!G162+JULIO!G161+'OCTUBRE '!G162+'ENERO-JUNIO 2025'!G162</f>
        <v>0</v>
      </c>
      <c r="H161" s="126">
        <f>+SEPTIEMBRE!H162+'AGOSTO '!H162+JULIO!H161+'OCTUBRE '!H162+'ENERO-JUNIO 2025'!H162</f>
        <v>0</v>
      </c>
      <c r="I161" s="126">
        <f t="shared" si="2"/>
        <v>0</v>
      </c>
      <c r="J161" s="65">
        <v>0</v>
      </c>
    </row>
    <row r="162" spans="1:10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43</v>
      </c>
      <c r="F162" s="80" t="s">
        <v>145</v>
      </c>
      <c r="G162" s="126">
        <f>+SEPTIEMBRE!G163+'AGOSTO '!G163+JULIO!G162+'OCTUBRE '!G163+'ENERO-JUNIO 2025'!G163</f>
        <v>0</v>
      </c>
      <c r="H162" s="126">
        <f>+SEPTIEMBRE!H163+'AGOSTO '!H163+JULIO!H162+'OCTUBRE '!H163+'ENERO-JUNIO 2025'!H163</f>
        <v>80673.47</v>
      </c>
      <c r="I162" s="126">
        <f t="shared" si="2"/>
        <v>80673.47</v>
      </c>
      <c r="J162" s="65">
        <v>6.7482613445762885E-4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45</v>
      </c>
      <c r="F163" s="80" t="s">
        <v>146</v>
      </c>
      <c r="G163" s="126">
        <f>+SEPTIEMBRE!G164+'AGOSTO '!G164+JULIO!G163+'OCTUBRE '!G164+'ENERO-JUNIO 2025'!G164</f>
        <v>1829000</v>
      </c>
      <c r="H163" s="126">
        <f>+SEPTIEMBRE!H164+'AGOSTO '!H164+JULIO!H163+'OCTUBRE '!H164+'ENERO-JUNIO 2025'!H164</f>
        <v>6500</v>
      </c>
      <c r="I163" s="126">
        <f t="shared" si="2"/>
        <v>1835500</v>
      </c>
      <c r="J163" s="65">
        <v>0</v>
      </c>
    </row>
    <row r="164" spans="1:10" ht="25.5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71</v>
      </c>
      <c r="F164" s="80" t="s">
        <v>147</v>
      </c>
      <c r="G164" s="126">
        <f>+SEPTIEMBRE!G165+'AGOSTO '!G165+JULIO!G164+'OCTUBRE '!G165+'ENERO-JUNIO 2025'!G165</f>
        <v>0</v>
      </c>
      <c r="H164" s="126">
        <f>+SEPTIEMBRE!H165+'AGOSTO '!H165+JULIO!H164+'OCTUBRE '!H165+'ENERO-JUNIO 2025'!H165</f>
        <v>40000</v>
      </c>
      <c r="I164" s="126">
        <f t="shared" si="2"/>
        <v>40000</v>
      </c>
      <c r="J164" s="65"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148</v>
      </c>
      <c r="F165" s="80" t="s">
        <v>149</v>
      </c>
      <c r="G165" s="126">
        <f>+SEPTIEMBRE!G166+'AGOSTO '!G166+JULIO!G165+'OCTUBRE '!G166+'ENERO-JUNIO 2025'!G166</f>
        <v>0</v>
      </c>
      <c r="H165" s="126">
        <f>+SEPTIEMBRE!H166+'AGOSTO '!H166+JULIO!H165+'OCTUBRE '!H166+'ENERO-JUNIO 2025'!H166</f>
        <v>135943.37</v>
      </c>
      <c r="I165" s="126">
        <f t="shared" si="2"/>
        <v>135943.37</v>
      </c>
      <c r="J165" s="65">
        <v>3.7266642722402641E-4</v>
      </c>
    </row>
    <row r="166" spans="1:10" x14ac:dyDescent="0.2">
      <c r="A166" s="72">
        <v>2</v>
      </c>
      <c r="B166" s="58">
        <v>2</v>
      </c>
      <c r="C166" s="58">
        <v>7</v>
      </c>
      <c r="D166" s="58">
        <v>2</v>
      </c>
      <c r="E166" s="58"/>
      <c r="F166" s="117" t="s">
        <v>150</v>
      </c>
      <c r="G166" s="125">
        <f>+SEPTIEMBRE!G167+'AGOSTO '!G167+JULIO!G166+'OCTUBRE '!G167+'ENERO-JUNIO 2025'!G167</f>
        <v>5384385.0999999996</v>
      </c>
      <c r="H166" s="125">
        <f>+SEPTIEMBRE!H167+'AGOSTO '!H167+JULIO!H166+'OCTUBRE '!H167+'ENERO-JUNIO 2025'!H167</f>
        <v>6754256.2000000002</v>
      </c>
      <c r="I166" s="125">
        <f t="shared" si="2"/>
        <v>12138641.300000001</v>
      </c>
      <c r="J166" s="60"/>
    </row>
    <row r="167" spans="1:10" ht="25.5" x14ac:dyDescent="0.2">
      <c r="A167" s="61">
        <v>2</v>
      </c>
      <c r="B167" s="62">
        <v>2</v>
      </c>
      <c r="C167" s="62">
        <v>7</v>
      </c>
      <c r="D167" s="62">
        <v>2</v>
      </c>
      <c r="E167" s="63" t="s">
        <v>35</v>
      </c>
      <c r="F167" s="80" t="s">
        <v>151</v>
      </c>
      <c r="G167" s="126">
        <f>+SEPTIEMBRE!G168+'AGOSTO '!G168+JULIO!G167+'OCTUBRE '!G168+'ENERO-JUNIO 2025'!G168</f>
        <v>0</v>
      </c>
      <c r="H167" s="126">
        <f>+SEPTIEMBRE!H168+'AGOSTO '!H168+JULIO!H167+'OCTUBRE '!H168+'ENERO-JUNIO 2025'!H168</f>
        <v>30102.05</v>
      </c>
      <c r="I167" s="126">
        <f t="shared" si="2"/>
        <v>30102.05</v>
      </c>
      <c r="J167" s="65">
        <v>0</v>
      </c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37</v>
      </c>
      <c r="F168" s="80" t="s">
        <v>152</v>
      </c>
      <c r="G168" s="126">
        <f>+SEPTIEMBRE!G169+'AGOSTO '!G169+JULIO!G168+'OCTUBRE '!G169+'ENERO-JUNIO 2025'!G169</f>
        <v>875914</v>
      </c>
      <c r="H168" s="126">
        <f>+SEPTIEMBRE!H169+'AGOSTO '!H169+JULIO!H168+'OCTUBRE '!H169+'ENERO-JUNIO 2025'!H169</f>
        <v>0</v>
      </c>
      <c r="I168" s="126">
        <f t="shared" si="2"/>
        <v>875914</v>
      </c>
      <c r="J168" s="65">
        <v>7.3269398073160788E-3</v>
      </c>
    </row>
    <row r="169" spans="1:10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39</v>
      </c>
      <c r="F169" s="80" t="s">
        <v>153</v>
      </c>
      <c r="G169" s="126">
        <f>+SEPTIEMBRE!G170+'AGOSTO '!G170+JULIO!G169+'OCTUBRE '!G170+'ENERO-JUNIO 2025'!G170</f>
        <v>0</v>
      </c>
      <c r="H169" s="126">
        <f>+SEPTIEMBRE!H170+'AGOSTO '!H170+JULIO!H169+'OCTUBRE '!H170+'ENERO-JUNIO 2025'!H170</f>
        <v>0</v>
      </c>
      <c r="I169" s="126">
        <f t="shared" si="2"/>
        <v>0</v>
      </c>
      <c r="J169" s="65">
        <v>0</v>
      </c>
    </row>
    <row r="170" spans="1:10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41</v>
      </c>
      <c r="F170" s="80" t="s">
        <v>154</v>
      </c>
      <c r="G170" s="126">
        <f>+SEPTIEMBRE!G171+'AGOSTO '!G171+JULIO!G170+'OCTUBRE '!G171+'ENERO-JUNIO 2025'!G171</f>
        <v>570701.94999999995</v>
      </c>
      <c r="H170" s="126">
        <f>+SEPTIEMBRE!H171+'AGOSTO '!H171+JULIO!H170+'OCTUBRE '!H171+'ENERO-JUNIO 2025'!H171</f>
        <v>2504176.46</v>
      </c>
      <c r="I170" s="126">
        <f t="shared" si="2"/>
        <v>3074878.41</v>
      </c>
      <c r="J170" s="65">
        <v>3.8495305467510046E-3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43</v>
      </c>
      <c r="F171" s="80" t="s">
        <v>155</v>
      </c>
      <c r="G171" s="126">
        <f>+SEPTIEMBRE!G172+'AGOSTO '!G172+JULIO!G171+'OCTUBRE '!G172+'ENERO-JUNIO 2025'!G172</f>
        <v>0</v>
      </c>
      <c r="H171" s="126">
        <f>+SEPTIEMBRE!H172+'AGOSTO '!H172+JULIO!H171+'OCTUBRE '!H172+'ENERO-JUNIO 2025'!H172</f>
        <v>0</v>
      </c>
      <c r="I171" s="126">
        <f t="shared" si="2"/>
        <v>0</v>
      </c>
      <c r="J171" s="65">
        <v>0</v>
      </c>
    </row>
    <row r="172" spans="1:10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45</v>
      </c>
      <c r="F172" s="81" t="s">
        <v>156</v>
      </c>
      <c r="G172" s="123">
        <f>+SEPTIEMBRE!G173+'AGOSTO '!G173+JULIO!G172+'OCTUBRE '!G173+'ENERO-JUNIO 2025'!G173</f>
        <v>1781366.35</v>
      </c>
      <c r="H172" s="123">
        <f>+SEPTIEMBRE!H173+'AGOSTO '!H173+JULIO!H172+'OCTUBRE '!H173+'ENERO-JUNIO 2025'!H173</f>
        <v>806727.6</v>
      </c>
      <c r="I172" s="123">
        <f t="shared" si="2"/>
        <v>2588093.9500000002</v>
      </c>
      <c r="J172" s="65">
        <v>7.1321386721146822E-3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71</v>
      </c>
      <c r="F173" s="81" t="s">
        <v>157</v>
      </c>
      <c r="G173" s="123">
        <f>+SEPTIEMBRE!G174+'AGOSTO '!G174+JULIO!G173+'OCTUBRE '!G174+'ENERO-JUNIO 2025'!G174</f>
        <v>0</v>
      </c>
      <c r="H173" s="123">
        <f>+SEPTIEMBRE!H174+'AGOSTO '!H174+JULIO!H173+'OCTUBRE '!H174+'ENERO-JUNIO 2025'!H174</f>
        <v>0</v>
      </c>
      <c r="I173" s="123">
        <f t="shared" si="2"/>
        <v>0</v>
      </c>
      <c r="J173" s="65"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51</v>
      </c>
      <c r="F174" s="81" t="s">
        <v>158</v>
      </c>
      <c r="G174" s="123">
        <f>+SEPTIEMBRE!G175+'AGOSTO '!G175+JULIO!G174+'OCTUBRE '!G175+'ENERO-JUNIO 2025'!G175</f>
        <v>2156402.7999999998</v>
      </c>
      <c r="H174" s="123">
        <f>+SEPTIEMBRE!H175+'AGOSTO '!H175+JULIO!H174+'OCTUBRE '!H175+'ENERO-JUNIO 2025'!H175</f>
        <v>2985882.26</v>
      </c>
      <c r="I174" s="123">
        <f t="shared" si="2"/>
        <v>5142285.0599999996</v>
      </c>
      <c r="J174" s="65">
        <v>5.1590962537973878E-3</v>
      </c>
    </row>
    <row r="175" spans="1:10" ht="38.2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148</v>
      </c>
      <c r="F175" s="81" t="s">
        <v>159</v>
      </c>
      <c r="G175" s="123">
        <f>+SEPTIEMBRE!G176+'AGOSTO '!G176+JULIO!G175+'OCTUBRE '!G176+'ENERO-JUNIO 2025'!G176</f>
        <v>0</v>
      </c>
      <c r="H175" s="123">
        <f>+SEPTIEMBRE!H176+'AGOSTO '!H176+JULIO!H175+'OCTUBRE '!H176+'ENERO-JUNIO 2025'!H176</f>
        <v>427367.82999999996</v>
      </c>
      <c r="I175" s="123">
        <f t="shared" si="2"/>
        <v>427367.82999999996</v>
      </c>
      <c r="J175" s="65">
        <v>3.5748924734543466E-3</v>
      </c>
    </row>
    <row r="176" spans="1:10" x14ac:dyDescent="0.2">
      <c r="A176" s="57">
        <v>2</v>
      </c>
      <c r="B176" s="58">
        <v>2</v>
      </c>
      <c r="C176" s="58">
        <v>7</v>
      </c>
      <c r="D176" s="58">
        <v>3</v>
      </c>
      <c r="E176" s="77"/>
      <c r="F176" s="82" t="s">
        <v>160</v>
      </c>
      <c r="G176" s="122">
        <f>+SEPTIEMBRE!G177+'AGOSTO '!G177+JULIO!G176+'OCTUBRE '!G177+'ENERO-JUNIO 2025'!G177</f>
        <v>0</v>
      </c>
      <c r="H176" s="122">
        <f>+SEPTIEMBRE!H177+'AGOSTO '!H177+JULIO!H176+'OCTUBRE '!H177+'ENERO-JUNIO 2025'!H177</f>
        <v>0</v>
      </c>
      <c r="I176" s="122">
        <f t="shared" si="2"/>
        <v>0</v>
      </c>
      <c r="J176" s="60"/>
    </row>
    <row r="177" spans="1:10" x14ac:dyDescent="0.2">
      <c r="A177" s="61">
        <v>2</v>
      </c>
      <c r="B177" s="62">
        <v>2</v>
      </c>
      <c r="C177" s="62">
        <v>7</v>
      </c>
      <c r="D177" s="62">
        <v>3</v>
      </c>
      <c r="E177" s="63" t="s">
        <v>35</v>
      </c>
      <c r="F177" s="81" t="s">
        <v>160</v>
      </c>
      <c r="G177" s="123">
        <f>+SEPTIEMBRE!G178+'AGOSTO '!G178+JULIO!G177+'OCTUBRE '!G178+'ENERO-JUNIO 2025'!G178</f>
        <v>0</v>
      </c>
      <c r="H177" s="123">
        <f>+SEPTIEMBRE!H178+'AGOSTO '!H178+JULIO!H177+'OCTUBRE '!H178+'ENERO-JUNIO 2025'!H178</f>
        <v>0</v>
      </c>
      <c r="I177" s="123">
        <f t="shared" si="2"/>
        <v>0</v>
      </c>
      <c r="J177" s="65">
        <v>0</v>
      </c>
    </row>
    <row r="178" spans="1:10" x14ac:dyDescent="0.2">
      <c r="A178" s="54">
        <v>2</v>
      </c>
      <c r="B178" s="55">
        <v>2</v>
      </c>
      <c r="C178" s="55">
        <v>8</v>
      </c>
      <c r="D178" s="55"/>
      <c r="E178" s="55"/>
      <c r="F178" s="83" t="s">
        <v>161</v>
      </c>
      <c r="G178" s="121">
        <f>+SEPTIEMBRE!G179+'AGOSTO '!G179+JULIO!G178+'OCTUBRE '!G179+'ENERO-JUNIO 2025'!G179</f>
        <v>5004200</v>
      </c>
      <c r="H178" s="121">
        <f>+SEPTIEMBRE!H179+'AGOSTO '!H179+JULIO!H178+'OCTUBRE '!H179+'ENERO-JUNIO 2025'!H179</f>
        <v>4482780.33</v>
      </c>
      <c r="I178" s="121">
        <f t="shared" si="2"/>
        <v>9486980.3300000001</v>
      </c>
      <c r="J178" s="53"/>
    </row>
    <row r="179" spans="1:10" x14ac:dyDescent="0.2">
      <c r="A179" s="57">
        <v>2</v>
      </c>
      <c r="B179" s="58">
        <v>2</v>
      </c>
      <c r="C179" s="58">
        <v>8</v>
      </c>
      <c r="D179" s="58">
        <v>1</v>
      </c>
      <c r="E179" s="58"/>
      <c r="F179" s="82" t="s">
        <v>162</v>
      </c>
      <c r="G179" s="122">
        <f>+SEPTIEMBRE!G180+'AGOSTO '!G180+JULIO!G179+'OCTUBRE '!G180+'ENERO-JUNIO 2025'!G180</f>
        <v>0</v>
      </c>
      <c r="H179" s="122">
        <f>+SEPTIEMBRE!H180+'AGOSTO '!H180+JULIO!H179+'OCTUBRE '!H180+'ENERO-JUNIO 2025'!H180</f>
        <v>0</v>
      </c>
      <c r="I179" s="122">
        <f t="shared" si="2"/>
        <v>0</v>
      </c>
      <c r="J179" s="60"/>
    </row>
    <row r="180" spans="1:10" x14ac:dyDescent="0.2">
      <c r="A180" s="61">
        <v>2</v>
      </c>
      <c r="B180" s="62">
        <v>2</v>
      </c>
      <c r="C180" s="62">
        <v>8</v>
      </c>
      <c r="D180" s="62">
        <v>1</v>
      </c>
      <c r="E180" s="63" t="s">
        <v>35</v>
      </c>
      <c r="F180" s="81" t="s">
        <v>162</v>
      </c>
      <c r="G180" s="123">
        <f>+SEPTIEMBRE!G181+'AGOSTO '!G181+JULIO!G180+'OCTUBRE '!G181+'ENERO-JUNIO 2025'!G181</f>
        <v>0</v>
      </c>
      <c r="H180" s="123">
        <f>+SEPTIEMBRE!H181+'AGOSTO '!H181+JULIO!H180+'OCTUBRE '!H181+'ENERO-JUNIO 2025'!H181</f>
        <v>0</v>
      </c>
      <c r="I180" s="123">
        <f t="shared" si="2"/>
        <v>0</v>
      </c>
      <c r="J180" s="65">
        <v>0</v>
      </c>
    </row>
    <row r="181" spans="1:10" x14ac:dyDescent="0.2">
      <c r="A181" s="57">
        <v>2</v>
      </c>
      <c r="B181" s="58">
        <v>2</v>
      </c>
      <c r="C181" s="58">
        <v>8</v>
      </c>
      <c r="D181" s="58">
        <v>2</v>
      </c>
      <c r="E181" s="58"/>
      <c r="F181" s="82" t="s">
        <v>163</v>
      </c>
      <c r="G181" s="122">
        <f>+SEPTIEMBRE!G182+'AGOSTO '!G182+JULIO!G181+'OCTUBRE '!G182+'ENERO-JUNIO 2025'!G182</f>
        <v>0</v>
      </c>
      <c r="H181" s="122">
        <f>+SEPTIEMBRE!H182+'AGOSTO '!H182+JULIO!H181+'OCTUBRE '!H182+'ENERO-JUNIO 2025'!H182</f>
        <v>111318.04999999999</v>
      </c>
      <c r="I181" s="122">
        <f t="shared" si="2"/>
        <v>111318.04999999999</v>
      </c>
      <c r="J181" s="60"/>
    </row>
    <row r="182" spans="1:10" x14ac:dyDescent="0.2">
      <c r="A182" s="61">
        <v>2</v>
      </c>
      <c r="B182" s="62">
        <v>2</v>
      </c>
      <c r="C182" s="62">
        <v>8</v>
      </c>
      <c r="D182" s="62">
        <v>2</v>
      </c>
      <c r="E182" s="63" t="s">
        <v>35</v>
      </c>
      <c r="F182" s="81" t="s">
        <v>163</v>
      </c>
      <c r="G182" s="123">
        <f>+SEPTIEMBRE!G183+'AGOSTO '!G183+JULIO!G182+'OCTUBRE '!G183+'ENERO-JUNIO 2025'!G183</f>
        <v>0</v>
      </c>
      <c r="H182" s="123">
        <f>+SEPTIEMBRE!H183+'AGOSTO '!H183+JULIO!H182+'OCTUBRE '!H183+'ENERO-JUNIO 2025'!H183</f>
        <v>111318.04999999999</v>
      </c>
      <c r="I182" s="123">
        <f t="shared" si="2"/>
        <v>111318.04999999999</v>
      </c>
      <c r="J182" s="65">
        <v>0</v>
      </c>
    </row>
    <row r="183" spans="1:10" x14ac:dyDescent="0.2">
      <c r="A183" s="57">
        <v>2</v>
      </c>
      <c r="B183" s="58">
        <v>2</v>
      </c>
      <c r="C183" s="58">
        <v>8</v>
      </c>
      <c r="D183" s="58">
        <v>3</v>
      </c>
      <c r="E183" s="58"/>
      <c r="F183" s="82" t="s">
        <v>164</v>
      </c>
      <c r="G183" s="122">
        <f>+SEPTIEMBRE!G184+'AGOSTO '!G184+JULIO!G183+'OCTUBRE '!G184+'ENERO-JUNIO 2025'!G184</f>
        <v>0</v>
      </c>
      <c r="H183" s="122">
        <f>+SEPTIEMBRE!H184+'AGOSTO '!H184+JULIO!H183+'OCTUBRE '!H184+'ENERO-JUNIO 2025'!H184</f>
        <v>210000</v>
      </c>
      <c r="I183" s="122">
        <f t="shared" si="2"/>
        <v>210000</v>
      </c>
      <c r="J183" s="60"/>
    </row>
    <row r="184" spans="1:10" x14ac:dyDescent="0.2">
      <c r="A184" s="61">
        <v>2</v>
      </c>
      <c r="B184" s="62">
        <v>2</v>
      </c>
      <c r="C184" s="62">
        <v>8</v>
      </c>
      <c r="D184" s="62">
        <v>3</v>
      </c>
      <c r="E184" s="63" t="s">
        <v>35</v>
      </c>
      <c r="F184" s="81" t="s">
        <v>164</v>
      </c>
      <c r="G184" s="123">
        <f>+SEPTIEMBRE!G185+'AGOSTO '!G185+JULIO!G184+'OCTUBRE '!G185+'ENERO-JUNIO 2025'!G185</f>
        <v>0</v>
      </c>
      <c r="H184" s="123">
        <f>+SEPTIEMBRE!H185+'AGOSTO '!H185+JULIO!H184+'OCTUBRE '!H185+'ENERO-JUNIO 2025'!H185</f>
        <v>210000</v>
      </c>
      <c r="I184" s="123">
        <f t="shared" si="2"/>
        <v>210000</v>
      </c>
      <c r="J184" s="65">
        <v>0</v>
      </c>
    </row>
    <row r="185" spans="1:10" x14ac:dyDescent="0.2">
      <c r="A185" s="57">
        <v>2</v>
      </c>
      <c r="B185" s="58">
        <v>2</v>
      </c>
      <c r="C185" s="58">
        <v>8</v>
      </c>
      <c r="D185" s="58">
        <v>4</v>
      </c>
      <c r="E185" s="58"/>
      <c r="F185" s="82" t="s">
        <v>165</v>
      </c>
      <c r="G185" s="122">
        <f>+SEPTIEMBRE!G186+'AGOSTO '!G186+JULIO!G185+'OCTUBRE '!G186+'ENERO-JUNIO 2025'!G186</f>
        <v>0</v>
      </c>
      <c r="H185" s="122">
        <f>+SEPTIEMBRE!H186+'AGOSTO '!H186+JULIO!H185+'OCTUBRE '!H186+'ENERO-JUNIO 2025'!H186</f>
        <v>0</v>
      </c>
      <c r="I185" s="122">
        <f t="shared" si="2"/>
        <v>0</v>
      </c>
      <c r="J185" s="60"/>
    </row>
    <row r="186" spans="1:10" x14ac:dyDescent="0.2">
      <c r="A186" s="61">
        <v>2</v>
      </c>
      <c r="B186" s="62">
        <v>2</v>
      </c>
      <c r="C186" s="62">
        <v>8</v>
      </c>
      <c r="D186" s="62">
        <v>4</v>
      </c>
      <c r="E186" s="63" t="s">
        <v>35</v>
      </c>
      <c r="F186" s="81" t="s">
        <v>165</v>
      </c>
      <c r="G186" s="123">
        <f>+SEPTIEMBRE!G187+'AGOSTO '!G187+JULIO!G186+'OCTUBRE '!G187+'ENERO-JUNIO 2025'!G187</f>
        <v>0</v>
      </c>
      <c r="H186" s="123">
        <f>+SEPTIEMBRE!H187+'AGOSTO '!H187+JULIO!H186+'OCTUBRE '!H187+'ENERO-JUNIO 2025'!H187</f>
        <v>0</v>
      </c>
      <c r="I186" s="123">
        <f t="shared" si="2"/>
        <v>0</v>
      </c>
      <c r="J186" s="65">
        <v>0</v>
      </c>
    </row>
    <row r="187" spans="1:10" x14ac:dyDescent="0.2">
      <c r="A187" s="57">
        <v>2</v>
      </c>
      <c r="B187" s="58">
        <v>2</v>
      </c>
      <c r="C187" s="58">
        <v>8</v>
      </c>
      <c r="D187" s="58">
        <v>5</v>
      </c>
      <c r="E187" s="58"/>
      <c r="F187" s="82" t="s">
        <v>166</v>
      </c>
      <c r="G187" s="122">
        <f>+SEPTIEMBRE!G188+'AGOSTO '!G188+JULIO!G187+'OCTUBRE '!G188+'ENERO-JUNIO 2025'!G188</f>
        <v>0</v>
      </c>
      <c r="H187" s="122">
        <f>+SEPTIEMBRE!H188+'AGOSTO '!H188+JULIO!H187+'OCTUBRE '!H188+'ENERO-JUNIO 2025'!H188</f>
        <v>1375549.6</v>
      </c>
      <c r="I187" s="122">
        <f t="shared" si="2"/>
        <v>1375549.6</v>
      </c>
      <c r="J187" s="60"/>
    </row>
    <row r="188" spans="1:10" x14ac:dyDescent="0.2">
      <c r="A188" s="61">
        <v>2</v>
      </c>
      <c r="B188" s="62">
        <v>2</v>
      </c>
      <c r="C188" s="62">
        <v>8</v>
      </c>
      <c r="D188" s="62">
        <v>5</v>
      </c>
      <c r="E188" s="63" t="s">
        <v>35</v>
      </c>
      <c r="F188" s="81" t="s">
        <v>167</v>
      </c>
      <c r="G188" s="123">
        <f>+SEPTIEMBRE!G189+'AGOSTO '!G189+JULIO!G188+'OCTUBRE '!G189+'ENERO-JUNIO 2025'!G189</f>
        <v>0</v>
      </c>
      <c r="H188" s="123">
        <f>+SEPTIEMBRE!H189+'AGOSTO '!H189+JULIO!H188+'OCTUBRE '!H189+'ENERO-JUNIO 2025'!H189</f>
        <v>147500</v>
      </c>
      <c r="I188" s="123">
        <f t="shared" si="2"/>
        <v>147500</v>
      </c>
      <c r="J188" s="65">
        <v>1.2338238931894245E-3</v>
      </c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37</v>
      </c>
      <c r="F189" s="81" t="s">
        <v>168</v>
      </c>
      <c r="G189" s="123">
        <f>+SEPTIEMBRE!G190+'AGOSTO '!G190+JULIO!G189+'OCTUBRE '!G190+'ENERO-JUNIO 2025'!G190</f>
        <v>0</v>
      </c>
      <c r="H189" s="123">
        <f>+SEPTIEMBRE!H190+'AGOSTO '!H190+JULIO!H189+'OCTUBRE '!H190+'ENERO-JUNIO 2025'!H190</f>
        <v>0</v>
      </c>
      <c r="I189" s="123">
        <f t="shared" si="2"/>
        <v>0</v>
      </c>
      <c r="J189" s="65"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39</v>
      </c>
      <c r="F190" s="81" t="s">
        <v>169</v>
      </c>
      <c r="G190" s="123">
        <f>+SEPTIEMBRE!G191+'AGOSTO '!G191+JULIO!G190+'OCTUBRE '!G191+'ENERO-JUNIO 2025'!G191</f>
        <v>0</v>
      </c>
      <c r="H190" s="123">
        <f>+SEPTIEMBRE!H191+'AGOSTO '!H191+JULIO!H190+'OCTUBRE '!H191+'ENERO-JUNIO 2025'!H191</f>
        <v>1228049.6000000001</v>
      </c>
      <c r="I190" s="123">
        <f t="shared" si="2"/>
        <v>1228049.6000000001</v>
      </c>
      <c r="J190" s="65">
        <v>0</v>
      </c>
    </row>
    <row r="191" spans="1:10" x14ac:dyDescent="0.2">
      <c r="A191" s="57">
        <v>2</v>
      </c>
      <c r="B191" s="58">
        <v>2</v>
      </c>
      <c r="C191" s="58">
        <v>8</v>
      </c>
      <c r="D191" s="58">
        <v>6</v>
      </c>
      <c r="E191" s="58"/>
      <c r="F191" s="82" t="s">
        <v>170</v>
      </c>
      <c r="G191" s="122">
        <f>+SEPTIEMBRE!G192+'AGOSTO '!G192+JULIO!G191+'OCTUBRE '!G192+'ENERO-JUNIO 2025'!G192</f>
        <v>0</v>
      </c>
      <c r="H191" s="122">
        <f>+SEPTIEMBRE!H192+'AGOSTO '!H192+JULIO!H191+'OCTUBRE '!H192+'ENERO-JUNIO 2025'!H192</f>
        <v>240720</v>
      </c>
      <c r="I191" s="122">
        <f t="shared" si="2"/>
        <v>240720</v>
      </c>
      <c r="J191" s="60"/>
    </row>
    <row r="192" spans="1:10" x14ac:dyDescent="0.2">
      <c r="A192" s="61">
        <v>2</v>
      </c>
      <c r="B192" s="62">
        <v>2</v>
      </c>
      <c r="C192" s="62">
        <v>8</v>
      </c>
      <c r="D192" s="62">
        <v>6</v>
      </c>
      <c r="E192" s="63" t="s">
        <v>35</v>
      </c>
      <c r="F192" s="81" t="s">
        <v>171</v>
      </c>
      <c r="G192" s="123">
        <f>+SEPTIEMBRE!G193+'AGOSTO '!G193+JULIO!G192+'OCTUBRE '!G193+'ENERO-JUNIO 2025'!G193</f>
        <v>0</v>
      </c>
      <c r="H192" s="123">
        <f>+SEPTIEMBRE!H193+'AGOSTO '!H193+JULIO!H192+'OCTUBRE '!H193+'ENERO-JUNIO 2025'!H193</f>
        <v>240720</v>
      </c>
      <c r="I192" s="123">
        <f t="shared" si="2"/>
        <v>240720</v>
      </c>
      <c r="J192" s="65">
        <v>0</v>
      </c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37</v>
      </c>
      <c r="F193" s="81" t="s">
        <v>172</v>
      </c>
      <c r="G193" s="123">
        <f>+SEPTIEMBRE!G194+'AGOSTO '!G194+JULIO!G193+'OCTUBRE '!G194+'ENERO-JUNIO 2025'!G194</f>
        <v>0</v>
      </c>
      <c r="H193" s="123">
        <f>+SEPTIEMBRE!H194+'AGOSTO '!H194+JULIO!H193+'OCTUBRE '!H194+'ENERO-JUNIO 2025'!H194</f>
        <v>0</v>
      </c>
      <c r="I193" s="123">
        <f t="shared" si="2"/>
        <v>0</v>
      </c>
      <c r="J193" s="65"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39</v>
      </c>
      <c r="F194" s="81" t="s">
        <v>173</v>
      </c>
      <c r="G194" s="123">
        <f>+SEPTIEMBRE!G195+'AGOSTO '!G195+JULIO!G194+'OCTUBRE '!G195+'ENERO-JUNIO 2025'!G195</f>
        <v>0</v>
      </c>
      <c r="H194" s="123">
        <f>+SEPTIEMBRE!H195+'AGOSTO '!H195+JULIO!H194+'OCTUBRE '!H195+'ENERO-JUNIO 2025'!H195</f>
        <v>0</v>
      </c>
      <c r="I194" s="123">
        <f t="shared" si="2"/>
        <v>0</v>
      </c>
      <c r="J194" s="65"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41</v>
      </c>
      <c r="F195" s="81" t="s">
        <v>174</v>
      </c>
      <c r="G195" s="123">
        <f>+SEPTIEMBRE!G196+'AGOSTO '!G196+JULIO!G195+'OCTUBRE '!G196+'ENERO-JUNIO 2025'!G196</f>
        <v>0</v>
      </c>
      <c r="H195" s="123">
        <f>+SEPTIEMBRE!H196+'AGOSTO '!H196+JULIO!H195+'OCTUBRE '!H196+'ENERO-JUNIO 2025'!H196</f>
        <v>0</v>
      </c>
      <c r="I195" s="123">
        <f t="shared" si="2"/>
        <v>0</v>
      </c>
      <c r="J195" s="65">
        <v>0</v>
      </c>
    </row>
    <row r="196" spans="1:10" x14ac:dyDescent="0.2">
      <c r="A196" s="57">
        <v>2</v>
      </c>
      <c r="B196" s="58">
        <v>2</v>
      </c>
      <c r="C196" s="58">
        <v>8</v>
      </c>
      <c r="D196" s="58">
        <v>7</v>
      </c>
      <c r="E196" s="58"/>
      <c r="F196" s="82" t="s">
        <v>175</v>
      </c>
      <c r="G196" s="122">
        <f>+SEPTIEMBRE!G197+'AGOSTO '!G197+JULIO!G196+'OCTUBRE '!G197+'ENERO-JUNIO 2025'!G197</f>
        <v>5004200</v>
      </c>
      <c r="H196" s="122">
        <f>+SEPTIEMBRE!H197+'AGOSTO '!H197+JULIO!H196+'OCTUBRE '!H197+'ENERO-JUNIO 2025'!H197</f>
        <v>2535280.6800000002</v>
      </c>
      <c r="I196" s="122">
        <f t="shared" si="2"/>
        <v>7539480.6799999997</v>
      </c>
      <c r="J196" s="60"/>
    </row>
    <row r="197" spans="1:10" x14ac:dyDescent="0.2">
      <c r="A197" s="61">
        <v>2</v>
      </c>
      <c r="B197" s="62">
        <v>2</v>
      </c>
      <c r="C197" s="62">
        <v>8</v>
      </c>
      <c r="D197" s="62">
        <v>7</v>
      </c>
      <c r="E197" s="63" t="s">
        <v>35</v>
      </c>
      <c r="F197" s="81" t="s">
        <v>176</v>
      </c>
      <c r="G197" s="123">
        <f>+SEPTIEMBRE!G198+'AGOSTO '!G198+JULIO!G197+'OCTUBRE '!G198+'ENERO-JUNIO 2025'!G198</f>
        <v>902700</v>
      </c>
      <c r="H197" s="123">
        <f>+SEPTIEMBRE!H198+'AGOSTO '!H198+JULIO!H197+'OCTUBRE '!H198+'ENERO-JUNIO 2025'!H198</f>
        <v>39530</v>
      </c>
      <c r="I197" s="123">
        <f t="shared" si="2"/>
        <v>942230</v>
      </c>
      <c r="J197" s="65">
        <v>3.3066480337476579E-4</v>
      </c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37</v>
      </c>
      <c r="F198" s="81" t="s">
        <v>177</v>
      </c>
      <c r="G198" s="123">
        <f>+SEPTIEMBRE!G199+'AGOSTO '!G199+JULIO!G198+'OCTUBRE '!G199+'ENERO-JUNIO 2025'!G199</f>
        <v>0</v>
      </c>
      <c r="H198" s="123">
        <f>+SEPTIEMBRE!H199+'AGOSTO '!H199+JULIO!H198+'OCTUBRE '!H199+'ENERO-JUNIO 2025'!H199</f>
        <v>17700</v>
      </c>
      <c r="I198" s="123">
        <f t="shared" si="2"/>
        <v>17700</v>
      </c>
      <c r="J198" s="65"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39</v>
      </c>
      <c r="F199" s="81" t="s">
        <v>178</v>
      </c>
      <c r="G199" s="123">
        <f>+SEPTIEMBRE!G200+'AGOSTO '!G200+JULIO!G199+'OCTUBRE '!G200+'ENERO-JUNIO 2025'!G200</f>
        <v>0</v>
      </c>
      <c r="H199" s="123">
        <f>+SEPTIEMBRE!H200+'AGOSTO '!H200+JULIO!H199+'OCTUBRE '!H200+'ENERO-JUNIO 2025'!H200</f>
        <v>0</v>
      </c>
      <c r="I199" s="123">
        <f t="shared" si="2"/>
        <v>0</v>
      </c>
      <c r="J199" s="65"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41</v>
      </c>
      <c r="F200" s="81" t="s">
        <v>179</v>
      </c>
      <c r="G200" s="123">
        <f>+SEPTIEMBRE!G201+'AGOSTO '!G201+JULIO!G200+'OCTUBRE '!G201+'ENERO-JUNIO 2025'!G201</f>
        <v>0</v>
      </c>
      <c r="H200" s="123">
        <f>+SEPTIEMBRE!H201+'AGOSTO '!H201+JULIO!H200+'OCTUBRE '!H201+'ENERO-JUNIO 2025'!H201</f>
        <v>29305.8</v>
      </c>
      <c r="I200" s="123">
        <f t="shared" si="2"/>
        <v>29305.8</v>
      </c>
      <c r="J200" s="65"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43</v>
      </c>
      <c r="F201" s="81" t="s">
        <v>180</v>
      </c>
      <c r="G201" s="123">
        <f>+SEPTIEMBRE!G202+'AGOSTO '!G202+JULIO!G201+'OCTUBRE '!G202+'ENERO-JUNIO 2025'!G202</f>
        <v>3779000</v>
      </c>
      <c r="H201" s="123">
        <f>+SEPTIEMBRE!H202+'AGOSTO '!H202+JULIO!H201+'OCTUBRE '!H202+'ENERO-JUNIO 2025'!H202</f>
        <v>244260</v>
      </c>
      <c r="I201" s="123">
        <f t="shared" si="2"/>
        <v>4023260</v>
      </c>
      <c r="J201" s="65"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45</v>
      </c>
      <c r="F202" s="81" t="s">
        <v>181</v>
      </c>
      <c r="G202" s="123">
        <f>+SEPTIEMBRE!G203+'AGOSTO '!G203+JULIO!G202+'OCTUBRE '!G203+'ENERO-JUNIO 2025'!G203</f>
        <v>322500</v>
      </c>
      <c r="H202" s="123">
        <f>+SEPTIEMBRE!H203+'AGOSTO '!H203+JULIO!H202+'OCTUBRE '!H203+'ENERO-JUNIO 2025'!H203</f>
        <v>2204484.88</v>
      </c>
      <c r="I202" s="123">
        <f t="shared" si="2"/>
        <v>2526984.88</v>
      </c>
      <c r="J202" s="65">
        <v>4.3693416403897166E-3</v>
      </c>
    </row>
    <row r="203" spans="1:10" x14ac:dyDescent="0.2">
      <c r="A203" s="57">
        <v>2</v>
      </c>
      <c r="B203" s="58">
        <v>2</v>
      </c>
      <c r="C203" s="58">
        <v>8</v>
      </c>
      <c r="D203" s="58">
        <v>8</v>
      </c>
      <c r="E203" s="58"/>
      <c r="F203" s="82" t="s">
        <v>182</v>
      </c>
      <c r="G203" s="122">
        <f>+SEPTIEMBRE!G204+'AGOSTO '!G204+JULIO!G203+'OCTUBRE '!G204+'ENERO-JUNIO 2025'!G204</f>
        <v>0</v>
      </c>
      <c r="H203" s="122">
        <f>+SEPTIEMBRE!H204+'AGOSTO '!H204+JULIO!H203+'OCTUBRE '!H204+'ENERO-JUNIO 2025'!H204</f>
        <v>9912</v>
      </c>
      <c r="I203" s="122">
        <f t="shared" si="2"/>
        <v>9912</v>
      </c>
      <c r="J203" s="60"/>
    </row>
    <row r="204" spans="1:10" x14ac:dyDescent="0.2">
      <c r="A204" s="61">
        <v>2</v>
      </c>
      <c r="B204" s="62">
        <v>2</v>
      </c>
      <c r="C204" s="62">
        <v>8</v>
      </c>
      <c r="D204" s="62">
        <v>8</v>
      </c>
      <c r="E204" s="63" t="s">
        <v>35</v>
      </c>
      <c r="F204" s="81" t="s">
        <v>183</v>
      </c>
      <c r="G204" s="123">
        <f>+SEPTIEMBRE!G205+'AGOSTO '!G205+JULIO!G204+'OCTUBRE '!G205+'ENERO-JUNIO 2025'!G205</f>
        <v>0</v>
      </c>
      <c r="H204" s="123">
        <f>+SEPTIEMBRE!H205+'AGOSTO '!H205+JULIO!H204+'OCTUBRE '!H205+'ENERO-JUNIO 2025'!H205</f>
        <v>9912</v>
      </c>
      <c r="I204" s="123">
        <f t="shared" si="2"/>
        <v>9912</v>
      </c>
      <c r="J204" s="65">
        <v>0</v>
      </c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37</v>
      </c>
      <c r="F205" s="81" t="s">
        <v>184</v>
      </c>
      <c r="G205" s="123">
        <f>+SEPTIEMBRE!G206+'AGOSTO '!G206+JULIO!G205+'OCTUBRE '!G206+'ENERO-JUNIO 2025'!G206</f>
        <v>0</v>
      </c>
      <c r="H205" s="123">
        <f>+SEPTIEMBRE!H206+'AGOSTO '!H206+JULIO!H205+'OCTUBRE '!H206+'ENERO-JUNIO 2025'!H206</f>
        <v>0</v>
      </c>
      <c r="I205" s="123">
        <f t="shared" si="2"/>
        <v>0</v>
      </c>
      <c r="J205" s="65"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39</v>
      </c>
      <c r="F206" s="81" t="s">
        <v>185</v>
      </c>
      <c r="G206" s="123">
        <f>+SEPTIEMBRE!G207+'AGOSTO '!G207+JULIO!G206+'OCTUBRE '!G207+'ENERO-JUNIO 2025'!G207</f>
        <v>0</v>
      </c>
      <c r="H206" s="123">
        <f>+SEPTIEMBRE!H207+'AGOSTO '!H207+JULIO!H206+'OCTUBRE '!H207+'ENERO-JUNIO 2025'!H207</f>
        <v>0</v>
      </c>
      <c r="I206" s="123">
        <f t="shared" si="2"/>
        <v>0</v>
      </c>
      <c r="J206" s="65">
        <v>0</v>
      </c>
    </row>
    <row r="207" spans="1:10" x14ac:dyDescent="0.2">
      <c r="A207" s="54">
        <v>2</v>
      </c>
      <c r="B207" s="55">
        <v>2</v>
      </c>
      <c r="C207" s="55">
        <v>9</v>
      </c>
      <c r="D207" s="55"/>
      <c r="E207" s="55"/>
      <c r="F207" s="83" t="s">
        <v>186</v>
      </c>
      <c r="G207" s="121">
        <f>+SEPTIEMBRE!G208+'AGOSTO '!G208+JULIO!G207+'OCTUBRE '!G208+'ENERO-JUNIO 2025'!G208</f>
        <v>5738256.04</v>
      </c>
      <c r="H207" s="121">
        <f>+SEPTIEMBRE!H208+'AGOSTO '!H208+JULIO!H207+'OCTUBRE '!H208+'ENERO-JUNIO 2025'!H208</f>
        <v>1460016.9500000002</v>
      </c>
      <c r="I207" s="121">
        <f t="shared" si="2"/>
        <v>7198272.9900000002</v>
      </c>
      <c r="J207" s="53"/>
    </row>
    <row r="208" spans="1:10" x14ac:dyDescent="0.2">
      <c r="A208" s="57">
        <v>2</v>
      </c>
      <c r="B208" s="58">
        <v>2</v>
      </c>
      <c r="C208" s="58">
        <v>9</v>
      </c>
      <c r="D208" s="58">
        <v>2</v>
      </c>
      <c r="E208" s="58"/>
      <c r="F208" s="82" t="s">
        <v>187</v>
      </c>
      <c r="G208" s="122">
        <f>+SEPTIEMBRE!G209+'AGOSTO '!G209+JULIO!G208+'OCTUBRE '!G209+'ENERO-JUNIO 2025'!G209</f>
        <v>5738256.04</v>
      </c>
      <c r="H208" s="122">
        <f>+SEPTIEMBRE!H209+'AGOSTO '!H209+JULIO!H208+'OCTUBRE '!H209+'ENERO-JUNIO 2025'!H209</f>
        <v>1460016.9500000002</v>
      </c>
      <c r="I208" s="122">
        <f t="shared" si="2"/>
        <v>7198272.9900000002</v>
      </c>
      <c r="J208" s="60"/>
    </row>
    <row r="209" spans="1:10" x14ac:dyDescent="0.2">
      <c r="A209" s="61">
        <v>2</v>
      </c>
      <c r="B209" s="62">
        <v>2</v>
      </c>
      <c r="C209" s="62">
        <v>9</v>
      </c>
      <c r="D209" s="62">
        <v>2</v>
      </c>
      <c r="E209" s="63" t="s">
        <v>35</v>
      </c>
      <c r="F209" s="81" t="s">
        <v>188</v>
      </c>
      <c r="G209" s="123">
        <f>+SEPTIEMBRE!G210+'AGOSTO '!G210+JULIO!G209+'OCTUBRE '!G210+'ENERO-JUNIO 2025'!G210</f>
        <v>1726315.04</v>
      </c>
      <c r="H209" s="123">
        <f>+SEPTIEMBRE!H210+'AGOSTO '!H210+JULIO!H209+'OCTUBRE '!H210+'ENERO-JUNIO 2025'!H210</f>
        <v>1000336.15</v>
      </c>
      <c r="I209" s="123">
        <f t="shared" si="2"/>
        <v>2726651.19</v>
      </c>
      <c r="J209" s="65">
        <v>0</v>
      </c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39</v>
      </c>
      <c r="F210" s="81" t="s">
        <v>189</v>
      </c>
      <c r="G210" s="123">
        <f>+SEPTIEMBRE!G211+'AGOSTO '!G211+JULIO!G210+'OCTUBRE '!G211+'ENERO-JUNIO 2025'!G211</f>
        <v>4011941</v>
      </c>
      <c r="H210" s="123">
        <f>+SEPTIEMBRE!H211+'AGOSTO '!H211+JULIO!H210+'OCTUBRE '!H211+'ENERO-JUNIO 2025'!H211</f>
        <v>459680.8</v>
      </c>
      <c r="I210" s="123">
        <f t="shared" si="2"/>
        <v>4471621.8</v>
      </c>
      <c r="J210" s="65">
        <v>0</v>
      </c>
    </row>
    <row r="211" spans="1:10" x14ac:dyDescent="0.2">
      <c r="A211" s="70">
        <v>2</v>
      </c>
      <c r="B211" s="55">
        <v>3</v>
      </c>
      <c r="C211" s="55"/>
      <c r="D211" s="55"/>
      <c r="E211" s="55"/>
      <c r="F211" s="83" t="s">
        <v>190</v>
      </c>
      <c r="G211" s="121">
        <f>+SEPTIEMBRE!G212+'AGOSTO '!G212+JULIO!G211+'OCTUBRE '!G212+'ENERO-JUNIO 2025'!G212</f>
        <v>192664418.88</v>
      </c>
      <c r="H211" s="121">
        <f>+SEPTIEMBRE!H212+'AGOSTO '!H212+JULIO!H211+'OCTUBRE '!H212+'ENERO-JUNIO 2025'!H212</f>
        <v>28827097.219999999</v>
      </c>
      <c r="I211" s="121">
        <f t="shared" si="2"/>
        <v>221491516.09999999</v>
      </c>
      <c r="J211" s="53">
        <v>0.24752467529862096</v>
      </c>
    </row>
    <row r="212" spans="1:10" x14ac:dyDescent="0.2">
      <c r="A212" s="70">
        <v>2</v>
      </c>
      <c r="B212" s="55">
        <v>3</v>
      </c>
      <c r="C212" s="55">
        <v>1</v>
      </c>
      <c r="D212" s="55"/>
      <c r="E212" s="55"/>
      <c r="F212" s="83" t="s">
        <v>191</v>
      </c>
      <c r="G212" s="121">
        <f>+SEPTIEMBRE!G213+'AGOSTO '!G213+JULIO!G212+'OCTUBRE '!G213+'ENERO-JUNIO 2025'!G213</f>
        <v>16237547.399999999</v>
      </c>
      <c r="H212" s="121">
        <f>+SEPTIEMBRE!H213+'AGOSTO '!H213+JULIO!H212+'OCTUBRE '!H213+'ENERO-JUNIO 2025'!H213</f>
        <v>4023638.46</v>
      </c>
      <c r="I212" s="121">
        <f t="shared" si="2"/>
        <v>20261185.859999999</v>
      </c>
      <c r="J212" s="53"/>
    </row>
    <row r="213" spans="1:10" x14ac:dyDescent="0.2">
      <c r="A213" s="72">
        <v>2</v>
      </c>
      <c r="B213" s="58">
        <v>3</v>
      </c>
      <c r="C213" s="58">
        <v>1</v>
      </c>
      <c r="D213" s="58">
        <v>1</v>
      </c>
      <c r="E213" s="77"/>
      <c r="F213" s="82" t="s">
        <v>192</v>
      </c>
      <c r="G213" s="122">
        <f>+SEPTIEMBRE!G214+'AGOSTO '!G214+JULIO!G213+'OCTUBRE '!G214+'ENERO-JUNIO 2025'!G214</f>
        <v>16084147.189999999</v>
      </c>
      <c r="H213" s="122">
        <f>+SEPTIEMBRE!H214+'AGOSTO '!H214+JULIO!H213+'OCTUBRE '!H214+'ENERO-JUNIO 2025'!H214</f>
        <v>4023638.46</v>
      </c>
      <c r="I213" s="122">
        <f t="shared" si="2"/>
        <v>20107785.649999999</v>
      </c>
      <c r="J213" s="60"/>
    </row>
    <row r="214" spans="1:10" x14ac:dyDescent="0.2">
      <c r="A214" s="74">
        <v>2</v>
      </c>
      <c r="B214" s="62">
        <v>3</v>
      </c>
      <c r="C214" s="62">
        <v>1</v>
      </c>
      <c r="D214" s="62">
        <v>1</v>
      </c>
      <c r="E214" s="63" t="s">
        <v>35</v>
      </c>
      <c r="F214" s="81" t="s">
        <v>192</v>
      </c>
      <c r="G214" s="123">
        <f>+SEPTIEMBRE!G215+'AGOSTO '!G215+JULIO!G214+'OCTUBRE '!G215+'ENERO-JUNIO 2025'!G215</f>
        <v>16084147.189999999</v>
      </c>
      <c r="H214" s="123">
        <f>+SEPTIEMBRE!H215+'AGOSTO '!H215+JULIO!H214+'OCTUBRE '!H215+'ENERO-JUNIO 2025'!H215</f>
        <v>4023638.46</v>
      </c>
      <c r="I214" s="123">
        <f t="shared" si="2"/>
        <v>20107785.649999999</v>
      </c>
      <c r="J214" s="65">
        <v>1.6684491084718589E-2</v>
      </c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37</v>
      </c>
      <c r="F215" s="81" t="s">
        <v>193</v>
      </c>
      <c r="G215" s="123">
        <f>+SEPTIEMBRE!G216+'AGOSTO '!G216+JULIO!G215+'OCTUBRE '!G216+'ENERO-JUNIO 2025'!G216</f>
        <v>0</v>
      </c>
      <c r="H215" s="123">
        <f>+SEPTIEMBRE!H216+'AGOSTO '!H216+JULIO!H215+'OCTUBRE '!H216+'ENERO-JUNIO 2025'!H216</f>
        <v>0</v>
      </c>
      <c r="I215" s="123">
        <f t="shared" si="2"/>
        <v>0</v>
      </c>
      <c r="J215" s="65">
        <v>0</v>
      </c>
    </row>
    <row r="216" spans="1:10" x14ac:dyDescent="0.2">
      <c r="A216" s="72">
        <v>2</v>
      </c>
      <c r="B216" s="58">
        <v>3</v>
      </c>
      <c r="C216" s="58">
        <v>1</v>
      </c>
      <c r="D216" s="58">
        <v>2</v>
      </c>
      <c r="E216" s="77"/>
      <c r="F216" s="82" t="s">
        <v>194</v>
      </c>
      <c r="G216" s="122">
        <f>+SEPTIEMBRE!G217+'AGOSTO '!G217+JULIO!G216+'OCTUBRE '!G217+'ENERO-JUNIO 2025'!G217</f>
        <v>0</v>
      </c>
      <c r="H216" s="122">
        <f>+SEPTIEMBRE!H217+'AGOSTO '!H217+JULIO!H216+'OCTUBRE '!H217+'ENERO-JUNIO 2025'!H217</f>
        <v>0</v>
      </c>
      <c r="I216" s="122">
        <f t="shared" si="2"/>
        <v>0</v>
      </c>
      <c r="J216" s="60"/>
    </row>
    <row r="217" spans="1:10" x14ac:dyDescent="0.2">
      <c r="A217" s="74">
        <v>2</v>
      </c>
      <c r="B217" s="62">
        <v>3</v>
      </c>
      <c r="C217" s="62">
        <v>1</v>
      </c>
      <c r="D217" s="62">
        <v>2</v>
      </c>
      <c r="E217" s="63" t="s">
        <v>35</v>
      </c>
      <c r="F217" s="81" t="s">
        <v>194</v>
      </c>
      <c r="G217" s="123">
        <f>+SEPTIEMBRE!G218+'AGOSTO '!G218+JULIO!G217+'OCTUBRE '!G218+'ENERO-JUNIO 2025'!G218</f>
        <v>0</v>
      </c>
      <c r="H217" s="123">
        <f>+SEPTIEMBRE!H218+'AGOSTO '!H218+JULIO!H217+'OCTUBRE '!H218+'ENERO-JUNIO 2025'!H218</f>
        <v>0</v>
      </c>
      <c r="I217" s="123">
        <f t="shared" ref="I217:I280" si="3">+G217+H217</f>
        <v>0</v>
      </c>
      <c r="J217" s="65">
        <v>0</v>
      </c>
    </row>
    <row r="218" spans="1:10" x14ac:dyDescent="0.2">
      <c r="A218" s="72">
        <v>2</v>
      </c>
      <c r="B218" s="58">
        <v>3</v>
      </c>
      <c r="C218" s="58">
        <v>1</v>
      </c>
      <c r="D218" s="58">
        <v>3</v>
      </c>
      <c r="E218" s="58"/>
      <c r="F218" s="82" t="s">
        <v>195</v>
      </c>
      <c r="G218" s="122">
        <f>+SEPTIEMBRE!G219+'AGOSTO '!G219+JULIO!G218+'OCTUBRE '!G219+'ENERO-JUNIO 2025'!G219</f>
        <v>153400.21</v>
      </c>
      <c r="H218" s="122">
        <f>+SEPTIEMBRE!H219+'AGOSTO '!H219+JULIO!H218+'OCTUBRE '!H219+'ENERO-JUNIO 2025'!H219</f>
        <v>0</v>
      </c>
      <c r="I218" s="122">
        <f t="shared" si="3"/>
        <v>153400.21</v>
      </c>
      <c r="J218" s="60"/>
    </row>
    <row r="219" spans="1:10" x14ac:dyDescent="0.2">
      <c r="A219" s="74">
        <v>2</v>
      </c>
      <c r="B219" s="62">
        <v>3</v>
      </c>
      <c r="C219" s="62">
        <v>1</v>
      </c>
      <c r="D219" s="62">
        <v>3</v>
      </c>
      <c r="E219" s="63" t="s">
        <v>35</v>
      </c>
      <c r="F219" s="81" t="s">
        <v>196</v>
      </c>
      <c r="G219" s="123">
        <f>+SEPTIEMBRE!G220+'AGOSTO '!G220+JULIO!G219+'OCTUBRE '!G220+'ENERO-JUNIO 2025'!G220</f>
        <v>0</v>
      </c>
      <c r="H219" s="123">
        <f>+SEPTIEMBRE!H220+'AGOSTO '!H220+JULIO!H219+'OCTUBRE '!H220+'ENERO-JUNIO 2025'!H220</f>
        <v>0</v>
      </c>
      <c r="I219" s="123">
        <f t="shared" si="3"/>
        <v>0</v>
      </c>
      <c r="J219" s="65">
        <v>0</v>
      </c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37</v>
      </c>
      <c r="F220" s="81" t="s">
        <v>197</v>
      </c>
      <c r="G220" s="123">
        <f>+SEPTIEMBRE!G221+'AGOSTO '!G221+JULIO!G220+'OCTUBRE '!G221+'ENERO-JUNIO 2025'!G221</f>
        <v>0</v>
      </c>
      <c r="H220" s="123">
        <f>+SEPTIEMBRE!H221+'AGOSTO '!H221+JULIO!H220+'OCTUBRE '!H221+'ENERO-JUNIO 2025'!H221</f>
        <v>0</v>
      </c>
      <c r="I220" s="123">
        <f t="shared" si="3"/>
        <v>0</v>
      </c>
      <c r="J220" s="65"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39</v>
      </c>
      <c r="F221" s="81" t="s">
        <v>198</v>
      </c>
      <c r="G221" s="123">
        <f>+SEPTIEMBRE!G222+'AGOSTO '!G222+JULIO!G221+'OCTUBRE '!G222+'ENERO-JUNIO 2025'!G222</f>
        <v>153400.21</v>
      </c>
      <c r="H221" s="123">
        <f>+SEPTIEMBRE!H222+'AGOSTO '!H222+JULIO!H221+'OCTUBRE '!H222+'ENERO-JUNIO 2025'!H222</f>
        <v>0</v>
      </c>
      <c r="I221" s="123">
        <f t="shared" si="3"/>
        <v>153400.21</v>
      </c>
      <c r="J221" s="65">
        <v>1.283178605547629E-3</v>
      </c>
    </row>
    <row r="222" spans="1:10" x14ac:dyDescent="0.2">
      <c r="A222" s="72">
        <v>2</v>
      </c>
      <c r="B222" s="58">
        <v>3</v>
      </c>
      <c r="C222" s="58">
        <v>1</v>
      </c>
      <c r="D222" s="58">
        <v>4</v>
      </c>
      <c r="E222" s="58"/>
      <c r="F222" s="82" t="s">
        <v>199</v>
      </c>
      <c r="G222" s="122">
        <f>+SEPTIEMBRE!G223+'AGOSTO '!G223+JULIO!G222+'OCTUBRE '!G223+'ENERO-JUNIO 2025'!G223</f>
        <v>0</v>
      </c>
      <c r="H222" s="122">
        <f>+SEPTIEMBRE!H223+'AGOSTO '!H223+JULIO!H222+'OCTUBRE '!H223+'ENERO-JUNIO 2025'!H223</f>
        <v>0</v>
      </c>
      <c r="I222" s="122">
        <f t="shared" si="3"/>
        <v>0</v>
      </c>
      <c r="J222" s="60"/>
    </row>
    <row r="223" spans="1:10" x14ac:dyDescent="0.2">
      <c r="A223" s="74">
        <v>2</v>
      </c>
      <c r="B223" s="62">
        <v>3</v>
      </c>
      <c r="C223" s="62">
        <v>1</v>
      </c>
      <c r="D223" s="62">
        <v>4</v>
      </c>
      <c r="E223" s="63" t="s">
        <v>35</v>
      </c>
      <c r="F223" s="81" t="s">
        <v>199</v>
      </c>
      <c r="G223" s="123">
        <f>+SEPTIEMBRE!G224+'AGOSTO '!G224+JULIO!G223+'OCTUBRE '!G224+'ENERO-JUNIO 2025'!G224</f>
        <v>0</v>
      </c>
      <c r="H223" s="123">
        <f>+SEPTIEMBRE!H224+'AGOSTO '!H224+JULIO!H223+'OCTUBRE '!H224+'ENERO-JUNIO 2025'!H224</f>
        <v>0</v>
      </c>
      <c r="I223" s="123">
        <f t="shared" si="3"/>
        <v>0</v>
      </c>
      <c r="J223" s="65">
        <v>0</v>
      </c>
    </row>
    <row r="224" spans="1:10" x14ac:dyDescent="0.2">
      <c r="A224" s="70">
        <v>2</v>
      </c>
      <c r="B224" s="55">
        <v>3</v>
      </c>
      <c r="C224" s="55">
        <v>2</v>
      </c>
      <c r="D224" s="55"/>
      <c r="E224" s="78"/>
      <c r="F224" s="83" t="s">
        <v>200</v>
      </c>
      <c r="G224" s="121">
        <f>+SEPTIEMBRE!G225+'AGOSTO '!G225+JULIO!G224+'OCTUBRE '!G225+'ENERO-JUNIO 2025'!G225</f>
        <v>5598763.5199999996</v>
      </c>
      <c r="H224" s="121">
        <f>+SEPTIEMBRE!H225+'AGOSTO '!H225+JULIO!H224+'OCTUBRE '!H225+'ENERO-JUNIO 2025'!H225</f>
        <v>346306.4</v>
      </c>
      <c r="I224" s="121">
        <f t="shared" si="3"/>
        <v>5945069.9199999999</v>
      </c>
      <c r="J224" s="53"/>
    </row>
    <row r="225" spans="1:10" x14ac:dyDescent="0.2">
      <c r="A225" s="72">
        <v>2</v>
      </c>
      <c r="B225" s="58">
        <v>3</v>
      </c>
      <c r="C225" s="58">
        <v>2</v>
      </c>
      <c r="D225" s="58">
        <v>1</v>
      </c>
      <c r="E225" s="58"/>
      <c r="F225" s="82" t="s">
        <v>201</v>
      </c>
      <c r="G225" s="122">
        <f>+SEPTIEMBRE!G226+'AGOSTO '!G226+JULIO!G225+'OCTUBRE '!G226+'ENERO-JUNIO 2025'!G226</f>
        <v>0</v>
      </c>
      <c r="H225" s="122">
        <f>+SEPTIEMBRE!H226+'AGOSTO '!H226+JULIO!H225+'OCTUBRE '!H226+'ENERO-JUNIO 2025'!H226</f>
        <v>141128</v>
      </c>
      <c r="I225" s="122">
        <f t="shared" si="3"/>
        <v>141128</v>
      </c>
      <c r="J225" s="60"/>
    </row>
    <row r="226" spans="1:10" x14ac:dyDescent="0.2">
      <c r="A226" s="74">
        <v>2</v>
      </c>
      <c r="B226" s="62">
        <v>3</v>
      </c>
      <c r="C226" s="62">
        <v>2</v>
      </c>
      <c r="D226" s="62">
        <v>1</v>
      </c>
      <c r="E226" s="63" t="s">
        <v>35</v>
      </c>
      <c r="F226" s="81" t="s">
        <v>201</v>
      </c>
      <c r="G226" s="123">
        <f>+SEPTIEMBRE!G227+'AGOSTO '!G227+JULIO!G226+'OCTUBRE '!G227+'ENERO-JUNIO 2025'!G227</f>
        <v>0</v>
      </c>
      <c r="H226" s="123">
        <f>+SEPTIEMBRE!H227+'AGOSTO '!H227+JULIO!H226+'OCTUBRE '!H227+'ENERO-JUNIO 2025'!H227</f>
        <v>141128</v>
      </c>
      <c r="I226" s="123">
        <f t="shared" si="3"/>
        <v>141128</v>
      </c>
      <c r="J226" s="65">
        <v>0</v>
      </c>
    </row>
    <row r="227" spans="1:10" x14ac:dyDescent="0.2">
      <c r="A227" s="72">
        <v>2</v>
      </c>
      <c r="B227" s="58">
        <v>3</v>
      </c>
      <c r="C227" s="58">
        <v>2</v>
      </c>
      <c r="D227" s="58">
        <v>2</v>
      </c>
      <c r="E227" s="58"/>
      <c r="F227" s="82" t="s">
        <v>202</v>
      </c>
      <c r="G227" s="122">
        <f>+SEPTIEMBRE!G228+'AGOSTO '!G228+JULIO!G227+'OCTUBRE '!G228+'ENERO-JUNIO 2025'!G228</f>
        <v>5192782.16</v>
      </c>
      <c r="H227" s="122">
        <f>+SEPTIEMBRE!H228+'AGOSTO '!H228+JULIO!H227+'OCTUBRE '!H228+'ENERO-JUNIO 2025'!H228</f>
        <v>0</v>
      </c>
      <c r="I227" s="122">
        <f t="shared" si="3"/>
        <v>5192782.16</v>
      </c>
      <c r="J227" s="60"/>
    </row>
    <row r="228" spans="1:10" x14ac:dyDescent="0.2">
      <c r="A228" s="74">
        <v>2</v>
      </c>
      <c r="B228" s="62">
        <v>3</v>
      </c>
      <c r="C228" s="62">
        <v>2</v>
      </c>
      <c r="D228" s="62">
        <v>2</v>
      </c>
      <c r="E228" s="63" t="s">
        <v>35</v>
      </c>
      <c r="F228" s="81" t="s">
        <v>202</v>
      </c>
      <c r="G228" s="123">
        <f>+SEPTIEMBRE!G229+'AGOSTO '!G229+JULIO!G228+'OCTUBRE '!G229+'ENERO-JUNIO 2025'!G229</f>
        <v>5192782.16</v>
      </c>
      <c r="H228" s="123">
        <f>+SEPTIEMBRE!H229+'AGOSTO '!H229+JULIO!H228+'OCTUBRE '!H229+'ENERO-JUNIO 2025'!H229</f>
        <v>0</v>
      </c>
      <c r="I228" s="123">
        <f t="shared" si="3"/>
        <v>5192782.16</v>
      </c>
      <c r="J228" s="65">
        <v>1.1425370944600888E-2</v>
      </c>
    </row>
    <row r="229" spans="1:10" x14ac:dyDescent="0.2">
      <c r="A229" s="72">
        <v>2</v>
      </c>
      <c r="B229" s="58">
        <v>3</v>
      </c>
      <c r="C229" s="58">
        <v>2</v>
      </c>
      <c r="D229" s="58">
        <v>3</v>
      </c>
      <c r="E229" s="58"/>
      <c r="F229" s="82" t="s">
        <v>203</v>
      </c>
      <c r="G229" s="122">
        <f>+SEPTIEMBRE!G230+'AGOSTO '!G230+JULIO!G229+'OCTUBRE '!G230+'ENERO-JUNIO 2025'!G230</f>
        <v>405981.36</v>
      </c>
      <c r="H229" s="122">
        <f>+SEPTIEMBRE!H230+'AGOSTO '!H230+JULIO!H229+'OCTUBRE '!H230+'ENERO-JUNIO 2025'!H230</f>
        <v>205178.4</v>
      </c>
      <c r="I229" s="122">
        <f t="shared" si="3"/>
        <v>611159.76</v>
      </c>
      <c r="J229" s="60"/>
    </row>
    <row r="230" spans="1:10" x14ac:dyDescent="0.2">
      <c r="A230" s="74">
        <v>2</v>
      </c>
      <c r="B230" s="62">
        <v>3</v>
      </c>
      <c r="C230" s="62">
        <v>2</v>
      </c>
      <c r="D230" s="62">
        <v>3</v>
      </c>
      <c r="E230" s="63" t="s">
        <v>35</v>
      </c>
      <c r="F230" s="81" t="s">
        <v>203</v>
      </c>
      <c r="G230" s="123">
        <f>+SEPTIEMBRE!G231+'AGOSTO '!G231+JULIO!G230+'OCTUBRE '!G231+'ENERO-JUNIO 2025'!G231</f>
        <v>405981.36</v>
      </c>
      <c r="H230" s="123">
        <f>+SEPTIEMBRE!H231+'AGOSTO '!H231+JULIO!H230+'OCTUBRE '!H231+'ENERO-JUNIO 2025'!H231</f>
        <v>205178.4</v>
      </c>
      <c r="I230" s="123">
        <f t="shared" si="3"/>
        <v>611159.76</v>
      </c>
      <c r="J230" s="65">
        <v>1.7673490857868228E-3</v>
      </c>
    </row>
    <row r="231" spans="1:10" x14ac:dyDescent="0.2">
      <c r="A231" s="70">
        <v>2</v>
      </c>
      <c r="B231" s="55">
        <v>3</v>
      </c>
      <c r="C231" s="55">
        <v>3</v>
      </c>
      <c r="D231" s="55"/>
      <c r="E231" s="78"/>
      <c r="F231" s="83" t="s">
        <v>204</v>
      </c>
      <c r="G231" s="121">
        <f>+SEPTIEMBRE!G232+'AGOSTO '!G232+JULIO!G231+'OCTUBRE '!G232+'ENERO-JUNIO 2025'!G232</f>
        <v>8484261.3000000007</v>
      </c>
      <c r="H231" s="121">
        <f>+SEPTIEMBRE!H232+'AGOSTO '!H232+JULIO!H231+'OCTUBRE '!H232+'ENERO-JUNIO 2025'!H232</f>
        <v>1789484.03</v>
      </c>
      <c r="I231" s="121">
        <f t="shared" si="3"/>
        <v>10273745.33</v>
      </c>
      <c r="J231" s="53"/>
    </row>
    <row r="232" spans="1:10" x14ac:dyDescent="0.2">
      <c r="A232" s="72">
        <v>2</v>
      </c>
      <c r="B232" s="58">
        <v>3</v>
      </c>
      <c r="C232" s="58">
        <v>3</v>
      </c>
      <c r="D232" s="58">
        <v>1</v>
      </c>
      <c r="E232" s="58"/>
      <c r="F232" s="82" t="s">
        <v>205</v>
      </c>
      <c r="G232" s="122">
        <f>+SEPTIEMBRE!G233+'AGOSTO '!G233+JULIO!G232+'OCTUBRE '!G233+'ENERO-JUNIO 2025'!G233</f>
        <v>317479</v>
      </c>
      <c r="H232" s="122">
        <f>+SEPTIEMBRE!H233+'AGOSTO '!H233+JULIO!H232+'OCTUBRE '!H233+'ENERO-JUNIO 2025'!H233</f>
        <v>0</v>
      </c>
      <c r="I232" s="122">
        <f t="shared" si="3"/>
        <v>317479</v>
      </c>
      <c r="J232" s="60"/>
    </row>
    <row r="233" spans="1:10" x14ac:dyDescent="0.2">
      <c r="A233" s="74">
        <v>2</v>
      </c>
      <c r="B233" s="62">
        <v>3</v>
      </c>
      <c r="C233" s="62">
        <v>3</v>
      </c>
      <c r="D233" s="62">
        <v>1</v>
      </c>
      <c r="E233" s="63" t="s">
        <v>35</v>
      </c>
      <c r="F233" s="81" t="s">
        <v>205</v>
      </c>
      <c r="G233" s="123">
        <f>+SEPTIEMBRE!G234+'AGOSTO '!G234+JULIO!G233+'OCTUBRE '!G234+'ENERO-JUNIO 2025'!G234</f>
        <v>317479</v>
      </c>
      <c r="H233" s="123">
        <f>+SEPTIEMBRE!H234+'AGOSTO '!H234+JULIO!H233+'OCTUBRE '!H234+'ENERO-JUNIO 2025'!H234</f>
        <v>0</v>
      </c>
      <c r="I233" s="123">
        <f t="shared" si="3"/>
        <v>317479</v>
      </c>
      <c r="J233" s="65">
        <v>2.3565740242183645E-3</v>
      </c>
    </row>
    <row r="234" spans="1:10" x14ac:dyDescent="0.2">
      <c r="A234" s="72">
        <v>2</v>
      </c>
      <c r="B234" s="58">
        <v>3</v>
      </c>
      <c r="C234" s="58">
        <v>3</v>
      </c>
      <c r="D234" s="58">
        <v>2</v>
      </c>
      <c r="E234" s="58"/>
      <c r="F234" s="82" t="s">
        <v>206</v>
      </c>
      <c r="G234" s="122">
        <f>+SEPTIEMBRE!G235+'AGOSTO '!G235+JULIO!G234+'OCTUBRE '!G235+'ENERO-JUNIO 2025'!G235</f>
        <v>3763227.0999999996</v>
      </c>
      <c r="H234" s="122">
        <f>+SEPTIEMBRE!H235+'AGOSTO '!H235+JULIO!H234+'OCTUBRE '!H235+'ENERO-JUNIO 2025'!H235</f>
        <v>1012690.03</v>
      </c>
      <c r="I234" s="122">
        <f t="shared" si="3"/>
        <v>4775917.13</v>
      </c>
      <c r="J234" s="60"/>
    </row>
    <row r="235" spans="1:10" x14ac:dyDescent="0.2">
      <c r="A235" s="74">
        <v>2</v>
      </c>
      <c r="B235" s="62">
        <v>3</v>
      </c>
      <c r="C235" s="62">
        <v>3</v>
      </c>
      <c r="D235" s="62">
        <v>2</v>
      </c>
      <c r="E235" s="63" t="s">
        <v>35</v>
      </c>
      <c r="F235" s="81" t="s">
        <v>206</v>
      </c>
      <c r="G235" s="123">
        <f>+SEPTIEMBRE!G236+'AGOSTO '!G236+JULIO!G235+'OCTUBRE '!G236+'ENERO-JUNIO 2025'!G236</f>
        <v>3763227.0999999996</v>
      </c>
      <c r="H235" s="123">
        <f>+SEPTIEMBRE!H236+'AGOSTO '!H236+JULIO!H235+'OCTUBRE '!H236+'ENERO-JUNIO 2025'!H236</f>
        <v>1012690.03</v>
      </c>
      <c r="I235" s="123">
        <f t="shared" si="3"/>
        <v>4775917.13</v>
      </c>
      <c r="J235" s="65">
        <v>8.5838608837860101E-3</v>
      </c>
    </row>
    <row r="236" spans="1:10" x14ac:dyDescent="0.2">
      <c r="A236" s="72">
        <v>2</v>
      </c>
      <c r="B236" s="58">
        <v>3</v>
      </c>
      <c r="C236" s="58">
        <v>3</v>
      </c>
      <c r="D236" s="58">
        <v>3</v>
      </c>
      <c r="E236" s="58"/>
      <c r="F236" s="82" t="s">
        <v>207</v>
      </c>
      <c r="G236" s="122">
        <f>+SEPTIEMBRE!G237+'AGOSTO '!G237+JULIO!G236+'OCTUBRE '!G237+'ENERO-JUNIO 2025'!G237</f>
        <v>4403555.2</v>
      </c>
      <c r="H236" s="122">
        <f>+SEPTIEMBRE!H237+'AGOSTO '!H237+JULIO!H236+'OCTUBRE '!H237+'ENERO-JUNIO 2025'!H237</f>
        <v>776794</v>
      </c>
      <c r="I236" s="122">
        <f t="shared" si="3"/>
        <v>5180349.2</v>
      </c>
      <c r="J236" s="60"/>
    </row>
    <row r="237" spans="1:10" x14ac:dyDescent="0.2">
      <c r="A237" s="74">
        <v>2</v>
      </c>
      <c r="B237" s="62">
        <v>3</v>
      </c>
      <c r="C237" s="62">
        <v>3</v>
      </c>
      <c r="D237" s="62">
        <v>3</v>
      </c>
      <c r="E237" s="63" t="s">
        <v>35</v>
      </c>
      <c r="F237" s="81" t="s">
        <v>207</v>
      </c>
      <c r="G237" s="123">
        <f>+SEPTIEMBRE!G238+'AGOSTO '!G238+JULIO!G237+'OCTUBRE '!G238+'ENERO-JUNIO 2025'!G238</f>
        <v>4403555.2</v>
      </c>
      <c r="H237" s="123">
        <f>+SEPTIEMBRE!H238+'AGOSTO '!H238+JULIO!H237+'OCTUBRE '!H238+'ENERO-JUNIO 2025'!H238</f>
        <v>776794</v>
      </c>
      <c r="I237" s="123">
        <f t="shared" si="3"/>
        <v>5180349.2</v>
      </c>
      <c r="J237" s="65">
        <v>2.4972595598153954E-3</v>
      </c>
    </row>
    <row r="238" spans="1:10" x14ac:dyDescent="0.2">
      <c r="A238" s="72">
        <v>2</v>
      </c>
      <c r="B238" s="58">
        <v>3</v>
      </c>
      <c r="C238" s="58">
        <v>3</v>
      </c>
      <c r="D238" s="58">
        <v>4</v>
      </c>
      <c r="E238" s="58"/>
      <c r="F238" s="82" t="s">
        <v>208</v>
      </c>
      <c r="G238" s="122">
        <f>+SEPTIEMBRE!G239+'AGOSTO '!G239+JULIO!G238+'OCTUBRE '!G239+'ENERO-JUNIO 2025'!G239</f>
        <v>0</v>
      </c>
      <c r="H238" s="122">
        <f>+SEPTIEMBRE!H239+'AGOSTO '!H239+JULIO!H238+'OCTUBRE '!H239+'ENERO-JUNIO 2025'!H239</f>
        <v>0</v>
      </c>
      <c r="I238" s="122">
        <f t="shared" si="3"/>
        <v>0</v>
      </c>
      <c r="J238" s="60"/>
    </row>
    <row r="239" spans="1:10" x14ac:dyDescent="0.2">
      <c r="A239" s="74">
        <v>2</v>
      </c>
      <c r="B239" s="62">
        <v>3</v>
      </c>
      <c r="C239" s="62">
        <v>3</v>
      </c>
      <c r="D239" s="62">
        <v>4</v>
      </c>
      <c r="E239" s="63" t="s">
        <v>35</v>
      </c>
      <c r="F239" s="81" t="s">
        <v>208</v>
      </c>
      <c r="G239" s="123">
        <f>+SEPTIEMBRE!G240+'AGOSTO '!G240+JULIO!G239+'OCTUBRE '!G240+'ENERO-JUNIO 2025'!G240</f>
        <v>0</v>
      </c>
      <c r="H239" s="123">
        <f>+SEPTIEMBRE!H240+'AGOSTO '!H240+JULIO!H239+'OCTUBRE '!H240+'ENERO-JUNIO 2025'!H240</f>
        <v>0</v>
      </c>
      <c r="I239" s="123">
        <f t="shared" si="3"/>
        <v>0</v>
      </c>
      <c r="J239" s="65">
        <v>0</v>
      </c>
    </row>
    <row r="240" spans="1:10" x14ac:dyDescent="0.2">
      <c r="A240" s="72">
        <v>2</v>
      </c>
      <c r="B240" s="58">
        <v>3</v>
      </c>
      <c r="C240" s="58">
        <v>3</v>
      </c>
      <c r="D240" s="58">
        <v>5</v>
      </c>
      <c r="E240" s="58"/>
      <c r="F240" s="82" t="s">
        <v>209</v>
      </c>
      <c r="G240" s="122">
        <f>+SEPTIEMBRE!G241+'AGOSTO '!G241+JULIO!G240+'OCTUBRE '!G241+'ENERO-JUNIO 2025'!G241</f>
        <v>0</v>
      </c>
      <c r="H240" s="122">
        <f>+SEPTIEMBRE!H241+'AGOSTO '!H241+JULIO!H240+'OCTUBRE '!H241+'ENERO-JUNIO 2025'!H241</f>
        <v>0</v>
      </c>
      <c r="I240" s="122">
        <f t="shared" si="3"/>
        <v>0</v>
      </c>
      <c r="J240" s="60"/>
    </row>
    <row r="241" spans="1:10" x14ac:dyDescent="0.2">
      <c r="A241" s="74">
        <v>2</v>
      </c>
      <c r="B241" s="62">
        <v>3</v>
      </c>
      <c r="C241" s="62">
        <v>3</v>
      </c>
      <c r="D241" s="62">
        <v>5</v>
      </c>
      <c r="E241" s="63" t="s">
        <v>35</v>
      </c>
      <c r="F241" s="81" t="s">
        <v>209</v>
      </c>
      <c r="G241" s="123">
        <f>+SEPTIEMBRE!G242+'AGOSTO '!G242+JULIO!G241+'OCTUBRE '!G242+'ENERO-JUNIO 2025'!G242</f>
        <v>0</v>
      </c>
      <c r="H241" s="123">
        <f>+SEPTIEMBRE!H242+'AGOSTO '!H242+JULIO!H241+'OCTUBRE '!H242+'ENERO-JUNIO 2025'!H242</f>
        <v>0</v>
      </c>
      <c r="I241" s="123">
        <f t="shared" si="3"/>
        <v>0</v>
      </c>
      <c r="J241" s="65">
        <v>0</v>
      </c>
    </row>
    <row r="242" spans="1:10" x14ac:dyDescent="0.2">
      <c r="A242" s="72">
        <v>2</v>
      </c>
      <c r="B242" s="58">
        <v>3</v>
      </c>
      <c r="C242" s="58">
        <v>3</v>
      </c>
      <c r="D242" s="58">
        <v>6</v>
      </c>
      <c r="E242" s="58"/>
      <c r="F242" s="82" t="s">
        <v>210</v>
      </c>
      <c r="G242" s="122">
        <f>+SEPTIEMBRE!G243+'AGOSTO '!G243+JULIO!G242+'OCTUBRE '!G243+'ENERO-JUNIO 2025'!G243</f>
        <v>0</v>
      </c>
      <c r="H242" s="122">
        <f>+SEPTIEMBRE!H243+'AGOSTO '!H243+JULIO!H242+'OCTUBRE '!H243+'ENERO-JUNIO 2025'!H243</f>
        <v>0</v>
      </c>
      <c r="I242" s="122">
        <f t="shared" si="3"/>
        <v>0</v>
      </c>
      <c r="J242" s="60"/>
    </row>
    <row r="243" spans="1:10" x14ac:dyDescent="0.2">
      <c r="A243" s="74">
        <v>2</v>
      </c>
      <c r="B243" s="62">
        <v>3</v>
      </c>
      <c r="C243" s="62">
        <v>3</v>
      </c>
      <c r="D243" s="62">
        <v>6</v>
      </c>
      <c r="E243" s="63" t="s">
        <v>35</v>
      </c>
      <c r="F243" s="81" t="s">
        <v>210</v>
      </c>
      <c r="G243" s="123">
        <f>+SEPTIEMBRE!G244+'AGOSTO '!G244+JULIO!G243+'OCTUBRE '!G244+'ENERO-JUNIO 2025'!G244</f>
        <v>0</v>
      </c>
      <c r="H243" s="123">
        <f>+SEPTIEMBRE!H244+'AGOSTO '!H244+JULIO!H243+'OCTUBRE '!H244+'ENERO-JUNIO 2025'!H244</f>
        <v>0</v>
      </c>
      <c r="I243" s="123">
        <f t="shared" si="3"/>
        <v>0</v>
      </c>
      <c r="J243" s="65">
        <v>0</v>
      </c>
    </row>
    <row r="244" spans="1:10" x14ac:dyDescent="0.2">
      <c r="A244" s="70">
        <v>2</v>
      </c>
      <c r="B244" s="55">
        <v>3</v>
      </c>
      <c r="C244" s="55">
        <v>4</v>
      </c>
      <c r="D244" s="55"/>
      <c r="E244" s="78"/>
      <c r="F244" s="83" t="s">
        <v>211</v>
      </c>
      <c r="G244" s="121">
        <f>+SEPTIEMBRE!G245+'AGOSTO '!G245+JULIO!G244+'OCTUBRE '!G245+'ENERO-JUNIO 2025'!G245</f>
        <v>44719498.700000003</v>
      </c>
      <c r="H244" s="121">
        <f>+SEPTIEMBRE!H245+'AGOSTO '!H245+JULIO!H244+'OCTUBRE '!H245+'ENERO-JUNIO 2025'!H245</f>
        <v>3639480.76</v>
      </c>
      <c r="I244" s="121">
        <f t="shared" si="3"/>
        <v>48358979.460000001</v>
      </c>
      <c r="J244" s="53"/>
    </row>
    <row r="245" spans="1:10" x14ac:dyDescent="0.2">
      <c r="A245" s="72">
        <v>2</v>
      </c>
      <c r="B245" s="58">
        <v>3</v>
      </c>
      <c r="C245" s="58">
        <v>4</v>
      </c>
      <c r="D245" s="58">
        <v>1</v>
      </c>
      <c r="E245" s="58"/>
      <c r="F245" s="82" t="s">
        <v>212</v>
      </c>
      <c r="G245" s="122">
        <f>+SEPTIEMBRE!G246+'AGOSTO '!G246+JULIO!G245+'OCTUBRE '!G246+'ENERO-JUNIO 2025'!G246</f>
        <v>44719498.700000003</v>
      </c>
      <c r="H245" s="122">
        <f>+SEPTIEMBRE!H246+'AGOSTO '!H246+JULIO!H245+'OCTUBRE '!H246+'ENERO-JUNIO 2025'!H246</f>
        <v>3639480.76</v>
      </c>
      <c r="I245" s="122">
        <f t="shared" si="3"/>
        <v>48358979.460000001</v>
      </c>
      <c r="J245" s="60"/>
    </row>
    <row r="246" spans="1:10" x14ac:dyDescent="0.2">
      <c r="A246" s="74">
        <v>2</v>
      </c>
      <c r="B246" s="62">
        <v>3</v>
      </c>
      <c r="C246" s="62">
        <v>4</v>
      </c>
      <c r="D246" s="62">
        <v>1</v>
      </c>
      <c r="E246" s="63" t="s">
        <v>35</v>
      </c>
      <c r="F246" s="81" t="s">
        <v>212</v>
      </c>
      <c r="G246" s="123">
        <f>+SEPTIEMBRE!G247+'AGOSTO '!G247+JULIO!G246+'OCTUBRE '!G247+'ENERO-JUNIO 2025'!G247</f>
        <v>44719498.700000003</v>
      </c>
      <c r="H246" s="123">
        <f>+SEPTIEMBRE!H247+'AGOSTO '!H247+JULIO!H246+'OCTUBRE '!H247+'ENERO-JUNIO 2025'!H247</f>
        <v>3639480.76</v>
      </c>
      <c r="I246" s="123">
        <f t="shared" si="3"/>
        <v>48358979.460000001</v>
      </c>
      <c r="J246" s="65">
        <v>5.8213944332153413E-2</v>
      </c>
    </row>
    <row r="247" spans="1:10" x14ac:dyDescent="0.2">
      <c r="A247" s="72">
        <v>2</v>
      </c>
      <c r="B247" s="58">
        <v>3</v>
      </c>
      <c r="C247" s="58">
        <v>4</v>
      </c>
      <c r="D247" s="58">
        <v>2</v>
      </c>
      <c r="E247" s="58"/>
      <c r="F247" s="82" t="s">
        <v>213</v>
      </c>
      <c r="G247" s="122">
        <f>+SEPTIEMBRE!G248+'AGOSTO '!G248+JULIO!G247+'OCTUBRE '!G248+'ENERO-JUNIO 2025'!G248</f>
        <v>0</v>
      </c>
      <c r="H247" s="122">
        <f>+SEPTIEMBRE!H248+'AGOSTO '!H248+JULIO!H247+'OCTUBRE '!H248+'ENERO-JUNIO 2025'!H248</f>
        <v>0</v>
      </c>
      <c r="I247" s="122">
        <f t="shared" si="3"/>
        <v>0</v>
      </c>
      <c r="J247" s="60"/>
    </row>
    <row r="248" spans="1:10" x14ac:dyDescent="0.2">
      <c r="A248" s="74">
        <v>2</v>
      </c>
      <c r="B248" s="62">
        <v>3</v>
      </c>
      <c r="C248" s="62">
        <v>4</v>
      </c>
      <c r="D248" s="62">
        <v>2</v>
      </c>
      <c r="E248" s="63" t="s">
        <v>35</v>
      </c>
      <c r="F248" s="81" t="s">
        <v>213</v>
      </c>
      <c r="G248" s="123">
        <f>+SEPTIEMBRE!G249+'AGOSTO '!G249+JULIO!G248+'OCTUBRE '!G249+'ENERO-JUNIO 2025'!G249</f>
        <v>0</v>
      </c>
      <c r="H248" s="123">
        <f>+SEPTIEMBRE!H249+'AGOSTO '!H249+JULIO!H248+'OCTUBRE '!H249+'ENERO-JUNIO 2025'!H249</f>
        <v>0</v>
      </c>
      <c r="I248" s="123">
        <f t="shared" si="3"/>
        <v>0</v>
      </c>
      <c r="J248" s="65">
        <v>0</v>
      </c>
    </row>
    <row r="249" spans="1:10" x14ac:dyDescent="0.2">
      <c r="A249" s="70">
        <v>2</v>
      </c>
      <c r="B249" s="55">
        <v>3</v>
      </c>
      <c r="C249" s="55">
        <v>5</v>
      </c>
      <c r="D249" s="55"/>
      <c r="E249" s="78"/>
      <c r="F249" s="83" t="s">
        <v>214</v>
      </c>
      <c r="G249" s="121">
        <f>+SEPTIEMBRE!G250+'AGOSTO '!G250+JULIO!G249+'OCTUBRE '!G250+'ENERO-JUNIO 2025'!G250</f>
        <v>2655604.63</v>
      </c>
      <c r="H249" s="121">
        <f>+SEPTIEMBRE!H250+'AGOSTO '!H250+JULIO!H249+'OCTUBRE '!H250+'ENERO-JUNIO 2025'!H250</f>
        <v>707809.65000000014</v>
      </c>
      <c r="I249" s="121">
        <f t="shared" si="3"/>
        <v>3363414.2800000003</v>
      </c>
      <c r="J249" s="53"/>
    </row>
    <row r="250" spans="1:10" x14ac:dyDescent="0.2">
      <c r="A250" s="72">
        <v>2</v>
      </c>
      <c r="B250" s="58">
        <v>3</v>
      </c>
      <c r="C250" s="58">
        <v>5</v>
      </c>
      <c r="D250" s="58">
        <v>1</v>
      </c>
      <c r="E250" s="58"/>
      <c r="F250" s="82" t="s">
        <v>215</v>
      </c>
      <c r="G250" s="122">
        <f>+SEPTIEMBRE!G251+'AGOSTO '!G251+JULIO!G250+'OCTUBRE '!G251+'ENERO-JUNIO 2025'!G251</f>
        <v>0</v>
      </c>
      <c r="H250" s="122">
        <f>+SEPTIEMBRE!H251+'AGOSTO '!H251+JULIO!H250+'OCTUBRE '!H251+'ENERO-JUNIO 2025'!H251</f>
        <v>0</v>
      </c>
      <c r="I250" s="122">
        <f t="shared" si="3"/>
        <v>0</v>
      </c>
      <c r="J250" s="60"/>
    </row>
    <row r="251" spans="1:10" x14ac:dyDescent="0.2">
      <c r="A251" s="74">
        <v>2</v>
      </c>
      <c r="B251" s="62">
        <v>3</v>
      </c>
      <c r="C251" s="62">
        <v>5</v>
      </c>
      <c r="D251" s="62">
        <v>1</v>
      </c>
      <c r="E251" s="63" t="s">
        <v>35</v>
      </c>
      <c r="F251" s="81" t="s">
        <v>215</v>
      </c>
      <c r="G251" s="123">
        <f>+SEPTIEMBRE!G252+'AGOSTO '!G252+JULIO!G251+'OCTUBRE '!G252+'ENERO-JUNIO 2025'!G252</f>
        <v>0</v>
      </c>
      <c r="H251" s="123">
        <f>+SEPTIEMBRE!H252+'AGOSTO '!H252+JULIO!H251+'OCTUBRE '!H252+'ENERO-JUNIO 2025'!H252</f>
        <v>0</v>
      </c>
      <c r="I251" s="123">
        <f t="shared" si="3"/>
        <v>0</v>
      </c>
      <c r="J251" s="65">
        <v>0</v>
      </c>
    </row>
    <row r="252" spans="1:10" x14ac:dyDescent="0.2">
      <c r="A252" s="72">
        <v>2</v>
      </c>
      <c r="B252" s="58">
        <v>3</v>
      </c>
      <c r="C252" s="58">
        <v>5</v>
      </c>
      <c r="D252" s="58">
        <v>2</v>
      </c>
      <c r="E252" s="58"/>
      <c r="F252" s="82" t="s">
        <v>216</v>
      </c>
      <c r="G252" s="122">
        <f>+SEPTIEMBRE!G253+'AGOSTO '!G253+JULIO!G252+'OCTUBRE '!G253+'ENERO-JUNIO 2025'!G253</f>
        <v>0</v>
      </c>
      <c r="H252" s="122">
        <f>+SEPTIEMBRE!H253+'AGOSTO '!H253+JULIO!H252+'OCTUBRE '!H253+'ENERO-JUNIO 2025'!H253</f>
        <v>0</v>
      </c>
      <c r="I252" s="122">
        <f t="shared" si="3"/>
        <v>0</v>
      </c>
      <c r="J252" s="60"/>
    </row>
    <row r="253" spans="1:10" x14ac:dyDescent="0.2">
      <c r="A253" s="74">
        <v>2</v>
      </c>
      <c r="B253" s="62">
        <v>3</v>
      </c>
      <c r="C253" s="62">
        <v>5</v>
      </c>
      <c r="D253" s="62">
        <v>2</v>
      </c>
      <c r="E253" s="63" t="s">
        <v>35</v>
      </c>
      <c r="F253" s="81" t="s">
        <v>216</v>
      </c>
      <c r="G253" s="123">
        <f>+SEPTIEMBRE!G254+'AGOSTO '!G254+JULIO!G253+'OCTUBRE '!G254+'ENERO-JUNIO 2025'!G254</f>
        <v>0</v>
      </c>
      <c r="H253" s="123">
        <f>+SEPTIEMBRE!H254+'AGOSTO '!H254+JULIO!H253+'OCTUBRE '!H254+'ENERO-JUNIO 2025'!H254</f>
        <v>0</v>
      </c>
      <c r="I253" s="123">
        <f t="shared" si="3"/>
        <v>0</v>
      </c>
      <c r="J253" s="65">
        <v>0</v>
      </c>
    </row>
    <row r="254" spans="1:10" x14ac:dyDescent="0.2">
      <c r="A254" s="72">
        <v>2</v>
      </c>
      <c r="B254" s="58">
        <v>3</v>
      </c>
      <c r="C254" s="58">
        <v>5</v>
      </c>
      <c r="D254" s="58">
        <v>3</v>
      </c>
      <c r="E254" s="58"/>
      <c r="F254" s="82" t="s">
        <v>217</v>
      </c>
      <c r="G254" s="122">
        <f>+SEPTIEMBRE!G255+'AGOSTO '!G255+JULIO!G254+'OCTUBRE '!G255+'ENERO-JUNIO 2025'!G255</f>
        <v>0</v>
      </c>
      <c r="H254" s="122">
        <f>+SEPTIEMBRE!H255+'AGOSTO '!H255+JULIO!H254+'OCTUBRE '!H255+'ENERO-JUNIO 2025'!H255</f>
        <v>282823.65000000002</v>
      </c>
      <c r="I254" s="122">
        <f t="shared" si="3"/>
        <v>282823.65000000002</v>
      </c>
      <c r="J254" s="60"/>
    </row>
    <row r="255" spans="1:10" x14ac:dyDescent="0.2">
      <c r="A255" s="74">
        <v>2</v>
      </c>
      <c r="B255" s="62">
        <v>3</v>
      </c>
      <c r="C255" s="62">
        <v>5</v>
      </c>
      <c r="D255" s="62">
        <v>3</v>
      </c>
      <c r="E255" s="63" t="s">
        <v>35</v>
      </c>
      <c r="F255" s="81" t="s">
        <v>217</v>
      </c>
      <c r="G255" s="123">
        <f>+SEPTIEMBRE!G256+'AGOSTO '!G256+JULIO!G255+'OCTUBRE '!G256+'ENERO-JUNIO 2025'!G256</f>
        <v>0</v>
      </c>
      <c r="H255" s="123">
        <f>+SEPTIEMBRE!H256+'AGOSTO '!H256+JULIO!H255+'OCTUBRE '!H256+'ENERO-JUNIO 2025'!H256</f>
        <v>282823.65000000002</v>
      </c>
      <c r="I255" s="123">
        <f t="shared" si="3"/>
        <v>282823.65000000002</v>
      </c>
      <c r="J255" s="65">
        <v>0</v>
      </c>
    </row>
    <row r="256" spans="1:10" x14ac:dyDescent="0.2">
      <c r="A256" s="72">
        <v>2</v>
      </c>
      <c r="B256" s="58">
        <v>3</v>
      </c>
      <c r="C256" s="58">
        <v>5</v>
      </c>
      <c r="D256" s="58">
        <v>4</v>
      </c>
      <c r="E256" s="58"/>
      <c r="F256" s="82" t="s">
        <v>218</v>
      </c>
      <c r="G256" s="122">
        <f>+SEPTIEMBRE!G257+'AGOSTO '!G257+JULIO!G256+'OCTUBRE '!G257+'ENERO-JUNIO 2025'!G257</f>
        <v>38027.72</v>
      </c>
      <c r="H256" s="122">
        <f>+SEPTIEMBRE!H257+'AGOSTO '!H257+JULIO!H256+'OCTUBRE '!H257+'ENERO-JUNIO 2025'!H257</f>
        <v>0</v>
      </c>
      <c r="I256" s="122">
        <f t="shared" si="3"/>
        <v>38027.72</v>
      </c>
      <c r="J256" s="60"/>
    </row>
    <row r="257" spans="1:10" x14ac:dyDescent="0.2">
      <c r="A257" s="74">
        <v>2</v>
      </c>
      <c r="B257" s="62">
        <v>3</v>
      </c>
      <c r="C257" s="62">
        <v>5</v>
      </c>
      <c r="D257" s="62">
        <v>4</v>
      </c>
      <c r="E257" s="63" t="s">
        <v>35</v>
      </c>
      <c r="F257" s="81" t="s">
        <v>218</v>
      </c>
      <c r="G257" s="123">
        <f>+SEPTIEMBRE!G258+'AGOSTO '!G258+JULIO!G257+'OCTUBRE '!G258+'ENERO-JUNIO 2025'!G258</f>
        <v>38027.72</v>
      </c>
      <c r="H257" s="123">
        <f>+SEPTIEMBRE!H258+'AGOSTO '!H258+JULIO!H257+'OCTUBRE '!H258+'ENERO-JUNIO 2025'!H258</f>
        <v>0</v>
      </c>
      <c r="I257" s="123">
        <f t="shared" si="3"/>
        <v>38027.72</v>
      </c>
      <c r="J257" s="65">
        <v>0</v>
      </c>
    </row>
    <row r="258" spans="1:10" x14ac:dyDescent="0.2">
      <c r="A258" s="72">
        <v>2</v>
      </c>
      <c r="B258" s="58">
        <v>3</v>
      </c>
      <c r="C258" s="58">
        <v>5</v>
      </c>
      <c r="D258" s="58">
        <v>5</v>
      </c>
      <c r="E258" s="58"/>
      <c r="F258" s="82" t="s">
        <v>219</v>
      </c>
      <c r="G258" s="122">
        <f>+SEPTIEMBRE!G259+'AGOSTO '!G259+JULIO!G258+'OCTUBRE '!G259+'ENERO-JUNIO 2025'!G259</f>
        <v>2617576.91</v>
      </c>
      <c r="H258" s="122">
        <f>+SEPTIEMBRE!H259+'AGOSTO '!H259+JULIO!H258+'OCTUBRE '!H259+'ENERO-JUNIO 2025'!H259</f>
        <v>424986</v>
      </c>
      <c r="I258" s="122">
        <f t="shared" si="3"/>
        <v>3042562.91</v>
      </c>
      <c r="J258" s="60"/>
    </row>
    <row r="259" spans="1:10" x14ac:dyDescent="0.2">
      <c r="A259" s="74">
        <v>2</v>
      </c>
      <c r="B259" s="62">
        <v>3</v>
      </c>
      <c r="C259" s="62">
        <v>5</v>
      </c>
      <c r="D259" s="62">
        <v>5</v>
      </c>
      <c r="E259" s="63" t="s">
        <v>35</v>
      </c>
      <c r="F259" s="81" t="s">
        <v>219</v>
      </c>
      <c r="G259" s="123">
        <f>+SEPTIEMBRE!G260+'AGOSTO '!G260+JULIO!G259+'OCTUBRE '!G260+'ENERO-JUNIO 2025'!G260</f>
        <v>2617576.91</v>
      </c>
      <c r="H259" s="123">
        <f>+SEPTIEMBRE!H260+'AGOSTO '!H260+JULIO!H259+'OCTUBRE '!H260+'ENERO-JUNIO 2025'!H260</f>
        <v>424986</v>
      </c>
      <c r="I259" s="123">
        <f t="shared" si="3"/>
        <v>3042562.91</v>
      </c>
      <c r="J259" s="65">
        <v>6.127547798356235E-3</v>
      </c>
    </row>
    <row r="260" spans="1:10" x14ac:dyDescent="0.2">
      <c r="A260" s="70">
        <v>2</v>
      </c>
      <c r="B260" s="55">
        <v>3</v>
      </c>
      <c r="C260" s="55">
        <v>6</v>
      </c>
      <c r="D260" s="55"/>
      <c r="E260" s="55"/>
      <c r="F260" s="83" t="s">
        <v>220</v>
      </c>
      <c r="G260" s="121">
        <f>+SEPTIEMBRE!G261+'AGOSTO '!G261+JULIO!G260+'OCTUBRE '!G261+'ENERO-JUNIO 2025'!G261</f>
        <v>1202221.27</v>
      </c>
      <c r="H260" s="121">
        <f>+SEPTIEMBRE!H261+'AGOSTO '!H261+JULIO!H260+'OCTUBRE '!H261+'ENERO-JUNIO 2025'!H261</f>
        <v>506384.37000000005</v>
      </c>
      <c r="I260" s="121">
        <f t="shared" si="3"/>
        <v>1708605.6400000001</v>
      </c>
      <c r="J260" s="53"/>
    </row>
    <row r="261" spans="1:10" x14ac:dyDescent="0.2">
      <c r="A261" s="72">
        <v>2</v>
      </c>
      <c r="B261" s="58">
        <v>3</v>
      </c>
      <c r="C261" s="58">
        <v>6</v>
      </c>
      <c r="D261" s="58">
        <v>1</v>
      </c>
      <c r="E261" s="58"/>
      <c r="F261" s="82" t="s">
        <v>221</v>
      </c>
      <c r="G261" s="122">
        <f>+SEPTIEMBRE!G262+'AGOSTO '!G262+JULIO!G261+'OCTUBRE '!G262+'ENERO-JUNIO 2025'!G262</f>
        <v>28468.09</v>
      </c>
      <c r="H261" s="122">
        <f>+SEPTIEMBRE!H262+'AGOSTO '!H262+JULIO!H261+'OCTUBRE '!H262+'ENERO-JUNIO 2025'!H262</f>
        <v>2473</v>
      </c>
      <c r="I261" s="122">
        <f t="shared" si="3"/>
        <v>30941.09</v>
      </c>
      <c r="J261" s="60"/>
    </row>
    <row r="262" spans="1:10" x14ac:dyDescent="0.2">
      <c r="A262" s="74">
        <v>2</v>
      </c>
      <c r="B262" s="62">
        <v>3</v>
      </c>
      <c r="C262" s="62">
        <v>6</v>
      </c>
      <c r="D262" s="62">
        <v>1</v>
      </c>
      <c r="E262" s="63" t="s">
        <v>35</v>
      </c>
      <c r="F262" s="81" t="s">
        <v>222</v>
      </c>
      <c r="G262" s="123">
        <f>+SEPTIEMBRE!G263+'AGOSTO '!G263+JULIO!G262+'OCTUBRE '!G263+'ENERO-JUNIO 2025'!G263</f>
        <v>1800.09</v>
      </c>
      <c r="H262" s="123">
        <f>+SEPTIEMBRE!H263+'AGOSTO '!H263+JULIO!H262+'OCTUBRE '!H263+'ENERO-JUNIO 2025'!H263</f>
        <v>2473</v>
      </c>
      <c r="I262" s="123">
        <f t="shared" si="3"/>
        <v>4273.09</v>
      </c>
      <c r="J262" s="65">
        <v>1.2405325492052748E-5</v>
      </c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37</v>
      </c>
      <c r="F263" s="81" t="s">
        <v>223</v>
      </c>
      <c r="G263" s="123">
        <f>+SEPTIEMBRE!G264+'AGOSTO '!G264+JULIO!G263+'OCTUBRE '!G264+'ENERO-JUNIO 2025'!G264</f>
        <v>0</v>
      </c>
      <c r="H263" s="123">
        <f>+SEPTIEMBRE!H264+'AGOSTO '!H264+JULIO!H263+'OCTUBRE '!H264+'ENERO-JUNIO 2025'!H264</f>
        <v>0</v>
      </c>
      <c r="I263" s="123">
        <f t="shared" si="3"/>
        <v>0</v>
      </c>
      <c r="J263" s="65"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39</v>
      </c>
      <c r="F264" s="81" t="s">
        <v>224</v>
      </c>
      <c r="G264" s="123">
        <f>+SEPTIEMBRE!G265+'AGOSTO '!G265+JULIO!G264+'OCTUBRE '!G265+'ENERO-JUNIO 2025'!G265</f>
        <v>0</v>
      </c>
      <c r="H264" s="123">
        <f>+SEPTIEMBRE!H265+'AGOSTO '!H265+JULIO!H264+'OCTUBRE '!H265+'ENERO-JUNIO 2025'!H265</f>
        <v>0</v>
      </c>
      <c r="I264" s="123">
        <f t="shared" si="3"/>
        <v>0</v>
      </c>
      <c r="J264" s="65"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41</v>
      </c>
      <c r="F265" s="81" t="s">
        <v>225</v>
      </c>
      <c r="G265" s="123">
        <f>+SEPTIEMBRE!G266+'AGOSTO '!G266+JULIO!G265+'OCTUBRE '!G266+'ENERO-JUNIO 2025'!G266</f>
        <v>26668</v>
      </c>
      <c r="H265" s="123">
        <f>+SEPTIEMBRE!H266+'AGOSTO '!H266+JULIO!H265+'OCTUBRE '!H266+'ENERO-JUNIO 2025'!H266</f>
        <v>0</v>
      </c>
      <c r="I265" s="123">
        <f t="shared" si="3"/>
        <v>26668</v>
      </c>
      <c r="J265" s="65"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43</v>
      </c>
      <c r="F266" s="81" t="s">
        <v>226</v>
      </c>
      <c r="G266" s="123">
        <f>+SEPTIEMBRE!G267+'AGOSTO '!G267+JULIO!G266+'OCTUBRE '!G267+'ENERO-JUNIO 2025'!G267</f>
        <v>0</v>
      </c>
      <c r="H266" s="123">
        <f>+SEPTIEMBRE!H267+'AGOSTO '!H267+JULIO!H266+'OCTUBRE '!H267+'ENERO-JUNIO 2025'!H267</f>
        <v>0</v>
      </c>
      <c r="I266" s="123">
        <f t="shared" si="3"/>
        <v>0</v>
      </c>
      <c r="J266" s="65">
        <v>0</v>
      </c>
    </row>
    <row r="267" spans="1:10" x14ac:dyDescent="0.2">
      <c r="A267" s="72">
        <v>2</v>
      </c>
      <c r="B267" s="58">
        <v>3</v>
      </c>
      <c r="C267" s="58">
        <v>6</v>
      </c>
      <c r="D267" s="58">
        <v>2</v>
      </c>
      <c r="E267" s="58"/>
      <c r="F267" s="82" t="s">
        <v>227</v>
      </c>
      <c r="G267" s="122">
        <f>+SEPTIEMBRE!G268+'AGOSTO '!G268+JULIO!G267+'OCTUBRE '!G268+'ENERO-JUNIO 2025'!G268</f>
        <v>622932.23</v>
      </c>
      <c r="H267" s="122">
        <f>+SEPTIEMBRE!H268+'AGOSTO '!H268+JULIO!H267+'OCTUBRE '!H268+'ENERO-JUNIO 2025'!H268</f>
        <v>158770.13999999998</v>
      </c>
      <c r="I267" s="122">
        <f t="shared" si="3"/>
        <v>781702.37</v>
      </c>
      <c r="J267" s="60"/>
    </row>
    <row r="268" spans="1:10" x14ac:dyDescent="0.2">
      <c r="A268" s="74">
        <v>2</v>
      </c>
      <c r="B268" s="62">
        <v>3</v>
      </c>
      <c r="C268" s="62">
        <v>6</v>
      </c>
      <c r="D268" s="62">
        <v>2</v>
      </c>
      <c r="E268" s="63" t="s">
        <v>35</v>
      </c>
      <c r="F268" s="81" t="s">
        <v>228</v>
      </c>
      <c r="G268" s="123">
        <f>+SEPTIEMBRE!G269+'AGOSTO '!G269+JULIO!G268+'OCTUBRE '!G269+'ENERO-JUNIO 2025'!G269</f>
        <v>121946.63</v>
      </c>
      <c r="H268" s="123">
        <f>+SEPTIEMBRE!H269+'AGOSTO '!H269+JULIO!H268+'OCTUBRE '!H269+'ENERO-JUNIO 2025'!H269</f>
        <v>15149.94</v>
      </c>
      <c r="I268" s="123">
        <f t="shared" si="3"/>
        <v>137096.57</v>
      </c>
      <c r="J268" s="65">
        <v>0</v>
      </c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37</v>
      </c>
      <c r="F269" s="81" t="s">
        <v>229</v>
      </c>
      <c r="G269" s="123">
        <f>+SEPTIEMBRE!G270+'AGOSTO '!G270+JULIO!G269+'OCTUBRE '!G270+'ENERO-JUNIO 2025'!G270</f>
        <v>251015.5</v>
      </c>
      <c r="H269" s="123">
        <f>+SEPTIEMBRE!H270+'AGOSTO '!H270+JULIO!H269+'OCTUBRE '!H270+'ENERO-JUNIO 2025'!H270</f>
        <v>20574.93</v>
      </c>
      <c r="I269" s="123">
        <f t="shared" si="3"/>
        <v>271590.43</v>
      </c>
      <c r="J269" s="65">
        <v>1.7210739142169417E-4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39</v>
      </c>
      <c r="F270" s="81" t="s">
        <v>230</v>
      </c>
      <c r="G270" s="123">
        <f>+SEPTIEMBRE!G271+'AGOSTO '!G271+JULIO!G270+'OCTUBRE '!G271+'ENERO-JUNIO 2025'!G271</f>
        <v>249970.1</v>
      </c>
      <c r="H270" s="123">
        <f>+SEPTIEMBRE!H271+'AGOSTO '!H271+JULIO!H270+'OCTUBRE '!H271+'ENERO-JUNIO 2025'!H271</f>
        <v>123045.27</v>
      </c>
      <c r="I270" s="123">
        <f t="shared" si="3"/>
        <v>373015.37</v>
      </c>
      <c r="J270" s="65">
        <v>0</v>
      </c>
    </row>
    <row r="271" spans="1:10" x14ac:dyDescent="0.2">
      <c r="A271" s="72">
        <v>2</v>
      </c>
      <c r="B271" s="58">
        <v>3</v>
      </c>
      <c r="C271" s="58">
        <v>6</v>
      </c>
      <c r="D271" s="58">
        <v>3</v>
      </c>
      <c r="E271" s="58"/>
      <c r="F271" s="82" t="s">
        <v>231</v>
      </c>
      <c r="G271" s="122">
        <f>+SEPTIEMBRE!G272+'AGOSTO '!G272+JULIO!G271+'OCTUBRE '!G272+'ENERO-JUNIO 2025'!G272</f>
        <v>550820.94999999995</v>
      </c>
      <c r="H271" s="122">
        <f>+SEPTIEMBRE!H272+'AGOSTO '!H272+JULIO!H271+'OCTUBRE '!H272+'ENERO-JUNIO 2025'!H272</f>
        <v>345141.23</v>
      </c>
      <c r="I271" s="122">
        <f t="shared" si="3"/>
        <v>895962.17999999993</v>
      </c>
      <c r="J271" s="60"/>
    </row>
    <row r="272" spans="1:10" x14ac:dyDescent="0.2">
      <c r="A272" s="74">
        <v>2</v>
      </c>
      <c r="B272" s="62">
        <v>3</v>
      </c>
      <c r="C272" s="62">
        <v>6</v>
      </c>
      <c r="D272" s="62">
        <v>3</v>
      </c>
      <c r="E272" s="63" t="s">
        <v>41</v>
      </c>
      <c r="F272" s="81" t="s">
        <v>232</v>
      </c>
      <c r="G272" s="123">
        <f>+SEPTIEMBRE!G273+'AGOSTO '!G273+JULIO!G272+'OCTUBRE '!G273+'ENERO-JUNIO 2025'!G273</f>
        <v>226262.59</v>
      </c>
      <c r="H272" s="123">
        <f>+SEPTIEMBRE!H273+'AGOSTO '!H273+JULIO!H272+'OCTUBRE '!H273+'ENERO-JUNIO 2025'!H273</f>
        <v>87250.03</v>
      </c>
      <c r="I272" s="123">
        <f t="shared" si="3"/>
        <v>313512.62</v>
      </c>
      <c r="J272" s="65">
        <v>0</v>
      </c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43</v>
      </c>
      <c r="F273" s="81" t="s">
        <v>233</v>
      </c>
      <c r="G273" s="123">
        <f>+SEPTIEMBRE!G274+'AGOSTO '!G274+JULIO!G273+'OCTUBRE '!G274+'ENERO-JUNIO 2025'!G274</f>
        <v>0</v>
      </c>
      <c r="H273" s="123">
        <f>+SEPTIEMBRE!H274+'AGOSTO '!H274+JULIO!H273+'OCTUBRE '!H274+'ENERO-JUNIO 2025'!H274</f>
        <v>0</v>
      </c>
      <c r="I273" s="123">
        <f t="shared" si="3"/>
        <v>0</v>
      </c>
      <c r="J273" s="65"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45</v>
      </c>
      <c r="F274" s="81" t="s">
        <v>234</v>
      </c>
      <c r="G274" s="123">
        <f>+SEPTIEMBRE!G275+'AGOSTO '!G275+JULIO!G274+'OCTUBRE '!G275+'ENERO-JUNIO 2025'!G275</f>
        <v>324558.36</v>
      </c>
      <c r="H274" s="123">
        <f>+SEPTIEMBRE!H275+'AGOSTO '!H275+JULIO!H274+'OCTUBRE '!H275+'ENERO-JUNIO 2025'!H275</f>
        <v>257891.20000000001</v>
      </c>
      <c r="I274" s="123">
        <f t="shared" si="3"/>
        <v>582449.56000000006</v>
      </c>
      <c r="J274" s="65">
        <v>1.7566306275917233E-5</v>
      </c>
    </row>
    <row r="275" spans="1:10" x14ac:dyDescent="0.2">
      <c r="A275" s="72">
        <v>2</v>
      </c>
      <c r="B275" s="58">
        <v>3</v>
      </c>
      <c r="C275" s="58">
        <v>6</v>
      </c>
      <c r="D275" s="58">
        <v>4</v>
      </c>
      <c r="E275" s="58"/>
      <c r="F275" s="82" t="s">
        <v>235</v>
      </c>
      <c r="G275" s="122">
        <f>+SEPTIEMBRE!G276+'AGOSTO '!G276+JULIO!G275+'OCTUBRE '!G276+'ENERO-JUNIO 2025'!G276</f>
        <v>0</v>
      </c>
      <c r="H275" s="122">
        <f>+SEPTIEMBRE!H276+'AGOSTO '!H276+JULIO!H275+'OCTUBRE '!H276+'ENERO-JUNIO 2025'!H276</f>
        <v>0</v>
      </c>
      <c r="I275" s="122">
        <f t="shared" si="3"/>
        <v>0</v>
      </c>
      <c r="J275" s="60"/>
    </row>
    <row r="276" spans="1:10" x14ac:dyDescent="0.2">
      <c r="A276" s="74">
        <v>2</v>
      </c>
      <c r="B276" s="62">
        <v>3</v>
      </c>
      <c r="C276" s="62">
        <v>6</v>
      </c>
      <c r="D276" s="62">
        <v>4</v>
      </c>
      <c r="E276" s="63" t="s">
        <v>35</v>
      </c>
      <c r="F276" s="81" t="s">
        <v>236</v>
      </c>
      <c r="G276" s="123">
        <f>+SEPTIEMBRE!G277+'AGOSTO '!G277+JULIO!G276+'OCTUBRE '!G277+'ENERO-JUNIO 2025'!G277</f>
        <v>0</v>
      </c>
      <c r="H276" s="123">
        <f>+SEPTIEMBRE!H277+'AGOSTO '!H277+JULIO!H276+'OCTUBRE '!H277+'ENERO-JUNIO 2025'!H277</f>
        <v>0</v>
      </c>
      <c r="I276" s="123">
        <f t="shared" si="3"/>
        <v>0</v>
      </c>
      <c r="J276" s="65">
        <v>0</v>
      </c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37</v>
      </c>
      <c r="F277" s="81" t="s">
        <v>237</v>
      </c>
      <c r="G277" s="123">
        <f>+SEPTIEMBRE!G278+'AGOSTO '!G278+JULIO!G277+'OCTUBRE '!G278+'ENERO-JUNIO 2025'!G278</f>
        <v>0</v>
      </c>
      <c r="H277" s="123">
        <f>+SEPTIEMBRE!H278+'AGOSTO '!H278+JULIO!H277+'OCTUBRE '!H278+'ENERO-JUNIO 2025'!H278</f>
        <v>0</v>
      </c>
      <c r="I277" s="123">
        <f t="shared" si="3"/>
        <v>0</v>
      </c>
      <c r="J277" s="65"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39</v>
      </c>
      <c r="F278" s="81" t="s">
        <v>238</v>
      </c>
      <c r="G278" s="123">
        <f>+SEPTIEMBRE!G279+'AGOSTO '!G279+JULIO!G278+'OCTUBRE '!G279+'ENERO-JUNIO 2025'!G279</f>
        <v>0</v>
      </c>
      <c r="H278" s="123">
        <f>+SEPTIEMBRE!H279+'AGOSTO '!H279+JULIO!H278+'OCTUBRE '!H279+'ENERO-JUNIO 2025'!H279</f>
        <v>0</v>
      </c>
      <c r="I278" s="123">
        <f t="shared" si="3"/>
        <v>0</v>
      </c>
      <c r="J278" s="65"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41</v>
      </c>
      <c r="F279" s="81" t="s">
        <v>239</v>
      </c>
      <c r="G279" s="123">
        <f>+SEPTIEMBRE!G280+'AGOSTO '!G280+JULIO!G279+'OCTUBRE '!G280+'ENERO-JUNIO 2025'!G280</f>
        <v>0</v>
      </c>
      <c r="H279" s="123">
        <f>+SEPTIEMBRE!H280+'AGOSTO '!H280+JULIO!H279+'OCTUBRE '!H280+'ENERO-JUNIO 2025'!H280</f>
        <v>0</v>
      </c>
      <c r="I279" s="123">
        <f t="shared" si="3"/>
        <v>0</v>
      </c>
      <c r="J279" s="65"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43</v>
      </c>
      <c r="F280" s="81" t="s">
        <v>240</v>
      </c>
      <c r="G280" s="123">
        <f>+SEPTIEMBRE!G281+'AGOSTO '!G281+JULIO!G280+'OCTUBRE '!G281+'ENERO-JUNIO 2025'!G281</f>
        <v>0</v>
      </c>
      <c r="H280" s="123">
        <f>+SEPTIEMBRE!H281+'AGOSTO '!H281+JULIO!H280+'OCTUBRE '!H281+'ENERO-JUNIO 2025'!H281</f>
        <v>0</v>
      </c>
      <c r="I280" s="123">
        <f t="shared" si="3"/>
        <v>0</v>
      </c>
      <c r="J280" s="65"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45</v>
      </c>
      <c r="F281" s="81" t="s">
        <v>241</v>
      </c>
      <c r="G281" s="123">
        <f>+SEPTIEMBRE!G282+'AGOSTO '!G282+JULIO!G281+'OCTUBRE '!G282+'ENERO-JUNIO 2025'!G282</f>
        <v>0</v>
      </c>
      <c r="H281" s="123">
        <f>+SEPTIEMBRE!H282+'AGOSTO '!H282+JULIO!H281+'OCTUBRE '!H282+'ENERO-JUNIO 2025'!H282</f>
        <v>0</v>
      </c>
      <c r="I281" s="123">
        <f t="shared" ref="I281:I344" si="4">+G281+H281</f>
        <v>0</v>
      </c>
      <c r="J281" s="65"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71</v>
      </c>
      <c r="F282" s="81" t="s">
        <v>242</v>
      </c>
      <c r="G282" s="123">
        <f>+SEPTIEMBRE!G283+'AGOSTO '!G283+JULIO!G282+'OCTUBRE '!G283+'ENERO-JUNIO 2025'!G283</f>
        <v>0</v>
      </c>
      <c r="H282" s="123">
        <f>+SEPTIEMBRE!H283+'AGOSTO '!H283+JULIO!H282+'OCTUBRE '!H283+'ENERO-JUNIO 2025'!H283</f>
        <v>0</v>
      </c>
      <c r="I282" s="123">
        <f t="shared" si="4"/>
        <v>0</v>
      </c>
      <c r="J282" s="65">
        <v>0</v>
      </c>
    </row>
    <row r="283" spans="1:10" x14ac:dyDescent="0.2">
      <c r="A283" s="72">
        <v>2</v>
      </c>
      <c r="B283" s="58">
        <v>3</v>
      </c>
      <c r="C283" s="58">
        <v>6</v>
      </c>
      <c r="D283" s="58">
        <v>9</v>
      </c>
      <c r="E283" s="58"/>
      <c r="F283" s="82" t="s">
        <v>243</v>
      </c>
      <c r="G283" s="122">
        <f>+SEPTIEMBRE!G284+'AGOSTO '!G284+JULIO!G283+'OCTUBRE '!G284+'ENERO-JUNIO 2025'!G284</f>
        <v>0</v>
      </c>
      <c r="H283" s="122">
        <f>+SEPTIEMBRE!H284+'AGOSTO '!H284+JULIO!H283+'OCTUBRE '!H284+'ENERO-JUNIO 2025'!H284</f>
        <v>0</v>
      </c>
      <c r="I283" s="122">
        <f t="shared" si="4"/>
        <v>0</v>
      </c>
      <c r="J283" s="60"/>
    </row>
    <row r="284" spans="1:10" x14ac:dyDescent="0.2">
      <c r="A284" s="74">
        <v>2</v>
      </c>
      <c r="B284" s="62">
        <v>3</v>
      </c>
      <c r="C284" s="62">
        <v>6</v>
      </c>
      <c r="D284" s="62">
        <v>9</v>
      </c>
      <c r="E284" s="63" t="s">
        <v>35</v>
      </c>
      <c r="F284" s="81" t="s">
        <v>244</v>
      </c>
      <c r="G284" s="123">
        <f>+SEPTIEMBRE!G285+'AGOSTO '!G285+JULIO!G284+'OCTUBRE '!G285+'ENERO-JUNIO 2025'!G285</f>
        <v>0</v>
      </c>
      <c r="H284" s="123">
        <f>+SEPTIEMBRE!H285+'AGOSTO '!H285+JULIO!H284+'OCTUBRE '!H285+'ENERO-JUNIO 2025'!H285</f>
        <v>0</v>
      </c>
      <c r="I284" s="123">
        <f t="shared" si="4"/>
        <v>0</v>
      </c>
      <c r="J284" s="65">
        <v>0</v>
      </c>
    </row>
    <row r="285" spans="1:10" ht="25.5" x14ac:dyDescent="0.2">
      <c r="A285" s="54">
        <v>2</v>
      </c>
      <c r="B285" s="55">
        <v>3</v>
      </c>
      <c r="C285" s="55">
        <v>7</v>
      </c>
      <c r="D285" s="55"/>
      <c r="E285" s="55"/>
      <c r="F285" s="83" t="s">
        <v>245</v>
      </c>
      <c r="G285" s="121">
        <f>+SEPTIEMBRE!G286+'AGOSTO '!G286+JULIO!G285+'OCTUBRE '!G286+'ENERO-JUNIO 2025'!G286</f>
        <v>47498909.260000005</v>
      </c>
      <c r="H285" s="121">
        <f>+SEPTIEMBRE!H286+'AGOSTO '!H286+JULIO!H285+'OCTUBRE '!H286+'ENERO-JUNIO 2025'!H286</f>
        <v>6263902.9799999995</v>
      </c>
      <c r="I285" s="121">
        <f t="shared" si="4"/>
        <v>53762812.240000002</v>
      </c>
      <c r="J285" s="53"/>
    </row>
    <row r="286" spans="1:10" x14ac:dyDescent="0.2">
      <c r="A286" s="72">
        <v>2</v>
      </c>
      <c r="B286" s="58">
        <v>3</v>
      </c>
      <c r="C286" s="58">
        <v>7</v>
      </c>
      <c r="D286" s="58">
        <v>1</v>
      </c>
      <c r="E286" s="58"/>
      <c r="F286" s="82" t="s">
        <v>246</v>
      </c>
      <c r="G286" s="122">
        <f>+SEPTIEMBRE!G287+'AGOSTO '!G287+JULIO!G286+'OCTUBRE '!G287+'ENERO-JUNIO 2025'!G287</f>
        <v>2885600</v>
      </c>
      <c r="H286" s="122">
        <f>+SEPTIEMBRE!H287+'AGOSTO '!H287+JULIO!H286+'OCTUBRE '!H287+'ENERO-JUNIO 2025'!H287</f>
        <v>1974813.97</v>
      </c>
      <c r="I286" s="122">
        <f t="shared" si="4"/>
        <v>4860413.97</v>
      </c>
      <c r="J286" s="60"/>
    </row>
    <row r="287" spans="1:10" x14ac:dyDescent="0.2">
      <c r="A287" s="74">
        <v>2</v>
      </c>
      <c r="B287" s="62">
        <v>3</v>
      </c>
      <c r="C287" s="62">
        <v>7</v>
      </c>
      <c r="D287" s="62">
        <v>1</v>
      </c>
      <c r="E287" s="63" t="s">
        <v>35</v>
      </c>
      <c r="F287" s="81" t="s">
        <v>247</v>
      </c>
      <c r="G287" s="123">
        <f>+SEPTIEMBRE!G288+'AGOSTO '!G288+JULIO!G287+'OCTUBRE '!G288+'ENERO-JUNIO 2025'!G288</f>
        <v>0</v>
      </c>
      <c r="H287" s="123">
        <f>+SEPTIEMBRE!H288+'AGOSTO '!H288+JULIO!H287+'OCTUBRE '!H288+'ENERO-JUNIO 2025'!H288</f>
        <v>1548000</v>
      </c>
      <c r="I287" s="123">
        <f t="shared" si="4"/>
        <v>1548000</v>
      </c>
      <c r="J287" s="65">
        <v>1.4387641330751257E-3</v>
      </c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37</v>
      </c>
      <c r="F288" s="81" t="s">
        <v>248</v>
      </c>
      <c r="G288" s="123">
        <f>+SEPTIEMBRE!G289+'AGOSTO '!G289+JULIO!G288+'OCTUBRE '!G289+'ENERO-JUNIO 2025'!G289</f>
        <v>2885600</v>
      </c>
      <c r="H288" s="123">
        <f>+SEPTIEMBRE!H289+'AGOSTO '!H289+JULIO!H288+'OCTUBRE '!H289+'ENERO-JUNIO 2025'!H289</f>
        <v>0</v>
      </c>
      <c r="I288" s="123">
        <f t="shared" si="4"/>
        <v>2885600</v>
      </c>
      <c r="J288" s="65">
        <v>5.560990672490369E-3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39</v>
      </c>
      <c r="F289" s="81" t="s">
        <v>249</v>
      </c>
      <c r="G289" s="123">
        <f>+SEPTIEMBRE!G290+'AGOSTO '!G290+JULIO!G289+'OCTUBRE '!G290+'ENERO-JUNIO 2025'!G290</f>
        <v>0</v>
      </c>
      <c r="H289" s="123">
        <f>+SEPTIEMBRE!H290+'AGOSTO '!H290+JULIO!H289+'OCTUBRE '!H290+'ENERO-JUNIO 2025'!H290</f>
        <v>0</v>
      </c>
      <c r="I289" s="123">
        <f t="shared" si="4"/>
        <v>0</v>
      </c>
      <c r="J289" s="65"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41</v>
      </c>
      <c r="F290" s="81" t="s">
        <v>250</v>
      </c>
      <c r="G290" s="123">
        <f>+SEPTIEMBRE!G291+'AGOSTO '!G291+JULIO!G290+'OCTUBRE '!G291+'ENERO-JUNIO 2025'!G291</f>
        <v>0</v>
      </c>
      <c r="H290" s="123">
        <f>+SEPTIEMBRE!H291+'AGOSTO '!H291+JULIO!H290+'OCTUBRE '!H291+'ENERO-JUNIO 2025'!H291</f>
        <v>426813.97</v>
      </c>
      <c r="I290" s="123">
        <f t="shared" si="4"/>
        <v>426813.97</v>
      </c>
      <c r="J290" s="65">
        <v>3.7872956330877551E-4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43</v>
      </c>
      <c r="F291" s="81" t="s">
        <v>251</v>
      </c>
      <c r="G291" s="123">
        <f>+SEPTIEMBRE!G292+'AGOSTO '!G292+JULIO!G291+'OCTUBRE '!G292+'ENERO-JUNIO 2025'!G292</f>
        <v>0</v>
      </c>
      <c r="H291" s="123">
        <f>+SEPTIEMBRE!H292+'AGOSTO '!H292+JULIO!H291+'OCTUBRE '!H292+'ENERO-JUNIO 2025'!H292</f>
        <v>0</v>
      </c>
      <c r="I291" s="123">
        <f t="shared" si="4"/>
        <v>0</v>
      </c>
      <c r="J291" s="65">
        <v>0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45</v>
      </c>
      <c r="F292" s="81" t="s">
        <v>252</v>
      </c>
      <c r="G292" s="123">
        <f>+SEPTIEMBRE!G293+'AGOSTO '!G293+JULIO!G292+'OCTUBRE '!G293+'ENERO-JUNIO 2025'!G293</f>
        <v>0</v>
      </c>
      <c r="H292" s="123">
        <f>+SEPTIEMBRE!H293+'AGOSTO '!H293+JULIO!H292+'OCTUBRE '!H293+'ENERO-JUNIO 2025'!H293</f>
        <v>0</v>
      </c>
      <c r="I292" s="123">
        <f t="shared" si="4"/>
        <v>0</v>
      </c>
      <c r="J292" s="65"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71</v>
      </c>
      <c r="F293" s="81" t="s">
        <v>253</v>
      </c>
      <c r="G293" s="123">
        <f>+SEPTIEMBRE!G294+'AGOSTO '!G294+JULIO!G293+'OCTUBRE '!G294+'ENERO-JUNIO 2025'!G294</f>
        <v>0</v>
      </c>
      <c r="H293" s="123">
        <f>+SEPTIEMBRE!H294+'AGOSTO '!H294+JULIO!H293+'OCTUBRE '!H294+'ENERO-JUNIO 2025'!H294</f>
        <v>0</v>
      </c>
      <c r="I293" s="123">
        <f t="shared" si="4"/>
        <v>0</v>
      </c>
      <c r="J293" s="65">
        <v>0</v>
      </c>
    </row>
    <row r="294" spans="1:10" x14ac:dyDescent="0.2">
      <c r="A294" s="72">
        <v>2</v>
      </c>
      <c r="B294" s="58">
        <v>3</v>
      </c>
      <c r="C294" s="58">
        <v>7</v>
      </c>
      <c r="D294" s="58">
        <v>2</v>
      </c>
      <c r="E294" s="58"/>
      <c r="F294" s="82" t="s">
        <v>254</v>
      </c>
      <c r="G294" s="122">
        <f>+SEPTIEMBRE!G295+'AGOSTO '!G295+JULIO!G294+'OCTUBRE '!G295+'ENERO-JUNIO 2025'!G295</f>
        <v>44613309.260000005</v>
      </c>
      <c r="H294" s="122">
        <f>+SEPTIEMBRE!H295+'AGOSTO '!H295+JULIO!H294+'OCTUBRE '!H295+'ENERO-JUNIO 2025'!H295</f>
        <v>4289089.01</v>
      </c>
      <c r="I294" s="122">
        <f t="shared" si="4"/>
        <v>48902398.270000003</v>
      </c>
      <c r="J294" s="60"/>
    </row>
    <row r="295" spans="1:10" x14ac:dyDescent="0.2">
      <c r="A295" s="74">
        <v>2</v>
      </c>
      <c r="B295" s="62">
        <v>3</v>
      </c>
      <c r="C295" s="62">
        <v>7</v>
      </c>
      <c r="D295" s="62">
        <v>2</v>
      </c>
      <c r="E295" s="63" t="s">
        <v>35</v>
      </c>
      <c r="F295" s="81" t="s">
        <v>255</v>
      </c>
      <c r="G295" s="123">
        <f>+SEPTIEMBRE!G296+'AGOSTO '!G296+JULIO!G295+'OCTUBRE '!G296+'ENERO-JUNIO 2025'!G296</f>
        <v>3953</v>
      </c>
      <c r="H295" s="123">
        <f>+SEPTIEMBRE!H296+'AGOSTO '!H296+JULIO!H295+'OCTUBRE '!H296+'ENERO-JUNIO 2025'!H296</f>
        <v>0</v>
      </c>
      <c r="I295" s="123">
        <f t="shared" si="4"/>
        <v>3953</v>
      </c>
      <c r="J295" s="65">
        <v>0</v>
      </c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37</v>
      </c>
      <c r="F296" s="81" t="s">
        <v>256</v>
      </c>
      <c r="G296" s="123">
        <f>+SEPTIEMBRE!G297+'AGOSTO '!G297+JULIO!G296+'OCTUBRE '!G297+'ENERO-JUNIO 2025'!G297</f>
        <v>0</v>
      </c>
      <c r="H296" s="123">
        <f>+SEPTIEMBRE!H297+'AGOSTO '!H297+JULIO!H296+'OCTUBRE '!H297+'ENERO-JUNIO 2025'!H297</f>
        <v>0</v>
      </c>
      <c r="I296" s="123">
        <f t="shared" si="4"/>
        <v>0</v>
      </c>
      <c r="J296" s="65"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39</v>
      </c>
      <c r="F297" s="81" t="s">
        <v>257</v>
      </c>
      <c r="G297" s="123">
        <f>+SEPTIEMBRE!G298+'AGOSTO '!G298+JULIO!G297+'OCTUBRE '!G298+'ENERO-JUNIO 2025'!G298</f>
        <v>40017406.660000004</v>
      </c>
      <c r="H297" s="123">
        <f>+SEPTIEMBRE!H298+'AGOSTO '!H298+JULIO!H297+'OCTUBRE '!H298+'ENERO-JUNIO 2025'!H298</f>
        <v>1050123</v>
      </c>
      <c r="I297" s="123">
        <f t="shared" si="4"/>
        <v>41067529.660000004</v>
      </c>
      <c r="J297" s="65">
        <v>2.4546544998859263E-2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41</v>
      </c>
      <c r="F298" s="81" t="s">
        <v>258</v>
      </c>
      <c r="G298" s="123">
        <f>+SEPTIEMBRE!G299+'AGOSTO '!G299+JULIO!G298+'OCTUBRE '!G299+'ENERO-JUNIO 2025'!G299</f>
        <v>0</v>
      </c>
      <c r="H298" s="123">
        <f>+SEPTIEMBRE!H299+'AGOSTO '!H299+JULIO!H298+'OCTUBRE '!H299+'ENERO-JUNIO 2025'!H299</f>
        <v>0</v>
      </c>
      <c r="I298" s="123">
        <f t="shared" si="4"/>
        <v>0</v>
      </c>
      <c r="J298" s="65">
        <v>0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43</v>
      </c>
      <c r="F299" s="81" t="s">
        <v>259</v>
      </c>
      <c r="G299" s="123">
        <f>+SEPTIEMBRE!G300+'AGOSTO '!G300+JULIO!G299+'OCTUBRE '!G300+'ENERO-JUNIO 2025'!G300</f>
        <v>0</v>
      </c>
      <c r="H299" s="123">
        <f>+SEPTIEMBRE!H300+'AGOSTO '!H300+JULIO!H299+'OCTUBRE '!H300+'ENERO-JUNIO 2025'!H300</f>
        <v>0</v>
      </c>
      <c r="I299" s="123">
        <f t="shared" si="4"/>
        <v>0</v>
      </c>
      <c r="J299" s="65">
        <v>0</v>
      </c>
    </row>
    <row r="300" spans="1:10" ht="25.5" x14ac:dyDescent="0.2">
      <c r="A300" s="61">
        <v>2</v>
      </c>
      <c r="B300" s="62">
        <v>3</v>
      </c>
      <c r="C300" s="62">
        <v>7</v>
      </c>
      <c r="D300" s="62">
        <v>2</v>
      </c>
      <c r="E300" s="63" t="s">
        <v>45</v>
      </c>
      <c r="F300" s="84" t="s">
        <v>260</v>
      </c>
      <c r="G300" s="127">
        <f>+SEPTIEMBRE!G301+'AGOSTO '!G301+JULIO!G300+'OCTUBRE '!G301+'ENERO-JUNIO 2025'!G301</f>
        <v>1105276.71</v>
      </c>
      <c r="H300" s="127">
        <f>+SEPTIEMBRE!H301+'AGOSTO '!H301+JULIO!H300+'OCTUBRE '!H301+'ENERO-JUNIO 2025'!H301</f>
        <v>0</v>
      </c>
      <c r="I300" s="127">
        <f t="shared" si="4"/>
        <v>1105276.71</v>
      </c>
      <c r="J300" s="65">
        <v>0</v>
      </c>
    </row>
    <row r="301" spans="1:10" x14ac:dyDescent="0.2">
      <c r="A301" s="61">
        <v>2</v>
      </c>
      <c r="B301" s="62">
        <v>3</v>
      </c>
      <c r="C301" s="62">
        <v>7</v>
      </c>
      <c r="D301" s="62">
        <v>2</v>
      </c>
      <c r="E301" s="63">
        <v>99</v>
      </c>
      <c r="F301" s="84" t="s">
        <v>261</v>
      </c>
      <c r="G301" s="127">
        <f>+SEPTIEMBRE!G302+'AGOSTO '!G302+JULIO!G301+'OCTUBRE '!G302+'ENERO-JUNIO 2025'!G302</f>
        <v>3486672.8899999997</v>
      </c>
      <c r="H301" s="127">
        <f>+SEPTIEMBRE!H302+'AGOSTO '!H302+JULIO!H301+'OCTUBRE '!H302+'ENERO-JUNIO 2025'!H302</f>
        <v>3238966.01</v>
      </c>
      <c r="I301" s="127">
        <f t="shared" si="4"/>
        <v>6725638.8999999994</v>
      </c>
      <c r="J301" s="65">
        <v>1.0510580534208324E-2</v>
      </c>
    </row>
    <row r="302" spans="1:10" ht="25.5" x14ac:dyDescent="0.2">
      <c r="A302" s="54">
        <v>2</v>
      </c>
      <c r="B302" s="55">
        <v>3</v>
      </c>
      <c r="C302" s="55">
        <v>8</v>
      </c>
      <c r="D302" s="55"/>
      <c r="E302" s="55"/>
      <c r="F302" s="83" t="s">
        <v>262</v>
      </c>
      <c r="G302" s="121">
        <f>+SEPTIEMBRE!G303+'AGOSTO '!G303+JULIO!G302+'OCTUBRE '!G303+'ENERO-JUNIO 2025'!G303</f>
        <v>0</v>
      </c>
      <c r="H302" s="121">
        <f>+SEPTIEMBRE!H303+'AGOSTO '!H303+JULIO!H302+'OCTUBRE '!H303+'ENERO-JUNIO 2025'!H303</f>
        <v>0</v>
      </c>
      <c r="I302" s="121">
        <f t="shared" si="4"/>
        <v>0</v>
      </c>
      <c r="J302" s="53"/>
    </row>
    <row r="303" spans="1:10" ht="25.5" x14ac:dyDescent="0.2">
      <c r="A303" s="57">
        <v>2</v>
      </c>
      <c r="B303" s="58">
        <v>3</v>
      </c>
      <c r="C303" s="58">
        <v>8</v>
      </c>
      <c r="D303" s="58">
        <v>1</v>
      </c>
      <c r="E303" s="58"/>
      <c r="F303" s="82" t="s">
        <v>263</v>
      </c>
      <c r="G303" s="122">
        <f>+SEPTIEMBRE!G304+'AGOSTO '!G304+JULIO!G303+'OCTUBRE '!G304+'ENERO-JUNIO 2025'!G304</f>
        <v>0</v>
      </c>
      <c r="H303" s="122">
        <f>+SEPTIEMBRE!H304+'AGOSTO '!H304+JULIO!H303+'OCTUBRE '!H304+'ENERO-JUNIO 2025'!H304</f>
        <v>0</v>
      </c>
      <c r="I303" s="122">
        <f t="shared" si="4"/>
        <v>0</v>
      </c>
      <c r="J303" s="60"/>
    </row>
    <row r="304" spans="1:10" ht="25.5" x14ac:dyDescent="0.2">
      <c r="A304" s="61">
        <v>2</v>
      </c>
      <c r="B304" s="62">
        <v>3</v>
      </c>
      <c r="C304" s="62">
        <v>8</v>
      </c>
      <c r="D304" s="62">
        <v>1</v>
      </c>
      <c r="E304" s="63" t="s">
        <v>35</v>
      </c>
      <c r="F304" s="81" t="s">
        <v>263</v>
      </c>
      <c r="G304" s="123">
        <f>+SEPTIEMBRE!G305+'AGOSTO '!G305+JULIO!G304+'OCTUBRE '!G305+'ENERO-JUNIO 2025'!G305</f>
        <v>0</v>
      </c>
      <c r="H304" s="123">
        <f>+SEPTIEMBRE!H305+'AGOSTO '!H305+JULIO!H304+'OCTUBRE '!H305+'ENERO-JUNIO 2025'!H305</f>
        <v>0</v>
      </c>
      <c r="I304" s="123">
        <f t="shared" si="4"/>
        <v>0</v>
      </c>
      <c r="J304" s="65">
        <v>0</v>
      </c>
    </row>
    <row r="305" spans="1:10" ht="25.5" x14ac:dyDescent="0.2">
      <c r="A305" s="57">
        <v>2</v>
      </c>
      <c r="B305" s="58">
        <v>3</v>
      </c>
      <c r="C305" s="58">
        <v>8</v>
      </c>
      <c r="D305" s="58">
        <v>2</v>
      </c>
      <c r="E305" s="58"/>
      <c r="F305" s="82" t="s">
        <v>264</v>
      </c>
      <c r="G305" s="122">
        <f>+SEPTIEMBRE!G306+'AGOSTO '!G306+JULIO!G305+'OCTUBRE '!G306+'ENERO-JUNIO 2025'!G306</f>
        <v>0</v>
      </c>
      <c r="H305" s="122">
        <f>+SEPTIEMBRE!H306+'AGOSTO '!H306+JULIO!H305+'OCTUBRE '!H306+'ENERO-JUNIO 2025'!H306</f>
        <v>0</v>
      </c>
      <c r="I305" s="122">
        <f t="shared" si="4"/>
        <v>0</v>
      </c>
      <c r="J305" s="60"/>
    </row>
    <row r="306" spans="1:10" ht="25.5" x14ac:dyDescent="0.2">
      <c r="A306" s="61">
        <v>2</v>
      </c>
      <c r="B306" s="62">
        <v>3</v>
      </c>
      <c r="C306" s="62">
        <v>8</v>
      </c>
      <c r="D306" s="62">
        <v>2</v>
      </c>
      <c r="E306" s="63" t="s">
        <v>35</v>
      </c>
      <c r="F306" s="81" t="s">
        <v>264</v>
      </c>
      <c r="G306" s="123">
        <f>+SEPTIEMBRE!G307+'AGOSTO '!G307+JULIO!G306+'OCTUBRE '!G307+'ENERO-JUNIO 2025'!G307</f>
        <v>0</v>
      </c>
      <c r="H306" s="123">
        <f>+SEPTIEMBRE!H307+'AGOSTO '!H307+JULIO!H306+'OCTUBRE '!H307+'ENERO-JUNIO 2025'!H307</f>
        <v>0</v>
      </c>
      <c r="I306" s="123">
        <f t="shared" si="4"/>
        <v>0</v>
      </c>
      <c r="J306" s="65">
        <v>0</v>
      </c>
    </row>
    <row r="307" spans="1:10" x14ac:dyDescent="0.2">
      <c r="A307" s="54">
        <v>2</v>
      </c>
      <c r="B307" s="55">
        <v>3</v>
      </c>
      <c r="C307" s="55">
        <v>9</v>
      </c>
      <c r="D307" s="55"/>
      <c r="E307" s="55"/>
      <c r="F307" s="83" t="s">
        <v>265</v>
      </c>
      <c r="G307" s="121">
        <f>+SEPTIEMBRE!G308+'AGOSTO '!G308+JULIO!G307+'OCTUBRE '!G308+'ENERO-JUNIO 2025'!G308</f>
        <v>66267612.799999997</v>
      </c>
      <c r="H307" s="121">
        <f>+SEPTIEMBRE!H308+'AGOSTO '!H308+JULIO!H307+'OCTUBRE '!H308+'ENERO-JUNIO 2025'!H308</f>
        <v>11550090.569999998</v>
      </c>
      <c r="I307" s="121">
        <f t="shared" si="4"/>
        <v>77817703.36999999</v>
      </c>
      <c r="J307" s="53"/>
    </row>
    <row r="308" spans="1:10" x14ac:dyDescent="0.2">
      <c r="A308" s="72">
        <v>2</v>
      </c>
      <c r="B308" s="58">
        <v>3</v>
      </c>
      <c r="C308" s="58">
        <v>9</v>
      </c>
      <c r="D308" s="58">
        <v>1</v>
      </c>
      <c r="E308" s="58"/>
      <c r="F308" s="82" t="s">
        <v>266</v>
      </c>
      <c r="G308" s="122">
        <f>+SEPTIEMBRE!G309+'AGOSTO '!G309+JULIO!G308+'OCTUBRE '!G309+'ENERO-JUNIO 2025'!G309</f>
        <v>6371154.0099999998</v>
      </c>
      <c r="H308" s="122">
        <f>+SEPTIEMBRE!H309+'AGOSTO '!H309+JULIO!H308+'OCTUBRE '!H309+'ENERO-JUNIO 2025'!H309</f>
        <v>3836618.96</v>
      </c>
      <c r="I308" s="122">
        <f t="shared" si="4"/>
        <v>10207772.969999999</v>
      </c>
      <c r="J308" s="60"/>
    </row>
    <row r="309" spans="1:10" x14ac:dyDescent="0.2">
      <c r="A309" s="74">
        <v>2</v>
      </c>
      <c r="B309" s="62">
        <v>3</v>
      </c>
      <c r="C309" s="62">
        <v>9</v>
      </c>
      <c r="D309" s="62">
        <v>1</v>
      </c>
      <c r="E309" s="63" t="s">
        <v>35</v>
      </c>
      <c r="F309" s="81" t="s">
        <v>267</v>
      </c>
      <c r="G309" s="123">
        <f>+SEPTIEMBRE!G310+'AGOSTO '!G310+JULIO!G309+'OCTUBRE '!G310+'ENERO-JUNIO 2025'!G310</f>
        <v>6371154.0099999998</v>
      </c>
      <c r="H309" s="123">
        <f>+SEPTIEMBRE!H310+'AGOSTO '!H310+JULIO!H309+'OCTUBRE '!H310+'ENERO-JUNIO 2025'!H310</f>
        <v>3836618.96</v>
      </c>
      <c r="I309" s="123">
        <f t="shared" si="4"/>
        <v>10207772.969999999</v>
      </c>
      <c r="J309" s="65">
        <v>2.0749018999943643E-2</v>
      </c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37</v>
      </c>
      <c r="F310" s="81" t="s">
        <v>268</v>
      </c>
      <c r="G310" s="123">
        <f>+SEPTIEMBRE!G311+'AGOSTO '!G311+JULIO!G310+'OCTUBRE '!G311+'ENERO-JUNIO 2025'!G311</f>
        <v>0</v>
      </c>
      <c r="H310" s="123">
        <f>+SEPTIEMBRE!H311+'AGOSTO '!H311+JULIO!H310+'OCTUBRE '!H311+'ENERO-JUNIO 2025'!H311</f>
        <v>0</v>
      </c>
      <c r="I310" s="123">
        <f t="shared" si="4"/>
        <v>0</v>
      </c>
      <c r="J310" s="65">
        <v>0</v>
      </c>
    </row>
    <row r="311" spans="1:10" ht="25.5" x14ac:dyDescent="0.2">
      <c r="A311" s="72">
        <v>2</v>
      </c>
      <c r="B311" s="58">
        <v>3</v>
      </c>
      <c r="C311" s="58">
        <v>9</v>
      </c>
      <c r="D311" s="58">
        <v>2</v>
      </c>
      <c r="E311" s="58"/>
      <c r="F311" s="82" t="s">
        <v>269</v>
      </c>
      <c r="G311" s="122">
        <f>+SEPTIEMBRE!G312+'AGOSTO '!G312+JULIO!G311+'OCTUBRE '!G312+'ENERO-JUNIO 2025'!G312</f>
        <v>2002500.3900000001</v>
      </c>
      <c r="H311" s="122">
        <f>+SEPTIEMBRE!H312+'AGOSTO '!H312+JULIO!H311+'OCTUBRE '!H312+'ENERO-JUNIO 2025'!H312</f>
        <v>0</v>
      </c>
      <c r="I311" s="122">
        <f t="shared" si="4"/>
        <v>2002500.3900000001</v>
      </c>
      <c r="J311" s="60"/>
    </row>
    <row r="312" spans="1:10" ht="25.5" x14ac:dyDescent="0.2">
      <c r="A312" s="74">
        <v>2</v>
      </c>
      <c r="B312" s="62">
        <v>3</v>
      </c>
      <c r="C312" s="62">
        <v>9</v>
      </c>
      <c r="D312" s="62">
        <v>2</v>
      </c>
      <c r="E312" s="63" t="s">
        <v>35</v>
      </c>
      <c r="F312" s="81" t="s">
        <v>270</v>
      </c>
      <c r="G312" s="123">
        <f>+SEPTIEMBRE!G313+'AGOSTO '!G313+JULIO!G312+'OCTUBRE '!G313+'ENERO-JUNIO 2025'!G313</f>
        <v>2002500.3900000001</v>
      </c>
      <c r="H312" s="123">
        <f>+SEPTIEMBRE!H313+'AGOSTO '!H313+JULIO!H312+'OCTUBRE '!H313+'ENERO-JUNIO 2025'!H313</f>
        <v>0</v>
      </c>
      <c r="I312" s="123">
        <f t="shared" si="4"/>
        <v>2002500.3900000001</v>
      </c>
      <c r="J312" s="65">
        <v>8.6071554788894262E-4</v>
      </c>
    </row>
    <row r="313" spans="1:10" x14ac:dyDescent="0.2">
      <c r="A313" s="72">
        <v>2</v>
      </c>
      <c r="B313" s="58">
        <v>3</v>
      </c>
      <c r="C313" s="58">
        <v>9</v>
      </c>
      <c r="D313" s="58">
        <v>3</v>
      </c>
      <c r="E313" s="58"/>
      <c r="F313" s="82" t="s">
        <v>271</v>
      </c>
      <c r="G313" s="122">
        <f>+SEPTIEMBRE!G314+'AGOSTO '!G314+JULIO!G313+'OCTUBRE '!G314+'ENERO-JUNIO 2025'!G314</f>
        <v>51785546.089999996</v>
      </c>
      <c r="H313" s="122">
        <f>+SEPTIEMBRE!H314+'AGOSTO '!H314+JULIO!H313+'OCTUBRE '!H314+'ENERO-JUNIO 2025'!H314</f>
        <v>5513222.6500000004</v>
      </c>
      <c r="I313" s="122">
        <f t="shared" si="4"/>
        <v>57298768.739999995</v>
      </c>
      <c r="J313" s="60"/>
    </row>
    <row r="314" spans="1:10" x14ac:dyDescent="0.2">
      <c r="A314" s="74">
        <v>2</v>
      </c>
      <c r="B314" s="62">
        <v>3</v>
      </c>
      <c r="C314" s="62">
        <v>9</v>
      </c>
      <c r="D314" s="62">
        <v>3</v>
      </c>
      <c r="E314" s="63" t="s">
        <v>35</v>
      </c>
      <c r="F314" s="81" t="s">
        <v>271</v>
      </c>
      <c r="G314" s="123">
        <f>+SEPTIEMBRE!G315+'AGOSTO '!G315+JULIO!G314+'OCTUBRE '!G315+'ENERO-JUNIO 2025'!G315</f>
        <v>51785546.089999996</v>
      </c>
      <c r="H314" s="123">
        <f>+SEPTIEMBRE!H315+'AGOSTO '!H315+JULIO!H314+'OCTUBRE '!H315+'ENERO-JUNIO 2025'!H315</f>
        <v>5513222.6500000004</v>
      </c>
      <c r="I314" s="123">
        <f t="shared" si="4"/>
        <v>57298768.739999995</v>
      </c>
      <c r="J314" s="65">
        <v>5.6325238586757566E-2</v>
      </c>
    </row>
    <row r="315" spans="1:10" ht="25.5" x14ac:dyDescent="0.2">
      <c r="A315" s="72">
        <v>2</v>
      </c>
      <c r="B315" s="58">
        <v>3</v>
      </c>
      <c r="C315" s="58">
        <v>9</v>
      </c>
      <c r="D315" s="58">
        <v>4</v>
      </c>
      <c r="E315" s="58"/>
      <c r="F315" s="82" t="s">
        <v>272</v>
      </c>
      <c r="G315" s="122">
        <f>+SEPTIEMBRE!G316+'AGOSTO '!G316+JULIO!G315+'OCTUBRE '!G316+'ENERO-JUNIO 2025'!G316</f>
        <v>45076</v>
      </c>
      <c r="H315" s="122">
        <f>+SEPTIEMBRE!H316+'AGOSTO '!H316+JULIO!H315+'OCTUBRE '!H316+'ENERO-JUNIO 2025'!H316</f>
        <v>0</v>
      </c>
      <c r="I315" s="122">
        <f t="shared" si="4"/>
        <v>45076</v>
      </c>
      <c r="J315" s="60"/>
    </row>
    <row r="316" spans="1:10" ht="25.5" x14ac:dyDescent="0.2">
      <c r="A316" s="74">
        <v>2</v>
      </c>
      <c r="B316" s="62">
        <v>3</v>
      </c>
      <c r="C316" s="62">
        <v>9</v>
      </c>
      <c r="D316" s="62">
        <v>4</v>
      </c>
      <c r="E316" s="63" t="s">
        <v>35</v>
      </c>
      <c r="F316" s="81" t="s">
        <v>272</v>
      </c>
      <c r="G316" s="123">
        <f>+SEPTIEMBRE!G317+'AGOSTO '!G317+JULIO!G316+'OCTUBRE '!G317+'ENERO-JUNIO 2025'!G317</f>
        <v>45076</v>
      </c>
      <c r="H316" s="123">
        <f>+SEPTIEMBRE!H317+'AGOSTO '!H317+JULIO!H316+'OCTUBRE '!H317+'ENERO-JUNIO 2025'!H317</f>
        <v>0</v>
      </c>
      <c r="I316" s="123">
        <f t="shared" si="4"/>
        <v>45076</v>
      </c>
      <c r="J316" s="65">
        <v>3.7705658175868817E-4</v>
      </c>
    </row>
    <row r="317" spans="1:10" x14ac:dyDescent="0.2">
      <c r="A317" s="72">
        <v>2</v>
      </c>
      <c r="B317" s="58">
        <v>3</v>
      </c>
      <c r="C317" s="58">
        <v>9</v>
      </c>
      <c r="D317" s="58">
        <v>5</v>
      </c>
      <c r="E317" s="58"/>
      <c r="F317" s="82" t="s">
        <v>273</v>
      </c>
      <c r="G317" s="122">
        <f>+SEPTIEMBRE!G318+'AGOSTO '!G318+JULIO!G317+'OCTUBRE '!G318+'ENERO-JUNIO 2025'!G318</f>
        <v>380361.2</v>
      </c>
      <c r="H317" s="122">
        <f>+SEPTIEMBRE!H318+'AGOSTO '!H318+JULIO!H317+'OCTUBRE '!H318+'ENERO-JUNIO 2025'!H318</f>
        <v>861440</v>
      </c>
      <c r="I317" s="122">
        <f t="shared" si="4"/>
        <v>1241801.2</v>
      </c>
      <c r="J317" s="60"/>
    </row>
    <row r="318" spans="1:10" x14ac:dyDescent="0.2">
      <c r="A318" s="74">
        <v>2</v>
      </c>
      <c r="B318" s="62">
        <v>3</v>
      </c>
      <c r="C318" s="62">
        <v>9</v>
      </c>
      <c r="D318" s="62">
        <v>5</v>
      </c>
      <c r="E318" s="63" t="s">
        <v>35</v>
      </c>
      <c r="F318" s="81" t="s">
        <v>273</v>
      </c>
      <c r="G318" s="123">
        <f>+SEPTIEMBRE!G319+'AGOSTO '!G319+JULIO!G318+'OCTUBRE '!G319+'ENERO-JUNIO 2025'!G319</f>
        <v>380361.2</v>
      </c>
      <c r="H318" s="123">
        <f>+SEPTIEMBRE!H319+'AGOSTO '!H319+JULIO!H318+'OCTUBRE '!H319+'ENERO-JUNIO 2025'!H319</f>
        <v>861440</v>
      </c>
      <c r="I318" s="123">
        <f t="shared" si="4"/>
        <v>1241801.2</v>
      </c>
      <c r="J318" s="65">
        <v>4.5760060550609384E-4</v>
      </c>
    </row>
    <row r="319" spans="1:10" x14ac:dyDescent="0.2">
      <c r="A319" s="72">
        <v>2</v>
      </c>
      <c r="B319" s="58">
        <v>3</v>
      </c>
      <c r="C319" s="58">
        <v>9</v>
      </c>
      <c r="D319" s="58">
        <v>6</v>
      </c>
      <c r="E319" s="58"/>
      <c r="F319" s="82" t="s">
        <v>274</v>
      </c>
      <c r="G319" s="122">
        <f>+SEPTIEMBRE!G320+'AGOSTO '!G320+JULIO!G319+'OCTUBRE '!G320+'ENERO-JUNIO 2025'!G320</f>
        <v>2614071.9000000004</v>
      </c>
      <c r="H319" s="122">
        <f>+SEPTIEMBRE!H320+'AGOSTO '!H320+JULIO!H319+'OCTUBRE '!H320+'ENERO-JUNIO 2025'!H320</f>
        <v>291744.58</v>
      </c>
      <c r="I319" s="122">
        <f t="shared" si="4"/>
        <v>2905816.4800000004</v>
      </c>
      <c r="J319" s="60"/>
    </row>
    <row r="320" spans="1:10" x14ac:dyDescent="0.2">
      <c r="A320" s="74">
        <v>2</v>
      </c>
      <c r="B320" s="62">
        <v>3</v>
      </c>
      <c r="C320" s="62">
        <v>9</v>
      </c>
      <c r="D320" s="62">
        <v>6</v>
      </c>
      <c r="E320" s="63" t="s">
        <v>35</v>
      </c>
      <c r="F320" s="81" t="s">
        <v>274</v>
      </c>
      <c r="G320" s="123">
        <f>+SEPTIEMBRE!G321+'AGOSTO '!G321+JULIO!G320+'OCTUBRE '!G321+'ENERO-JUNIO 2025'!G321</f>
        <v>2614071.9000000004</v>
      </c>
      <c r="H320" s="123">
        <f>+SEPTIEMBRE!H321+'AGOSTO '!H321+JULIO!H320+'OCTUBRE '!H321+'ENERO-JUNIO 2025'!H321</f>
        <v>291744.58</v>
      </c>
      <c r="I320" s="123">
        <f t="shared" si="4"/>
        <v>2905816.4800000004</v>
      </c>
      <c r="J320" s="65">
        <v>5.6216860248821509E-3</v>
      </c>
    </row>
    <row r="321" spans="1:10" x14ac:dyDescent="0.2">
      <c r="A321" s="72">
        <v>2</v>
      </c>
      <c r="B321" s="58">
        <v>3</v>
      </c>
      <c r="C321" s="58">
        <v>9</v>
      </c>
      <c r="D321" s="58">
        <v>7</v>
      </c>
      <c r="E321" s="58"/>
      <c r="F321" s="82" t="s">
        <v>275</v>
      </c>
      <c r="G321" s="122">
        <f>+SEPTIEMBRE!G322+'AGOSTO '!G322+JULIO!G321+'OCTUBRE '!G322+'ENERO-JUNIO 2025'!G322</f>
        <v>0</v>
      </c>
      <c r="H321" s="122">
        <f>+SEPTIEMBRE!H322+'AGOSTO '!H322+JULIO!H321+'OCTUBRE '!H322+'ENERO-JUNIO 2025'!H322</f>
        <v>0</v>
      </c>
      <c r="I321" s="122">
        <f t="shared" si="4"/>
        <v>0</v>
      </c>
      <c r="J321" s="60"/>
    </row>
    <row r="322" spans="1:10" x14ac:dyDescent="0.2">
      <c r="A322" s="74">
        <v>2</v>
      </c>
      <c r="B322" s="62">
        <v>3</v>
      </c>
      <c r="C322" s="62">
        <v>9</v>
      </c>
      <c r="D322" s="62">
        <v>7</v>
      </c>
      <c r="E322" s="63" t="s">
        <v>35</v>
      </c>
      <c r="F322" s="81" t="s">
        <v>275</v>
      </c>
      <c r="G322" s="123">
        <f>+SEPTIEMBRE!G323+'AGOSTO '!G323+JULIO!G322+'OCTUBRE '!G323+'ENERO-JUNIO 2025'!G323</f>
        <v>0</v>
      </c>
      <c r="H322" s="123">
        <f>+SEPTIEMBRE!H323+'AGOSTO '!H323+JULIO!H322+'OCTUBRE '!H323+'ENERO-JUNIO 2025'!H323</f>
        <v>0</v>
      </c>
      <c r="I322" s="123">
        <f t="shared" si="4"/>
        <v>0</v>
      </c>
      <c r="J322" s="65">
        <v>0</v>
      </c>
    </row>
    <row r="323" spans="1:10" x14ac:dyDescent="0.2">
      <c r="A323" s="72">
        <v>2</v>
      </c>
      <c r="B323" s="58">
        <v>3</v>
      </c>
      <c r="C323" s="58">
        <v>9</v>
      </c>
      <c r="D323" s="58">
        <v>8</v>
      </c>
      <c r="E323" s="58"/>
      <c r="F323" s="82" t="s">
        <v>276</v>
      </c>
      <c r="G323" s="122">
        <f>+SEPTIEMBRE!G324+'AGOSTO '!G324+JULIO!G323+'OCTUBRE '!G324+'ENERO-JUNIO 2025'!G324</f>
        <v>2740511.19</v>
      </c>
      <c r="H323" s="122">
        <f>+SEPTIEMBRE!H324+'AGOSTO '!H324+JULIO!H323+'OCTUBRE '!H324+'ENERO-JUNIO 2025'!H324</f>
        <v>267901</v>
      </c>
      <c r="I323" s="122">
        <f t="shared" si="4"/>
        <v>3008412.19</v>
      </c>
      <c r="J323" s="60"/>
    </row>
    <row r="324" spans="1:10" x14ac:dyDescent="0.2">
      <c r="A324" s="74">
        <v>2</v>
      </c>
      <c r="B324" s="62">
        <v>3</v>
      </c>
      <c r="C324" s="62">
        <v>9</v>
      </c>
      <c r="D324" s="62">
        <v>8</v>
      </c>
      <c r="E324" s="63" t="s">
        <v>35</v>
      </c>
      <c r="F324" s="81" t="s">
        <v>277</v>
      </c>
      <c r="G324" s="123">
        <f>+SEPTIEMBRE!G325+'AGOSTO '!G325+JULIO!G324+'OCTUBRE '!G325+'ENERO-JUNIO 2025'!G325</f>
        <v>961762.16</v>
      </c>
      <c r="H324" s="123">
        <f>+SEPTIEMBRE!H325+'AGOSTO '!H325+JULIO!H324+'OCTUBRE '!H325+'ENERO-JUNIO 2025'!H325</f>
        <v>149740</v>
      </c>
      <c r="I324" s="123">
        <f t="shared" si="4"/>
        <v>1111502.1600000001</v>
      </c>
      <c r="J324" s="65">
        <v>8.0213854983060481E-3</v>
      </c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37</v>
      </c>
      <c r="F325" s="81" t="s">
        <v>278</v>
      </c>
      <c r="G325" s="123">
        <f>+SEPTIEMBRE!G326+'AGOSTO '!G326+JULIO!G325+'OCTUBRE '!G326+'ENERO-JUNIO 2025'!G326</f>
        <v>1778749.03</v>
      </c>
      <c r="H325" s="123">
        <f>+SEPTIEMBRE!H326+'AGOSTO '!H326+JULIO!H325+'OCTUBRE '!H326+'ENERO-JUNIO 2025'!H326</f>
        <v>118161</v>
      </c>
      <c r="I325" s="123">
        <f t="shared" si="4"/>
        <v>1896910.03</v>
      </c>
      <c r="J325" s="65">
        <v>9.5348889946933176E-4</v>
      </c>
    </row>
    <row r="326" spans="1:10" x14ac:dyDescent="0.2">
      <c r="A326" s="72">
        <v>2</v>
      </c>
      <c r="B326" s="58">
        <v>3</v>
      </c>
      <c r="C326" s="58">
        <v>9</v>
      </c>
      <c r="D326" s="58">
        <v>9</v>
      </c>
      <c r="E326" s="58"/>
      <c r="F326" s="82" t="s">
        <v>279</v>
      </c>
      <c r="G326" s="122">
        <f>+SEPTIEMBRE!G327+'AGOSTO '!G327+JULIO!G326+'OCTUBRE '!G327+'ENERO-JUNIO 2025'!G327</f>
        <v>328392.02</v>
      </c>
      <c r="H326" s="122">
        <f>+SEPTIEMBRE!H327+'AGOSTO '!H327+JULIO!H326+'OCTUBRE '!H327+'ENERO-JUNIO 2025'!H327</f>
        <v>779163.38000000012</v>
      </c>
      <c r="I326" s="122">
        <f t="shared" si="4"/>
        <v>1107555.4000000001</v>
      </c>
      <c r="J326" s="60"/>
    </row>
    <row r="327" spans="1:10" x14ac:dyDescent="0.2">
      <c r="A327" s="74">
        <v>2</v>
      </c>
      <c r="B327" s="62">
        <v>3</v>
      </c>
      <c r="C327" s="62">
        <v>9</v>
      </c>
      <c r="D327" s="62">
        <v>9</v>
      </c>
      <c r="E327" s="63" t="s">
        <v>35</v>
      </c>
      <c r="F327" s="81" t="s">
        <v>279</v>
      </c>
      <c r="G327" s="123">
        <f>+SEPTIEMBRE!G328+'AGOSTO '!G328+JULIO!G327+'OCTUBRE '!G328+'ENERO-JUNIO 2025'!G328</f>
        <v>17742.71</v>
      </c>
      <c r="H327" s="123">
        <f>+SEPTIEMBRE!H328+'AGOSTO '!H328+JULIO!H327+'OCTUBRE '!H328+'ENERO-JUNIO 2025'!H328</f>
        <v>645582.89000000013</v>
      </c>
      <c r="I327" s="123">
        <f t="shared" si="4"/>
        <v>663325.60000000009</v>
      </c>
      <c r="J327" s="65">
        <v>9.147650647220798E-4</v>
      </c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41</v>
      </c>
      <c r="F328" s="81" t="s">
        <v>280</v>
      </c>
      <c r="G328" s="123">
        <f>+SEPTIEMBRE!G329+'AGOSTO '!G329+JULIO!G328+'OCTUBRE '!G329+'ENERO-JUNIO 2025'!G329</f>
        <v>310649.31</v>
      </c>
      <c r="H328" s="123">
        <f>+SEPTIEMBRE!H329+'AGOSTO '!H329+JULIO!H328+'OCTUBRE '!H329+'ENERO-JUNIO 2025'!H329</f>
        <v>133580.49</v>
      </c>
      <c r="I328" s="123">
        <f t="shared" si="4"/>
        <v>444229.8</v>
      </c>
      <c r="J328" s="65">
        <v>1.6664542452715348E-3</v>
      </c>
    </row>
    <row r="329" spans="1:10" x14ac:dyDescent="0.2">
      <c r="A329" s="70">
        <v>2</v>
      </c>
      <c r="B329" s="55">
        <v>4</v>
      </c>
      <c r="C329" s="55">
        <v>1</v>
      </c>
      <c r="D329" s="55">
        <v>2</v>
      </c>
      <c r="E329" s="55"/>
      <c r="F329" s="85" t="s">
        <v>281</v>
      </c>
      <c r="G329" s="121">
        <f>+SEPTIEMBRE!G330+'AGOSTO '!G330+JULIO!G329+'OCTUBRE '!G330+'ENERO-JUNIO 2025'!G330</f>
        <v>0</v>
      </c>
      <c r="H329" s="121">
        <f>+SEPTIEMBRE!H330+'AGOSTO '!H330+JULIO!H329+'OCTUBRE '!H330+'ENERO-JUNIO 2025'!H330</f>
        <v>1634538.7</v>
      </c>
      <c r="I329" s="121">
        <f t="shared" si="4"/>
        <v>1634538.7</v>
      </c>
      <c r="J329" s="53">
        <v>5.6522518160476349E-4</v>
      </c>
    </row>
    <row r="330" spans="1:10" ht="25.5" x14ac:dyDescent="0.2">
      <c r="A330" s="74">
        <v>2</v>
      </c>
      <c r="B330" s="62">
        <v>4</v>
      </c>
      <c r="C330" s="62">
        <v>1</v>
      </c>
      <c r="D330" s="62">
        <v>2</v>
      </c>
      <c r="E330" s="63" t="s">
        <v>35</v>
      </c>
      <c r="F330" s="81" t="s">
        <v>282</v>
      </c>
      <c r="G330" s="123">
        <f>+SEPTIEMBRE!G331+'AGOSTO '!G331+JULIO!G330+'OCTUBRE '!G331+'ENERO-JUNIO 2025'!G331</f>
        <v>0</v>
      </c>
      <c r="H330" s="123">
        <f>+SEPTIEMBRE!H331+'AGOSTO '!H331+JULIO!H330+'OCTUBRE '!H331+'ENERO-JUNIO 2025'!H331</f>
        <v>350986</v>
      </c>
      <c r="I330" s="123">
        <f t="shared" si="4"/>
        <v>350986</v>
      </c>
      <c r="J330" s="65">
        <v>2.5405061328851537E-4</v>
      </c>
    </row>
    <row r="331" spans="1:10" ht="25.5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37</v>
      </c>
      <c r="F331" s="81" t="s">
        <v>283</v>
      </c>
      <c r="G331" s="123">
        <f>+SEPTIEMBRE!G332+'AGOSTO '!G332+JULIO!G331+'OCTUBRE '!G332+'ENERO-JUNIO 2025'!G332</f>
        <v>0</v>
      </c>
      <c r="H331" s="123">
        <f>+SEPTIEMBRE!H332+'AGOSTO '!H332+JULIO!H331+'OCTUBRE '!H332+'ENERO-JUNIO 2025'!H332</f>
        <v>1283552.7</v>
      </c>
      <c r="I331" s="123">
        <f t="shared" si="4"/>
        <v>1283552.7</v>
      </c>
      <c r="J331" s="65">
        <v>3.1117456831624812E-4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39</v>
      </c>
      <c r="F332" s="81" t="s">
        <v>284</v>
      </c>
      <c r="G332" s="123">
        <f>+SEPTIEMBRE!G333+'AGOSTO '!G333+JULIO!G332+'OCTUBRE '!G333+'ENERO-JUNIO 2025'!G333</f>
        <v>0</v>
      </c>
      <c r="H332" s="123">
        <f>+SEPTIEMBRE!H333+'AGOSTO '!H333+JULIO!H332+'OCTUBRE '!H333+'ENERO-JUNIO 2025'!H333</f>
        <v>0</v>
      </c>
      <c r="I332" s="123">
        <f t="shared" si="4"/>
        <v>0</v>
      </c>
      <c r="J332" s="65"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41</v>
      </c>
      <c r="F333" s="81" t="s">
        <v>285</v>
      </c>
      <c r="G333" s="123">
        <f>+SEPTIEMBRE!G334+'AGOSTO '!G334+JULIO!G333+'OCTUBRE '!G334+'ENERO-JUNIO 2025'!G334</f>
        <v>0</v>
      </c>
      <c r="H333" s="123">
        <f>+SEPTIEMBRE!H334+'AGOSTO '!H334+JULIO!H333+'OCTUBRE '!H334+'ENERO-JUNIO 2025'!H334</f>
        <v>0</v>
      </c>
      <c r="I333" s="123">
        <f t="shared" si="4"/>
        <v>0</v>
      </c>
      <c r="J333" s="65"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43</v>
      </c>
      <c r="F334" s="81" t="s">
        <v>286</v>
      </c>
      <c r="G334" s="123">
        <f>+SEPTIEMBRE!G335+'AGOSTO '!G335+JULIO!G334+'OCTUBRE '!G335+'ENERO-JUNIO 2025'!G335</f>
        <v>0</v>
      </c>
      <c r="H334" s="123">
        <f>+SEPTIEMBRE!H335+'AGOSTO '!H335+JULIO!H334+'OCTUBRE '!H335+'ENERO-JUNIO 2025'!H335</f>
        <v>0</v>
      </c>
      <c r="I334" s="123">
        <f t="shared" si="4"/>
        <v>0</v>
      </c>
      <c r="J334" s="65">
        <v>0</v>
      </c>
    </row>
    <row r="335" spans="1:10" x14ac:dyDescent="0.2">
      <c r="A335" s="70">
        <v>2</v>
      </c>
      <c r="B335" s="55">
        <v>6</v>
      </c>
      <c r="C335" s="55"/>
      <c r="D335" s="55"/>
      <c r="E335" s="55"/>
      <c r="F335" s="85" t="s">
        <v>287</v>
      </c>
      <c r="G335" s="121">
        <f>+SEPTIEMBRE!G336+'AGOSTO '!G336+JULIO!G335+'OCTUBRE '!G336+'ENERO-JUNIO 2025'!G336</f>
        <v>60930995.279999994</v>
      </c>
      <c r="H335" s="121">
        <f>+SEPTIEMBRE!H336+'AGOSTO '!H336+JULIO!H335+'OCTUBRE '!H336+'ENERO-JUNIO 2025'!H336</f>
        <v>16141135.149999999</v>
      </c>
      <c r="I335" s="121">
        <f t="shared" si="4"/>
        <v>77072130.429999992</v>
      </c>
      <c r="J335" s="53">
        <v>8.3910336409612055E-2</v>
      </c>
    </row>
    <row r="336" spans="1:10" x14ac:dyDescent="0.2">
      <c r="A336" s="54">
        <v>2</v>
      </c>
      <c r="B336" s="55">
        <v>6</v>
      </c>
      <c r="C336" s="55">
        <v>1</v>
      </c>
      <c r="D336" s="55"/>
      <c r="E336" s="55"/>
      <c r="F336" s="85" t="s">
        <v>288</v>
      </c>
      <c r="G336" s="121">
        <f>+SEPTIEMBRE!G337+'AGOSTO '!G337+JULIO!G336+'OCTUBRE '!G337+'ENERO-JUNIO 2025'!G337</f>
        <v>11931242.440000001</v>
      </c>
      <c r="H336" s="121">
        <f>+SEPTIEMBRE!H337+'AGOSTO '!H337+JULIO!H336+'OCTUBRE '!H337+'ENERO-JUNIO 2025'!H337</f>
        <v>2945979.2199999997</v>
      </c>
      <c r="I336" s="121">
        <f t="shared" si="4"/>
        <v>14877221.66</v>
      </c>
      <c r="J336" s="53"/>
    </row>
    <row r="337" spans="1:10" x14ac:dyDescent="0.2">
      <c r="A337" s="57">
        <v>2</v>
      </c>
      <c r="B337" s="58">
        <v>6</v>
      </c>
      <c r="C337" s="58">
        <v>1</v>
      </c>
      <c r="D337" s="58">
        <v>1</v>
      </c>
      <c r="E337" s="58"/>
      <c r="F337" s="86" t="s">
        <v>289</v>
      </c>
      <c r="G337" s="122">
        <f>+SEPTIEMBRE!G338+'AGOSTO '!G338+JULIO!G337+'OCTUBRE '!G338+'ENERO-JUNIO 2025'!G338</f>
        <v>6058058.0300000003</v>
      </c>
      <c r="H337" s="122">
        <f>+SEPTIEMBRE!H338+'AGOSTO '!H338+JULIO!H337+'OCTUBRE '!H338+'ENERO-JUNIO 2025'!H338</f>
        <v>669727.62</v>
      </c>
      <c r="I337" s="122">
        <f t="shared" si="4"/>
        <v>6727785.6500000004</v>
      </c>
      <c r="J337" s="60"/>
    </row>
    <row r="338" spans="1:10" x14ac:dyDescent="0.2">
      <c r="A338" s="61">
        <v>2</v>
      </c>
      <c r="B338" s="62">
        <v>6</v>
      </c>
      <c r="C338" s="62">
        <v>1</v>
      </c>
      <c r="D338" s="62">
        <v>1</v>
      </c>
      <c r="E338" s="63" t="s">
        <v>35</v>
      </c>
      <c r="F338" s="69" t="s">
        <v>289</v>
      </c>
      <c r="G338" s="123">
        <f>+SEPTIEMBRE!G339+'AGOSTO '!G339+JULIO!G338+'OCTUBRE '!G339+'ENERO-JUNIO 2025'!G339</f>
        <v>6058058.0300000003</v>
      </c>
      <c r="H338" s="123">
        <f>+SEPTIEMBRE!H339+'AGOSTO '!H339+JULIO!H338+'OCTUBRE '!H339+'ENERO-JUNIO 2025'!H339</f>
        <v>669727.62</v>
      </c>
      <c r="I338" s="123">
        <f t="shared" si="4"/>
        <v>6727785.6500000004</v>
      </c>
      <c r="J338" s="65">
        <v>4.7382124070729052E-3</v>
      </c>
    </row>
    <row r="339" spans="1:10" ht="25.5" x14ac:dyDescent="0.2">
      <c r="A339" s="57">
        <v>2</v>
      </c>
      <c r="B339" s="58">
        <v>6</v>
      </c>
      <c r="C339" s="58">
        <v>1</v>
      </c>
      <c r="D339" s="58">
        <v>2</v>
      </c>
      <c r="E339" s="58"/>
      <c r="F339" s="86" t="s">
        <v>290</v>
      </c>
      <c r="G339" s="122">
        <f>+SEPTIEMBRE!G340+'AGOSTO '!G340+JULIO!G339+'OCTUBRE '!G340+'ENERO-JUNIO 2025'!G340</f>
        <v>127620.76</v>
      </c>
      <c r="H339" s="122">
        <f>+SEPTIEMBRE!H340+'AGOSTO '!H340+JULIO!H339+'OCTUBRE '!H340+'ENERO-JUNIO 2025'!H340</f>
        <v>7995.01</v>
      </c>
      <c r="I339" s="122">
        <f t="shared" si="4"/>
        <v>135615.76999999999</v>
      </c>
      <c r="J339" s="60"/>
    </row>
    <row r="340" spans="1:10" ht="25.5" x14ac:dyDescent="0.2">
      <c r="A340" s="61">
        <v>2</v>
      </c>
      <c r="B340" s="62">
        <v>6</v>
      </c>
      <c r="C340" s="62">
        <v>1</v>
      </c>
      <c r="D340" s="62">
        <v>2</v>
      </c>
      <c r="E340" s="63" t="s">
        <v>35</v>
      </c>
      <c r="F340" s="69" t="s">
        <v>290</v>
      </c>
      <c r="G340" s="123">
        <f>+SEPTIEMBRE!G341+'AGOSTO '!G341+JULIO!G340+'OCTUBRE '!G341+'ENERO-JUNIO 2025'!G341</f>
        <v>127620.76</v>
      </c>
      <c r="H340" s="123">
        <f>+SEPTIEMBRE!H341+'AGOSTO '!H341+JULIO!H340+'OCTUBRE '!H341+'ENERO-JUNIO 2025'!H341</f>
        <v>7995.01</v>
      </c>
      <c r="I340" s="123">
        <f t="shared" si="4"/>
        <v>135615.76999999999</v>
      </c>
      <c r="J340" s="65">
        <v>0</v>
      </c>
    </row>
    <row r="341" spans="1:10" ht="25.5" x14ac:dyDescent="0.2">
      <c r="A341" s="57">
        <v>2</v>
      </c>
      <c r="B341" s="58">
        <v>6</v>
      </c>
      <c r="C341" s="58">
        <v>1</v>
      </c>
      <c r="D341" s="58">
        <v>3</v>
      </c>
      <c r="E341" s="58"/>
      <c r="F341" s="86" t="s">
        <v>291</v>
      </c>
      <c r="G341" s="122">
        <f>+SEPTIEMBRE!G342+'AGOSTO '!G342+JULIO!G341+'OCTUBRE '!G342+'ENERO-JUNIO 2025'!G342</f>
        <v>2779312.73</v>
      </c>
      <c r="H341" s="122">
        <f>+SEPTIEMBRE!H342+'AGOSTO '!H342+JULIO!H341+'OCTUBRE '!H342+'ENERO-JUNIO 2025'!H342</f>
        <v>1819265</v>
      </c>
      <c r="I341" s="122">
        <f t="shared" si="4"/>
        <v>4598577.7300000004</v>
      </c>
      <c r="J341" s="60"/>
    </row>
    <row r="342" spans="1:10" ht="25.5" x14ac:dyDescent="0.2">
      <c r="A342" s="61">
        <v>2</v>
      </c>
      <c r="B342" s="62">
        <v>6</v>
      </c>
      <c r="C342" s="62">
        <v>1</v>
      </c>
      <c r="D342" s="62">
        <v>3</v>
      </c>
      <c r="E342" s="63" t="s">
        <v>35</v>
      </c>
      <c r="F342" s="69" t="s">
        <v>291</v>
      </c>
      <c r="G342" s="123">
        <f>+SEPTIEMBRE!G343+'AGOSTO '!G343+JULIO!G342+'OCTUBRE '!G343+'ENERO-JUNIO 2025'!G343</f>
        <v>2779312.73</v>
      </c>
      <c r="H342" s="123">
        <f>+SEPTIEMBRE!H343+'AGOSTO '!H343+JULIO!H342+'OCTUBRE '!H343+'ENERO-JUNIO 2025'!H343</f>
        <v>1819265</v>
      </c>
      <c r="I342" s="123">
        <f t="shared" si="4"/>
        <v>4598577.7300000004</v>
      </c>
      <c r="J342" s="65">
        <v>0</v>
      </c>
    </row>
    <row r="343" spans="1:10" x14ac:dyDescent="0.2">
      <c r="A343" s="57">
        <v>2</v>
      </c>
      <c r="B343" s="58">
        <v>6</v>
      </c>
      <c r="C343" s="58">
        <v>1</v>
      </c>
      <c r="D343" s="58">
        <v>4</v>
      </c>
      <c r="E343" s="58"/>
      <c r="F343" s="86" t="s">
        <v>292</v>
      </c>
      <c r="G343" s="122">
        <f>+SEPTIEMBRE!G344+'AGOSTO '!G344+JULIO!G343+'OCTUBRE '!G344+'ENERO-JUNIO 2025'!G344</f>
        <v>1361442.61</v>
      </c>
      <c r="H343" s="122">
        <f>+SEPTIEMBRE!H344+'AGOSTO '!H344+JULIO!H343+'OCTUBRE '!H344+'ENERO-JUNIO 2025'!H344</f>
        <v>211691.6</v>
      </c>
      <c r="I343" s="122">
        <f t="shared" si="4"/>
        <v>1573134.2100000002</v>
      </c>
      <c r="J343" s="60"/>
    </row>
    <row r="344" spans="1:10" x14ac:dyDescent="0.2">
      <c r="A344" s="61">
        <v>2</v>
      </c>
      <c r="B344" s="62">
        <v>6</v>
      </c>
      <c r="C344" s="62">
        <v>1</v>
      </c>
      <c r="D344" s="62">
        <v>4</v>
      </c>
      <c r="E344" s="63" t="s">
        <v>35</v>
      </c>
      <c r="F344" s="69" t="s">
        <v>292</v>
      </c>
      <c r="G344" s="123">
        <f>+SEPTIEMBRE!G345+'AGOSTO '!G345+JULIO!G344+'OCTUBRE '!G345+'ENERO-JUNIO 2025'!G345</f>
        <v>1361442.61</v>
      </c>
      <c r="H344" s="123">
        <f>+SEPTIEMBRE!H345+'AGOSTO '!H345+JULIO!H344+'OCTUBRE '!H345+'ENERO-JUNIO 2025'!H345</f>
        <v>211691.6</v>
      </c>
      <c r="I344" s="123">
        <f t="shared" si="4"/>
        <v>1573134.2100000002</v>
      </c>
      <c r="J344" s="65">
        <v>2.855111484466166E-3</v>
      </c>
    </row>
    <row r="345" spans="1:10" ht="25.5" x14ac:dyDescent="0.2">
      <c r="A345" s="57">
        <v>2</v>
      </c>
      <c r="B345" s="58">
        <v>6</v>
      </c>
      <c r="C345" s="58">
        <v>1</v>
      </c>
      <c r="D345" s="58">
        <v>9</v>
      </c>
      <c r="E345" s="58"/>
      <c r="F345" s="86" t="s">
        <v>293</v>
      </c>
      <c r="G345" s="122">
        <f>+SEPTIEMBRE!G346+'AGOSTO '!G346+JULIO!G345+'OCTUBRE '!G346+'ENERO-JUNIO 2025'!G346</f>
        <v>1604808.3099999998</v>
      </c>
      <c r="H345" s="122">
        <f>+SEPTIEMBRE!H346+'AGOSTO '!H346+JULIO!H345+'OCTUBRE '!H346+'ENERO-JUNIO 2025'!H346</f>
        <v>237299.99</v>
      </c>
      <c r="I345" s="122">
        <f t="shared" ref="I345:I408" si="5">+G345+H345</f>
        <v>1842108.2999999998</v>
      </c>
      <c r="J345" s="60"/>
    </row>
    <row r="346" spans="1:10" ht="25.5" x14ac:dyDescent="0.2">
      <c r="A346" s="61">
        <v>2</v>
      </c>
      <c r="B346" s="62">
        <v>6</v>
      </c>
      <c r="C346" s="62">
        <v>1</v>
      </c>
      <c r="D346" s="62">
        <v>9</v>
      </c>
      <c r="E346" s="63" t="s">
        <v>35</v>
      </c>
      <c r="F346" s="69" t="s">
        <v>293</v>
      </c>
      <c r="G346" s="123">
        <f>+SEPTIEMBRE!G347+'AGOSTO '!G347+JULIO!G346+'OCTUBRE '!G347+'ENERO-JUNIO 2025'!G347</f>
        <v>1604808.3099999998</v>
      </c>
      <c r="H346" s="123">
        <f>+SEPTIEMBRE!H347+'AGOSTO '!H347+JULIO!H346+'OCTUBRE '!H347+'ENERO-JUNIO 2025'!H347</f>
        <v>237299.99</v>
      </c>
      <c r="I346" s="123">
        <f t="shared" si="5"/>
        <v>1842108.2999999998</v>
      </c>
      <c r="J346" s="65">
        <v>1.1385852025371956E-2</v>
      </c>
    </row>
    <row r="347" spans="1:10" ht="25.5" x14ac:dyDescent="0.2">
      <c r="A347" s="87">
        <v>2</v>
      </c>
      <c r="B347" s="87">
        <v>6</v>
      </c>
      <c r="C347" s="87">
        <v>2</v>
      </c>
      <c r="D347" s="87"/>
      <c r="E347" s="87"/>
      <c r="F347" s="118" t="s">
        <v>294</v>
      </c>
      <c r="G347" s="128">
        <f>+SEPTIEMBRE!G348+'AGOSTO '!G348+JULIO!G347+'OCTUBRE '!G348+'ENERO-JUNIO 2025'!G348</f>
        <v>182926.74</v>
      </c>
      <c r="H347" s="128">
        <f>+SEPTIEMBRE!H348+'AGOSTO '!H348+JULIO!H347+'OCTUBRE '!H348+'ENERO-JUNIO 2025'!H348</f>
        <v>1788880</v>
      </c>
      <c r="I347" s="128">
        <f t="shared" si="5"/>
        <v>1971806.74</v>
      </c>
      <c r="J347" s="53"/>
    </row>
    <row r="348" spans="1:10" x14ac:dyDescent="0.2">
      <c r="A348" s="72">
        <v>2</v>
      </c>
      <c r="B348" s="58">
        <v>6</v>
      </c>
      <c r="C348" s="58">
        <v>2</v>
      </c>
      <c r="D348" s="58">
        <v>1</v>
      </c>
      <c r="E348" s="77"/>
      <c r="F348" s="86" t="s">
        <v>295</v>
      </c>
      <c r="G348" s="122">
        <f>+SEPTIEMBRE!G349+'AGOSTO '!G349+JULIO!G348+'OCTUBRE '!G349+'ENERO-JUNIO 2025'!G349</f>
        <v>47202.36</v>
      </c>
      <c r="H348" s="122">
        <f>+SEPTIEMBRE!H349+'AGOSTO '!H349+JULIO!H348+'OCTUBRE '!H349+'ENERO-JUNIO 2025'!H349</f>
        <v>1399834</v>
      </c>
      <c r="I348" s="122">
        <f t="shared" si="5"/>
        <v>1447036.36</v>
      </c>
      <c r="J348" s="60"/>
    </row>
    <row r="349" spans="1:10" x14ac:dyDescent="0.2">
      <c r="A349" s="74">
        <v>2</v>
      </c>
      <c r="B349" s="62">
        <v>6</v>
      </c>
      <c r="C349" s="62">
        <v>2</v>
      </c>
      <c r="D349" s="62">
        <v>1</v>
      </c>
      <c r="E349" s="63" t="s">
        <v>35</v>
      </c>
      <c r="F349" s="69" t="s">
        <v>295</v>
      </c>
      <c r="G349" s="123">
        <f>+SEPTIEMBRE!G350+'AGOSTO '!G350+JULIO!G349+'OCTUBRE '!G350+'ENERO-JUNIO 2025'!G350</f>
        <v>47202.36</v>
      </c>
      <c r="H349" s="123">
        <f>+SEPTIEMBRE!H350+'AGOSTO '!H350+JULIO!H349+'OCTUBRE '!H350+'ENERO-JUNIO 2025'!H350</f>
        <v>1399834</v>
      </c>
      <c r="I349" s="123">
        <f t="shared" si="5"/>
        <v>1447036.36</v>
      </c>
      <c r="J349" s="65">
        <v>0</v>
      </c>
    </row>
    <row r="350" spans="1:10" x14ac:dyDescent="0.2">
      <c r="A350" s="72">
        <v>2</v>
      </c>
      <c r="B350" s="58">
        <v>6</v>
      </c>
      <c r="C350" s="58">
        <v>2</v>
      </c>
      <c r="D350" s="58">
        <v>2</v>
      </c>
      <c r="E350" s="77"/>
      <c r="F350" s="86" t="s">
        <v>296</v>
      </c>
      <c r="G350" s="122">
        <f>+SEPTIEMBRE!G351+'AGOSTO '!G351+JULIO!G350+'OCTUBRE '!G351+'ENERO-JUNIO 2025'!G351</f>
        <v>0</v>
      </c>
      <c r="H350" s="122">
        <f>+SEPTIEMBRE!H351+'AGOSTO '!H351+JULIO!H350+'OCTUBRE '!H351+'ENERO-JUNIO 2025'!H351</f>
        <v>0</v>
      </c>
      <c r="I350" s="122">
        <f t="shared" si="5"/>
        <v>0</v>
      </c>
      <c r="J350" s="60"/>
    </row>
    <row r="351" spans="1:10" x14ac:dyDescent="0.2">
      <c r="A351" s="74">
        <v>2</v>
      </c>
      <c r="B351" s="62">
        <v>6</v>
      </c>
      <c r="C351" s="62">
        <v>2</v>
      </c>
      <c r="D351" s="62">
        <v>2</v>
      </c>
      <c r="E351" s="63" t="s">
        <v>35</v>
      </c>
      <c r="F351" s="69" t="s">
        <v>296</v>
      </c>
      <c r="G351" s="123">
        <f>+SEPTIEMBRE!G352+'AGOSTO '!G352+JULIO!G351+'OCTUBRE '!G352+'ENERO-JUNIO 2025'!G352</f>
        <v>0</v>
      </c>
      <c r="H351" s="123">
        <f>+SEPTIEMBRE!H352+'AGOSTO '!H352+JULIO!H351+'OCTUBRE '!H352+'ENERO-JUNIO 2025'!H352</f>
        <v>0</v>
      </c>
      <c r="I351" s="123">
        <f t="shared" si="5"/>
        <v>0</v>
      </c>
      <c r="J351" s="65">
        <v>0</v>
      </c>
    </row>
    <row r="352" spans="1:10" x14ac:dyDescent="0.2">
      <c r="A352" s="72">
        <v>2</v>
      </c>
      <c r="B352" s="58">
        <v>6</v>
      </c>
      <c r="C352" s="58">
        <v>2</v>
      </c>
      <c r="D352" s="58">
        <v>3</v>
      </c>
      <c r="E352" s="77"/>
      <c r="F352" s="86" t="s">
        <v>297</v>
      </c>
      <c r="G352" s="122">
        <f>+SEPTIEMBRE!G353+'AGOSTO '!G353+JULIO!G352+'OCTUBRE '!G353+'ENERO-JUNIO 2025'!G353</f>
        <v>0</v>
      </c>
      <c r="H352" s="122">
        <f>+SEPTIEMBRE!H353+'AGOSTO '!H353+JULIO!H352+'OCTUBRE '!H353+'ENERO-JUNIO 2025'!H353</f>
        <v>389046</v>
      </c>
      <c r="I352" s="122">
        <f t="shared" si="5"/>
        <v>389046</v>
      </c>
      <c r="J352" s="60"/>
    </row>
    <row r="353" spans="1:10" x14ac:dyDescent="0.2">
      <c r="A353" s="74">
        <v>2</v>
      </c>
      <c r="B353" s="62">
        <v>6</v>
      </c>
      <c r="C353" s="62">
        <v>2</v>
      </c>
      <c r="D353" s="62">
        <v>3</v>
      </c>
      <c r="E353" s="63" t="s">
        <v>35</v>
      </c>
      <c r="F353" s="69" t="s">
        <v>297</v>
      </c>
      <c r="G353" s="123">
        <f>+SEPTIEMBRE!G354+'AGOSTO '!G354+JULIO!G353+'OCTUBRE '!G354+'ENERO-JUNIO 2025'!G354</f>
        <v>0</v>
      </c>
      <c r="H353" s="123">
        <f>+SEPTIEMBRE!H354+'AGOSTO '!H354+JULIO!H353+'OCTUBRE '!H354+'ENERO-JUNIO 2025'!H354</f>
        <v>389046</v>
      </c>
      <c r="I353" s="123">
        <f t="shared" si="5"/>
        <v>389046</v>
      </c>
      <c r="J353" s="65">
        <v>3.2543339006764265E-3</v>
      </c>
    </row>
    <row r="354" spans="1:10" x14ac:dyDescent="0.2">
      <c r="A354" s="72">
        <v>2</v>
      </c>
      <c r="B354" s="58">
        <v>6</v>
      </c>
      <c r="C354" s="58">
        <v>2</v>
      </c>
      <c r="D354" s="58">
        <v>4</v>
      </c>
      <c r="E354" s="77"/>
      <c r="F354" s="86" t="s">
        <v>298</v>
      </c>
      <c r="G354" s="122">
        <f>+SEPTIEMBRE!G355+'AGOSTO '!G355+JULIO!G354+'OCTUBRE '!G355+'ENERO-JUNIO 2025'!G355</f>
        <v>135724.38</v>
      </c>
      <c r="H354" s="122">
        <f>+SEPTIEMBRE!H355+'AGOSTO '!H355+JULIO!H354+'OCTUBRE '!H355+'ENERO-JUNIO 2025'!H355</f>
        <v>0</v>
      </c>
      <c r="I354" s="122">
        <f t="shared" si="5"/>
        <v>135724.38</v>
      </c>
      <c r="J354" s="60"/>
    </row>
    <row r="355" spans="1:10" x14ac:dyDescent="0.2">
      <c r="A355" s="74">
        <v>2</v>
      </c>
      <c r="B355" s="62">
        <v>6</v>
      </c>
      <c r="C355" s="62">
        <v>2</v>
      </c>
      <c r="D355" s="62">
        <v>4</v>
      </c>
      <c r="E355" s="63" t="s">
        <v>35</v>
      </c>
      <c r="F355" s="69" t="s">
        <v>298</v>
      </c>
      <c r="G355" s="123">
        <f>+SEPTIEMBRE!G356+'AGOSTO '!G356+JULIO!G355+'OCTUBRE '!G356+'ENERO-JUNIO 2025'!G356</f>
        <v>135724.38</v>
      </c>
      <c r="H355" s="123">
        <f>+SEPTIEMBRE!H356+'AGOSTO '!H356+JULIO!H355+'OCTUBRE '!H356+'ENERO-JUNIO 2025'!H356</f>
        <v>0</v>
      </c>
      <c r="I355" s="123">
        <f t="shared" si="5"/>
        <v>135724.38</v>
      </c>
      <c r="J355" s="65">
        <v>0</v>
      </c>
    </row>
    <row r="356" spans="1:10" x14ac:dyDescent="0.2">
      <c r="A356" s="87">
        <v>2</v>
      </c>
      <c r="B356" s="87">
        <v>6</v>
      </c>
      <c r="C356" s="87">
        <v>3</v>
      </c>
      <c r="D356" s="87"/>
      <c r="E356" s="87"/>
      <c r="F356" s="118" t="s">
        <v>299</v>
      </c>
      <c r="G356" s="128">
        <f>+SEPTIEMBRE!G357+'AGOSTO '!G357+JULIO!G356+'OCTUBRE '!G357+'ENERO-JUNIO 2025'!G357</f>
        <v>34213720.769999996</v>
      </c>
      <c r="H356" s="128">
        <f>+SEPTIEMBRE!H357+'AGOSTO '!H357+JULIO!H356+'OCTUBRE '!H357+'ENERO-JUNIO 2025'!H357</f>
        <v>8761342.540000001</v>
      </c>
      <c r="I356" s="128">
        <f t="shared" si="5"/>
        <v>42975063.309999995</v>
      </c>
      <c r="J356" s="53"/>
    </row>
    <row r="357" spans="1:10" x14ac:dyDescent="0.2">
      <c r="A357" s="72">
        <v>2</v>
      </c>
      <c r="B357" s="58">
        <v>6</v>
      </c>
      <c r="C357" s="58">
        <v>3</v>
      </c>
      <c r="D357" s="58">
        <v>1</v>
      </c>
      <c r="E357" s="77"/>
      <c r="F357" s="86" t="s">
        <v>300</v>
      </c>
      <c r="G357" s="122">
        <f>+SEPTIEMBRE!G358+'AGOSTO '!G358+JULIO!G357+'OCTUBRE '!G358+'ENERO-JUNIO 2025'!G358</f>
        <v>27622868.809999999</v>
      </c>
      <c r="H357" s="122">
        <f>+SEPTIEMBRE!H358+'AGOSTO '!H358+JULIO!H357+'OCTUBRE '!H358+'ENERO-JUNIO 2025'!H358</f>
        <v>2644258.46</v>
      </c>
      <c r="I357" s="122">
        <f t="shared" si="5"/>
        <v>30267127.27</v>
      </c>
      <c r="J357" s="60"/>
    </row>
    <row r="358" spans="1:10" x14ac:dyDescent="0.2">
      <c r="A358" s="74">
        <v>2</v>
      </c>
      <c r="B358" s="62">
        <v>6</v>
      </c>
      <c r="C358" s="62">
        <v>3</v>
      </c>
      <c r="D358" s="62">
        <v>1</v>
      </c>
      <c r="E358" s="63" t="s">
        <v>35</v>
      </c>
      <c r="F358" s="69" t="s">
        <v>300</v>
      </c>
      <c r="G358" s="123">
        <f>+SEPTIEMBRE!G359+'AGOSTO '!G359+JULIO!G358+'OCTUBRE '!G359+'ENERO-JUNIO 2025'!G359</f>
        <v>27622868.809999999</v>
      </c>
      <c r="H358" s="123">
        <f>+SEPTIEMBRE!H359+'AGOSTO '!H359+JULIO!H358+'OCTUBRE '!H359+'ENERO-JUNIO 2025'!H359</f>
        <v>2644258.46</v>
      </c>
      <c r="I358" s="123">
        <f t="shared" si="5"/>
        <v>30267127.27</v>
      </c>
      <c r="J358" s="65">
        <v>3.7413380101458955E-2</v>
      </c>
    </row>
    <row r="359" spans="1:10" x14ac:dyDescent="0.2">
      <c r="A359" s="72">
        <v>2</v>
      </c>
      <c r="B359" s="58">
        <v>6</v>
      </c>
      <c r="C359" s="58">
        <v>3</v>
      </c>
      <c r="D359" s="58">
        <v>2</v>
      </c>
      <c r="E359" s="77"/>
      <c r="F359" s="86" t="s">
        <v>301</v>
      </c>
      <c r="G359" s="122">
        <f>+SEPTIEMBRE!G360+'AGOSTO '!G360+JULIO!G359+'OCTUBRE '!G360+'ENERO-JUNIO 2025'!G360</f>
        <v>5552369.7599999998</v>
      </c>
      <c r="H359" s="122">
        <f>+SEPTIEMBRE!H360+'AGOSTO '!H360+JULIO!H359+'OCTUBRE '!H360+'ENERO-JUNIO 2025'!H360</f>
        <v>3883972.19</v>
      </c>
      <c r="I359" s="122">
        <f t="shared" si="5"/>
        <v>9436341.9499999993</v>
      </c>
      <c r="J359" s="60"/>
    </row>
    <row r="360" spans="1:10" x14ac:dyDescent="0.2">
      <c r="A360" s="74">
        <v>2</v>
      </c>
      <c r="B360" s="62">
        <v>6</v>
      </c>
      <c r="C360" s="62">
        <v>3</v>
      </c>
      <c r="D360" s="62">
        <v>2</v>
      </c>
      <c r="E360" s="63" t="s">
        <v>35</v>
      </c>
      <c r="F360" s="69" t="s">
        <v>301</v>
      </c>
      <c r="G360" s="123">
        <f>+SEPTIEMBRE!G361+'AGOSTO '!G361+JULIO!G360+'OCTUBRE '!G361+'ENERO-JUNIO 2025'!G361</f>
        <v>5552369.7599999998</v>
      </c>
      <c r="H360" s="123">
        <f>+SEPTIEMBRE!H361+'AGOSTO '!H361+JULIO!H360+'OCTUBRE '!H361+'ENERO-JUNIO 2025'!H361</f>
        <v>3883972.19</v>
      </c>
      <c r="I360" s="123">
        <f t="shared" si="5"/>
        <v>9436341.9499999993</v>
      </c>
      <c r="J360" s="65">
        <v>4.3132015658115903E-3</v>
      </c>
    </row>
    <row r="361" spans="1:10" x14ac:dyDescent="0.2">
      <c r="A361" s="72">
        <v>2</v>
      </c>
      <c r="B361" s="58">
        <v>6</v>
      </c>
      <c r="C361" s="58">
        <v>3</v>
      </c>
      <c r="D361" s="58">
        <v>3</v>
      </c>
      <c r="E361" s="77"/>
      <c r="F361" s="86" t="s">
        <v>302</v>
      </c>
      <c r="G361" s="122">
        <f>+SEPTIEMBRE!G362+'AGOSTO '!G362+JULIO!G361+'OCTUBRE '!G362+'ENERO-JUNIO 2025'!G362</f>
        <v>0</v>
      </c>
      <c r="H361" s="122">
        <f>+SEPTIEMBRE!H362+'AGOSTO '!H362+JULIO!H361+'OCTUBRE '!H362+'ENERO-JUNIO 2025'!H362</f>
        <v>0</v>
      </c>
      <c r="I361" s="122">
        <f t="shared" si="5"/>
        <v>0</v>
      </c>
      <c r="J361" s="60"/>
    </row>
    <row r="362" spans="1:10" x14ac:dyDescent="0.2">
      <c r="A362" s="74">
        <v>2</v>
      </c>
      <c r="B362" s="62">
        <v>6</v>
      </c>
      <c r="C362" s="62">
        <v>3</v>
      </c>
      <c r="D362" s="62">
        <v>3</v>
      </c>
      <c r="E362" s="63" t="s">
        <v>35</v>
      </c>
      <c r="F362" s="69" t="s">
        <v>302</v>
      </c>
      <c r="G362" s="123">
        <f>+SEPTIEMBRE!G363+'AGOSTO '!G363+JULIO!G362+'OCTUBRE '!G363+'ENERO-JUNIO 2025'!G363</f>
        <v>0</v>
      </c>
      <c r="H362" s="123">
        <f>+SEPTIEMBRE!H363+'AGOSTO '!H363+JULIO!H362+'OCTUBRE '!H363+'ENERO-JUNIO 2025'!H363</f>
        <v>0</v>
      </c>
      <c r="I362" s="123">
        <f t="shared" si="5"/>
        <v>0</v>
      </c>
      <c r="J362" s="65">
        <v>0</v>
      </c>
    </row>
    <row r="363" spans="1:10" x14ac:dyDescent="0.2">
      <c r="A363" s="72">
        <v>2</v>
      </c>
      <c r="B363" s="58">
        <v>6</v>
      </c>
      <c r="C363" s="58">
        <v>3</v>
      </c>
      <c r="D363" s="58">
        <v>4</v>
      </c>
      <c r="E363" s="58"/>
      <c r="F363" s="86" t="s">
        <v>303</v>
      </c>
      <c r="G363" s="122">
        <f>+SEPTIEMBRE!G364+'AGOSTO '!G364+JULIO!G363+'OCTUBRE '!G364+'ENERO-JUNIO 2025'!G364</f>
        <v>1038482.2</v>
      </c>
      <c r="H363" s="122">
        <f>+SEPTIEMBRE!H364+'AGOSTO '!H364+JULIO!H363+'OCTUBRE '!H364+'ENERO-JUNIO 2025'!H364</f>
        <v>2233111.89</v>
      </c>
      <c r="I363" s="122">
        <f t="shared" si="5"/>
        <v>3271594.09</v>
      </c>
      <c r="J363" s="60"/>
    </row>
    <row r="364" spans="1:10" x14ac:dyDescent="0.2">
      <c r="A364" s="74">
        <v>2</v>
      </c>
      <c r="B364" s="62">
        <v>6</v>
      </c>
      <c r="C364" s="62">
        <v>3</v>
      </c>
      <c r="D364" s="62">
        <v>4</v>
      </c>
      <c r="E364" s="63" t="s">
        <v>35</v>
      </c>
      <c r="F364" s="69" t="s">
        <v>303</v>
      </c>
      <c r="G364" s="123">
        <f>+SEPTIEMBRE!G365+'AGOSTO '!G365+JULIO!G364+'OCTUBRE '!G365+'ENERO-JUNIO 2025'!G365</f>
        <v>1038482.2</v>
      </c>
      <c r="H364" s="123">
        <f>+SEPTIEMBRE!H365+'AGOSTO '!H365+JULIO!H364+'OCTUBRE '!H365+'ENERO-JUNIO 2025'!H365</f>
        <v>2233111.89</v>
      </c>
      <c r="I364" s="123">
        <f t="shared" si="5"/>
        <v>3271594.09</v>
      </c>
      <c r="J364" s="65">
        <v>3.1131844472955558E-4</v>
      </c>
    </row>
    <row r="365" spans="1:10" x14ac:dyDescent="0.2">
      <c r="A365" s="54">
        <v>2</v>
      </c>
      <c r="B365" s="55">
        <v>6</v>
      </c>
      <c r="C365" s="55">
        <v>4</v>
      </c>
      <c r="D365" s="55"/>
      <c r="E365" s="78"/>
      <c r="F365" s="85" t="s">
        <v>304</v>
      </c>
      <c r="G365" s="121">
        <f>+SEPTIEMBRE!G366+'AGOSTO '!G366+JULIO!G365+'OCTUBRE '!G366+'ENERO-JUNIO 2025'!G366</f>
        <v>0</v>
      </c>
      <c r="H365" s="121">
        <f>+SEPTIEMBRE!H366+'AGOSTO '!H366+JULIO!H365+'OCTUBRE '!H366+'ENERO-JUNIO 2025'!H366</f>
        <v>107609.37</v>
      </c>
      <c r="I365" s="121">
        <f t="shared" si="5"/>
        <v>107609.37</v>
      </c>
      <c r="J365" s="53"/>
    </row>
    <row r="366" spans="1:10" ht="12.75" customHeight="1" x14ac:dyDescent="0.2">
      <c r="A366" s="72">
        <v>2</v>
      </c>
      <c r="B366" s="58">
        <v>6</v>
      </c>
      <c r="C366" s="58">
        <v>4</v>
      </c>
      <c r="D366" s="58">
        <v>1</v>
      </c>
      <c r="E366" s="58"/>
      <c r="F366" s="86" t="s">
        <v>305</v>
      </c>
      <c r="G366" s="122">
        <f>+SEPTIEMBRE!G367+'AGOSTO '!G367+JULIO!G366+'OCTUBRE '!G367+'ENERO-JUNIO 2025'!G367</f>
        <v>0</v>
      </c>
      <c r="H366" s="122">
        <f>+SEPTIEMBRE!H367+'AGOSTO '!H367+JULIO!H366+'OCTUBRE '!H367+'ENERO-JUNIO 2025'!H367</f>
        <v>0</v>
      </c>
      <c r="I366" s="122">
        <f t="shared" si="5"/>
        <v>0</v>
      </c>
      <c r="J366" s="60"/>
    </row>
    <row r="367" spans="1:10" x14ac:dyDescent="0.2">
      <c r="A367" s="74">
        <v>2</v>
      </c>
      <c r="B367" s="62">
        <v>6</v>
      </c>
      <c r="C367" s="62">
        <v>4</v>
      </c>
      <c r="D367" s="62">
        <v>1</v>
      </c>
      <c r="E367" s="63" t="s">
        <v>35</v>
      </c>
      <c r="F367" s="69" t="s">
        <v>305</v>
      </c>
      <c r="G367" s="123">
        <f>+SEPTIEMBRE!G368+'AGOSTO '!G368+JULIO!G367+'OCTUBRE '!G368+'ENERO-JUNIO 2025'!G368</f>
        <v>0</v>
      </c>
      <c r="H367" s="123">
        <f>+SEPTIEMBRE!H368+'AGOSTO '!H368+JULIO!H367+'OCTUBRE '!H368+'ENERO-JUNIO 2025'!H368</f>
        <v>0</v>
      </c>
      <c r="I367" s="123">
        <f t="shared" si="5"/>
        <v>0</v>
      </c>
      <c r="J367" s="65">
        <v>0</v>
      </c>
    </row>
    <row r="368" spans="1:10" x14ac:dyDescent="0.2">
      <c r="A368" s="72">
        <v>2</v>
      </c>
      <c r="B368" s="58">
        <v>6</v>
      </c>
      <c r="C368" s="58">
        <v>4</v>
      </c>
      <c r="D368" s="58">
        <v>2</v>
      </c>
      <c r="E368" s="58"/>
      <c r="F368" s="86" t="s">
        <v>306</v>
      </c>
      <c r="G368" s="122">
        <f>+SEPTIEMBRE!G369+'AGOSTO '!G369+JULIO!G368+'OCTUBRE '!G369+'ENERO-JUNIO 2025'!G369</f>
        <v>0</v>
      </c>
      <c r="H368" s="122">
        <f>+SEPTIEMBRE!H369+'AGOSTO '!H369+JULIO!H368+'OCTUBRE '!H369+'ENERO-JUNIO 2025'!H369</f>
        <v>0</v>
      </c>
      <c r="I368" s="122">
        <f t="shared" si="5"/>
        <v>0</v>
      </c>
      <c r="J368" s="60"/>
    </row>
    <row r="369" spans="1:10" x14ac:dyDescent="0.2">
      <c r="A369" s="74">
        <v>2</v>
      </c>
      <c r="B369" s="62">
        <v>6</v>
      </c>
      <c r="C369" s="62">
        <v>4</v>
      </c>
      <c r="D369" s="62">
        <v>2</v>
      </c>
      <c r="E369" s="63" t="s">
        <v>35</v>
      </c>
      <c r="F369" s="69" t="s">
        <v>306</v>
      </c>
      <c r="G369" s="123">
        <f>+SEPTIEMBRE!G370+'AGOSTO '!G370+JULIO!G369+'OCTUBRE '!G370+'ENERO-JUNIO 2025'!G370</f>
        <v>0</v>
      </c>
      <c r="H369" s="123">
        <f>+SEPTIEMBRE!H370+'AGOSTO '!H370+JULIO!H369+'OCTUBRE '!H370+'ENERO-JUNIO 2025'!H370</f>
        <v>0</v>
      </c>
      <c r="I369" s="123">
        <f t="shared" si="5"/>
        <v>0</v>
      </c>
      <c r="J369" s="65">
        <v>0</v>
      </c>
    </row>
    <row r="370" spans="1:10" x14ac:dyDescent="0.2">
      <c r="A370" s="72">
        <v>2</v>
      </c>
      <c r="B370" s="58">
        <v>6</v>
      </c>
      <c r="C370" s="58">
        <v>4</v>
      </c>
      <c r="D370" s="58">
        <v>3</v>
      </c>
      <c r="E370" s="58"/>
      <c r="F370" s="86" t="s">
        <v>307</v>
      </c>
      <c r="G370" s="122">
        <f>+SEPTIEMBRE!G371+'AGOSTO '!G371+JULIO!G370+'OCTUBRE '!G371+'ENERO-JUNIO 2025'!G371</f>
        <v>0</v>
      </c>
      <c r="H370" s="122">
        <f>+SEPTIEMBRE!H371+'AGOSTO '!H371+JULIO!H370+'OCTUBRE '!H371+'ENERO-JUNIO 2025'!H371</f>
        <v>0</v>
      </c>
      <c r="I370" s="122">
        <f t="shared" si="5"/>
        <v>0</v>
      </c>
      <c r="J370" s="60"/>
    </row>
    <row r="371" spans="1:10" x14ac:dyDescent="0.2">
      <c r="A371" s="74">
        <v>2</v>
      </c>
      <c r="B371" s="62">
        <v>6</v>
      </c>
      <c r="C371" s="62">
        <v>4</v>
      </c>
      <c r="D371" s="62">
        <v>3</v>
      </c>
      <c r="E371" s="63" t="s">
        <v>35</v>
      </c>
      <c r="F371" s="69" t="s">
        <v>307</v>
      </c>
      <c r="G371" s="123">
        <f>+SEPTIEMBRE!G372+'AGOSTO '!G372+JULIO!G371+'OCTUBRE '!G372+'ENERO-JUNIO 2025'!G372</f>
        <v>0</v>
      </c>
      <c r="H371" s="123">
        <f>+SEPTIEMBRE!H372+'AGOSTO '!H372+JULIO!H371+'OCTUBRE '!H372+'ENERO-JUNIO 2025'!H372</f>
        <v>0</v>
      </c>
      <c r="I371" s="123">
        <f t="shared" si="5"/>
        <v>0</v>
      </c>
      <c r="J371" s="65">
        <v>0</v>
      </c>
    </row>
    <row r="372" spans="1:10" x14ac:dyDescent="0.2">
      <c r="A372" s="72">
        <v>2</v>
      </c>
      <c r="B372" s="58">
        <v>6</v>
      </c>
      <c r="C372" s="58">
        <v>4</v>
      </c>
      <c r="D372" s="58">
        <v>4</v>
      </c>
      <c r="E372" s="58"/>
      <c r="F372" s="86" t="s">
        <v>308</v>
      </c>
      <c r="G372" s="122">
        <f>+SEPTIEMBRE!G373+'AGOSTO '!G373+JULIO!G372+'OCTUBRE '!G373+'ENERO-JUNIO 2025'!G373</f>
        <v>0</v>
      </c>
      <c r="H372" s="122">
        <f>+SEPTIEMBRE!H373+'AGOSTO '!H373+JULIO!H372+'OCTUBRE '!H373+'ENERO-JUNIO 2025'!H373</f>
        <v>0</v>
      </c>
      <c r="I372" s="122">
        <f t="shared" si="5"/>
        <v>0</v>
      </c>
      <c r="J372" s="60"/>
    </row>
    <row r="373" spans="1:10" x14ac:dyDescent="0.2">
      <c r="A373" s="74">
        <v>2</v>
      </c>
      <c r="B373" s="62">
        <v>6</v>
      </c>
      <c r="C373" s="62">
        <v>4</v>
      </c>
      <c r="D373" s="62">
        <v>4</v>
      </c>
      <c r="E373" s="63" t="s">
        <v>35</v>
      </c>
      <c r="F373" s="69" t="s">
        <v>308</v>
      </c>
      <c r="G373" s="123">
        <f>+SEPTIEMBRE!G374+'AGOSTO '!G374+JULIO!G373+'OCTUBRE '!G374+'ENERO-JUNIO 2025'!G374</f>
        <v>0</v>
      </c>
      <c r="H373" s="123">
        <f>+SEPTIEMBRE!H374+'AGOSTO '!H374+JULIO!H373+'OCTUBRE '!H374+'ENERO-JUNIO 2025'!H374</f>
        <v>0</v>
      </c>
      <c r="I373" s="123">
        <f t="shared" si="5"/>
        <v>0</v>
      </c>
      <c r="J373" s="65">
        <v>0</v>
      </c>
    </row>
    <row r="374" spans="1:10" x14ac:dyDescent="0.2">
      <c r="A374" s="72">
        <v>2</v>
      </c>
      <c r="B374" s="58">
        <v>6</v>
      </c>
      <c r="C374" s="58">
        <v>4</v>
      </c>
      <c r="D374" s="58">
        <v>5</v>
      </c>
      <c r="E374" s="58"/>
      <c r="F374" s="86" t="s">
        <v>309</v>
      </c>
      <c r="G374" s="122">
        <f>+SEPTIEMBRE!G375+'AGOSTO '!G375+JULIO!G374+'OCTUBRE '!G375+'ENERO-JUNIO 2025'!G375</f>
        <v>0</v>
      </c>
      <c r="H374" s="122">
        <f>+SEPTIEMBRE!H375+'AGOSTO '!H375+JULIO!H374+'OCTUBRE '!H375+'ENERO-JUNIO 2025'!H375</f>
        <v>0</v>
      </c>
      <c r="I374" s="122">
        <f t="shared" si="5"/>
        <v>0</v>
      </c>
      <c r="J374" s="60"/>
    </row>
    <row r="375" spans="1:10" x14ac:dyDescent="0.2">
      <c r="A375" s="74">
        <v>2</v>
      </c>
      <c r="B375" s="62">
        <v>6</v>
      </c>
      <c r="C375" s="62">
        <v>4</v>
      </c>
      <c r="D375" s="62">
        <v>5</v>
      </c>
      <c r="E375" s="63" t="s">
        <v>35</v>
      </c>
      <c r="F375" s="69" t="s">
        <v>309</v>
      </c>
      <c r="G375" s="123">
        <f>+SEPTIEMBRE!G376+'AGOSTO '!G376+JULIO!G375+'OCTUBRE '!G376+'ENERO-JUNIO 2025'!G376</f>
        <v>0</v>
      </c>
      <c r="H375" s="123">
        <f>+SEPTIEMBRE!H376+'AGOSTO '!H376+JULIO!H375+'OCTUBRE '!H376+'ENERO-JUNIO 2025'!H376</f>
        <v>0</v>
      </c>
      <c r="I375" s="123">
        <f t="shared" si="5"/>
        <v>0</v>
      </c>
      <c r="J375" s="65">
        <v>0</v>
      </c>
    </row>
    <row r="376" spans="1:10" x14ac:dyDescent="0.2">
      <c r="A376" s="72">
        <v>2</v>
      </c>
      <c r="B376" s="58">
        <v>6</v>
      </c>
      <c r="C376" s="58">
        <v>4</v>
      </c>
      <c r="D376" s="58">
        <v>6</v>
      </c>
      <c r="E376" s="58"/>
      <c r="F376" s="86" t="s">
        <v>310</v>
      </c>
      <c r="G376" s="122">
        <f>+SEPTIEMBRE!G377+'AGOSTO '!G377+JULIO!G376+'OCTUBRE '!G377+'ENERO-JUNIO 2025'!G377</f>
        <v>0</v>
      </c>
      <c r="H376" s="122">
        <f>+SEPTIEMBRE!H377+'AGOSTO '!H377+JULIO!H376+'OCTUBRE '!H377+'ENERO-JUNIO 2025'!H377</f>
        <v>107609.37</v>
      </c>
      <c r="I376" s="122">
        <f t="shared" si="5"/>
        <v>107609.37</v>
      </c>
      <c r="J376" s="60"/>
    </row>
    <row r="377" spans="1:10" x14ac:dyDescent="0.2">
      <c r="A377" s="74">
        <v>2</v>
      </c>
      <c r="B377" s="62">
        <v>6</v>
      </c>
      <c r="C377" s="62">
        <v>4</v>
      </c>
      <c r="D377" s="62">
        <v>6</v>
      </c>
      <c r="E377" s="63" t="s">
        <v>35</v>
      </c>
      <c r="F377" s="69" t="s">
        <v>310</v>
      </c>
      <c r="G377" s="123">
        <f>+SEPTIEMBRE!G378+'AGOSTO '!G378+JULIO!G377+'OCTUBRE '!G378+'ENERO-JUNIO 2025'!G378</f>
        <v>0</v>
      </c>
      <c r="H377" s="123">
        <f>+SEPTIEMBRE!H378+'AGOSTO '!H378+JULIO!H377+'OCTUBRE '!H378+'ENERO-JUNIO 2025'!H378</f>
        <v>107609.37</v>
      </c>
      <c r="I377" s="123">
        <f t="shared" si="5"/>
        <v>107609.37</v>
      </c>
      <c r="J377" s="65">
        <v>0</v>
      </c>
    </row>
    <row r="378" spans="1:10" x14ac:dyDescent="0.2">
      <c r="A378" s="72">
        <v>2</v>
      </c>
      <c r="B378" s="58">
        <v>6</v>
      </c>
      <c r="C378" s="58">
        <v>4</v>
      </c>
      <c r="D378" s="58">
        <v>7</v>
      </c>
      <c r="E378" s="58"/>
      <c r="F378" s="86" t="s">
        <v>311</v>
      </c>
      <c r="G378" s="122">
        <f>+SEPTIEMBRE!G379+'AGOSTO '!G379+JULIO!G378+'OCTUBRE '!G379+'ENERO-JUNIO 2025'!G379</f>
        <v>0</v>
      </c>
      <c r="H378" s="122">
        <f>+SEPTIEMBRE!H379+'AGOSTO '!H379+JULIO!H378+'OCTUBRE '!H379+'ENERO-JUNIO 2025'!H379</f>
        <v>0</v>
      </c>
      <c r="I378" s="122">
        <f t="shared" si="5"/>
        <v>0</v>
      </c>
      <c r="J378" s="60"/>
    </row>
    <row r="379" spans="1:10" x14ac:dyDescent="0.2">
      <c r="A379" s="74">
        <v>2</v>
      </c>
      <c r="B379" s="62">
        <v>6</v>
      </c>
      <c r="C379" s="62">
        <v>4</v>
      </c>
      <c r="D379" s="62">
        <v>7</v>
      </c>
      <c r="E379" s="63" t="s">
        <v>35</v>
      </c>
      <c r="F379" s="69" t="s">
        <v>311</v>
      </c>
      <c r="G379" s="123">
        <f>+SEPTIEMBRE!G380+'AGOSTO '!G380+JULIO!G379+'OCTUBRE '!G380+'ENERO-JUNIO 2025'!G380</f>
        <v>0</v>
      </c>
      <c r="H379" s="123">
        <f>+SEPTIEMBRE!H380+'AGOSTO '!H380+JULIO!H379+'OCTUBRE '!H380+'ENERO-JUNIO 2025'!H380</f>
        <v>0</v>
      </c>
      <c r="I379" s="123">
        <f t="shared" si="5"/>
        <v>0</v>
      </c>
      <c r="J379" s="65">
        <v>0</v>
      </c>
    </row>
    <row r="380" spans="1:10" x14ac:dyDescent="0.2">
      <c r="A380" s="72">
        <v>2</v>
      </c>
      <c r="B380" s="58">
        <v>6</v>
      </c>
      <c r="C380" s="58">
        <v>4</v>
      </c>
      <c r="D380" s="58">
        <v>8</v>
      </c>
      <c r="E380" s="58"/>
      <c r="F380" s="86" t="s">
        <v>312</v>
      </c>
      <c r="G380" s="122">
        <f>+SEPTIEMBRE!G381+'AGOSTO '!G381+JULIO!G380+'OCTUBRE '!G381+'ENERO-JUNIO 2025'!G381</f>
        <v>0</v>
      </c>
      <c r="H380" s="122">
        <f>+SEPTIEMBRE!H381+'AGOSTO '!H381+JULIO!H380+'OCTUBRE '!H381+'ENERO-JUNIO 2025'!H381</f>
        <v>0</v>
      </c>
      <c r="I380" s="122">
        <f t="shared" si="5"/>
        <v>0</v>
      </c>
      <c r="J380" s="60"/>
    </row>
    <row r="381" spans="1:10" x14ac:dyDescent="0.2">
      <c r="A381" s="74">
        <v>2</v>
      </c>
      <c r="B381" s="62">
        <v>6</v>
      </c>
      <c r="C381" s="62">
        <v>4</v>
      </c>
      <c r="D381" s="62">
        <v>8</v>
      </c>
      <c r="E381" s="63" t="s">
        <v>35</v>
      </c>
      <c r="F381" s="69" t="s">
        <v>312</v>
      </c>
      <c r="G381" s="123">
        <f>+SEPTIEMBRE!G382+'AGOSTO '!G382+JULIO!G381+'OCTUBRE '!G382+'ENERO-JUNIO 2025'!G382</f>
        <v>0</v>
      </c>
      <c r="H381" s="123">
        <f>+SEPTIEMBRE!H382+'AGOSTO '!H382+JULIO!H381+'OCTUBRE '!H382+'ENERO-JUNIO 2025'!H382</f>
        <v>0</v>
      </c>
      <c r="I381" s="123">
        <f t="shared" si="5"/>
        <v>0</v>
      </c>
      <c r="J381" s="65">
        <v>0</v>
      </c>
    </row>
    <row r="382" spans="1:10" x14ac:dyDescent="0.2">
      <c r="A382" s="54">
        <v>2</v>
      </c>
      <c r="B382" s="55">
        <v>6</v>
      </c>
      <c r="C382" s="55">
        <v>5</v>
      </c>
      <c r="D382" s="55"/>
      <c r="E382" s="78"/>
      <c r="F382" s="85" t="s">
        <v>313</v>
      </c>
      <c r="G382" s="121">
        <f>+SEPTIEMBRE!G383+'AGOSTO '!G383+JULIO!G382+'OCTUBRE '!G383+'ENERO-JUNIO 2025'!G383</f>
        <v>14537025.330000002</v>
      </c>
      <c r="H382" s="121">
        <f>+SEPTIEMBRE!H383+'AGOSTO '!H383+JULIO!H382+'OCTUBRE '!H383+'ENERO-JUNIO 2025'!H383</f>
        <v>2478560.02</v>
      </c>
      <c r="I382" s="121">
        <f t="shared" si="5"/>
        <v>17015585.350000001</v>
      </c>
      <c r="J382" s="53"/>
    </row>
    <row r="383" spans="1:10" x14ac:dyDescent="0.2">
      <c r="A383" s="57">
        <v>2</v>
      </c>
      <c r="B383" s="58">
        <v>6</v>
      </c>
      <c r="C383" s="58">
        <v>5</v>
      </c>
      <c r="D383" s="58">
        <v>1</v>
      </c>
      <c r="E383" s="58"/>
      <c r="F383" s="86" t="s">
        <v>314</v>
      </c>
      <c r="G383" s="122">
        <f>+SEPTIEMBRE!G384+'AGOSTO '!G384+JULIO!G383+'OCTUBRE '!G384+'ENERO-JUNIO 2025'!G384</f>
        <v>0</v>
      </c>
      <c r="H383" s="122">
        <f>+SEPTIEMBRE!H384+'AGOSTO '!H384+JULIO!H383+'OCTUBRE '!H384+'ENERO-JUNIO 2025'!H384</f>
        <v>0</v>
      </c>
      <c r="I383" s="122">
        <f t="shared" si="5"/>
        <v>0</v>
      </c>
      <c r="J383" s="60"/>
    </row>
    <row r="384" spans="1:10" x14ac:dyDescent="0.2">
      <c r="A384" s="61">
        <v>2</v>
      </c>
      <c r="B384" s="62">
        <v>6</v>
      </c>
      <c r="C384" s="62">
        <v>5</v>
      </c>
      <c r="D384" s="62">
        <v>1</v>
      </c>
      <c r="E384" s="63" t="s">
        <v>35</v>
      </c>
      <c r="F384" s="69" t="s">
        <v>314</v>
      </c>
      <c r="G384" s="123">
        <f>+SEPTIEMBRE!G385+'AGOSTO '!G385+JULIO!G384+'OCTUBRE '!G385+'ENERO-JUNIO 2025'!G385</f>
        <v>0</v>
      </c>
      <c r="H384" s="123">
        <f>+SEPTIEMBRE!H385+'AGOSTO '!H385+JULIO!H384+'OCTUBRE '!H385+'ENERO-JUNIO 2025'!H385</f>
        <v>0</v>
      </c>
      <c r="I384" s="123">
        <f t="shared" si="5"/>
        <v>0</v>
      </c>
      <c r="J384" s="65">
        <v>0</v>
      </c>
    </row>
    <row r="385" spans="1:10" x14ac:dyDescent="0.2">
      <c r="A385" s="57">
        <v>2</v>
      </c>
      <c r="B385" s="58">
        <v>6</v>
      </c>
      <c r="C385" s="58">
        <v>5</v>
      </c>
      <c r="D385" s="58">
        <v>2</v>
      </c>
      <c r="E385" s="58"/>
      <c r="F385" s="86" t="s">
        <v>315</v>
      </c>
      <c r="G385" s="122">
        <f>+SEPTIEMBRE!G386+'AGOSTO '!G386+JULIO!G385+'OCTUBRE '!G386+'ENERO-JUNIO 2025'!G386</f>
        <v>1310123.52</v>
      </c>
      <c r="H385" s="122">
        <f>+SEPTIEMBRE!H386+'AGOSTO '!H386+JULIO!H385+'OCTUBRE '!H386+'ENERO-JUNIO 2025'!H386</f>
        <v>2042200</v>
      </c>
      <c r="I385" s="122">
        <f t="shared" si="5"/>
        <v>3352323.52</v>
      </c>
      <c r="J385" s="60"/>
    </row>
    <row r="386" spans="1:10" x14ac:dyDescent="0.2">
      <c r="A386" s="61">
        <v>2</v>
      </c>
      <c r="B386" s="62">
        <v>6</v>
      </c>
      <c r="C386" s="62">
        <v>5</v>
      </c>
      <c r="D386" s="62">
        <v>2</v>
      </c>
      <c r="E386" s="63" t="s">
        <v>35</v>
      </c>
      <c r="F386" s="69" t="s">
        <v>315</v>
      </c>
      <c r="G386" s="123">
        <f>+SEPTIEMBRE!G387+'AGOSTO '!G387+JULIO!G386+'OCTUBRE '!G387+'ENERO-JUNIO 2025'!G387</f>
        <v>1310123.52</v>
      </c>
      <c r="H386" s="123">
        <f>+SEPTIEMBRE!H387+'AGOSTO '!H387+JULIO!H386+'OCTUBRE '!H387+'ENERO-JUNIO 2025'!H387</f>
        <v>2042200</v>
      </c>
      <c r="I386" s="123">
        <f t="shared" si="5"/>
        <v>3352323.52</v>
      </c>
      <c r="J386" s="65">
        <v>2.2769278896688908E-3</v>
      </c>
    </row>
    <row r="387" spans="1:10" x14ac:dyDescent="0.2">
      <c r="A387" s="57">
        <v>2</v>
      </c>
      <c r="B387" s="58">
        <v>6</v>
      </c>
      <c r="C387" s="58">
        <v>5</v>
      </c>
      <c r="D387" s="58">
        <v>3</v>
      </c>
      <c r="E387" s="58"/>
      <c r="F387" s="86" t="s">
        <v>316</v>
      </c>
      <c r="G387" s="122">
        <f>+SEPTIEMBRE!G388+'AGOSTO '!G388+JULIO!G387+'OCTUBRE '!G388+'ENERO-JUNIO 2025'!G388</f>
        <v>0</v>
      </c>
      <c r="H387" s="122">
        <f>+SEPTIEMBRE!H388+'AGOSTO '!H388+JULIO!H387+'OCTUBRE '!H388+'ENERO-JUNIO 2025'!H388</f>
        <v>0</v>
      </c>
      <c r="I387" s="122">
        <f t="shared" si="5"/>
        <v>0</v>
      </c>
      <c r="J387" s="60"/>
    </row>
    <row r="388" spans="1:10" x14ac:dyDescent="0.2">
      <c r="A388" s="61">
        <v>2</v>
      </c>
      <c r="B388" s="62">
        <v>6</v>
      </c>
      <c r="C388" s="62">
        <v>5</v>
      </c>
      <c r="D388" s="62">
        <v>3</v>
      </c>
      <c r="E388" s="63" t="s">
        <v>35</v>
      </c>
      <c r="F388" s="69" t="s">
        <v>316</v>
      </c>
      <c r="G388" s="123">
        <f>+SEPTIEMBRE!G389+'AGOSTO '!G389+JULIO!G388+'OCTUBRE '!G389+'ENERO-JUNIO 2025'!G389</f>
        <v>0</v>
      </c>
      <c r="H388" s="123">
        <f>+SEPTIEMBRE!H389+'AGOSTO '!H389+JULIO!H388+'OCTUBRE '!H389+'ENERO-JUNIO 2025'!H389</f>
        <v>0</v>
      </c>
      <c r="I388" s="123">
        <f t="shared" si="5"/>
        <v>0</v>
      </c>
      <c r="J388" s="65">
        <v>0</v>
      </c>
    </row>
    <row r="389" spans="1:10" x14ac:dyDescent="0.2">
      <c r="A389" s="57">
        <v>2</v>
      </c>
      <c r="B389" s="58">
        <v>6</v>
      </c>
      <c r="C389" s="58">
        <v>5</v>
      </c>
      <c r="D389" s="58">
        <v>4</v>
      </c>
      <c r="E389" s="58"/>
      <c r="F389" s="86" t="s">
        <v>317</v>
      </c>
      <c r="G389" s="122">
        <f>+SEPTIEMBRE!G390+'AGOSTO '!G390+JULIO!G389+'OCTUBRE '!G390+'ENERO-JUNIO 2025'!G390</f>
        <v>7381907.8399999999</v>
      </c>
      <c r="H389" s="122">
        <f>+SEPTIEMBRE!H390+'AGOSTO '!H390+JULIO!H389+'OCTUBRE '!H390+'ENERO-JUNIO 2025'!H390</f>
        <v>383380.01</v>
      </c>
      <c r="I389" s="122">
        <f t="shared" si="5"/>
        <v>7765287.8499999996</v>
      </c>
      <c r="J389" s="60"/>
    </row>
    <row r="390" spans="1:10" x14ac:dyDescent="0.2">
      <c r="A390" s="61">
        <v>2</v>
      </c>
      <c r="B390" s="62">
        <v>6</v>
      </c>
      <c r="C390" s="62">
        <v>5</v>
      </c>
      <c r="D390" s="62">
        <v>4</v>
      </c>
      <c r="E390" s="63" t="s">
        <v>35</v>
      </c>
      <c r="F390" s="69" t="s">
        <v>317</v>
      </c>
      <c r="G390" s="123">
        <f>+SEPTIEMBRE!G391+'AGOSTO '!G391+JULIO!G390+'OCTUBRE '!G391+'ENERO-JUNIO 2025'!G391</f>
        <v>7381907.8399999999</v>
      </c>
      <c r="H390" s="123">
        <f>+SEPTIEMBRE!H391+'AGOSTO '!H391+JULIO!H390+'OCTUBRE '!H391+'ENERO-JUNIO 2025'!H391</f>
        <v>383380.01</v>
      </c>
      <c r="I390" s="123">
        <f t="shared" si="5"/>
        <v>7765287.8499999996</v>
      </c>
      <c r="J390" s="65">
        <v>1.9484546921247393E-3</v>
      </c>
    </row>
    <row r="391" spans="1:10" ht="25.5" x14ac:dyDescent="0.2">
      <c r="A391" s="57">
        <v>2</v>
      </c>
      <c r="B391" s="58">
        <v>6</v>
      </c>
      <c r="C391" s="58">
        <v>5</v>
      </c>
      <c r="D391" s="58">
        <v>5</v>
      </c>
      <c r="E391" s="58"/>
      <c r="F391" s="86" t="s">
        <v>318</v>
      </c>
      <c r="G391" s="122">
        <f>+SEPTIEMBRE!G392+'AGOSTO '!G392+JULIO!G391+'OCTUBRE '!G392+'ENERO-JUNIO 2025'!G392</f>
        <v>736565.44</v>
      </c>
      <c r="H391" s="122">
        <f>+SEPTIEMBRE!H392+'AGOSTO '!H392+JULIO!H391+'OCTUBRE '!H392+'ENERO-JUNIO 2025'!H392</f>
        <v>0</v>
      </c>
      <c r="I391" s="122">
        <f t="shared" si="5"/>
        <v>736565.44</v>
      </c>
      <c r="J391" s="60"/>
    </row>
    <row r="392" spans="1:10" ht="25.5" x14ac:dyDescent="0.2">
      <c r="A392" s="61">
        <v>2</v>
      </c>
      <c r="B392" s="62">
        <v>6</v>
      </c>
      <c r="C392" s="62">
        <v>5</v>
      </c>
      <c r="D392" s="62">
        <v>5</v>
      </c>
      <c r="E392" s="63" t="s">
        <v>35</v>
      </c>
      <c r="F392" s="69" t="s">
        <v>318</v>
      </c>
      <c r="G392" s="123">
        <f>+SEPTIEMBRE!G393+'AGOSTO '!G393+JULIO!G392+'OCTUBRE '!G393+'ENERO-JUNIO 2025'!G393</f>
        <v>736565.44</v>
      </c>
      <c r="H392" s="123">
        <f>+SEPTIEMBRE!H393+'AGOSTO '!H393+JULIO!H392+'OCTUBRE '!H393+'ENERO-JUNIO 2025'!H393</f>
        <v>0</v>
      </c>
      <c r="I392" s="123">
        <f t="shared" si="5"/>
        <v>736565.44</v>
      </c>
      <c r="J392" s="65">
        <v>0</v>
      </c>
    </row>
    <row r="393" spans="1:10" x14ac:dyDescent="0.2">
      <c r="A393" s="57">
        <v>2</v>
      </c>
      <c r="B393" s="58">
        <v>6</v>
      </c>
      <c r="C393" s="58">
        <v>5</v>
      </c>
      <c r="D393" s="58">
        <v>6</v>
      </c>
      <c r="E393" s="58"/>
      <c r="F393" s="86" t="s">
        <v>319</v>
      </c>
      <c r="G393" s="122">
        <f>+SEPTIEMBRE!G394+'AGOSTO '!G394+JULIO!G393+'OCTUBRE '!G394+'ENERO-JUNIO 2025'!G394</f>
        <v>4403441.17</v>
      </c>
      <c r="H393" s="122">
        <f>+SEPTIEMBRE!H394+'AGOSTO '!H394+JULIO!H393+'OCTUBRE '!H394+'ENERO-JUNIO 2025'!H394</f>
        <v>42480</v>
      </c>
      <c r="I393" s="122">
        <f t="shared" si="5"/>
        <v>4445921.17</v>
      </c>
      <c r="J393" s="60"/>
    </row>
    <row r="394" spans="1:10" x14ac:dyDescent="0.2">
      <c r="A394" s="61">
        <v>2</v>
      </c>
      <c r="B394" s="62">
        <v>6</v>
      </c>
      <c r="C394" s="62">
        <v>5</v>
      </c>
      <c r="D394" s="62">
        <v>6</v>
      </c>
      <c r="E394" s="63" t="s">
        <v>35</v>
      </c>
      <c r="F394" s="69" t="s">
        <v>319</v>
      </c>
      <c r="G394" s="123">
        <f>+SEPTIEMBRE!G395+'AGOSTO '!G395+JULIO!G394+'OCTUBRE '!G395+'ENERO-JUNIO 2025'!G395</f>
        <v>4403441.17</v>
      </c>
      <c r="H394" s="123">
        <f>+SEPTIEMBRE!H395+'AGOSTO '!H395+JULIO!H394+'OCTUBRE '!H395+'ENERO-JUNIO 2025'!H395</f>
        <v>42480</v>
      </c>
      <c r="I394" s="123">
        <f t="shared" si="5"/>
        <v>4445921.17</v>
      </c>
      <c r="J394" s="65">
        <v>1.4220343175742521E-2</v>
      </c>
    </row>
    <row r="395" spans="1:10" x14ac:dyDescent="0.2">
      <c r="A395" s="57">
        <v>2</v>
      </c>
      <c r="B395" s="58">
        <v>6</v>
      </c>
      <c r="C395" s="58">
        <v>5</v>
      </c>
      <c r="D395" s="58">
        <v>7</v>
      </c>
      <c r="E395" s="58"/>
      <c r="F395" s="86" t="s">
        <v>320</v>
      </c>
      <c r="G395" s="122">
        <f>+SEPTIEMBRE!G396+'AGOSTO '!G396+JULIO!G395+'OCTUBRE '!G396+'ENERO-JUNIO 2025'!G396</f>
        <v>44855</v>
      </c>
      <c r="H395" s="122">
        <f>+SEPTIEMBRE!H396+'AGOSTO '!H396+JULIO!H395+'OCTUBRE '!H396+'ENERO-JUNIO 2025'!H396</f>
        <v>10500.01</v>
      </c>
      <c r="I395" s="122">
        <f t="shared" si="5"/>
        <v>55355.01</v>
      </c>
      <c r="J395" s="60"/>
    </row>
    <row r="396" spans="1:10" x14ac:dyDescent="0.2">
      <c r="A396" s="61">
        <v>2</v>
      </c>
      <c r="B396" s="62">
        <v>6</v>
      </c>
      <c r="C396" s="62">
        <v>5</v>
      </c>
      <c r="D396" s="62">
        <v>7</v>
      </c>
      <c r="E396" s="63" t="s">
        <v>35</v>
      </c>
      <c r="F396" s="69" t="s">
        <v>320</v>
      </c>
      <c r="G396" s="123">
        <f>+SEPTIEMBRE!G397+'AGOSTO '!G397+JULIO!G396+'OCTUBRE '!G397+'ENERO-JUNIO 2025'!G397</f>
        <v>44855</v>
      </c>
      <c r="H396" s="123">
        <f>+SEPTIEMBRE!H397+'AGOSTO '!H397+JULIO!H396+'OCTUBRE '!H397+'ENERO-JUNIO 2025'!H397</f>
        <v>10500.01</v>
      </c>
      <c r="I396" s="123">
        <f t="shared" si="5"/>
        <v>55355.01</v>
      </c>
      <c r="J396" s="65">
        <v>8.7831615028663665E-5</v>
      </c>
    </row>
    <row r="397" spans="1:10" x14ac:dyDescent="0.2">
      <c r="A397" s="57">
        <v>2</v>
      </c>
      <c r="B397" s="58">
        <v>6</v>
      </c>
      <c r="C397" s="58">
        <v>5</v>
      </c>
      <c r="D397" s="58">
        <v>8</v>
      </c>
      <c r="E397" s="58"/>
      <c r="F397" s="86" t="s">
        <v>321</v>
      </c>
      <c r="G397" s="122">
        <f>+SEPTIEMBRE!G398+'AGOSTO '!G398+JULIO!G397+'OCTUBRE '!G398+'ENERO-JUNIO 2025'!G398</f>
        <v>660132.36</v>
      </c>
      <c r="H397" s="122">
        <f>+SEPTIEMBRE!H398+'AGOSTO '!H398+JULIO!H397+'OCTUBRE '!H398+'ENERO-JUNIO 2025'!H398</f>
        <v>0</v>
      </c>
      <c r="I397" s="122">
        <f t="shared" si="5"/>
        <v>660132.36</v>
      </c>
      <c r="J397" s="60"/>
    </row>
    <row r="398" spans="1:10" x14ac:dyDescent="0.2">
      <c r="A398" s="61">
        <v>2</v>
      </c>
      <c r="B398" s="62">
        <v>6</v>
      </c>
      <c r="C398" s="62">
        <v>5</v>
      </c>
      <c r="D398" s="62">
        <v>8</v>
      </c>
      <c r="E398" s="63" t="s">
        <v>35</v>
      </c>
      <c r="F398" s="69" t="s">
        <v>321</v>
      </c>
      <c r="G398" s="123">
        <f>+SEPTIEMBRE!G399+'AGOSTO '!G399+JULIO!G398+'OCTUBRE '!G399+'ENERO-JUNIO 2025'!G399</f>
        <v>660132.36</v>
      </c>
      <c r="H398" s="123">
        <f>+SEPTIEMBRE!H399+'AGOSTO '!H399+JULIO!H398+'OCTUBRE '!H399+'ENERO-JUNIO 2025'!H399</f>
        <v>0</v>
      </c>
      <c r="I398" s="123">
        <f t="shared" si="5"/>
        <v>660132.36</v>
      </c>
      <c r="J398" s="65">
        <v>6.13813668413028E-4</v>
      </c>
    </row>
    <row r="399" spans="1:10" x14ac:dyDescent="0.2">
      <c r="A399" s="70">
        <v>2</v>
      </c>
      <c r="B399" s="55">
        <v>6</v>
      </c>
      <c r="C399" s="55">
        <v>6</v>
      </c>
      <c r="D399" s="55"/>
      <c r="E399" s="55"/>
      <c r="F399" s="85" t="s">
        <v>322</v>
      </c>
      <c r="G399" s="121">
        <f>+SEPTIEMBRE!G400+'AGOSTO '!G400+JULIO!G399+'OCTUBRE '!G400+'ENERO-JUNIO 2025'!G400</f>
        <v>66080</v>
      </c>
      <c r="H399" s="121">
        <f>+SEPTIEMBRE!H400+'AGOSTO '!H400+JULIO!H399+'OCTUBRE '!H400+'ENERO-JUNIO 2025'!H400</f>
        <v>58764</v>
      </c>
      <c r="I399" s="121">
        <f t="shared" si="5"/>
        <v>124844</v>
      </c>
      <c r="J399" s="53">
        <v>4.9155543904666672E-4</v>
      </c>
    </row>
    <row r="400" spans="1:10" x14ac:dyDescent="0.2">
      <c r="A400" s="72">
        <v>2</v>
      </c>
      <c r="B400" s="58">
        <v>6</v>
      </c>
      <c r="C400" s="58">
        <v>6</v>
      </c>
      <c r="D400" s="58">
        <v>1</v>
      </c>
      <c r="E400" s="77"/>
      <c r="F400" s="86" t="s">
        <v>323</v>
      </c>
      <c r="G400" s="122">
        <f>+SEPTIEMBRE!G401+'AGOSTO '!G401+JULIO!G400+'OCTUBRE '!G401+'ENERO-JUNIO 2025'!G401</f>
        <v>0</v>
      </c>
      <c r="H400" s="122">
        <f>+SEPTIEMBRE!H401+'AGOSTO '!H401+JULIO!H400+'OCTUBRE '!H401+'ENERO-JUNIO 2025'!H401</f>
        <v>0</v>
      </c>
      <c r="I400" s="122">
        <f t="shared" si="5"/>
        <v>0</v>
      </c>
      <c r="J400" s="60"/>
    </row>
    <row r="401" spans="1:10" x14ac:dyDescent="0.2">
      <c r="A401" s="74">
        <v>2</v>
      </c>
      <c r="B401" s="62">
        <v>6</v>
      </c>
      <c r="C401" s="62">
        <v>6</v>
      </c>
      <c r="D401" s="62">
        <v>1</v>
      </c>
      <c r="E401" s="62" t="s">
        <v>324</v>
      </c>
      <c r="F401" s="69" t="s">
        <v>323</v>
      </c>
      <c r="G401" s="123">
        <f>+SEPTIEMBRE!G402+'AGOSTO '!G402+JULIO!G401+'OCTUBRE '!G402+'ENERO-JUNIO 2025'!G402</f>
        <v>0</v>
      </c>
      <c r="H401" s="123">
        <f>+SEPTIEMBRE!H402+'AGOSTO '!H402+JULIO!H401+'OCTUBRE '!H402+'ENERO-JUNIO 2025'!H402</f>
        <v>0</v>
      </c>
      <c r="I401" s="123">
        <f t="shared" si="5"/>
        <v>0</v>
      </c>
      <c r="J401" s="65">
        <v>0</v>
      </c>
    </row>
    <row r="402" spans="1:10" x14ac:dyDescent="0.2">
      <c r="A402" s="72">
        <v>2</v>
      </c>
      <c r="B402" s="58">
        <v>6</v>
      </c>
      <c r="C402" s="58">
        <v>6</v>
      </c>
      <c r="D402" s="58">
        <v>2</v>
      </c>
      <c r="E402" s="77"/>
      <c r="F402" s="86" t="s">
        <v>325</v>
      </c>
      <c r="G402" s="122">
        <f>+SEPTIEMBRE!G403+'AGOSTO '!G403+JULIO!G402+'OCTUBRE '!G403+'ENERO-JUNIO 2025'!G403</f>
        <v>66080</v>
      </c>
      <c r="H402" s="122">
        <f>+SEPTIEMBRE!H403+'AGOSTO '!H403+JULIO!H402+'OCTUBRE '!H403+'ENERO-JUNIO 2025'!H403</f>
        <v>58764</v>
      </c>
      <c r="I402" s="122">
        <f t="shared" si="5"/>
        <v>124844</v>
      </c>
      <c r="J402" s="60"/>
    </row>
    <row r="403" spans="1:10" x14ac:dyDescent="0.2">
      <c r="A403" s="74">
        <v>2</v>
      </c>
      <c r="B403" s="62">
        <v>6</v>
      </c>
      <c r="C403" s="62">
        <v>6</v>
      </c>
      <c r="D403" s="62">
        <v>2</v>
      </c>
      <c r="E403" s="62" t="s">
        <v>324</v>
      </c>
      <c r="F403" s="69" t="s">
        <v>325</v>
      </c>
      <c r="G403" s="123">
        <f>+SEPTIEMBRE!G404+'AGOSTO '!G404+JULIO!G403+'OCTUBRE '!G404+'ENERO-JUNIO 2025'!G404</f>
        <v>66080</v>
      </c>
      <c r="H403" s="123">
        <f>+SEPTIEMBRE!H404+'AGOSTO '!H404+JULIO!H403+'OCTUBRE '!H404+'ENERO-JUNIO 2025'!H404</f>
        <v>58764</v>
      </c>
      <c r="I403" s="123">
        <f t="shared" si="5"/>
        <v>124844</v>
      </c>
      <c r="J403" s="65">
        <v>4.9155543904666672E-4</v>
      </c>
    </row>
    <row r="404" spans="1:10" x14ac:dyDescent="0.2">
      <c r="A404" s="54">
        <v>2</v>
      </c>
      <c r="B404" s="55">
        <v>6</v>
      </c>
      <c r="C404" s="55">
        <v>7</v>
      </c>
      <c r="D404" s="55"/>
      <c r="E404" s="78"/>
      <c r="F404" s="85" t="s">
        <v>326</v>
      </c>
      <c r="G404" s="121">
        <f>+SEPTIEMBRE!G405+'AGOSTO '!G405+JULIO!G404+'OCTUBRE '!G405+'ENERO-JUNIO 2025'!G405</f>
        <v>0</v>
      </c>
      <c r="H404" s="121">
        <f>+SEPTIEMBRE!H405+'AGOSTO '!H405+JULIO!H404+'OCTUBRE '!H405+'ENERO-JUNIO 2025'!H405</f>
        <v>0</v>
      </c>
      <c r="I404" s="121">
        <f t="shared" si="5"/>
        <v>0</v>
      </c>
      <c r="J404" s="53"/>
    </row>
    <row r="405" spans="1:10" x14ac:dyDescent="0.2">
      <c r="A405" s="57">
        <v>2</v>
      </c>
      <c r="B405" s="58">
        <v>6</v>
      </c>
      <c r="C405" s="58">
        <v>7</v>
      </c>
      <c r="D405" s="58">
        <v>1</v>
      </c>
      <c r="E405" s="58"/>
      <c r="F405" s="86" t="s">
        <v>327</v>
      </c>
      <c r="G405" s="122">
        <f>+SEPTIEMBRE!G406+'AGOSTO '!G406+JULIO!G405+'OCTUBRE '!G406+'ENERO-JUNIO 2025'!G406</f>
        <v>0</v>
      </c>
      <c r="H405" s="122">
        <f>+SEPTIEMBRE!H406+'AGOSTO '!H406+JULIO!H405+'OCTUBRE '!H406+'ENERO-JUNIO 2025'!H406</f>
        <v>0</v>
      </c>
      <c r="I405" s="122">
        <f t="shared" si="5"/>
        <v>0</v>
      </c>
      <c r="J405" s="60"/>
    </row>
    <row r="406" spans="1:10" x14ac:dyDescent="0.2">
      <c r="A406" s="61">
        <v>2</v>
      </c>
      <c r="B406" s="62">
        <v>6</v>
      </c>
      <c r="C406" s="62">
        <v>7</v>
      </c>
      <c r="D406" s="62">
        <v>1</v>
      </c>
      <c r="E406" s="63" t="s">
        <v>35</v>
      </c>
      <c r="F406" s="69" t="s">
        <v>327</v>
      </c>
      <c r="G406" s="123">
        <f>+SEPTIEMBRE!G407+'AGOSTO '!G407+JULIO!G406+'OCTUBRE '!G407+'ENERO-JUNIO 2025'!G407</f>
        <v>0</v>
      </c>
      <c r="H406" s="123">
        <f>+SEPTIEMBRE!H407+'AGOSTO '!H407+JULIO!H406+'OCTUBRE '!H407+'ENERO-JUNIO 2025'!H407</f>
        <v>0</v>
      </c>
      <c r="I406" s="123">
        <f t="shared" si="5"/>
        <v>0</v>
      </c>
      <c r="J406" s="65">
        <v>0</v>
      </c>
    </row>
    <row r="407" spans="1:10" x14ac:dyDescent="0.2">
      <c r="A407" s="72">
        <v>2</v>
      </c>
      <c r="B407" s="58">
        <v>6</v>
      </c>
      <c r="C407" s="58">
        <v>7</v>
      </c>
      <c r="D407" s="58">
        <v>2</v>
      </c>
      <c r="E407" s="58"/>
      <c r="F407" s="86" t="s">
        <v>328</v>
      </c>
      <c r="G407" s="122">
        <f>+SEPTIEMBRE!G408+'AGOSTO '!G408+JULIO!G407+'OCTUBRE '!G408+'ENERO-JUNIO 2025'!G408</f>
        <v>0</v>
      </c>
      <c r="H407" s="122">
        <f>+SEPTIEMBRE!H408+'AGOSTO '!H408+JULIO!H407+'OCTUBRE '!H408+'ENERO-JUNIO 2025'!H408</f>
        <v>0</v>
      </c>
      <c r="I407" s="122">
        <f t="shared" si="5"/>
        <v>0</v>
      </c>
      <c r="J407" s="60"/>
    </row>
    <row r="408" spans="1:10" x14ac:dyDescent="0.2">
      <c r="A408" s="74">
        <v>2</v>
      </c>
      <c r="B408" s="62">
        <v>6</v>
      </c>
      <c r="C408" s="62">
        <v>7</v>
      </c>
      <c r="D408" s="62">
        <v>2</v>
      </c>
      <c r="E408" s="63" t="s">
        <v>35</v>
      </c>
      <c r="F408" s="69" t="s">
        <v>328</v>
      </c>
      <c r="G408" s="123">
        <f>+SEPTIEMBRE!G409+'AGOSTO '!G409+JULIO!G408+'OCTUBRE '!G409+'ENERO-JUNIO 2025'!G409</f>
        <v>0</v>
      </c>
      <c r="H408" s="123">
        <f>+SEPTIEMBRE!H409+'AGOSTO '!H409+JULIO!H408+'OCTUBRE '!H409+'ENERO-JUNIO 2025'!H409</f>
        <v>0</v>
      </c>
      <c r="I408" s="123">
        <f t="shared" si="5"/>
        <v>0</v>
      </c>
      <c r="J408" s="65">
        <v>0</v>
      </c>
    </row>
    <row r="409" spans="1:10" x14ac:dyDescent="0.2">
      <c r="A409" s="72">
        <v>2</v>
      </c>
      <c r="B409" s="58">
        <v>6</v>
      </c>
      <c r="C409" s="58">
        <v>7</v>
      </c>
      <c r="D409" s="58">
        <v>3</v>
      </c>
      <c r="E409" s="58"/>
      <c r="F409" s="86" t="s">
        <v>329</v>
      </c>
      <c r="G409" s="122">
        <f>+SEPTIEMBRE!G410+'AGOSTO '!G410+JULIO!G409+'OCTUBRE '!G410+'ENERO-JUNIO 2025'!G410</f>
        <v>0</v>
      </c>
      <c r="H409" s="122">
        <f>+SEPTIEMBRE!H410+'AGOSTO '!H410+JULIO!H409+'OCTUBRE '!H410+'ENERO-JUNIO 2025'!H410</f>
        <v>0</v>
      </c>
      <c r="I409" s="122">
        <f t="shared" ref="I409:I472" si="6">+G409+H409</f>
        <v>0</v>
      </c>
      <c r="J409" s="60"/>
    </row>
    <row r="410" spans="1:10" x14ac:dyDescent="0.2">
      <c r="A410" s="74">
        <v>2</v>
      </c>
      <c r="B410" s="62">
        <v>6</v>
      </c>
      <c r="C410" s="62">
        <v>7</v>
      </c>
      <c r="D410" s="62">
        <v>3</v>
      </c>
      <c r="E410" s="63" t="s">
        <v>35</v>
      </c>
      <c r="F410" s="69" t="s">
        <v>329</v>
      </c>
      <c r="G410" s="123">
        <f>+SEPTIEMBRE!G411+'AGOSTO '!G411+JULIO!G410+'OCTUBRE '!G411+'ENERO-JUNIO 2025'!G411</f>
        <v>0</v>
      </c>
      <c r="H410" s="123">
        <f>+SEPTIEMBRE!H411+'AGOSTO '!H411+JULIO!H410+'OCTUBRE '!H411+'ENERO-JUNIO 2025'!H411</f>
        <v>0</v>
      </c>
      <c r="I410" s="123">
        <f t="shared" si="6"/>
        <v>0</v>
      </c>
      <c r="J410" s="65">
        <v>0</v>
      </c>
    </row>
    <row r="411" spans="1:10" x14ac:dyDescent="0.2">
      <c r="A411" s="72">
        <v>2</v>
      </c>
      <c r="B411" s="58">
        <v>6</v>
      </c>
      <c r="C411" s="58">
        <v>7</v>
      </c>
      <c r="D411" s="58">
        <v>4</v>
      </c>
      <c r="E411" s="58"/>
      <c r="F411" s="86" t="s">
        <v>330</v>
      </c>
      <c r="G411" s="122">
        <f>+SEPTIEMBRE!G412+'AGOSTO '!G412+JULIO!G411+'OCTUBRE '!G412+'ENERO-JUNIO 2025'!G412</f>
        <v>0</v>
      </c>
      <c r="H411" s="122">
        <f>+SEPTIEMBRE!H412+'AGOSTO '!H412+JULIO!H411+'OCTUBRE '!H412+'ENERO-JUNIO 2025'!H412</f>
        <v>0</v>
      </c>
      <c r="I411" s="122">
        <f t="shared" si="6"/>
        <v>0</v>
      </c>
      <c r="J411" s="60"/>
    </row>
    <row r="412" spans="1:10" x14ac:dyDescent="0.2">
      <c r="A412" s="74">
        <v>2</v>
      </c>
      <c r="B412" s="62">
        <v>6</v>
      </c>
      <c r="C412" s="62">
        <v>7</v>
      </c>
      <c r="D412" s="62">
        <v>4</v>
      </c>
      <c r="E412" s="63" t="s">
        <v>35</v>
      </c>
      <c r="F412" s="69" t="s">
        <v>330</v>
      </c>
      <c r="G412" s="123">
        <f>+SEPTIEMBRE!G413+'AGOSTO '!G413+JULIO!G412+'OCTUBRE '!G413+'ENERO-JUNIO 2025'!G413</f>
        <v>0</v>
      </c>
      <c r="H412" s="123">
        <f>+SEPTIEMBRE!H413+'AGOSTO '!H413+JULIO!H412+'OCTUBRE '!H413+'ENERO-JUNIO 2025'!H413</f>
        <v>0</v>
      </c>
      <c r="I412" s="123">
        <f t="shared" si="6"/>
        <v>0</v>
      </c>
      <c r="J412" s="65">
        <v>0</v>
      </c>
    </row>
    <row r="413" spans="1:10" x14ac:dyDescent="0.2">
      <c r="A413" s="72">
        <v>2</v>
      </c>
      <c r="B413" s="58">
        <v>6</v>
      </c>
      <c r="C413" s="58">
        <v>7</v>
      </c>
      <c r="D413" s="58">
        <v>5</v>
      </c>
      <c r="E413" s="58"/>
      <c r="F413" s="86" t="s">
        <v>331</v>
      </c>
      <c r="G413" s="122">
        <f>+SEPTIEMBRE!G414+'AGOSTO '!G414+JULIO!G413+'OCTUBRE '!G414+'ENERO-JUNIO 2025'!G414</f>
        <v>0</v>
      </c>
      <c r="H413" s="122">
        <f>+SEPTIEMBRE!H414+'AGOSTO '!H414+JULIO!H413+'OCTUBRE '!H414+'ENERO-JUNIO 2025'!H414</f>
        <v>0</v>
      </c>
      <c r="I413" s="122">
        <f t="shared" si="6"/>
        <v>0</v>
      </c>
      <c r="J413" s="60"/>
    </row>
    <row r="414" spans="1:10" x14ac:dyDescent="0.2">
      <c r="A414" s="74">
        <v>2</v>
      </c>
      <c r="B414" s="62">
        <v>6</v>
      </c>
      <c r="C414" s="62">
        <v>7</v>
      </c>
      <c r="D414" s="62">
        <v>5</v>
      </c>
      <c r="E414" s="63" t="s">
        <v>35</v>
      </c>
      <c r="F414" s="69" t="s">
        <v>331</v>
      </c>
      <c r="G414" s="123">
        <f>+SEPTIEMBRE!G415+'AGOSTO '!G415+JULIO!G414+'OCTUBRE '!G415+'ENERO-JUNIO 2025'!G415</f>
        <v>0</v>
      </c>
      <c r="H414" s="123">
        <f>+SEPTIEMBRE!H415+'AGOSTO '!H415+JULIO!H414+'OCTUBRE '!H415+'ENERO-JUNIO 2025'!H415</f>
        <v>0</v>
      </c>
      <c r="I414" s="123">
        <f t="shared" si="6"/>
        <v>0</v>
      </c>
      <c r="J414" s="65">
        <v>0</v>
      </c>
    </row>
    <row r="415" spans="1:10" x14ac:dyDescent="0.2">
      <c r="A415" s="72">
        <v>2</v>
      </c>
      <c r="B415" s="58">
        <v>6</v>
      </c>
      <c r="C415" s="58">
        <v>7</v>
      </c>
      <c r="D415" s="58">
        <v>6</v>
      </c>
      <c r="E415" s="58"/>
      <c r="F415" s="86" t="s">
        <v>332</v>
      </c>
      <c r="G415" s="122">
        <f>+SEPTIEMBRE!G416+'AGOSTO '!G416+JULIO!G415+'OCTUBRE '!G416+'ENERO-JUNIO 2025'!G416</f>
        <v>0</v>
      </c>
      <c r="H415" s="122">
        <f>+SEPTIEMBRE!H416+'AGOSTO '!H416+JULIO!H415+'OCTUBRE '!H416+'ENERO-JUNIO 2025'!H416</f>
        <v>0</v>
      </c>
      <c r="I415" s="122">
        <f t="shared" si="6"/>
        <v>0</v>
      </c>
      <c r="J415" s="60"/>
    </row>
    <row r="416" spans="1:10" x14ac:dyDescent="0.2">
      <c r="A416" s="74">
        <v>2</v>
      </c>
      <c r="B416" s="62">
        <v>6</v>
      </c>
      <c r="C416" s="62">
        <v>7</v>
      </c>
      <c r="D416" s="62">
        <v>6</v>
      </c>
      <c r="E416" s="63" t="s">
        <v>35</v>
      </c>
      <c r="F416" s="69" t="s">
        <v>332</v>
      </c>
      <c r="G416" s="123">
        <f>+SEPTIEMBRE!G417+'AGOSTO '!G417+JULIO!G416+'OCTUBRE '!G417+'ENERO-JUNIO 2025'!G417</f>
        <v>0</v>
      </c>
      <c r="H416" s="123">
        <f>+SEPTIEMBRE!H417+'AGOSTO '!H417+JULIO!H416+'OCTUBRE '!H417+'ENERO-JUNIO 2025'!H417</f>
        <v>0</v>
      </c>
      <c r="I416" s="123">
        <f t="shared" si="6"/>
        <v>0</v>
      </c>
      <c r="J416" s="65">
        <v>0</v>
      </c>
    </row>
    <row r="417" spans="1:10" x14ac:dyDescent="0.2">
      <c r="A417" s="72">
        <v>2</v>
      </c>
      <c r="B417" s="58">
        <v>6</v>
      </c>
      <c r="C417" s="58">
        <v>7</v>
      </c>
      <c r="D417" s="58">
        <v>7</v>
      </c>
      <c r="E417" s="58"/>
      <c r="F417" s="86" t="s">
        <v>333</v>
      </c>
      <c r="G417" s="122">
        <f>+SEPTIEMBRE!G418+'AGOSTO '!G418+JULIO!G417+'OCTUBRE '!G418+'ENERO-JUNIO 2025'!G418</f>
        <v>0</v>
      </c>
      <c r="H417" s="122">
        <f>+SEPTIEMBRE!H418+'AGOSTO '!H418+JULIO!H417+'OCTUBRE '!H418+'ENERO-JUNIO 2025'!H418</f>
        <v>0</v>
      </c>
      <c r="I417" s="122">
        <f t="shared" si="6"/>
        <v>0</v>
      </c>
      <c r="J417" s="60"/>
    </row>
    <row r="418" spans="1:10" x14ac:dyDescent="0.2">
      <c r="A418" s="74">
        <v>2</v>
      </c>
      <c r="B418" s="62">
        <v>6</v>
      </c>
      <c r="C418" s="62">
        <v>7</v>
      </c>
      <c r="D418" s="62">
        <v>7</v>
      </c>
      <c r="E418" s="63" t="s">
        <v>35</v>
      </c>
      <c r="F418" s="69" t="s">
        <v>333</v>
      </c>
      <c r="G418" s="123">
        <f>+SEPTIEMBRE!G419+'AGOSTO '!G419+JULIO!G418+'OCTUBRE '!G419+'ENERO-JUNIO 2025'!G419</f>
        <v>0</v>
      </c>
      <c r="H418" s="123">
        <f>+SEPTIEMBRE!H419+'AGOSTO '!H419+JULIO!H418+'OCTUBRE '!H419+'ENERO-JUNIO 2025'!H419</f>
        <v>0</v>
      </c>
      <c r="I418" s="123">
        <f t="shared" si="6"/>
        <v>0</v>
      </c>
      <c r="J418" s="65">
        <v>0</v>
      </c>
    </row>
    <row r="419" spans="1:10" x14ac:dyDescent="0.2">
      <c r="A419" s="72">
        <v>2</v>
      </c>
      <c r="B419" s="58">
        <v>6</v>
      </c>
      <c r="C419" s="58">
        <v>7</v>
      </c>
      <c r="D419" s="58">
        <v>8</v>
      </c>
      <c r="E419" s="58"/>
      <c r="F419" s="86" t="s">
        <v>334</v>
      </c>
      <c r="G419" s="122">
        <f>+SEPTIEMBRE!G420+'AGOSTO '!G420+JULIO!G419+'OCTUBRE '!G420+'ENERO-JUNIO 2025'!G420</f>
        <v>0</v>
      </c>
      <c r="H419" s="122">
        <f>+SEPTIEMBRE!H420+'AGOSTO '!H420+JULIO!H419+'OCTUBRE '!H420+'ENERO-JUNIO 2025'!H420</f>
        <v>0</v>
      </c>
      <c r="I419" s="122">
        <f t="shared" si="6"/>
        <v>0</v>
      </c>
      <c r="J419" s="60"/>
    </row>
    <row r="420" spans="1:10" x14ac:dyDescent="0.2">
      <c r="A420" s="74">
        <v>2</v>
      </c>
      <c r="B420" s="62">
        <v>6</v>
      </c>
      <c r="C420" s="62">
        <v>7</v>
      </c>
      <c r="D420" s="62">
        <v>8</v>
      </c>
      <c r="E420" s="63" t="s">
        <v>35</v>
      </c>
      <c r="F420" s="69" t="s">
        <v>334</v>
      </c>
      <c r="G420" s="123">
        <f>+SEPTIEMBRE!G421+'AGOSTO '!G421+JULIO!G420+'OCTUBRE '!G421+'ENERO-JUNIO 2025'!G421</f>
        <v>0</v>
      </c>
      <c r="H420" s="123">
        <f>+SEPTIEMBRE!H421+'AGOSTO '!H421+JULIO!H420+'OCTUBRE '!H421+'ENERO-JUNIO 2025'!H421</f>
        <v>0</v>
      </c>
      <c r="I420" s="123">
        <f t="shared" si="6"/>
        <v>0</v>
      </c>
      <c r="J420" s="65">
        <v>0</v>
      </c>
    </row>
    <row r="421" spans="1:10" ht="25.5" x14ac:dyDescent="0.2">
      <c r="A421" s="72">
        <v>2</v>
      </c>
      <c r="B421" s="58">
        <v>6</v>
      </c>
      <c r="C421" s="58">
        <v>7</v>
      </c>
      <c r="D421" s="58">
        <v>9</v>
      </c>
      <c r="E421" s="58"/>
      <c r="F421" s="86" t="s">
        <v>335</v>
      </c>
      <c r="G421" s="122">
        <f>+SEPTIEMBRE!G422+'AGOSTO '!G422+JULIO!G421+'OCTUBRE '!G422+'ENERO-JUNIO 2025'!G422</f>
        <v>0</v>
      </c>
      <c r="H421" s="122">
        <f>+SEPTIEMBRE!H422+'AGOSTO '!H422+JULIO!H421+'OCTUBRE '!H422+'ENERO-JUNIO 2025'!H422</f>
        <v>0</v>
      </c>
      <c r="I421" s="122">
        <f t="shared" si="6"/>
        <v>0</v>
      </c>
      <c r="J421" s="60"/>
    </row>
    <row r="422" spans="1:10" ht="25.5" x14ac:dyDescent="0.2">
      <c r="A422" s="74">
        <v>2</v>
      </c>
      <c r="B422" s="62">
        <v>6</v>
      </c>
      <c r="C422" s="62">
        <v>7</v>
      </c>
      <c r="D422" s="62">
        <v>9</v>
      </c>
      <c r="E422" s="63" t="s">
        <v>35</v>
      </c>
      <c r="F422" s="69" t="s">
        <v>335</v>
      </c>
      <c r="G422" s="123">
        <f>+SEPTIEMBRE!G423+'AGOSTO '!G423+JULIO!G422+'OCTUBRE '!G423+'ENERO-JUNIO 2025'!G423</f>
        <v>0</v>
      </c>
      <c r="H422" s="123">
        <f>+SEPTIEMBRE!H423+'AGOSTO '!H423+JULIO!H422+'OCTUBRE '!H423+'ENERO-JUNIO 2025'!H423</f>
        <v>0</v>
      </c>
      <c r="I422" s="123">
        <f t="shared" si="6"/>
        <v>0</v>
      </c>
      <c r="J422" s="65">
        <v>0</v>
      </c>
    </row>
    <row r="423" spans="1:10" x14ac:dyDescent="0.2">
      <c r="A423" s="70">
        <v>2</v>
      </c>
      <c r="B423" s="55">
        <v>6</v>
      </c>
      <c r="C423" s="55">
        <v>8</v>
      </c>
      <c r="D423" s="55"/>
      <c r="E423" s="55"/>
      <c r="F423" s="85" t="s">
        <v>336</v>
      </c>
      <c r="G423" s="121">
        <f>+SEPTIEMBRE!G424+'AGOSTO '!G424+JULIO!G423+'OCTUBRE '!G424+'ENERO-JUNIO 2025'!G424</f>
        <v>0</v>
      </c>
      <c r="H423" s="121">
        <f>+SEPTIEMBRE!H424+'AGOSTO '!H424+JULIO!H423+'OCTUBRE '!H424+'ENERO-JUNIO 2025'!H424</f>
        <v>0</v>
      </c>
      <c r="I423" s="121">
        <f t="shared" si="6"/>
        <v>0</v>
      </c>
      <c r="J423" s="53"/>
    </row>
    <row r="424" spans="1:10" x14ac:dyDescent="0.2">
      <c r="A424" s="72">
        <v>2</v>
      </c>
      <c r="B424" s="58">
        <v>6</v>
      </c>
      <c r="C424" s="58">
        <v>8</v>
      </c>
      <c r="D424" s="58">
        <v>1</v>
      </c>
      <c r="E424" s="58"/>
      <c r="F424" s="86" t="s">
        <v>337</v>
      </c>
      <c r="G424" s="122">
        <f>+SEPTIEMBRE!G425+'AGOSTO '!G425+JULIO!G424+'OCTUBRE '!G425+'ENERO-JUNIO 2025'!G425</f>
        <v>0</v>
      </c>
      <c r="H424" s="122">
        <f>+SEPTIEMBRE!H425+'AGOSTO '!H425+JULIO!H424+'OCTUBRE '!H425+'ENERO-JUNIO 2025'!H425</f>
        <v>0</v>
      </c>
      <c r="I424" s="122">
        <f t="shared" si="6"/>
        <v>0</v>
      </c>
      <c r="J424" s="60"/>
    </row>
    <row r="425" spans="1:10" x14ac:dyDescent="0.2">
      <c r="A425" s="74">
        <v>2</v>
      </c>
      <c r="B425" s="62">
        <v>6</v>
      </c>
      <c r="C425" s="62">
        <v>8</v>
      </c>
      <c r="D425" s="62">
        <v>1</v>
      </c>
      <c r="E425" s="63" t="s">
        <v>35</v>
      </c>
      <c r="F425" s="69" t="s">
        <v>337</v>
      </c>
      <c r="G425" s="123">
        <f>+SEPTIEMBRE!G426+'AGOSTO '!G426+JULIO!G425+'OCTUBRE '!G426+'ENERO-JUNIO 2025'!G426</f>
        <v>0</v>
      </c>
      <c r="H425" s="123">
        <f>+SEPTIEMBRE!H426+'AGOSTO '!H426+JULIO!H425+'OCTUBRE '!H426+'ENERO-JUNIO 2025'!H426</f>
        <v>0</v>
      </c>
      <c r="I425" s="123">
        <f t="shared" si="6"/>
        <v>0</v>
      </c>
      <c r="J425" s="65">
        <v>0</v>
      </c>
    </row>
    <row r="426" spans="1:10" x14ac:dyDescent="0.2">
      <c r="A426" s="72">
        <v>2</v>
      </c>
      <c r="B426" s="58">
        <v>6</v>
      </c>
      <c r="C426" s="58">
        <v>8</v>
      </c>
      <c r="D426" s="58">
        <v>2</v>
      </c>
      <c r="E426" s="58"/>
      <c r="F426" s="86" t="s">
        <v>338</v>
      </c>
      <c r="G426" s="122">
        <f>+SEPTIEMBRE!G427+'AGOSTO '!G427+JULIO!G426+'OCTUBRE '!G427+'ENERO-JUNIO 2025'!G427</f>
        <v>0</v>
      </c>
      <c r="H426" s="122">
        <f>+SEPTIEMBRE!H427+'AGOSTO '!H427+JULIO!H426+'OCTUBRE '!H427+'ENERO-JUNIO 2025'!H427</f>
        <v>0</v>
      </c>
      <c r="I426" s="122">
        <f t="shared" si="6"/>
        <v>0</v>
      </c>
      <c r="J426" s="60"/>
    </row>
    <row r="427" spans="1:10" x14ac:dyDescent="0.2">
      <c r="A427" s="74">
        <v>2</v>
      </c>
      <c r="B427" s="62">
        <v>6</v>
      </c>
      <c r="C427" s="62">
        <v>8</v>
      </c>
      <c r="D427" s="62">
        <v>2</v>
      </c>
      <c r="E427" s="63" t="s">
        <v>35</v>
      </c>
      <c r="F427" s="69" t="s">
        <v>338</v>
      </c>
      <c r="G427" s="123">
        <f>+SEPTIEMBRE!G428+'AGOSTO '!G428+JULIO!G427+'OCTUBRE '!G428+'ENERO-JUNIO 2025'!G428</f>
        <v>0</v>
      </c>
      <c r="H427" s="123">
        <f>+SEPTIEMBRE!H428+'AGOSTO '!H428+JULIO!H427+'OCTUBRE '!H428+'ENERO-JUNIO 2025'!H428</f>
        <v>0</v>
      </c>
      <c r="I427" s="123">
        <f t="shared" si="6"/>
        <v>0</v>
      </c>
      <c r="J427" s="65">
        <v>0</v>
      </c>
    </row>
    <row r="428" spans="1:10" x14ac:dyDescent="0.2">
      <c r="A428" s="72">
        <v>2</v>
      </c>
      <c r="B428" s="58">
        <v>6</v>
      </c>
      <c r="C428" s="58">
        <v>8</v>
      </c>
      <c r="D428" s="58">
        <v>3</v>
      </c>
      <c r="E428" s="58"/>
      <c r="F428" s="86" t="s">
        <v>339</v>
      </c>
      <c r="G428" s="122">
        <f>+SEPTIEMBRE!G429+'AGOSTO '!G429+JULIO!G428+'OCTUBRE '!G429+'ENERO-JUNIO 2025'!G429</f>
        <v>0</v>
      </c>
      <c r="H428" s="122">
        <f>+SEPTIEMBRE!H429+'AGOSTO '!H429+JULIO!H428+'OCTUBRE '!H429+'ENERO-JUNIO 2025'!H429</f>
        <v>0</v>
      </c>
      <c r="I428" s="122">
        <f t="shared" si="6"/>
        <v>0</v>
      </c>
      <c r="J428" s="60"/>
    </row>
    <row r="429" spans="1:10" x14ac:dyDescent="0.2">
      <c r="A429" s="74">
        <v>2</v>
      </c>
      <c r="B429" s="62">
        <v>6</v>
      </c>
      <c r="C429" s="62">
        <v>8</v>
      </c>
      <c r="D429" s="62">
        <v>3</v>
      </c>
      <c r="E429" s="63" t="s">
        <v>35</v>
      </c>
      <c r="F429" s="69" t="s">
        <v>340</v>
      </c>
      <c r="G429" s="123">
        <f>+SEPTIEMBRE!G430+'AGOSTO '!G430+JULIO!G429+'OCTUBRE '!G430+'ENERO-JUNIO 2025'!G430</f>
        <v>0</v>
      </c>
      <c r="H429" s="123">
        <f>+SEPTIEMBRE!H430+'AGOSTO '!H430+JULIO!H429+'OCTUBRE '!H430+'ENERO-JUNIO 2025'!H430</f>
        <v>0</v>
      </c>
      <c r="I429" s="123">
        <f t="shared" si="6"/>
        <v>0</v>
      </c>
      <c r="J429" s="65">
        <v>0</v>
      </c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37</v>
      </c>
      <c r="F430" s="69" t="s">
        <v>341</v>
      </c>
      <c r="G430" s="123">
        <f>+SEPTIEMBRE!G431+'AGOSTO '!G431+JULIO!G430+'OCTUBRE '!G431+'ENERO-JUNIO 2025'!G431</f>
        <v>0</v>
      </c>
      <c r="H430" s="123">
        <f>+SEPTIEMBRE!H431+'AGOSTO '!H431+JULIO!H430+'OCTUBRE '!H431+'ENERO-JUNIO 2025'!H431</f>
        <v>0</v>
      </c>
      <c r="I430" s="123">
        <f t="shared" si="6"/>
        <v>0</v>
      </c>
      <c r="J430" s="65">
        <v>0</v>
      </c>
    </row>
    <row r="431" spans="1:10" x14ac:dyDescent="0.2">
      <c r="A431" s="72">
        <v>2</v>
      </c>
      <c r="B431" s="58">
        <v>6</v>
      </c>
      <c r="C431" s="58">
        <v>8</v>
      </c>
      <c r="D431" s="58">
        <v>4</v>
      </c>
      <c r="E431" s="58"/>
      <c r="F431" s="86" t="s">
        <v>342</v>
      </c>
      <c r="G431" s="122">
        <f>+SEPTIEMBRE!G432+'AGOSTO '!G432+JULIO!G431+'OCTUBRE '!G432+'ENERO-JUNIO 2025'!G432</f>
        <v>0</v>
      </c>
      <c r="H431" s="122">
        <f>+SEPTIEMBRE!H432+'AGOSTO '!H432+JULIO!H431+'OCTUBRE '!H432+'ENERO-JUNIO 2025'!H432</f>
        <v>0</v>
      </c>
      <c r="I431" s="122">
        <f t="shared" si="6"/>
        <v>0</v>
      </c>
      <c r="J431" s="60"/>
    </row>
    <row r="432" spans="1:10" ht="12.75" customHeight="1" x14ac:dyDescent="0.2">
      <c r="A432" s="74">
        <v>2</v>
      </c>
      <c r="B432" s="62">
        <v>6</v>
      </c>
      <c r="C432" s="62">
        <v>8</v>
      </c>
      <c r="D432" s="62">
        <v>4</v>
      </c>
      <c r="E432" s="63" t="s">
        <v>35</v>
      </c>
      <c r="F432" s="69" t="s">
        <v>342</v>
      </c>
      <c r="G432" s="123">
        <f>+SEPTIEMBRE!G433+'AGOSTO '!G433+JULIO!G432+'OCTUBRE '!G433+'ENERO-JUNIO 2025'!G433</f>
        <v>0</v>
      </c>
      <c r="H432" s="123">
        <f>+SEPTIEMBRE!H433+'AGOSTO '!H433+JULIO!H432+'OCTUBRE '!H433+'ENERO-JUNIO 2025'!H433</f>
        <v>0</v>
      </c>
      <c r="I432" s="123">
        <f t="shared" si="6"/>
        <v>0</v>
      </c>
      <c r="J432" s="65">
        <v>0</v>
      </c>
    </row>
    <row r="433" spans="1:10" ht="12.75" customHeight="1" x14ac:dyDescent="0.2">
      <c r="A433" s="72">
        <v>2</v>
      </c>
      <c r="B433" s="58">
        <v>6</v>
      </c>
      <c r="C433" s="58">
        <v>8</v>
      </c>
      <c r="D433" s="58">
        <v>5</v>
      </c>
      <c r="E433" s="58"/>
      <c r="F433" s="86" t="s">
        <v>343</v>
      </c>
      <c r="G433" s="122">
        <f>+SEPTIEMBRE!G434+'AGOSTO '!G434+JULIO!G433+'OCTUBRE '!G434+'ENERO-JUNIO 2025'!G434</f>
        <v>0</v>
      </c>
      <c r="H433" s="122">
        <f>+SEPTIEMBRE!H434+'AGOSTO '!H434+JULIO!H433+'OCTUBRE '!H434+'ENERO-JUNIO 2025'!H434</f>
        <v>0</v>
      </c>
      <c r="I433" s="122">
        <f t="shared" si="6"/>
        <v>0</v>
      </c>
      <c r="J433" s="60"/>
    </row>
    <row r="434" spans="1:10" x14ac:dyDescent="0.2">
      <c r="A434" s="74">
        <v>2</v>
      </c>
      <c r="B434" s="62">
        <v>6</v>
      </c>
      <c r="C434" s="62">
        <v>8</v>
      </c>
      <c r="D434" s="62">
        <v>5</v>
      </c>
      <c r="E434" s="63" t="s">
        <v>35</v>
      </c>
      <c r="F434" s="69" t="s">
        <v>343</v>
      </c>
      <c r="G434" s="123">
        <f>+SEPTIEMBRE!G435+'AGOSTO '!G435+JULIO!G434+'OCTUBRE '!G435+'ENERO-JUNIO 2025'!G435</f>
        <v>0</v>
      </c>
      <c r="H434" s="123">
        <f>+SEPTIEMBRE!H435+'AGOSTO '!H435+JULIO!H434+'OCTUBRE '!H435+'ENERO-JUNIO 2025'!H435</f>
        <v>0</v>
      </c>
      <c r="I434" s="123">
        <f t="shared" si="6"/>
        <v>0</v>
      </c>
      <c r="J434" s="65">
        <v>0</v>
      </c>
    </row>
    <row r="435" spans="1:10" x14ac:dyDescent="0.2">
      <c r="A435" s="72">
        <v>2</v>
      </c>
      <c r="B435" s="58">
        <v>6</v>
      </c>
      <c r="C435" s="58">
        <v>8</v>
      </c>
      <c r="D435" s="58">
        <v>6</v>
      </c>
      <c r="E435" s="58"/>
      <c r="F435" s="86" t="s">
        <v>344</v>
      </c>
      <c r="G435" s="122">
        <f>+SEPTIEMBRE!G436+'AGOSTO '!G436+JULIO!G435+'OCTUBRE '!G436+'ENERO-JUNIO 2025'!G436</f>
        <v>0</v>
      </c>
      <c r="H435" s="122">
        <f>+SEPTIEMBRE!H436+'AGOSTO '!H436+JULIO!H435+'OCTUBRE '!H436+'ENERO-JUNIO 2025'!H436</f>
        <v>0</v>
      </c>
      <c r="I435" s="122">
        <f t="shared" si="6"/>
        <v>0</v>
      </c>
      <c r="J435" s="60"/>
    </row>
    <row r="436" spans="1:10" x14ac:dyDescent="0.2">
      <c r="A436" s="74">
        <v>2</v>
      </c>
      <c r="B436" s="62">
        <v>6</v>
      </c>
      <c r="C436" s="62">
        <v>8</v>
      </c>
      <c r="D436" s="62">
        <v>6</v>
      </c>
      <c r="E436" s="63" t="s">
        <v>35</v>
      </c>
      <c r="F436" s="69" t="s">
        <v>344</v>
      </c>
      <c r="G436" s="123">
        <f>+SEPTIEMBRE!G437+'AGOSTO '!G437+JULIO!G436+'OCTUBRE '!G437+'ENERO-JUNIO 2025'!G437</f>
        <v>0</v>
      </c>
      <c r="H436" s="123">
        <f>+SEPTIEMBRE!H437+'AGOSTO '!H437+JULIO!H436+'OCTUBRE '!H437+'ENERO-JUNIO 2025'!H437</f>
        <v>0</v>
      </c>
      <c r="I436" s="123">
        <f t="shared" si="6"/>
        <v>0</v>
      </c>
      <c r="J436" s="65">
        <v>0</v>
      </c>
    </row>
    <row r="437" spans="1:10" x14ac:dyDescent="0.2">
      <c r="A437" s="72">
        <v>2</v>
      </c>
      <c r="B437" s="58">
        <v>6</v>
      </c>
      <c r="C437" s="58">
        <v>8</v>
      </c>
      <c r="D437" s="58">
        <v>7</v>
      </c>
      <c r="E437" s="58"/>
      <c r="F437" s="86" t="s">
        <v>345</v>
      </c>
      <c r="G437" s="122">
        <f>+SEPTIEMBRE!G438+'AGOSTO '!G438+JULIO!G437+'OCTUBRE '!G438+'ENERO-JUNIO 2025'!G438</f>
        <v>0</v>
      </c>
      <c r="H437" s="122">
        <f>+SEPTIEMBRE!H438+'AGOSTO '!H438+JULIO!H437+'OCTUBRE '!H438+'ENERO-JUNIO 2025'!H438</f>
        <v>0</v>
      </c>
      <c r="I437" s="122">
        <f t="shared" si="6"/>
        <v>0</v>
      </c>
      <c r="J437" s="60"/>
    </row>
    <row r="438" spans="1:10" x14ac:dyDescent="0.2">
      <c r="A438" s="74">
        <v>2</v>
      </c>
      <c r="B438" s="62">
        <v>6</v>
      </c>
      <c r="C438" s="62">
        <v>8</v>
      </c>
      <c r="D438" s="62">
        <v>7</v>
      </c>
      <c r="E438" s="63" t="s">
        <v>35</v>
      </c>
      <c r="F438" s="69" t="s">
        <v>345</v>
      </c>
      <c r="G438" s="123">
        <f>+SEPTIEMBRE!G439+'AGOSTO '!G439+JULIO!G438+'OCTUBRE '!G439+'ENERO-JUNIO 2025'!G439</f>
        <v>0</v>
      </c>
      <c r="H438" s="123">
        <f>+SEPTIEMBRE!H439+'AGOSTO '!H439+JULIO!H438+'OCTUBRE '!H439+'ENERO-JUNIO 2025'!H439</f>
        <v>0</v>
      </c>
      <c r="I438" s="123">
        <f t="shared" si="6"/>
        <v>0</v>
      </c>
      <c r="J438" s="65">
        <v>0</v>
      </c>
    </row>
    <row r="439" spans="1:10" x14ac:dyDescent="0.2">
      <c r="A439" s="57">
        <v>2</v>
      </c>
      <c r="B439" s="58">
        <v>6</v>
      </c>
      <c r="C439" s="58">
        <v>8</v>
      </c>
      <c r="D439" s="58">
        <v>8</v>
      </c>
      <c r="E439" s="58"/>
      <c r="F439" s="86" t="s">
        <v>346</v>
      </c>
      <c r="G439" s="122">
        <f>+SEPTIEMBRE!G440+'AGOSTO '!G440+JULIO!G439+'OCTUBRE '!G440+'ENERO-JUNIO 2025'!G440</f>
        <v>0</v>
      </c>
      <c r="H439" s="122">
        <f>+SEPTIEMBRE!H440+'AGOSTO '!H440+JULIO!H439+'OCTUBRE '!H440+'ENERO-JUNIO 2025'!H440</f>
        <v>0</v>
      </c>
      <c r="I439" s="122">
        <f t="shared" si="6"/>
        <v>0</v>
      </c>
      <c r="J439" s="60"/>
    </row>
    <row r="440" spans="1:10" x14ac:dyDescent="0.2">
      <c r="A440" s="74">
        <v>2</v>
      </c>
      <c r="B440" s="62">
        <v>6</v>
      </c>
      <c r="C440" s="62">
        <v>8</v>
      </c>
      <c r="D440" s="62">
        <v>8</v>
      </c>
      <c r="E440" s="62" t="s">
        <v>347</v>
      </c>
      <c r="F440" s="69" t="s">
        <v>348</v>
      </c>
      <c r="G440" s="123">
        <f>+SEPTIEMBRE!G441+'AGOSTO '!G441+JULIO!G440+'OCTUBRE '!G441+'ENERO-JUNIO 2025'!G441</f>
        <v>0</v>
      </c>
      <c r="H440" s="123">
        <f>+SEPTIEMBRE!H441+'AGOSTO '!H441+JULIO!H440+'OCTUBRE '!H441+'ENERO-JUNIO 2025'!H441</f>
        <v>0</v>
      </c>
      <c r="I440" s="123">
        <f t="shared" si="6"/>
        <v>0</v>
      </c>
      <c r="J440" s="65">
        <v>0</v>
      </c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349</v>
      </c>
      <c r="F441" s="69" t="s">
        <v>350</v>
      </c>
      <c r="G441" s="123">
        <f>+SEPTIEMBRE!G442+'AGOSTO '!G442+JULIO!G441+'OCTUBRE '!G442+'ENERO-JUNIO 2025'!G442</f>
        <v>0</v>
      </c>
      <c r="H441" s="123">
        <f>+SEPTIEMBRE!H442+'AGOSTO '!H442+JULIO!H441+'OCTUBRE '!H442+'ENERO-JUNIO 2025'!H442</f>
        <v>0</v>
      </c>
      <c r="I441" s="123">
        <f t="shared" si="6"/>
        <v>0</v>
      </c>
      <c r="J441" s="65"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351</v>
      </c>
      <c r="F442" s="69" t="s">
        <v>352</v>
      </c>
      <c r="G442" s="123">
        <f>+SEPTIEMBRE!G443+'AGOSTO '!G443+JULIO!G442+'OCTUBRE '!G443+'ENERO-JUNIO 2025'!G443</f>
        <v>0</v>
      </c>
      <c r="H442" s="123">
        <f>+SEPTIEMBRE!H443+'AGOSTO '!H443+JULIO!H442+'OCTUBRE '!H443+'ENERO-JUNIO 2025'!H443</f>
        <v>0</v>
      </c>
      <c r="I442" s="123">
        <f t="shared" si="6"/>
        <v>0</v>
      </c>
      <c r="J442" s="65">
        <v>0</v>
      </c>
    </row>
    <row r="443" spans="1:10" x14ac:dyDescent="0.2">
      <c r="A443" s="72">
        <v>2</v>
      </c>
      <c r="B443" s="58">
        <v>6</v>
      </c>
      <c r="C443" s="58">
        <v>8</v>
      </c>
      <c r="D443" s="58">
        <v>9</v>
      </c>
      <c r="E443" s="58"/>
      <c r="F443" s="86" t="s">
        <v>353</v>
      </c>
      <c r="G443" s="122">
        <f>+SEPTIEMBRE!G444+'AGOSTO '!G444+JULIO!G443+'OCTUBRE '!G444+'ENERO-JUNIO 2025'!G444</f>
        <v>0</v>
      </c>
      <c r="H443" s="122">
        <f>+SEPTIEMBRE!H444+'AGOSTO '!H444+JULIO!H443+'OCTUBRE '!H444+'ENERO-JUNIO 2025'!H444</f>
        <v>0</v>
      </c>
      <c r="I443" s="122">
        <f t="shared" si="6"/>
        <v>0</v>
      </c>
      <c r="J443" s="60"/>
    </row>
    <row r="444" spans="1:10" x14ac:dyDescent="0.2">
      <c r="A444" s="74">
        <v>2</v>
      </c>
      <c r="B444" s="62">
        <v>6</v>
      </c>
      <c r="C444" s="62">
        <v>8</v>
      </c>
      <c r="D444" s="62">
        <v>9</v>
      </c>
      <c r="E444" s="62" t="s">
        <v>324</v>
      </c>
      <c r="F444" s="69" t="s">
        <v>353</v>
      </c>
      <c r="G444" s="123">
        <f>+SEPTIEMBRE!G445+'AGOSTO '!G445+JULIO!G444+'OCTUBRE '!G445+'ENERO-JUNIO 2025'!G445</f>
        <v>0</v>
      </c>
      <c r="H444" s="123">
        <f>+SEPTIEMBRE!H445+'AGOSTO '!H445+JULIO!H444+'OCTUBRE '!H445+'ENERO-JUNIO 2025'!H445</f>
        <v>0</v>
      </c>
      <c r="I444" s="123">
        <f t="shared" si="6"/>
        <v>0</v>
      </c>
      <c r="J444" s="65">
        <v>0</v>
      </c>
    </row>
    <row r="445" spans="1:10" x14ac:dyDescent="0.2">
      <c r="A445" s="54">
        <v>2</v>
      </c>
      <c r="B445" s="55">
        <v>6</v>
      </c>
      <c r="C445" s="55">
        <v>9</v>
      </c>
      <c r="D445" s="55"/>
      <c r="E445" s="78"/>
      <c r="F445" s="85" t="s">
        <v>354</v>
      </c>
      <c r="G445" s="121">
        <f>+SEPTIEMBRE!G446+'AGOSTO '!G446+JULIO!G445+'OCTUBRE '!G446+'ENERO-JUNIO 2025'!G446</f>
        <v>0</v>
      </c>
      <c r="H445" s="121">
        <f>+SEPTIEMBRE!H446+'AGOSTO '!H446+JULIO!H445+'OCTUBRE '!H446+'ENERO-JUNIO 2025'!H446</f>
        <v>0</v>
      </c>
      <c r="I445" s="121">
        <f t="shared" si="6"/>
        <v>0</v>
      </c>
      <c r="J445" s="53"/>
    </row>
    <row r="446" spans="1:10" x14ac:dyDescent="0.2">
      <c r="A446" s="72">
        <v>2</v>
      </c>
      <c r="B446" s="58">
        <v>6</v>
      </c>
      <c r="C446" s="58">
        <v>9</v>
      </c>
      <c r="D446" s="58">
        <v>1</v>
      </c>
      <c r="E446" s="58"/>
      <c r="F446" s="86" t="s">
        <v>355</v>
      </c>
      <c r="G446" s="122">
        <f>+SEPTIEMBRE!G447+'AGOSTO '!G447+JULIO!G446+'OCTUBRE '!G447+'ENERO-JUNIO 2025'!G447</f>
        <v>0</v>
      </c>
      <c r="H446" s="122">
        <f>+SEPTIEMBRE!H447+'AGOSTO '!H447+JULIO!H446+'OCTUBRE '!H447+'ENERO-JUNIO 2025'!H447</f>
        <v>0</v>
      </c>
      <c r="I446" s="122">
        <f t="shared" si="6"/>
        <v>0</v>
      </c>
      <c r="J446" s="59"/>
    </row>
    <row r="447" spans="1:10" x14ac:dyDescent="0.2">
      <c r="A447" s="89">
        <v>2</v>
      </c>
      <c r="B447" s="90">
        <v>6</v>
      </c>
      <c r="C447" s="90">
        <v>9</v>
      </c>
      <c r="D447" s="90">
        <v>1</v>
      </c>
      <c r="E447" s="90" t="s">
        <v>35</v>
      </c>
      <c r="F447" s="91" t="s">
        <v>355</v>
      </c>
      <c r="G447" s="129">
        <f>+SEPTIEMBRE!G448+'AGOSTO '!G448+JULIO!G447+'OCTUBRE '!G448+'ENERO-JUNIO 2025'!G448</f>
        <v>0</v>
      </c>
      <c r="H447" s="129">
        <f>+SEPTIEMBRE!H448+'AGOSTO '!H448+JULIO!H447+'OCTUBRE '!H448+'ENERO-JUNIO 2025'!H448</f>
        <v>0</v>
      </c>
      <c r="I447" s="129">
        <f t="shared" si="6"/>
        <v>0</v>
      </c>
      <c r="J447" s="65">
        <v>0</v>
      </c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37</v>
      </c>
      <c r="F448" s="91" t="s">
        <v>356</v>
      </c>
      <c r="G448" s="129">
        <f>+SEPTIEMBRE!G449+'AGOSTO '!G449+JULIO!G448+'OCTUBRE '!G449+'ENERO-JUNIO 2025'!G449</f>
        <v>0</v>
      </c>
      <c r="H448" s="129">
        <f>+SEPTIEMBRE!H449+'AGOSTO '!H449+JULIO!H448+'OCTUBRE '!H449+'ENERO-JUNIO 2025'!H449</f>
        <v>0</v>
      </c>
      <c r="I448" s="129">
        <f t="shared" si="6"/>
        <v>0</v>
      </c>
      <c r="J448" s="65">
        <v>0</v>
      </c>
    </row>
    <row r="449" spans="1:10" x14ac:dyDescent="0.2">
      <c r="A449" s="72">
        <v>2</v>
      </c>
      <c r="B449" s="58">
        <v>6</v>
      </c>
      <c r="C449" s="58">
        <v>9</v>
      </c>
      <c r="D449" s="58">
        <v>2</v>
      </c>
      <c r="E449" s="58"/>
      <c r="F449" s="86" t="s">
        <v>357</v>
      </c>
      <c r="G449" s="122">
        <f>+SEPTIEMBRE!G450+'AGOSTO '!G450+JULIO!G449+'OCTUBRE '!G450+'ENERO-JUNIO 2025'!G450</f>
        <v>0</v>
      </c>
      <c r="H449" s="122">
        <f>+SEPTIEMBRE!H450+'AGOSTO '!H450+JULIO!H449+'OCTUBRE '!H450+'ENERO-JUNIO 2025'!H450</f>
        <v>0</v>
      </c>
      <c r="I449" s="122">
        <f t="shared" si="6"/>
        <v>0</v>
      </c>
      <c r="J449" s="60"/>
    </row>
    <row r="450" spans="1:10" x14ac:dyDescent="0.2">
      <c r="A450" s="74">
        <v>2</v>
      </c>
      <c r="B450" s="62">
        <v>6</v>
      </c>
      <c r="C450" s="62">
        <v>9</v>
      </c>
      <c r="D450" s="62">
        <v>2</v>
      </c>
      <c r="E450" s="63" t="s">
        <v>35</v>
      </c>
      <c r="F450" s="69" t="s">
        <v>357</v>
      </c>
      <c r="G450" s="123">
        <f>+SEPTIEMBRE!G451+'AGOSTO '!G451+JULIO!G450+'OCTUBRE '!G451+'ENERO-JUNIO 2025'!G451</f>
        <v>0</v>
      </c>
      <c r="H450" s="123">
        <f>+SEPTIEMBRE!H451+'AGOSTO '!H451+JULIO!H450+'OCTUBRE '!H451+'ENERO-JUNIO 2025'!H451</f>
        <v>0</v>
      </c>
      <c r="I450" s="123">
        <f t="shared" si="6"/>
        <v>0</v>
      </c>
      <c r="J450" s="65">
        <v>0</v>
      </c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37</v>
      </c>
      <c r="F451" s="69" t="s">
        <v>358</v>
      </c>
      <c r="G451" s="123">
        <f>+SEPTIEMBRE!G452+'AGOSTO '!G452+JULIO!G451+'OCTUBRE '!G452+'ENERO-JUNIO 2025'!G452</f>
        <v>0</v>
      </c>
      <c r="H451" s="123">
        <f>+SEPTIEMBRE!H452+'AGOSTO '!H452+JULIO!H451+'OCTUBRE '!H452+'ENERO-JUNIO 2025'!H452</f>
        <v>0</v>
      </c>
      <c r="I451" s="123">
        <f t="shared" si="6"/>
        <v>0</v>
      </c>
      <c r="J451" s="65">
        <v>0</v>
      </c>
    </row>
    <row r="452" spans="1:10" x14ac:dyDescent="0.2">
      <c r="A452" s="72">
        <v>2</v>
      </c>
      <c r="B452" s="58">
        <v>6</v>
      </c>
      <c r="C452" s="58">
        <v>9</v>
      </c>
      <c r="D452" s="58">
        <v>3</v>
      </c>
      <c r="E452" s="58"/>
      <c r="F452" s="86" t="s">
        <v>359</v>
      </c>
      <c r="G452" s="122">
        <f>+SEPTIEMBRE!G453+'AGOSTO '!G453+JULIO!G452+'OCTUBRE '!G453+'ENERO-JUNIO 2025'!G453</f>
        <v>0</v>
      </c>
      <c r="H452" s="122">
        <f>+SEPTIEMBRE!H453+'AGOSTO '!H453+JULIO!H452+'OCTUBRE '!H453+'ENERO-JUNIO 2025'!H453</f>
        <v>0</v>
      </c>
      <c r="I452" s="122">
        <f t="shared" si="6"/>
        <v>0</v>
      </c>
      <c r="J452" s="59"/>
    </row>
    <row r="453" spans="1:10" x14ac:dyDescent="0.2">
      <c r="A453" s="74">
        <v>2</v>
      </c>
      <c r="B453" s="62">
        <v>6</v>
      </c>
      <c r="C453" s="62">
        <v>9</v>
      </c>
      <c r="D453" s="62">
        <v>3</v>
      </c>
      <c r="E453" s="63" t="s">
        <v>35</v>
      </c>
      <c r="F453" s="69" t="s">
        <v>359</v>
      </c>
      <c r="G453" s="123">
        <f>+SEPTIEMBRE!G454+'AGOSTO '!G454+JULIO!G453+'OCTUBRE '!G454+'ENERO-JUNIO 2025'!G454</f>
        <v>0</v>
      </c>
      <c r="H453" s="123">
        <f>+SEPTIEMBRE!H454+'AGOSTO '!H454+JULIO!H453+'OCTUBRE '!H454+'ENERO-JUNIO 2025'!H454</f>
        <v>0</v>
      </c>
      <c r="I453" s="123">
        <f t="shared" si="6"/>
        <v>0</v>
      </c>
      <c r="J453" s="65">
        <v>0</v>
      </c>
    </row>
    <row r="454" spans="1:10" x14ac:dyDescent="0.2">
      <c r="A454" s="72">
        <v>2</v>
      </c>
      <c r="B454" s="58">
        <v>6</v>
      </c>
      <c r="C454" s="58">
        <v>9</v>
      </c>
      <c r="D454" s="58">
        <v>4</v>
      </c>
      <c r="E454" s="58"/>
      <c r="F454" s="86" t="s">
        <v>360</v>
      </c>
      <c r="G454" s="122">
        <f>+SEPTIEMBRE!G455+'AGOSTO '!G455+JULIO!G454+'OCTUBRE '!G455+'ENERO-JUNIO 2025'!G455</f>
        <v>0</v>
      </c>
      <c r="H454" s="122">
        <f>+SEPTIEMBRE!H455+'AGOSTO '!H455+JULIO!H454+'OCTUBRE '!H455+'ENERO-JUNIO 2025'!H455</f>
        <v>0</v>
      </c>
      <c r="I454" s="122">
        <f t="shared" si="6"/>
        <v>0</v>
      </c>
      <c r="J454" s="60"/>
    </row>
    <row r="455" spans="1:10" x14ac:dyDescent="0.2">
      <c r="A455" s="74">
        <v>2</v>
      </c>
      <c r="B455" s="62">
        <v>6</v>
      </c>
      <c r="C455" s="62">
        <v>9</v>
      </c>
      <c r="D455" s="62">
        <v>4</v>
      </c>
      <c r="E455" s="63" t="s">
        <v>35</v>
      </c>
      <c r="F455" s="69" t="s">
        <v>360</v>
      </c>
      <c r="G455" s="123">
        <f>+SEPTIEMBRE!G456+'AGOSTO '!G456+JULIO!G455+'OCTUBRE '!G456+'ENERO-JUNIO 2025'!G456</f>
        <v>0</v>
      </c>
      <c r="H455" s="123">
        <f>+SEPTIEMBRE!H456+'AGOSTO '!H456+JULIO!H455+'OCTUBRE '!H456+'ENERO-JUNIO 2025'!H456</f>
        <v>0</v>
      </c>
      <c r="I455" s="123">
        <f t="shared" si="6"/>
        <v>0</v>
      </c>
      <c r="J455" s="65">
        <v>0</v>
      </c>
    </row>
    <row r="456" spans="1:10" x14ac:dyDescent="0.2">
      <c r="A456" s="72">
        <v>2</v>
      </c>
      <c r="B456" s="58">
        <v>6</v>
      </c>
      <c r="C456" s="58">
        <v>9</v>
      </c>
      <c r="D456" s="58">
        <v>5</v>
      </c>
      <c r="E456" s="58"/>
      <c r="F456" s="86" t="s">
        <v>361</v>
      </c>
      <c r="G456" s="122">
        <f>+SEPTIEMBRE!G457+'AGOSTO '!G457+JULIO!G456+'OCTUBRE '!G457+'ENERO-JUNIO 2025'!G457</f>
        <v>0</v>
      </c>
      <c r="H456" s="122">
        <f>+SEPTIEMBRE!H457+'AGOSTO '!H457+JULIO!H456+'OCTUBRE '!H457+'ENERO-JUNIO 2025'!H457</f>
        <v>0</v>
      </c>
      <c r="I456" s="122">
        <f t="shared" si="6"/>
        <v>0</v>
      </c>
      <c r="J456" s="60"/>
    </row>
    <row r="457" spans="1:10" x14ac:dyDescent="0.2">
      <c r="A457" s="74">
        <v>2</v>
      </c>
      <c r="B457" s="62">
        <v>6</v>
      </c>
      <c r="C457" s="62">
        <v>9</v>
      </c>
      <c r="D457" s="62">
        <v>5</v>
      </c>
      <c r="E457" s="63" t="s">
        <v>35</v>
      </c>
      <c r="F457" s="69" t="s">
        <v>362</v>
      </c>
      <c r="G457" s="123">
        <f>+SEPTIEMBRE!G458+'AGOSTO '!G458+JULIO!G457+'OCTUBRE '!G458+'ENERO-JUNIO 2025'!G458</f>
        <v>0</v>
      </c>
      <c r="H457" s="123">
        <f>+SEPTIEMBRE!H458+'AGOSTO '!H458+JULIO!H457+'OCTUBRE '!H458+'ENERO-JUNIO 2025'!H458</f>
        <v>0</v>
      </c>
      <c r="I457" s="123">
        <f t="shared" si="6"/>
        <v>0</v>
      </c>
      <c r="J457" s="65">
        <v>0</v>
      </c>
    </row>
    <row r="458" spans="1:10" ht="25.5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37</v>
      </c>
      <c r="F458" s="69" t="s">
        <v>363</v>
      </c>
      <c r="G458" s="123">
        <f>+SEPTIEMBRE!G459+'AGOSTO '!G459+JULIO!G458+'OCTUBRE '!G459+'ENERO-JUNIO 2025'!G459</f>
        <v>0</v>
      </c>
      <c r="H458" s="123">
        <f>+SEPTIEMBRE!H459+'AGOSTO '!H459+JULIO!H458+'OCTUBRE '!H459+'ENERO-JUNIO 2025'!H459</f>
        <v>0</v>
      </c>
      <c r="I458" s="123">
        <f t="shared" si="6"/>
        <v>0</v>
      </c>
      <c r="J458" s="65"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39</v>
      </c>
      <c r="F459" s="69" t="s">
        <v>364</v>
      </c>
      <c r="G459" s="123">
        <f>+SEPTIEMBRE!G460+'AGOSTO '!G460+JULIO!G459+'OCTUBRE '!G460+'ENERO-JUNIO 2025'!G460</f>
        <v>0</v>
      </c>
      <c r="H459" s="123">
        <f>+SEPTIEMBRE!H460+'AGOSTO '!H460+JULIO!H459+'OCTUBRE '!H460+'ENERO-JUNIO 2025'!H460</f>
        <v>0</v>
      </c>
      <c r="I459" s="123">
        <f t="shared" si="6"/>
        <v>0</v>
      </c>
      <c r="J459" s="65">
        <v>0</v>
      </c>
    </row>
    <row r="460" spans="1:10" x14ac:dyDescent="0.2">
      <c r="A460" s="72">
        <v>2</v>
      </c>
      <c r="B460" s="58">
        <v>6</v>
      </c>
      <c r="C460" s="58">
        <v>9</v>
      </c>
      <c r="D460" s="58">
        <v>9</v>
      </c>
      <c r="E460" s="58"/>
      <c r="F460" s="86" t="s">
        <v>365</v>
      </c>
      <c r="G460" s="122">
        <f>+SEPTIEMBRE!G461+'AGOSTO '!G461+JULIO!G460+'OCTUBRE '!G461+'ENERO-JUNIO 2025'!G461</f>
        <v>0</v>
      </c>
      <c r="H460" s="122">
        <f>+SEPTIEMBRE!H461+'AGOSTO '!H461+JULIO!H460+'OCTUBRE '!H461+'ENERO-JUNIO 2025'!H461</f>
        <v>0</v>
      </c>
      <c r="I460" s="122">
        <f t="shared" si="6"/>
        <v>0</v>
      </c>
      <c r="J460" s="60"/>
    </row>
    <row r="461" spans="1:10" x14ac:dyDescent="0.2">
      <c r="A461" s="74">
        <v>2</v>
      </c>
      <c r="B461" s="62">
        <v>6</v>
      </c>
      <c r="C461" s="62">
        <v>9</v>
      </c>
      <c r="D461" s="62">
        <v>9</v>
      </c>
      <c r="E461" s="63" t="s">
        <v>35</v>
      </c>
      <c r="F461" s="69" t="s">
        <v>365</v>
      </c>
      <c r="G461" s="123">
        <f>+SEPTIEMBRE!G462+'AGOSTO '!G462+JULIO!G461+'OCTUBRE '!G462+'ENERO-JUNIO 2025'!G462</f>
        <v>0</v>
      </c>
      <c r="H461" s="123">
        <f>+SEPTIEMBRE!H462+'AGOSTO '!H462+JULIO!H461+'OCTUBRE '!H462+'ENERO-JUNIO 2025'!H462</f>
        <v>0</v>
      </c>
      <c r="I461" s="123">
        <f t="shared" si="6"/>
        <v>0</v>
      </c>
      <c r="J461" s="65">
        <v>0</v>
      </c>
    </row>
    <row r="462" spans="1:10" x14ac:dyDescent="0.2">
      <c r="A462" s="70">
        <v>2</v>
      </c>
      <c r="B462" s="55">
        <v>7</v>
      </c>
      <c r="C462" s="55"/>
      <c r="D462" s="55"/>
      <c r="E462" s="55"/>
      <c r="F462" s="85" t="s">
        <v>366</v>
      </c>
      <c r="G462" s="121">
        <f>+SEPTIEMBRE!G463+'AGOSTO '!G463+JULIO!G462+'OCTUBRE '!G463+'ENERO-JUNIO 2025'!G463</f>
        <v>0</v>
      </c>
      <c r="H462" s="121">
        <f>+SEPTIEMBRE!H463+'AGOSTO '!H463+JULIO!H462+'OCTUBRE '!H463+'ENERO-JUNIO 2025'!H463</f>
        <v>0</v>
      </c>
      <c r="I462" s="121">
        <f t="shared" si="6"/>
        <v>0</v>
      </c>
      <c r="J462" s="53">
        <v>0</v>
      </c>
    </row>
    <row r="463" spans="1:10" x14ac:dyDescent="0.2">
      <c r="A463" s="70">
        <v>2</v>
      </c>
      <c r="B463" s="55">
        <v>7</v>
      </c>
      <c r="C463" s="55">
        <v>1</v>
      </c>
      <c r="D463" s="55"/>
      <c r="E463" s="55"/>
      <c r="F463" s="85" t="s">
        <v>367</v>
      </c>
      <c r="G463" s="121">
        <f>+SEPTIEMBRE!G464+'AGOSTO '!G464+JULIO!G463+'OCTUBRE '!G464+'ENERO-JUNIO 2025'!G464</f>
        <v>0</v>
      </c>
      <c r="H463" s="121">
        <f>+SEPTIEMBRE!H464+'AGOSTO '!H464+JULIO!H463+'OCTUBRE '!H464+'ENERO-JUNIO 2025'!H464</f>
        <v>0</v>
      </c>
      <c r="I463" s="121">
        <f t="shared" si="6"/>
        <v>0</v>
      </c>
      <c r="J463" s="53"/>
    </row>
    <row r="464" spans="1:10" x14ac:dyDescent="0.2">
      <c r="A464" s="72">
        <v>2</v>
      </c>
      <c r="B464" s="58">
        <v>7</v>
      </c>
      <c r="C464" s="58">
        <v>1</v>
      </c>
      <c r="D464" s="58">
        <v>1</v>
      </c>
      <c r="E464" s="77"/>
      <c r="F464" s="86" t="s">
        <v>368</v>
      </c>
      <c r="G464" s="122">
        <f>+SEPTIEMBRE!G465+'AGOSTO '!G465+JULIO!G464+'OCTUBRE '!G465+'ENERO-JUNIO 2025'!G465</f>
        <v>0</v>
      </c>
      <c r="H464" s="122">
        <f>+SEPTIEMBRE!H465+'AGOSTO '!H465+JULIO!H464+'OCTUBRE '!H465+'ENERO-JUNIO 2025'!H465</f>
        <v>0</v>
      </c>
      <c r="I464" s="122">
        <f t="shared" si="6"/>
        <v>0</v>
      </c>
      <c r="J464" s="60"/>
    </row>
    <row r="465" spans="1:10" x14ac:dyDescent="0.2">
      <c r="A465" s="74">
        <v>2</v>
      </c>
      <c r="B465" s="62">
        <v>7</v>
      </c>
      <c r="C465" s="62">
        <v>1</v>
      </c>
      <c r="D465" s="62">
        <v>1</v>
      </c>
      <c r="E465" s="62" t="s">
        <v>324</v>
      </c>
      <c r="F465" s="69" t="s">
        <v>368</v>
      </c>
      <c r="G465" s="123">
        <f>+SEPTIEMBRE!G466+'AGOSTO '!G466+JULIO!G465+'OCTUBRE '!G466+'ENERO-JUNIO 2025'!G466</f>
        <v>0</v>
      </c>
      <c r="H465" s="123">
        <f>+SEPTIEMBRE!H466+'AGOSTO '!H466+JULIO!H465+'OCTUBRE '!H466+'ENERO-JUNIO 2025'!H466</f>
        <v>0</v>
      </c>
      <c r="I465" s="123">
        <f t="shared" si="6"/>
        <v>0</v>
      </c>
      <c r="J465" s="65">
        <v>0</v>
      </c>
    </row>
    <row r="466" spans="1:10" x14ac:dyDescent="0.2">
      <c r="A466" s="72">
        <v>2</v>
      </c>
      <c r="B466" s="58">
        <v>7</v>
      </c>
      <c r="C466" s="58">
        <v>1</v>
      </c>
      <c r="D466" s="58">
        <v>2</v>
      </c>
      <c r="E466" s="77"/>
      <c r="F466" s="86" t="s">
        <v>369</v>
      </c>
      <c r="G466" s="122">
        <f>+SEPTIEMBRE!G467+'AGOSTO '!G467+JULIO!G466+'OCTUBRE '!G467+'ENERO-JUNIO 2025'!G467</f>
        <v>0</v>
      </c>
      <c r="H466" s="122">
        <f>+SEPTIEMBRE!H467+'AGOSTO '!H467+JULIO!H466+'OCTUBRE '!H467+'ENERO-JUNIO 2025'!H467</f>
        <v>0</v>
      </c>
      <c r="I466" s="122">
        <f t="shared" si="6"/>
        <v>0</v>
      </c>
      <c r="J466" s="60"/>
    </row>
    <row r="467" spans="1:10" x14ac:dyDescent="0.2">
      <c r="A467" s="74">
        <v>2</v>
      </c>
      <c r="B467" s="62">
        <v>7</v>
      </c>
      <c r="C467" s="62">
        <v>1</v>
      </c>
      <c r="D467" s="62">
        <v>2</v>
      </c>
      <c r="E467" s="62" t="s">
        <v>324</v>
      </c>
      <c r="F467" s="69" t="s">
        <v>369</v>
      </c>
      <c r="G467" s="123">
        <f>+SEPTIEMBRE!G468+'AGOSTO '!G468+JULIO!G467+'OCTUBRE '!G468+'ENERO-JUNIO 2025'!G468</f>
        <v>0</v>
      </c>
      <c r="H467" s="123">
        <f>+SEPTIEMBRE!H468+'AGOSTO '!H468+JULIO!H467+'OCTUBRE '!H468+'ENERO-JUNIO 2025'!H468</f>
        <v>0</v>
      </c>
      <c r="I467" s="123">
        <f t="shared" si="6"/>
        <v>0</v>
      </c>
      <c r="J467" s="65">
        <v>0</v>
      </c>
    </row>
    <row r="468" spans="1:10" x14ac:dyDescent="0.2">
      <c r="A468" s="72">
        <v>2</v>
      </c>
      <c r="B468" s="58">
        <v>7</v>
      </c>
      <c r="C468" s="58">
        <v>1</v>
      </c>
      <c r="D468" s="58">
        <v>3</v>
      </c>
      <c r="E468" s="77"/>
      <c r="F468" s="86" t="s">
        <v>370</v>
      </c>
      <c r="G468" s="122">
        <f>+SEPTIEMBRE!G469+'AGOSTO '!G469+JULIO!G468+'OCTUBRE '!G469+'ENERO-JUNIO 2025'!G469</f>
        <v>0</v>
      </c>
      <c r="H468" s="122">
        <f>+SEPTIEMBRE!H469+'AGOSTO '!H469+JULIO!H468+'OCTUBRE '!H469+'ENERO-JUNIO 2025'!H469</f>
        <v>0</v>
      </c>
      <c r="I468" s="122">
        <f t="shared" si="6"/>
        <v>0</v>
      </c>
      <c r="J468" s="60"/>
    </row>
    <row r="469" spans="1:10" x14ac:dyDescent="0.2">
      <c r="A469" s="74">
        <v>2</v>
      </c>
      <c r="B469" s="62">
        <v>7</v>
      </c>
      <c r="C469" s="62">
        <v>1</v>
      </c>
      <c r="D469" s="62">
        <v>3</v>
      </c>
      <c r="E469" s="62" t="s">
        <v>324</v>
      </c>
      <c r="F469" s="69" t="s">
        <v>370</v>
      </c>
      <c r="G469" s="123">
        <f>+SEPTIEMBRE!G470+'AGOSTO '!G470+JULIO!G469+'OCTUBRE '!G470+'ENERO-JUNIO 2025'!G470</f>
        <v>0</v>
      </c>
      <c r="H469" s="123">
        <f>+SEPTIEMBRE!H470+'AGOSTO '!H470+JULIO!H469+'OCTUBRE '!H470+'ENERO-JUNIO 2025'!H470</f>
        <v>0</v>
      </c>
      <c r="I469" s="123">
        <f t="shared" si="6"/>
        <v>0</v>
      </c>
      <c r="J469" s="65">
        <v>0</v>
      </c>
    </row>
    <row r="470" spans="1:10" x14ac:dyDescent="0.2">
      <c r="A470" s="72">
        <v>2</v>
      </c>
      <c r="B470" s="58">
        <v>7</v>
      </c>
      <c r="C470" s="58">
        <v>1</v>
      </c>
      <c r="D470" s="58">
        <v>4</v>
      </c>
      <c r="E470" s="77"/>
      <c r="F470" s="86" t="s">
        <v>371</v>
      </c>
      <c r="G470" s="122">
        <f>+SEPTIEMBRE!G471+'AGOSTO '!G471+JULIO!G470+'OCTUBRE '!G471+'ENERO-JUNIO 2025'!G471</f>
        <v>0</v>
      </c>
      <c r="H470" s="122">
        <f>+SEPTIEMBRE!H471+'AGOSTO '!H471+JULIO!H470+'OCTUBRE '!H471+'ENERO-JUNIO 2025'!H471</f>
        <v>0</v>
      </c>
      <c r="I470" s="122">
        <f t="shared" si="6"/>
        <v>0</v>
      </c>
      <c r="J470" s="60"/>
    </row>
    <row r="471" spans="1:10" x14ac:dyDescent="0.2">
      <c r="A471" s="74">
        <v>2</v>
      </c>
      <c r="B471" s="62">
        <v>7</v>
      </c>
      <c r="C471" s="62">
        <v>1</v>
      </c>
      <c r="D471" s="62">
        <v>4</v>
      </c>
      <c r="E471" s="62" t="s">
        <v>324</v>
      </c>
      <c r="F471" s="69" t="s">
        <v>371</v>
      </c>
      <c r="G471" s="123">
        <f>+SEPTIEMBRE!G472+'AGOSTO '!G472+JULIO!G471+'OCTUBRE '!G472+'ENERO-JUNIO 2025'!G472</f>
        <v>0</v>
      </c>
      <c r="H471" s="123">
        <f>+SEPTIEMBRE!H472+'AGOSTO '!H472+JULIO!H471+'OCTUBRE '!H472+'ENERO-JUNIO 2025'!H472</f>
        <v>0</v>
      </c>
      <c r="I471" s="123">
        <f t="shared" si="6"/>
        <v>0</v>
      </c>
      <c r="J471" s="65">
        <v>0</v>
      </c>
    </row>
    <row r="472" spans="1:10" x14ac:dyDescent="0.2">
      <c r="A472" s="70">
        <v>2</v>
      </c>
      <c r="B472" s="55">
        <v>7</v>
      </c>
      <c r="C472" s="55">
        <v>2</v>
      </c>
      <c r="D472" s="55"/>
      <c r="E472" s="55"/>
      <c r="F472" s="85" t="s">
        <v>372</v>
      </c>
      <c r="G472" s="121">
        <f>+SEPTIEMBRE!G473+'AGOSTO '!G473+JULIO!G472+'OCTUBRE '!G473+'ENERO-JUNIO 2025'!G473</f>
        <v>0</v>
      </c>
      <c r="H472" s="121">
        <f>+SEPTIEMBRE!H473+'AGOSTO '!H473+JULIO!H472+'OCTUBRE '!H473+'ENERO-JUNIO 2025'!H473</f>
        <v>0</v>
      </c>
      <c r="I472" s="121">
        <f t="shared" si="6"/>
        <v>0</v>
      </c>
      <c r="J472" s="53"/>
    </row>
    <row r="473" spans="1:10" x14ac:dyDescent="0.2">
      <c r="A473" s="72">
        <v>2</v>
      </c>
      <c r="B473" s="58">
        <v>7</v>
      </c>
      <c r="C473" s="58">
        <v>2</v>
      </c>
      <c r="D473" s="58">
        <v>1</v>
      </c>
      <c r="E473" s="77"/>
      <c r="F473" s="86" t="s">
        <v>373</v>
      </c>
      <c r="G473" s="122">
        <f>+SEPTIEMBRE!G474+'AGOSTO '!G474+JULIO!G473+'OCTUBRE '!G474+'ENERO-JUNIO 2025'!G474</f>
        <v>0</v>
      </c>
      <c r="H473" s="122">
        <f>+SEPTIEMBRE!H474+'AGOSTO '!H474+JULIO!H473+'OCTUBRE '!H474+'ENERO-JUNIO 2025'!H474</f>
        <v>0</v>
      </c>
      <c r="I473" s="122">
        <f t="shared" ref="I473:I501" si="7">+G473+H473</f>
        <v>0</v>
      </c>
      <c r="J473" s="60"/>
    </row>
    <row r="474" spans="1:10" x14ac:dyDescent="0.2">
      <c r="A474" s="74">
        <v>2</v>
      </c>
      <c r="B474" s="62">
        <v>7</v>
      </c>
      <c r="C474" s="62">
        <v>2</v>
      </c>
      <c r="D474" s="62">
        <v>1</v>
      </c>
      <c r="E474" s="62" t="s">
        <v>324</v>
      </c>
      <c r="F474" s="69" t="s">
        <v>373</v>
      </c>
      <c r="G474" s="123">
        <f>+SEPTIEMBRE!G475+'AGOSTO '!G475+JULIO!G474+'OCTUBRE '!G475+'ENERO-JUNIO 2025'!G475</f>
        <v>0</v>
      </c>
      <c r="H474" s="123">
        <f>+SEPTIEMBRE!H475+'AGOSTO '!H475+JULIO!H474+'OCTUBRE '!H475+'ENERO-JUNIO 2025'!H475</f>
        <v>0</v>
      </c>
      <c r="I474" s="123">
        <f t="shared" si="7"/>
        <v>0</v>
      </c>
      <c r="J474" s="65">
        <v>0</v>
      </c>
    </row>
    <row r="475" spans="1:10" x14ac:dyDescent="0.2">
      <c r="A475" s="72">
        <v>2</v>
      </c>
      <c r="B475" s="58">
        <v>7</v>
      </c>
      <c r="C475" s="58">
        <v>2</v>
      </c>
      <c r="D475" s="58">
        <v>2</v>
      </c>
      <c r="E475" s="77"/>
      <c r="F475" s="86" t="s">
        <v>374</v>
      </c>
      <c r="G475" s="122">
        <f>+SEPTIEMBRE!G476+'AGOSTO '!G476+JULIO!G475+'OCTUBRE '!G476+'ENERO-JUNIO 2025'!G476</f>
        <v>0</v>
      </c>
      <c r="H475" s="122">
        <f>+SEPTIEMBRE!H476+'AGOSTO '!H476+JULIO!H475+'OCTUBRE '!H476+'ENERO-JUNIO 2025'!H476</f>
        <v>0</v>
      </c>
      <c r="I475" s="122">
        <f t="shared" si="7"/>
        <v>0</v>
      </c>
      <c r="J475" s="60"/>
    </row>
    <row r="476" spans="1:10" x14ac:dyDescent="0.2">
      <c r="A476" s="74">
        <v>2</v>
      </c>
      <c r="B476" s="62">
        <v>7</v>
      </c>
      <c r="C476" s="62">
        <v>2</v>
      </c>
      <c r="D476" s="62">
        <v>2</v>
      </c>
      <c r="E476" s="62" t="s">
        <v>324</v>
      </c>
      <c r="F476" s="69" t="s">
        <v>374</v>
      </c>
      <c r="G476" s="123">
        <f>+SEPTIEMBRE!G477+'AGOSTO '!G477+JULIO!G476+'OCTUBRE '!G477+'ENERO-JUNIO 2025'!G477</f>
        <v>0</v>
      </c>
      <c r="H476" s="123">
        <f>+SEPTIEMBRE!H477+'AGOSTO '!H477+JULIO!H476+'OCTUBRE '!H477+'ENERO-JUNIO 2025'!H477</f>
        <v>0</v>
      </c>
      <c r="I476" s="123">
        <f t="shared" si="7"/>
        <v>0</v>
      </c>
      <c r="J476" s="65">
        <v>0</v>
      </c>
    </row>
    <row r="477" spans="1:10" x14ac:dyDescent="0.2">
      <c r="A477" s="72">
        <v>2</v>
      </c>
      <c r="B477" s="58">
        <v>7</v>
      </c>
      <c r="C477" s="58">
        <v>2</v>
      </c>
      <c r="D477" s="58">
        <v>3</v>
      </c>
      <c r="E477" s="77"/>
      <c r="F477" s="86" t="s">
        <v>375</v>
      </c>
      <c r="G477" s="122">
        <f>+SEPTIEMBRE!G478+'AGOSTO '!G478+JULIO!G477+'OCTUBRE '!G478+'ENERO-JUNIO 2025'!G478</f>
        <v>0</v>
      </c>
      <c r="H477" s="122">
        <f>+SEPTIEMBRE!H478+'AGOSTO '!H478+JULIO!H477+'OCTUBRE '!H478+'ENERO-JUNIO 2025'!H478</f>
        <v>0</v>
      </c>
      <c r="I477" s="122">
        <f t="shared" si="7"/>
        <v>0</v>
      </c>
      <c r="J477" s="60"/>
    </row>
    <row r="478" spans="1:10" x14ac:dyDescent="0.2">
      <c r="A478" s="74">
        <v>2</v>
      </c>
      <c r="B478" s="62">
        <v>7</v>
      </c>
      <c r="C478" s="62">
        <v>2</v>
      </c>
      <c r="D478" s="62">
        <v>3</v>
      </c>
      <c r="E478" s="62" t="s">
        <v>324</v>
      </c>
      <c r="F478" s="69" t="s">
        <v>375</v>
      </c>
      <c r="G478" s="123">
        <f>+SEPTIEMBRE!G479+'AGOSTO '!G479+JULIO!G478+'OCTUBRE '!G479+'ENERO-JUNIO 2025'!G479</f>
        <v>0</v>
      </c>
      <c r="H478" s="123">
        <f>+SEPTIEMBRE!H479+'AGOSTO '!H479+JULIO!H478+'OCTUBRE '!H479+'ENERO-JUNIO 2025'!H479</f>
        <v>0</v>
      </c>
      <c r="I478" s="123">
        <f t="shared" si="7"/>
        <v>0</v>
      </c>
      <c r="J478" s="65">
        <v>0</v>
      </c>
    </row>
    <row r="479" spans="1:10" x14ac:dyDescent="0.2">
      <c r="A479" s="72">
        <v>2</v>
      </c>
      <c r="B479" s="58">
        <v>7</v>
      </c>
      <c r="C479" s="58">
        <v>2</v>
      </c>
      <c r="D479" s="58">
        <v>4</v>
      </c>
      <c r="E479" s="77"/>
      <c r="F479" s="86" t="s">
        <v>376</v>
      </c>
      <c r="G479" s="122">
        <f>+SEPTIEMBRE!G480+'AGOSTO '!G480+JULIO!G479+'OCTUBRE '!G480+'ENERO-JUNIO 2025'!G480</f>
        <v>0</v>
      </c>
      <c r="H479" s="122">
        <f>+SEPTIEMBRE!H480+'AGOSTO '!H480+JULIO!H479+'OCTUBRE '!H480+'ENERO-JUNIO 2025'!H480</f>
        <v>0</v>
      </c>
      <c r="I479" s="122">
        <f t="shared" si="7"/>
        <v>0</v>
      </c>
      <c r="J479" s="60"/>
    </row>
    <row r="480" spans="1:10" x14ac:dyDescent="0.2">
      <c r="A480" s="74">
        <v>2</v>
      </c>
      <c r="B480" s="62">
        <v>7</v>
      </c>
      <c r="C480" s="62">
        <v>2</v>
      </c>
      <c r="D480" s="62">
        <v>4</v>
      </c>
      <c r="E480" s="62" t="s">
        <v>324</v>
      </c>
      <c r="F480" s="69" t="s">
        <v>376</v>
      </c>
      <c r="G480" s="123">
        <f>+SEPTIEMBRE!G481+'AGOSTO '!G481+JULIO!G480+'OCTUBRE '!G481+'ENERO-JUNIO 2025'!G481</f>
        <v>0</v>
      </c>
      <c r="H480" s="123">
        <f>+SEPTIEMBRE!H481+'AGOSTO '!H481+JULIO!H480+'OCTUBRE '!H481+'ENERO-JUNIO 2025'!H481</f>
        <v>0</v>
      </c>
      <c r="I480" s="123">
        <f t="shared" si="7"/>
        <v>0</v>
      </c>
      <c r="J480" s="65">
        <v>0</v>
      </c>
    </row>
    <row r="481" spans="1:10" x14ac:dyDescent="0.2">
      <c r="A481" s="72">
        <v>2</v>
      </c>
      <c r="B481" s="58">
        <v>7</v>
      </c>
      <c r="C481" s="58">
        <v>2</v>
      </c>
      <c r="D481" s="58">
        <v>5</v>
      </c>
      <c r="E481" s="77"/>
      <c r="F481" s="86" t="s">
        <v>377</v>
      </c>
      <c r="G481" s="122">
        <f>+SEPTIEMBRE!G482+'AGOSTO '!G482+JULIO!G481+'OCTUBRE '!G482+'ENERO-JUNIO 2025'!G482</f>
        <v>0</v>
      </c>
      <c r="H481" s="122">
        <f>+SEPTIEMBRE!H482+'AGOSTO '!H482+JULIO!H481+'OCTUBRE '!H482+'ENERO-JUNIO 2025'!H482</f>
        <v>0</v>
      </c>
      <c r="I481" s="122">
        <f t="shared" si="7"/>
        <v>0</v>
      </c>
      <c r="J481" s="60"/>
    </row>
    <row r="482" spans="1:10" x14ac:dyDescent="0.2">
      <c r="A482" s="74">
        <v>2</v>
      </c>
      <c r="B482" s="62">
        <v>7</v>
      </c>
      <c r="C482" s="62">
        <v>2</v>
      </c>
      <c r="D482" s="62">
        <v>5</v>
      </c>
      <c r="E482" s="62" t="s">
        <v>324</v>
      </c>
      <c r="F482" s="69" t="s">
        <v>377</v>
      </c>
      <c r="G482" s="123">
        <f>+SEPTIEMBRE!G483+'AGOSTO '!G483+JULIO!G482+'OCTUBRE '!G483+'ENERO-JUNIO 2025'!G483</f>
        <v>0</v>
      </c>
      <c r="H482" s="123">
        <f>+SEPTIEMBRE!H483+'AGOSTO '!H483+JULIO!H482+'OCTUBRE '!H483+'ENERO-JUNIO 2025'!H483</f>
        <v>0</v>
      </c>
      <c r="I482" s="123">
        <f t="shared" si="7"/>
        <v>0</v>
      </c>
      <c r="J482" s="65">
        <v>0</v>
      </c>
    </row>
    <row r="483" spans="1:10" x14ac:dyDescent="0.2">
      <c r="A483" s="72">
        <v>2</v>
      </c>
      <c r="B483" s="58">
        <v>7</v>
      </c>
      <c r="C483" s="58">
        <v>2</v>
      </c>
      <c r="D483" s="58">
        <v>6</v>
      </c>
      <c r="E483" s="77"/>
      <c r="F483" s="86" t="s">
        <v>378</v>
      </c>
      <c r="G483" s="122">
        <f>+SEPTIEMBRE!G484+'AGOSTO '!G484+JULIO!G483+'OCTUBRE '!G484+'ENERO-JUNIO 2025'!G484</f>
        <v>0</v>
      </c>
      <c r="H483" s="122">
        <f>+SEPTIEMBRE!H484+'AGOSTO '!H484+JULIO!H483+'OCTUBRE '!H484+'ENERO-JUNIO 2025'!H484</f>
        <v>0</v>
      </c>
      <c r="I483" s="122">
        <f t="shared" si="7"/>
        <v>0</v>
      </c>
      <c r="J483" s="60"/>
    </row>
    <row r="484" spans="1:10" x14ac:dyDescent="0.2">
      <c r="A484" s="74">
        <v>2</v>
      </c>
      <c r="B484" s="62">
        <v>7</v>
      </c>
      <c r="C484" s="62">
        <v>2</v>
      </c>
      <c r="D484" s="62">
        <v>6</v>
      </c>
      <c r="E484" s="62" t="s">
        <v>324</v>
      </c>
      <c r="F484" s="69" t="s">
        <v>378</v>
      </c>
      <c r="G484" s="123">
        <f>+SEPTIEMBRE!G485+'AGOSTO '!G485+JULIO!G484+'OCTUBRE '!G485+'ENERO-JUNIO 2025'!G485</f>
        <v>0</v>
      </c>
      <c r="H484" s="123">
        <f>+SEPTIEMBRE!H485+'AGOSTO '!H485+JULIO!H484+'OCTUBRE '!H485+'ENERO-JUNIO 2025'!H485</f>
        <v>0</v>
      </c>
      <c r="I484" s="123">
        <f t="shared" si="7"/>
        <v>0</v>
      </c>
      <c r="J484" s="65">
        <v>0</v>
      </c>
    </row>
    <row r="485" spans="1:10" x14ac:dyDescent="0.2">
      <c r="A485" s="72">
        <v>2</v>
      </c>
      <c r="B485" s="58">
        <v>7</v>
      </c>
      <c r="C485" s="58">
        <v>2</v>
      </c>
      <c r="D485" s="58">
        <v>7</v>
      </c>
      <c r="E485" s="77"/>
      <c r="F485" s="86" t="s">
        <v>379</v>
      </c>
      <c r="G485" s="122">
        <f>+SEPTIEMBRE!G486+'AGOSTO '!G486+JULIO!G485+'OCTUBRE '!G486+'ENERO-JUNIO 2025'!G486</f>
        <v>0</v>
      </c>
      <c r="H485" s="122">
        <f>+SEPTIEMBRE!H486+'AGOSTO '!H486+JULIO!H485+'OCTUBRE '!H486+'ENERO-JUNIO 2025'!H486</f>
        <v>0</v>
      </c>
      <c r="I485" s="122">
        <f t="shared" si="7"/>
        <v>0</v>
      </c>
      <c r="J485" s="60"/>
    </row>
    <row r="486" spans="1:10" x14ac:dyDescent="0.2">
      <c r="A486" s="74">
        <v>2</v>
      </c>
      <c r="B486" s="62">
        <v>7</v>
      </c>
      <c r="C486" s="62">
        <v>2</v>
      </c>
      <c r="D486" s="62">
        <v>7</v>
      </c>
      <c r="E486" s="62" t="s">
        <v>324</v>
      </c>
      <c r="F486" s="69" t="s">
        <v>379</v>
      </c>
      <c r="G486" s="123">
        <f>+SEPTIEMBRE!G487+'AGOSTO '!G487+JULIO!G486+'OCTUBRE '!G487+'ENERO-JUNIO 2025'!G487</f>
        <v>0</v>
      </c>
      <c r="H486" s="123">
        <f>+SEPTIEMBRE!H487+'AGOSTO '!H487+JULIO!H486+'OCTUBRE '!H487+'ENERO-JUNIO 2025'!H487</f>
        <v>0</v>
      </c>
      <c r="I486" s="123">
        <f t="shared" si="7"/>
        <v>0</v>
      </c>
      <c r="J486" s="65">
        <v>0</v>
      </c>
    </row>
    <row r="487" spans="1:10" x14ac:dyDescent="0.2">
      <c r="A487" s="72">
        <v>2</v>
      </c>
      <c r="B487" s="58">
        <v>7</v>
      </c>
      <c r="C487" s="58">
        <v>2</v>
      </c>
      <c r="D487" s="58">
        <v>8</v>
      </c>
      <c r="E487" s="77"/>
      <c r="F487" s="86" t="s">
        <v>380</v>
      </c>
      <c r="G487" s="122">
        <f>+SEPTIEMBRE!G488+'AGOSTO '!G488+JULIO!G487+'OCTUBRE '!G488+'ENERO-JUNIO 2025'!G488</f>
        <v>0</v>
      </c>
      <c r="H487" s="122">
        <f>+SEPTIEMBRE!H488+'AGOSTO '!H488+JULIO!H487+'OCTUBRE '!H488+'ENERO-JUNIO 2025'!H488</f>
        <v>0</v>
      </c>
      <c r="I487" s="122">
        <f t="shared" si="7"/>
        <v>0</v>
      </c>
      <c r="J487" s="60"/>
    </row>
    <row r="488" spans="1:10" x14ac:dyDescent="0.2">
      <c r="A488" s="74">
        <v>2</v>
      </c>
      <c r="B488" s="62">
        <v>7</v>
      </c>
      <c r="C488" s="62">
        <v>2</v>
      </c>
      <c r="D488" s="62">
        <v>8</v>
      </c>
      <c r="E488" s="62" t="s">
        <v>324</v>
      </c>
      <c r="F488" s="69" t="s">
        <v>380</v>
      </c>
      <c r="G488" s="123">
        <f>+SEPTIEMBRE!G489+'AGOSTO '!G489+JULIO!G488+'OCTUBRE '!G489+'ENERO-JUNIO 2025'!G489</f>
        <v>0</v>
      </c>
      <c r="H488" s="123">
        <f>+SEPTIEMBRE!H489+'AGOSTO '!H489+JULIO!H488+'OCTUBRE '!H489+'ENERO-JUNIO 2025'!H489</f>
        <v>0</v>
      </c>
      <c r="I488" s="123">
        <f t="shared" si="7"/>
        <v>0</v>
      </c>
      <c r="J488" s="65">
        <v>0</v>
      </c>
    </row>
    <row r="489" spans="1:10" ht="25.5" x14ac:dyDescent="0.2">
      <c r="A489" s="72">
        <v>2</v>
      </c>
      <c r="B489" s="58">
        <v>7</v>
      </c>
      <c r="C489" s="58">
        <v>2</v>
      </c>
      <c r="D489" s="58">
        <v>9</v>
      </c>
      <c r="E489" s="77"/>
      <c r="F489" s="86" t="s">
        <v>381</v>
      </c>
      <c r="G489" s="122">
        <f>+SEPTIEMBRE!G490+'AGOSTO '!G490+JULIO!G489+'OCTUBRE '!G490+'ENERO-JUNIO 2025'!G490</f>
        <v>0</v>
      </c>
      <c r="H489" s="122">
        <f>+SEPTIEMBRE!H490+'AGOSTO '!H490+JULIO!H489+'OCTUBRE '!H490+'ENERO-JUNIO 2025'!H490</f>
        <v>0</v>
      </c>
      <c r="I489" s="122">
        <f t="shared" si="7"/>
        <v>0</v>
      </c>
      <c r="J489" s="60"/>
    </row>
    <row r="490" spans="1:10" ht="25.5" x14ac:dyDescent="0.2">
      <c r="A490" s="74">
        <v>2</v>
      </c>
      <c r="B490" s="62">
        <v>7</v>
      </c>
      <c r="C490" s="62">
        <v>2</v>
      </c>
      <c r="D490" s="62">
        <v>9</v>
      </c>
      <c r="E490" s="62" t="s">
        <v>324</v>
      </c>
      <c r="F490" s="69" t="s">
        <v>381</v>
      </c>
      <c r="G490" s="123">
        <f>+SEPTIEMBRE!G491+'AGOSTO '!G491+JULIO!G490+'OCTUBRE '!G491+'ENERO-JUNIO 2025'!G491</f>
        <v>0</v>
      </c>
      <c r="H490" s="123">
        <f>+SEPTIEMBRE!H491+'AGOSTO '!H491+JULIO!H490+'OCTUBRE '!H491+'ENERO-JUNIO 2025'!H491</f>
        <v>0</v>
      </c>
      <c r="I490" s="123">
        <f t="shared" si="7"/>
        <v>0</v>
      </c>
      <c r="J490" s="65">
        <v>0</v>
      </c>
    </row>
    <row r="491" spans="1:10" x14ac:dyDescent="0.2">
      <c r="A491" s="70">
        <v>2</v>
      </c>
      <c r="B491" s="55">
        <v>7</v>
      </c>
      <c r="C491" s="55">
        <v>3</v>
      </c>
      <c r="D491" s="55"/>
      <c r="E491" s="55"/>
      <c r="F491" s="85" t="s">
        <v>382</v>
      </c>
      <c r="G491" s="121">
        <f>+SEPTIEMBRE!G492+'AGOSTO '!G492+JULIO!G491+'OCTUBRE '!G492+'ENERO-JUNIO 2025'!G492</f>
        <v>0</v>
      </c>
      <c r="H491" s="121">
        <f>+SEPTIEMBRE!H492+'AGOSTO '!H492+JULIO!H491+'OCTUBRE '!H492+'ENERO-JUNIO 2025'!H492</f>
        <v>0</v>
      </c>
      <c r="I491" s="121">
        <f t="shared" si="7"/>
        <v>0</v>
      </c>
      <c r="J491" s="53"/>
    </row>
    <row r="492" spans="1:10" ht="25.5" x14ac:dyDescent="0.2">
      <c r="A492" s="72">
        <v>2</v>
      </c>
      <c r="B492" s="58">
        <v>7</v>
      </c>
      <c r="C492" s="58">
        <v>3</v>
      </c>
      <c r="D492" s="58">
        <v>1</v>
      </c>
      <c r="E492" s="77"/>
      <c r="F492" s="86" t="s">
        <v>383</v>
      </c>
      <c r="G492" s="122">
        <f>+SEPTIEMBRE!G493+'AGOSTO '!G493+JULIO!G492+'OCTUBRE '!G493+'ENERO-JUNIO 2025'!G493</f>
        <v>0</v>
      </c>
      <c r="H492" s="122">
        <f>+SEPTIEMBRE!H493+'AGOSTO '!H493+JULIO!H492+'OCTUBRE '!H493+'ENERO-JUNIO 2025'!H493</f>
        <v>0</v>
      </c>
      <c r="I492" s="122">
        <f t="shared" si="7"/>
        <v>0</v>
      </c>
      <c r="J492" s="60"/>
    </row>
    <row r="493" spans="1:10" ht="25.5" x14ac:dyDescent="0.2">
      <c r="A493" s="74">
        <v>2</v>
      </c>
      <c r="B493" s="62">
        <v>7</v>
      </c>
      <c r="C493" s="62">
        <v>3</v>
      </c>
      <c r="D493" s="62">
        <v>1</v>
      </c>
      <c r="E493" s="62" t="s">
        <v>324</v>
      </c>
      <c r="F493" s="69" t="s">
        <v>383</v>
      </c>
      <c r="G493" s="123">
        <f>+SEPTIEMBRE!G494+'AGOSTO '!G494+JULIO!G493+'OCTUBRE '!G494+'ENERO-JUNIO 2025'!G494</f>
        <v>0</v>
      </c>
      <c r="H493" s="123">
        <f>+SEPTIEMBRE!H494+'AGOSTO '!H494+JULIO!H493+'OCTUBRE '!H494+'ENERO-JUNIO 2025'!H494</f>
        <v>0</v>
      </c>
      <c r="I493" s="123">
        <f t="shared" si="7"/>
        <v>0</v>
      </c>
      <c r="J493" s="65">
        <v>0</v>
      </c>
    </row>
    <row r="494" spans="1:10" ht="25.5" x14ac:dyDescent="0.2">
      <c r="A494" s="72">
        <v>2</v>
      </c>
      <c r="B494" s="58">
        <v>7</v>
      </c>
      <c r="C494" s="58">
        <v>3</v>
      </c>
      <c r="D494" s="58">
        <v>2</v>
      </c>
      <c r="E494" s="77"/>
      <c r="F494" s="86" t="s">
        <v>384</v>
      </c>
      <c r="G494" s="122">
        <f>+SEPTIEMBRE!G495+'AGOSTO '!G495+JULIO!G494+'OCTUBRE '!G495+'ENERO-JUNIO 2025'!G495</f>
        <v>0</v>
      </c>
      <c r="H494" s="122">
        <f>+SEPTIEMBRE!H495+'AGOSTO '!H495+JULIO!H494+'OCTUBRE '!H495+'ENERO-JUNIO 2025'!H495</f>
        <v>0</v>
      </c>
      <c r="I494" s="122">
        <f t="shared" si="7"/>
        <v>0</v>
      </c>
      <c r="J494" s="60"/>
    </row>
    <row r="495" spans="1:10" ht="25.5" x14ac:dyDescent="0.2">
      <c r="A495" s="74">
        <v>2</v>
      </c>
      <c r="B495" s="62">
        <v>7</v>
      </c>
      <c r="C495" s="62">
        <v>3</v>
      </c>
      <c r="D495" s="62">
        <v>2</v>
      </c>
      <c r="E495" s="62" t="s">
        <v>324</v>
      </c>
      <c r="F495" s="69" t="s">
        <v>384</v>
      </c>
      <c r="G495" s="123">
        <f>+SEPTIEMBRE!G496+'AGOSTO '!G496+JULIO!G495+'OCTUBRE '!G496+'ENERO-JUNIO 2025'!G496</f>
        <v>0</v>
      </c>
      <c r="H495" s="123">
        <f>+SEPTIEMBRE!H496+'AGOSTO '!H496+JULIO!H495+'OCTUBRE '!H496+'ENERO-JUNIO 2025'!H496</f>
        <v>0</v>
      </c>
      <c r="I495" s="123">
        <f t="shared" si="7"/>
        <v>0</v>
      </c>
      <c r="J495" s="65">
        <v>0</v>
      </c>
    </row>
    <row r="496" spans="1:10" ht="25.5" x14ac:dyDescent="0.2">
      <c r="A496" s="70">
        <v>2</v>
      </c>
      <c r="B496" s="55">
        <v>7</v>
      </c>
      <c r="C496" s="55">
        <v>4</v>
      </c>
      <c r="D496" s="55"/>
      <c r="E496" s="55"/>
      <c r="F496" s="85" t="s">
        <v>385</v>
      </c>
      <c r="G496" s="121">
        <f>+SEPTIEMBRE!G497+'AGOSTO '!G497+JULIO!G496+'OCTUBRE '!G497+'ENERO-JUNIO 2025'!G497</f>
        <v>0</v>
      </c>
      <c r="H496" s="121">
        <f>+SEPTIEMBRE!H497+'AGOSTO '!H497+JULIO!H496+'OCTUBRE '!H497+'ENERO-JUNIO 2025'!H497</f>
        <v>0</v>
      </c>
      <c r="I496" s="121">
        <f t="shared" si="7"/>
        <v>0</v>
      </c>
      <c r="J496" s="53"/>
    </row>
    <row r="497" spans="1:10" ht="25.5" x14ac:dyDescent="0.2">
      <c r="A497" s="72">
        <v>2</v>
      </c>
      <c r="B497" s="58">
        <v>7</v>
      </c>
      <c r="C497" s="58">
        <v>4</v>
      </c>
      <c r="D497" s="58">
        <v>1</v>
      </c>
      <c r="E497" s="77"/>
      <c r="F497" s="86" t="s">
        <v>386</v>
      </c>
      <c r="G497" s="122">
        <f>+SEPTIEMBRE!G498+'AGOSTO '!G498+JULIO!G497+'OCTUBRE '!G498+'ENERO-JUNIO 2025'!G498</f>
        <v>0</v>
      </c>
      <c r="H497" s="122">
        <f>+SEPTIEMBRE!H498+'AGOSTO '!H498+JULIO!H497+'OCTUBRE '!H498+'ENERO-JUNIO 2025'!H498</f>
        <v>0</v>
      </c>
      <c r="I497" s="122">
        <f t="shared" si="7"/>
        <v>0</v>
      </c>
      <c r="J497" s="60"/>
    </row>
    <row r="498" spans="1:10" ht="25.5" x14ac:dyDescent="0.2">
      <c r="A498" s="74">
        <v>2</v>
      </c>
      <c r="B498" s="62">
        <v>7</v>
      </c>
      <c r="C498" s="62">
        <v>4</v>
      </c>
      <c r="D498" s="62">
        <v>1</v>
      </c>
      <c r="E498" s="62" t="s">
        <v>324</v>
      </c>
      <c r="F498" s="69" t="s">
        <v>386</v>
      </c>
      <c r="G498" s="123">
        <f>+SEPTIEMBRE!G499+'AGOSTO '!G499+JULIO!G498+'OCTUBRE '!G499+'ENERO-JUNIO 2025'!G499</f>
        <v>0</v>
      </c>
      <c r="H498" s="123">
        <f>+SEPTIEMBRE!H499+'AGOSTO '!H499+JULIO!H498+'OCTUBRE '!H499+'ENERO-JUNIO 2025'!H499</f>
        <v>0</v>
      </c>
      <c r="I498" s="123">
        <f t="shared" si="7"/>
        <v>0</v>
      </c>
      <c r="J498" s="65">
        <v>0</v>
      </c>
    </row>
    <row r="499" spans="1:10" ht="25.5" x14ac:dyDescent="0.2">
      <c r="A499" s="57">
        <v>2</v>
      </c>
      <c r="B499" s="58">
        <v>7</v>
      </c>
      <c r="C499" s="58">
        <v>4</v>
      </c>
      <c r="D499" s="58">
        <v>2</v>
      </c>
      <c r="E499" s="77"/>
      <c r="F499" s="86" t="s">
        <v>387</v>
      </c>
      <c r="G499" s="122">
        <f>+SEPTIEMBRE!G500+'AGOSTO '!G500+JULIO!G499+'OCTUBRE '!G500+'ENERO-JUNIO 2025'!G500</f>
        <v>0</v>
      </c>
      <c r="H499" s="122">
        <f>+SEPTIEMBRE!H500+'AGOSTO '!H500+JULIO!H499+'OCTUBRE '!H500+'ENERO-JUNIO 2025'!H500</f>
        <v>0</v>
      </c>
      <c r="I499" s="122">
        <f t="shared" si="7"/>
        <v>0</v>
      </c>
      <c r="J499" s="60"/>
    </row>
    <row r="500" spans="1:10" ht="25.5" x14ac:dyDescent="0.2">
      <c r="A500" s="61">
        <v>2</v>
      </c>
      <c r="B500" s="62">
        <v>7</v>
      </c>
      <c r="C500" s="62">
        <v>4</v>
      </c>
      <c r="D500" s="62">
        <v>2</v>
      </c>
      <c r="E500" s="62" t="s">
        <v>324</v>
      </c>
      <c r="F500" s="69" t="s">
        <v>387</v>
      </c>
      <c r="G500" s="123">
        <f>+SEPTIEMBRE!G501+'AGOSTO '!G501+JULIO!G500+'OCTUBRE '!G501+'ENERO-JUNIO 2025'!G501</f>
        <v>0</v>
      </c>
      <c r="H500" s="123">
        <f>+SEPTIEMBRE!H501+'AGOSTO '!H501+JULIO!H500+'OCTUBRE '!H501+'ENERO-JUNIO 2025'!H501</f>
        <v>0</v>
      </c>
      <c r="I500" s="123">
        <f t="shared" si="7"/>
        <v>0</v>
      </c>
      <c r="J500" s="65">
        <v>0</v>
      </c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123">
        <f>+SEPTIEMBRE!G502+'AGOSTO '!G502+JULIO!G501+'OCTUBRE '!G502+'ENERO-JUNIO 2025'!G502</f>
        <v>0</v>
      </c>
      <c r="H501" s="123">
        <f>+SEPTIEMBRE!H502+'AGOSTO '!H502+JULIO!H501+'OCTUBRE '!H502+'ENERO-JUNIO 2025'!H502</f>
        <v>0</v>
      </c>
      <c r="I501" s="123">
        <f t="shared" si="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6:J7 A9:J18" name="Rango1"/>
  </protectedRanges>
  <mergeCells count="19">
    <mergeCell ref="G22:G23"/>
    <mergeCell ref="H22:H23"/>
    <mergeCell ref="L23:P23"/>
    <mergeCell ref="A21:E21"/>
    <mergeCell ref="F21:F23"/>
    <mergeCell ref="G21:H21"/>
    <mergeCell ref="I21:I23"/>
    <mergeCell ref="J21:J23"/>
    <mergeCell ref="A22:A23"/>
    <mergeCell ref="B22:B23"/>
    <mergeCell ref="C22:C23"/>
    <mergeCell ref="D22:D23"/>
    <mergeCell ref="E22:E23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  <pageSetup scale="6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6DFC-7A42-4D6D-B88C-0DEA33FFFFC9}">
  <dimension ref="A1:P511"/>
  <sheetViews>
    <sheetView topLeftCell="A10" workbookViewId="0">
      <selection sqref="A1:XFD1048576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6" style="5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5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209079.80999999307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>
        <f>+'[2]INGR SEGUN ORIGEN'!E38</f>
        <v>489300</v>
      </c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+'[2]INGR SEGUN ORIGEN'!E12</f>
        <v>105741368.23999999</v>
      </c>
      <c r="H15" s="25" t="s">
        <v>17</v>
      </c>
      <c r="I15" s="19"/>
      <c r="J15" s="17"/>
      <c r="L15" s="5">
        <v>2.1</v>
      </c>
      <c r="M15" s="27">
        <f>G26</f>
        <v>71591503.879999995</v>
      </c>
      <c r="N15" s="27">
        <f>H26</f>
        <v>4413127.5500000007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+'[2]INGR SEGUN ORIGEN'!E30</f>
        <v>12277160.450000001</v>
      </c>
      <c r="H16" s="25"/>
      <c r="I16" s="23"/>
      <c r="J16" s="17"/>
      <c r="L16" s="5">
        <v>2.2000000000000002</v>
      </c>
      <c r="M16" s="27">
        <f>G87</f>
        <v>7782458.8300000001</v>
      </c>
      <c r="N16" s="27">
        <f>H87</f>
        <v>1557736.1899999997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118716908.49999999</v>
      </c>
      <c r="J17" s="17"/>
      <c r="L17" s="5">
        <v>2.2999999999999998</v>
      </c>
      <c r="M17" s="27">
        <f>'[2]CONS. FUENTES FINAN'!G212</f>
        <v>25141648.079999998</v>
      </c>
      <c r="N17" s="27">
        <f>'[2]CONS. FUENTES FINAN'!H212</f>
        <v>3168875.6799999997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21600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5819603.3499999996</v>
      </c>
      <c r="N19" s="27">
        <f>H336</f>
        <v>2245366.02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'[2]CONS. FUENTES FINAN'!G463</f>
        <v>0</v>
      </c>
      <c r="N20" s="27">
        <f>'[2]CONS.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41">
        <v>2</v>
      </c>
      <c r="G21" s="210">
        <v>3</v>
      </c>
      <c r="H21" s="211"/>
      <c r="I21" s="42">
        <v>4</v>
      </c>
      <c r="J21" s="42">
        <v>5</v>
      </c>
    </row>
    <row r="22" spans="1:16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43"/>
      <c r="M24" s="43"/>
      <c r="N24" s="43"/>
      <c r="O24" s="43"/>
      <c r="P24" s="4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110335214.13999999</v>
      </c>
      <c r="H25" s="47">
        <f>+H26+H87+H212+H330+H336+H463</f>
        <v>11406705.439999999</v>
      </c>
      <c r="I25" s="47">
        <f t="shared" ref="I25:I88" si="0">SUM(G25:H25)</f>
        <v>121741919.57999998</v>
      </c>
      <c r="J25" s="48">
        <f>+J26+J87+J212+J330+J336+J463</f>
        <v>1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71591503.879999995</v>
      </c>
      <c r="H26" s="52">
        <f>+H27+H51+H64+H71+H78</f>
        <v>4413127.5500000007</v>
      </c>
      <c r="I26" s="52">
        <f t="shared" si="0"/>
        <v>76004631.429999992</v>
      </c>
      <c r="J26" s="53">
        <f>I26/$I$25</f>
        <v>0.62430945472364796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59165424.859999999</v>
      </c>
      <c r="H27" s="56">
        <f>+H28+H35+H42+H44+H46</f>
        <v>0</v>
      </c>
      <c r="I27" s="56">
        <f t="shared" si="0"/>
        <v>59165424.859999999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58052893.829999998</v>
      </c>
      <c r="H28" s="59">
        <f>SUM(H29:H34)</f>
        <v>0</v>
      </c>
      <c r="I28" s="59">
        <f t="shared" si="0"/>
        <v>58052893.829999998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'[2]CUENTA T FONDO 100'!A126</f>
        <v>58052893.829999998</v>
      </c>
      <c r="H29" s="64">
        <f>'[2]CUENTA T VS'!A75</f>
        <v>0</v>
      </c>
      <c r="I29" s="64">
        <f t="shared" si="0"/>
        <v>58052893.829999998</v>
      </c>
      <c r="J29" s="65">
        <f t="shared" ref="J29:J34" si="1">I29/$I$25</f>
        <v>0.47685213137987231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'[2]CUENTA T FONDO 100'!B126</f>
        <v>0</v>
      </c>
      <c r="H30" s="64">
        <f>'[2]CUENTA T VS'!B75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'[2]CUENTA T FONDO 100'!C126</f>
        <v>0</v>
      </c>
      <c r="H31" s="64">
        <f>'[2]CUENTA T VS'!C75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'[2]CUENTA T FONDO 100'!D126</f>
        <v>0</v>
      </c>
      <c r="H32" s="64">
        <f>'[2]CUENTA T VS'!D75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'[2]CUENTA T FONDO 100'!E126</f>
        <v>0</v>
      </c>
      <c r="H33" s="64">
        <f>'[2]CUENTA T VS'!E75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'[2]CUENTA T FONDO 100'!F126</f>
        <v>0</v>
      </c>
      <c r="H34" s="64">
        <f>'[2]CUENTA T VS'!F75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1112531.03</v>
      </c>
      <c r="H35" s="59">
        <f>SUM(H36:H41)</f>
        <v>0</v>
      </c>
      <c r="I35" s="59">
        <f t="shared" si="0"/>
        <v>1112531.03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'[2]CUENTA T FONDO 100'!G126</f>
        <v>0</v>
      </c>
      <c r="H36" s="64">
        <f>'[2]CUENTA T VS'!G75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'[2]CUENTA T FONDO 100'!H126</f>
        <v>0</v>
      </c>
      <c r="H37" s="64">
        <f>'[2]CUENTA T VS'!H75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'[2]CUENTA T FONDO 100'!I126</f>
        <v>0</v>
      </c>
      <c r="H38" s="64">
        <f>'[2]CUENTA T VS'!I75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'[2]CUENTA T FONDO 100'!J126</f>
        <v>1112531.03</v>
      </c>
      <c r="H39" s="64">
        <f>'[2]CUENTA T VS'!J75</f>
        <v>0</v>
      </c>
      <c r="I39" s="64">
        <f t="shared" si="0"/>
        <v>1112531.03</v>
      </c>
      <c r="J39" s="65">
        <f t="shared" si="2"/>
        <v>9.1384383771682277E-3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'[2]CUENTA T FONDO 100'!K126</f>
        <v>0</v>
      </c>
      <c r="H40" s="64">
        <f>'[2]CUENTA T VS'!K75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'[2]CUENTA T FONDO 100'!L126</f>
        <v>0</v>
      </c>
      <c r="H41" s="64">
        <f>'[2]CUENTA T VS'!L75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'[2]CUENTA T FONDO 100'!M126</f>
        <v>0</v>
      </c>
      <c r="H43" s="64">
        <f>'[2]CUENTA T VS'!M75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'[2]CUENTA T FONDO 100'!N126</f>
        <v>0</v>
      </c>
      <c r="H45" s="64">
        <f>'[2]CUENTA T VS'!N75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0</v>
      </c>
      <c r="H46" s="59">
        <f>SUM(H47:H50)</f>
        <v>0</v>
      </c>
      <c r="I46" s="59">
        <f t="shared" si="0"/>
        <v>0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'[2]CUENTA T FONDO 100'!O126</f>
        <v>0</v>
      </c>
      <c r="H47" s="64">
        <f>'[2]CUENTA T VS'!O75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'[2]CUENTA T FONDO 100'!P126</f>
        <v>0</v>
      </c>
      <c r="H48" s="64">
        <f>'[2]CUENTA T VS'!P75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'[2]CUENTA T FONDO 100'!Q126</f>
        <v>0</v>
      </c>
      <c r="H49" s="64">
        <f>'[2]CUENTA T VS'!Q75</f>
        <v>0</v>
      </c>
      <c r="I49" s="64">
        <f t="shared" si="0"/>
        <v>0</v>
      </c>
      <c r="J49" s="65">
        <f>I49/$I$25</f>
        <v>0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'[2]CUENTA T FONDO 100'!R126</f>
        <v>0</v>
      </c>
      <c r="H50" s="64">
        <f>'[2]CUENTA T VS'!R75</f>
        <v>0</v>
      </c>
      <c r="I50" s="64">
        <f t="shared" si="0"/>
        <v>0</v>
      </c>
      <c r="J50" s="65">
        <f>I50/$I$25</f>
        <v>0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3321905.6100000003</v>
      </c>
      <c r="H51" s="56">
        <f>+H52+H54</f>
        <v>4413127.5500000007</v>
      </c>
      <c r="I51" s="56">
        <f t="shared" si="0"/>
        <v>7735033.1600000011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2702311.62</v>
      </c>
      <c r="H52" s="59">
        <f>SUM(H53)</f>
        <v>0</v>
      </c>
      <c r="I52" s="59">
        <f t="shared" si="0"/>
        <v>2702311.62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'[2]CUENTA T FONDO 100'!S126</f>
        <v>2702311.62</v>
      </c>
      <c r="H53" s="64">
        <f>'[2]CUENTA T VS'!S75</f>
        <v>0</v>
      </c>
      <c r="I53" s="64">
        <f t="shared" si="0"/>
        <v>2702311.62</v>
      </c>
      <c r="J53" s="65">
        <f>I53/$I$25</f>
        <v>2.2197051182721302E-2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619593.99</v>
      </c>
      <c r="H54" s="59">
        <f>SUM(H55:H63)</f>
        <v>4413127.5500000007</v>
      </c>
      <c r="I54" s="59">
        <f t="shared" si="0"/>
        <v>5032721.540000001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'[2]CUENTA T FONDO 100'!T126</f>
        <v>0</v>
      </c>
      <c r="H55" s="64">
        <f>'[2]CUENTA T VS'!T75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'[2]CUENTA T FONDO 100'!U126</f>
        <v>0</v>
      </c>
      <c r="H56" s="64">
        <f>'[2]CUENTA T VS'!U75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'[2]CUENTA T FONDO 100'!V126</f>
        <v>0</v>
      </c>
      <c r="H57" s="64">
        <f>'[2]CUENTA T VS'!V75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'[2]CUENTA T FONDO 100'!W126</f>
        <v>45000</v>
      </c>
      <c r="H58" s="64">
        <f>'[2]CUENTA T VS'!W75</f>
        <v>0</v>
      </c>
      <c r="I58" s="64">
        <f t="shared" si="0"/>
        <v>45000</v>
      </c>
      <c r="J58" s="65">
        <f t="shared" si="3"/>
        <v>3.6963438851010769E-4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'[2]CUENTA T FONDO 100'!X126</f>
        <v>0</v>
      </c>
      <c r="H59" s="64">
        <f>'[2]CUENTA T VS'!X75</f>
        <v>4413127.5500000007</v>
      </c>
      <c r="I59" s="64">
        <f t="shared" si="0"/>
        <v>4413127.5500000007</v>
      </c>
      <c r="J59" s="65">
        <f t="shared" si="3"/>
        <v>3.6249860074696889E-2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'[2]CUENTA T FONDO 100'!Y126</f>
        <v>0</v>
      </c>
      <c r="H60" s="64">
        <f>'[2]CUENTA T VS'!Y75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'[2]CUENTA T FONDO 100'!Z126</f>
        <v>288000</v>
      </c>
      <c r="H61" s="64">
        <f>'[2]CUENTA T VS'!Z75</f>
        <v>0</v>
      </c>
      <c r="I61" s="64">
        <f t="shared" si="0"/>
        <v>288000</v>
      </c>
      <c r="J61" s="65">
        <f t="shared" si="3"/>
        <v>2.365660086464689E-3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'[2]CUENTA T FONDO 100'!AA126</f>
        <v>0</v>
      </c>
      <c r="H62" s="64">
        <f>'[2]CUENTA T VS'!AA75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'[2]CUENTA T FONDO 100'!AB126</f>
        <v>286593.99</v>
      </c>
      <c r="H63" s="64">
        <f>'[2]CUENTA T VS'!AB75</f>
        <v>0</v>
      </c>
      <c r="I63" s="64">
        <f t="shared" si="0"/>
        <v>286593.99</v>
      </c>
      <c r="J63" s="65">
        <f t="shared" si="3"/>
        <v>2.3541109832071537E-3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'[2]CUENTA T FONDO 100'!AC126</f>
        <v>0</v>
      </c>
      <c r="H66" s="64">
        <f>'[2]CUENTA T VS'!AC75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'[2]CUENTA T FONDO 100'!AD126</f>
        <v>0</v>
      </c>
      <c r="H67" s="64">
        <f>'[2]CUENTA T VS'!AD75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'[2]CUENTA T FONDO 100'!AE126</f>
        <v>0</v>
      </c>
      <c r="H69" s="64">
        <f>'[2]CUENTA T VS'!AE75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'[2]CUENTA T FONDO 100'!AF126</f>
        <v>0</v>
      </c>
      <c r="H70" s="64">
        <f>'[2]CUENTA T VS'!AF75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'[2]CUENTA T FONDO 100'!AG126</f>
        <v>0</v>
      </c>
      <c r="H73" s="64">
        <f>'[2]CUENTA T VS'!AG75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'[2]CUENTA T FONDO 100'!AH126</f>
        <v>0</v>
      </c>
      <c r="H75" s="64">
        <f>'[2]CUENTA T VS'!AH75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'[2]CUENTA T FONDO 100'!AI126</f>
        <v>0</v>
      </c>
      <c r="H76" s="64">
        <f>'[2]CUENTA T VS'!AI75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'[2]CUENTA T FONDO 100'!AJ126</f>
        <v>0</v>
      </c>
      <c r="H77" s="64">
        <f>'[2]CUENTA T VS'!AJ75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9104173.4100000001</v>
      </c>
      <c r="H78" s="56">
        <f>+H79+H81+H83+H85</f>
        <v>0</v>
      </c>
      <c r="I78" s="56">
        <f t="shared" si="0"/>
        <v>9104173.4100000001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4194829.3899999997</v>
      </c>
      <c r="H79" s="59">
        <f>SUM(H80)</f>
        <v>0</v>
      </c>
      <c r="I79" s="59">
        <f t="shared" si="0"/>
        <v>4194829.3899999997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'[2]CUENTA T FONDO 100'!AK126</f>
        <v>4194829.3899999997</v>
      </c>
      <c r="H80" s="64">
        <f>'[2]CUENTA T VS'!AK75</f>
        <v>0</v>
      </c>
      <c r="I80" s="64">
        <f t="shared" si="0"/>
        <v>4194829.3899999997</v>
      </c>
      <c r="J80" s="65">
        <f>I80/$I$25</f>
        <v>3.4456737699486178E-2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4200746.84</v>
      </c>
      <c r="H81" s="59">
        <f>SUM(H82)</f>
        <v>0</v>
      </c>
      <c r="I81" s="59">
        <f t="shared" si="0"/>
        <v>4200746.84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'[2]CUENTA T FONDO 100'!AL126</f>
        <v>4200746.84</v>
      </c>
      <c r="H82" s="64">
        <f>'[2]CUENTA T VS'!AL75</f>
        <v>0</v>
      </c>
      <c r="I82" s="64">
        <f t="shared" si="0"/>
        <v>4200746.84</v>
      </c>
      <c r="J82" s="65">
        <f>I82/$I$25</f>
        <v>3.4505344210870384E-2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708597.18</v>
      </c>
      <c r="H83" s="59">
        <f>SUM(H84)</f>
        <v>0</v>
      </c>
      <c r="I83" s="59">
        <f t="shared" si="0"/>
        <v>708597.18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'[2]CUENTA T FONDO 100'!AM126</f>
        <v>708597.18</v>
      </c>
      <c r="H84" s="64">
        <f>'[2]CUENTA T VS'!AM75</f>
        <v>0</v>
      </c>
      <c r="I84" s="64">
        <f t="shared" si="0"/>
        <v>708597.18</v>
      </c>
      <c r="J84" s="65">
        <f>I84/$I$25</f>
        <v>5.8204863406508163E-3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'[2]CUENTA T FONDO 100'!AN126</f>
        <v>0</v>
      </c>
      <c r="H86" s="64">
        <f>'[2]CUENTA T VS'!AN75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7782458.8300000001</v>
      </c>
      <c r="H87" s="56">
        <f>H88+H106+H111+H116+H125+H148+H157+H179+H208</f>
        <v>1557736.1899999997</v>
      </c>
      <c r="I87" s="56">
        <f t="shared" si="0"/>
        <v>9340195.0199999996</v>
      </c>
      <c r="J87" s="53">
        <f>I87/$I$25</f>
        <v>7.6721272772952293E-2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161421.68</v>
      </c>
      <c r="I88" s="56">
        <f t="shared" si="0"/>
        <v>221956.68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'[2]CUENTA T FONDO 100'!AO126</f>
        <v>0</v>
      </c>
      <c r="H90" s="64">
        <f>'[2]CUENTA T VS'!AO75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'[2]CUENTA T FONDO 100'!AP126</f>
        <v>0</v>
      </c>
      <c r="H92" s="64">
        <f>'[2]CUENTA T VS'!AP75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111421.68</v>
      </c>
      <c r="I93" s="59">
        <f t="shared" si="4"/>
        <v>111421.68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'[2]CUENTA T FONDO 100'!AQ126</f>
        <v>0</v>
      </c>
      <c r="H94" s="64">
        <f>'[2]CUENTA T VS'!AQ75</f>
        <v>111421.68</v>
      </c>
      <c r="I94" s="64">
        <f t="shared" si="4"/>
        <v>111421.68</v>
      </c>
      <c r="J94" s="65">
        <f>I94/$I$25</f>
        <v>9.1522854563486425E-4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'[2]CUENTA T FONDO 100'!AR126</f>
        <v>0</v>
      </c>
      <c r="H96" s="64">
        <f>'[2]CUENTA T VS'!AR75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'[2]CUENTA T FONDO 100'!AS126</f>
        <v>0</v>
      </c>
      <c r="H98" s="64">
        <f>'[2]CUENTA T VS'!AS75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'[2]CUENTA T FONDO 100'!AT126</f>
        <v>0</v>
      </c>
      <c r="H100" s="64">
        <f>'[2]CUENTA T VS'!AT75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'[2]CUENTA T FONDO 100'!AU126</f>
        <v>0</v>
      </c>
      <c r="H101" s="64">
        <f>'[2]CUENTA T VS'!AU75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'[2]CUENTA T FONDO 100'!AV126</f>
        <v>60535</v>
      </c>
      <c r="H103" s="64">
        <f>'[2]CUENTA T VS'!AV75</f>
        <v>0</v>
      </c>
      <c r="I103" s="64">
        <f t="shared" si="4"/>
        <v>60535</v>
      </c>
      <c r="J103" s="65">
        <f>I103/$I$25</f>
        <v>4.9724039352131929E-4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50000</v>
      </c>
      <c r="I104" s="59">
        <f t="shared" si="4"/>
        <v>50000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'[2]CUENTA T FONDO 100'!AW126</f>
        <v>0</v>
      </c>
      <c r="H105" s="64">
        <f>'[2]CUENTA T VS'!AW75</f>
        <v>50000</v>
      </c>
      <c r="I105" s="64">
        <f t="shared" si="4"/>
        <v>50000</v>
      </c>
      <c r="J105" s="65">
        <f>I105/$I$25</f>
        <v>4.107048761223419E-4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47633.3</v>
      </c>
      <c r="H106" s="56">
        <f>+H107+H109</f>
        <v>269720.57</v>
      </c>
      <c r="I106" s="56">
        <f t="shared" si="4"/>
        <v>317353.87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'[2]CUENTA T FONDO 100'!AX126</f>
        <v>0</v>
      </c>
      <c r="H108" s="64">
        <f>'[2]CUENTA T VS'!AX75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47633.3</v>
      </c>
      <c r="H109" s="59">
        <f>SUM(H110)</f>
        <v>269720.57</v>
      </c>
      <c r="I109" s="59">
        <f t="shared" si="4"/>
        <v>317353.87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'[2]CUENTA T FONDO 100'!AY126</f>
        <v>47633.3</v>
      </c>
      <c r="H110" s="64">
        <f>'[2]CUENTA T VS'!AY75</f>
        <v>269720.57</v>
      </c>
      <c r="I110" s="64">
        <f t="shared" si="4"/>
        <v>317353.87</v>
      </c>
      <c r="J110" s="65">
        <f>I110/$I$25</f>
        <v>2.6067756373059159E-3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'[2]CUENTA T FONDO 100'!AZ126</f>
        <v>0</v>
      </c>
      <c r="H113" s="64">
        <f>'[2]CUENTA T VS'!AZ75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'[2]CUENTA T FONDO 100'!BA126</f>
        <v>0</v>
      </c>
      <c r="H115" s="64">
        <f>'[2]CUENTA T VS'!BA75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68000</v>
      </c>
      <c r="I116" s="56">
        <f t="shared" si="4"/>
        <v>68000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'[2]CUENTA T FONDO 100'!BB126</f>
        <v>0</v>
      </c>
      <c r="H118" s="64">
        <f>'[2]CUENTA T VS'!BB75</f>
        <v>0</v>
      </c>
      <c r="I118" s="64">
        <f t="shared" si="4"/>
        <v>0</v>
      </c>
      <c r="J118" s="65">
        <f>I118/$I$25</f>
        <v>0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68000</v>
      </c>
      <c r="I119" s="59">
        <f t="shared" si="4"/>
        <v>68000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'[2]CUENTA T FONDO 100'!BC126</f>
        <v>0</v>
      </c>
      <c r="H120" s="64">
        <f>'[2]CUENTA T VS'!BC75</f>
        <v>68000</v>
      </c>
      <c r="I120" s="64">
        <f t="shared" si="4"/>
        <v>68000</v>
      </c>
      <c r="J120" s="65">
        <f>I120/$I$25</f>
        <v>5.5855863152638491E-4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'[2]CUENTA T FONDO 100'!BD126</f>
        <v>0</v>
      </c>
      <c r="H122" s="64">
        <f>'[2]CUENTA T VS'!BD75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'[2]CUENTA T FONDO 100'!BE126</f>
        <v>0</v>
      </c>
      <c r="H124" s="64">
        <f>'[2]CUENTA T VS'!BE75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0</v>
      </c>
      <c r="H125" s="56">
        <f t="shared" ref="H125" si="5">+H126+H128+H130+H136+H138+H140+H142+H144+H146</f>
        <v>0</v>
      </c>
      <c r="I125" s="56">
        <f t="shared" si="4"/>
        <v>0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'[2]CUENTA T FONDO 100'!BF126</f>
        <v>0</v>
      </c>
      <c r="H127" s="64">
        <f>'[2]CUENTA T VS'!BF75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'[2]CUENTA T FONDO 100'!BG126</f>
        <v>0</v>
      </c>
      <c r="H129" s="64">
        <f>'[2]CUENTA T VS'!BG75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0</v>
      </c>
      <c r="H130" s="59">
        <f>SUM(H131:H135)</f>
        <v>0</v>
      </c>
      <c r="I130" s="59">
        <f t="shared" si="4"/>
        <v>0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'[2]CUENTA T FONDO 100'!BH126</f>
        <v>0</v>
      </c>
      <c r="H131" s="64">
        <f>'[2]CUENTA T VS'!BH75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'[2]CUENTA T FONDO 100'!BI126</f>
        <v>0</v>
      </c>
      <c r="H132" s="64">
        <f>'[2]CUENTA T VS'!BI75</f>
        <v>0</v>
      </c>
      <c r="I132" s="64">
        <f t="shared" si="4"/>
        <v>0</v>
      </c>
      <c r="J132" s="65">
        <f>I132/$I$25</f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'[2]CUENTA T FONDO 100'!BJ126</f>
        <v>0</v>
      </c>
      <c r="H133" s="64">
        <f>'[2]CUENTA T VS'!BJ75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'[2]CUENTA T FONDO 100'!BK126</f>
        <v>0</v>
      </c>
      <c r="H134" s="64">
        <f>'[2]CUENTA T VS'!BK75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'[2]CUENTA T FONDO 100'!BL126</f>
        <v>0</v>
      </c>
      <c r="H135" s="64">
        <f>'[2]CUENTA T VS'!BL75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'[2]CUENTA T FONDO 100'!BM126</f>
        <v>0</v>
      </c>
      <c r="H137" s="64">
        <f>'[2]CUENTA T VS'!BM75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'[2]CUENTA T FONDO 100'!BN126</f>
        <v>0</v>
      </c>
      <c r="H139" s="64">
        <f>'[2]CUENTA T VS'!BN75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'[2]CUENTA T FONDO 100'!BO126</f>
        <v>0</v>
      </c>
      <c r="H141" s="64">
        <f>'[2]CUENTA T VS'!BO75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'[2]CUENTA T FONDO 100'!BP126</f>
        <v>0</v>
      </c>
      <c r="H143" s="64">
        <f>'[2]CUENTA T VS'!BP75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'[2]CUENTA T FONDO 100'!BQ126</f>
        <v>0</v>
      </c>
      <c r="H145" s="64">
        <f>'[2]CUENTA T VS'!BQ75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'[2]CUENTA T FONDO 100'!BR126</f>
        <v>0</v>
      </c>
      <c r="H147" s="64">
        <f>'[2]CUENTA T VS'!BR75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'[2]CUENTA T FONDO 100'!BS126</f>
        <v>0</v>
      </c>
      <c r="H150" s="64">
        <f>'[2]CUENTA T VS'!BS75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'[2]CUENTA T FONDO 100'!BT126</f>
        <v>0</v>
      </c>
      <c r="H152" s="64">
        <f>'[2]CUENTA T VS'!BT75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6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'[2]CUENTA T FONDO 100'!BU126</f>
        <v>0</v>
      </c>
      <c r="H154" s="64">
        <f>'[2]CUENTA T VS'!BU75</f>
        <v>0</v>
      </c>
      <c r="I154" s="64">
        <f t="shared" si="6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'[2]CUENTA T FONDO 100'!BV126</f>
        <v>0</v>
      </c>
      <c r="H156" s="64">
        <f>'[2]CUENTA T VS'!BV75</f>
        <v>0</v>
      </c>
      <c r="I156" s="64">
        <f t="shared" si="6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1580779.53</v>
      </c>
      <c r="H157" s="56">
        <f>+H158+H167+H177</f>
        <v>802020.25999999989</v>
      </c>
      <c r="I157" s="56">
        <f t="shared" si="6"/>
        <v>2382799.79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1567740.53</v>
      </c>
      <c r="H158" s="59">
        <f>SUM(H159:H166)</f>
        <v>0</v>
      </c>
      <c r="I158" s="59">
        <f t="shared" si="6"/>
        <v>1567740.53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'[2]CUENTA T FONDO 100'!BW126</f>
        <v>1567740.53</v>
      </c>
      <c r="H159" s="64">
        <f>'[2]CUENTA T VS'!BW75</f>
        <v>0</v>
      </c>
      <c r="I159" s="64">
        <f t="shared" si="6"/>
        <v>1567740.53</v>
      </c>
      <c r="J159" s="65">
        <f t="shared" ref="J159:J166" si="7">I159/$I$25</f>
        <v>1.2877573603312492E-2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'[2]CUENTA T FONDO 100'!BX126</f>
        <v>0</v>
      </c>
      <c r="H160" s="64">
        <f>'[2]CUENTA T VS'!BX75</f>
        <v>0</v>
      </c>
      <c r="I160" s="64">
        <f t="shared" si="6"/>
        <v>0</v>
      </c>
      <c r="J160" s="65">
        <f t="shared" si="7"/>
        <v>0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'[2]CUENTA T FONDO 100'!BY126</f>
        <v>0</v>
      </c>
      <c r="H161" s="64">
        <f>'[2]CUENTA T VS'!BY75</f>
        <v>0</v>
      </c>
      <c r="I161" s="64">
        <f t="shared" si="6"/>
        <v>0</v>
      </c>
      <c r="J161" s="65">
        <f t="shared" si="7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'[2]CUENTA T FONDO 100'!BZ126</f>
        <v>0</v>
      </c>
      <c r="H162" s="64">
        <f>'[2]CUENTA T VS'!BZ75</f>
        <v>0</v>
      </c>
      <c r="I162" s="64">
        <f t="shared" si="6"/>
        <v>0</v>
      </c>
      <c r="J162" s="65">
        <f t="shared" si="7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'[2]CUENTA T FONDO 100'!CA126</f>
        <v>0</v>
      </c>
      <c r="H163" s="64">
        <f>'[2]CUENTA T VS'!CA75</f>
        <v>0</v>
      </c>
      <c r="I163" s="64">
        <f t="shared" si="6"/>
        <v>0</v>
      </c>
      <c r="J163" s="65">
        <f t="shared" si="7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'[2]CUENTA T FONDO 100'!CB126</f>
        <v>0</v>
      </c>
      <c r="H164" s="64">
        <f>'[2]CUENTA T VS'!CB75</f>
        <v>0</v>
      </c>
      <c r="I164" s="64">
        <f t="shared" si="6"/>
        <v>0</v>
      </c>
      <c r="J164" s="65">
        <f t="shared" si="7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'[2]CUENTA T FONDO 100'!CC126</f>
        <v>0</v>
      </c>
      <c r="H165" s="64">
        <f>'[2]CUENTA T VS'!CC75</f>
        <v>0</v>
      </c>
      <c r="I165" s="64">
        <f t="shared" si="6"/>
        <v>0</v>
      </c>
      <c r="J165" s="65">
        <f t="shared" si="7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'[2]CUENTA T FONDO 100'!CD126</f>
        <v>0</v>
      </c>
      <c r="H166" s="64">
        <f>'[2]CUENTA T VS'!CD75</f>
        <v>0</v>
      </c>
      <c r="I166" s="64">
        <f t="shared" si="6"/>
        <v>0</v>
      </c>
      <c r="J166" s="65">
        <f t="shared" si="7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13039</v>
      </c>
      <c r="H167" s="59">
        <f>SUM(H168:H176)</f>
        <v>802020.25999999989</v>
      </c>
      <c r="I167" s="59">
        <f t="shared" si="6"/>
        <v>815059.25999999989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'[2]CUENTA T FONDO 100'!CE126</f>
        <v>0</v>
      </c>
      <c r="H168" s="64">
        <f>'[2]CUENTA T VS'!CE75</f>
        <v>0</v>
      </c>
      <c r="I168" s="64">
        <f t="shared" si="6"/>
        <v>0</v>
      </c>
      <c r="J168" s="65">
        <f t="shared" ref="J168:J176" si="8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'[2]CUENTA T FONDO 100'!CF126</f>
        <v>0</v>
      </c>
      <c r="H169" s="64">
        <f>'[2]CUENTA T VS'!CF75</f>
        <v>0</v>
      </c>
      <c r="I169" s="64">
        <f t="shared" si="6"/>
        <v>0</v>
      </c>
      <c r="J169" s="65">
        <f t="shared" si="8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'[2]CUENTA T FONDO 100'!CG126</f>
        <v>0</v>
      </c>
      <c r="H170" s="64">
        <f>'[2]CUENTA T VS'!CG75</f>
        <v>0</v>
      </c>
      <c r="I170" s="64">
        <f t="shared" si="6"/>
        <v>0</v>
      </c>
      <c r="J170" s="65">
        <f t="shared" si="8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'[2]CUENTA T FONDO 100'!CH126</f>
        <v>13039</v>
      </c>
      <c r="H171" s="64">
        <f>'[2]CUENTA T VS'!CH75</f>
        <v>132966.46</v>
      </c>
      <c r="I171" s="64">
        <f t="shared" si="6"/>
        <v>146005.46</v>
      </c>
      <c r="J171" s="65">
        <f t="shared" si="8"/>
        <v>1.1993030872497108E-3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'[2]CUENTA T FONDO 100'!CI126</f>
        <v>0</v>
      </c>
      <c r="H172" s="64">
        <f>'[2]CUENTA T VS'!CI75</f>
        <v>0</v>
      </c>
      <c r="I172" s="64">
        <f t="shared" si="6"/>
        <v>0</v>
      </c>
      <c r="J172" s="65">
        <f t="shared" si="8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'[2]CUENTA T FONDO 100'!CJ126</f>
        <v>0</v>
      </c>
      <c r="H173" s="64">
        <f>'[2]CUENTA T VS'!CJ75</f>
        <v>33714.29</v>
      </c>
      <c r="I173" s="64">
        <f t="shared" si="6"/>
        <v>33714.29</v>
      </c>
      <c r="J173" s="65">
        <f t="shared" si="8"/>
        <v>2.769324659600542E-4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'[2]CUENTA T FONDO 100'!CK126</f>
        <v>0</v>
      </c>
      <c r="H174" s="64">
        <f>'[2]CUENTA T VS'!CK75</f>
        <v>0</v>
      </c>
      <c r="I174" s="64">
        <f t="shared" si="6"/>
        <v>0</v>
      </c>
      <c r="J174" s="65">
        <f t="shared" si="8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'[2]CUENTA T FONDO 100'!CL126</f>
        <v>0</v>
      </c>
      <c r="H175" s="64">
        <f>'[2]CUENTA T VS'!CL75</f>
        <v>635339.50999999989</v>
      </c>
      <c r="I175" s="64">
        <f t="shared" si="6"/>
        <v>635339.50999999989</v>
      </c>
      <c r="J175" s="65">
        <f t="shared" si="8"/>
        <v>5.2187406950035872E-3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'[2]CUENTA T FONDO 100'!CM126</f>
        <v>0</v>
      </c>
      <c r="H176" s="64">
        <f>'[2]CUENTA T VS'!CM75</f>
        <v>0</v>
      </c>
      <c r="I176" s="64">
        <f t="shared" si="6"/>
        <v>0</v>
      </c>
      <c r="J176" s="65">
        <f t="shared" si="8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'[2]CUENTA T FONDO 100'!CN126</f>
        <v>0</v>
      </c>
      <c r="H178" s="64">
        <f>'[2]CUENTA T VS'!CN75</f>
        <v>0</v>
      </c>
      <c r="I178" s="64">
        <f t="shared" si="6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3779000</v>
      </c>
      <c r="H179" s="56">
        <f>+H180+H182+H184+H186+H188+H192+H197+H204</f>
        <v>166524.93</v>
      </c>
      <c r="I179" s="56">
        <f t="shared" si="6"/>
        <v>3945524.93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'[2]CUENTA T FONDO 100'!CO126</f>
        <v>0</v>
      </c>
      <c r="H181" s="64">
        <f>'[2]CUENTA T VS'!CO75</f>
        <v>0</v>
      </c>
      <c r="I181" s="64">
        <f t="shared" si="6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21179.93</v>
      </c>
      <c r="I182" s="59">
        <f t="shared" si="6"/>
        <v>21179.93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'[2]CUENTA T FONDO 100'!CP126</f>
        <v>0</v>
      </c>
      <c r="H183" s="64">
        <f>'[2]CUENTA T VS'!CP75</f>
        <v>21179.93</v>
      </c>
      <c r="I183" s="64">
        <f t="shared" si="6"/>
        <v>21179.93</v>
      </c>
      <c r="J183" s="65">
        <f>I183/$I$25</f>
        <v>1.7397401053859745E-4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 t="shared" si="6"/>
        <v>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'[2]CUENTA T FONDO 100'!CQ126</f>
        <v>0</v>
      </c>
      <c r="H185" s="64">
        <f>'[2]CUENTA T VS'!CQ75</f>
        <v>0</v>
      </c>
      <c r="I185" s="64">
        <f t="shared" si="6"/>
        <v>0</v>
      </c>
      <c r="J185" s="65">
        <f>I185/$I$25</f>
        <v>0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'[2]CUENTA T FONDO 100'!CR126</f>
        <v>0</v>
      </c>
      <c r="H187" s="64">
        <f>'[2]CUENTA T VS'!CR75</f>
        <v>0</v>
      </c>
      <c r="I187" s="64">
        <f t="shared" si="6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0</v>
      </c>
      <c r="I188" s="59">
        <f t="shared" si="6"/>
        <v>0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'[2]CUENTA T FONDO 100'!CS126</f>
        <v>0</v>
      </c>
      <c r="H189" s="64">
        <f>'[2]CUENTA T VS'!CS75</f>
        <v>0</v>
      </c>
      <c r="I189" s="64">
        <f t="shared" si="6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'[2]CUENTA T FONDO 100'!CT126</f>
        <v>0</v>
      </c>
      <c r="H190" s="64">
        <f>'[2]CUENTA T VS'!CT75</f>
        <v>0</v>
      </c>
      <c r="I190" s="64">
        <f t="shared" si="6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'[2]CUENTA T FONDO 100'!CU126</f>
        <v>0</v>
      </c>
      <c r="H191" s="64">
        <f>'[2]CUENTA T VS'!CU75</f>
        <v>0</v>
      </c>
      <c r="I191" s="64">
        <f t="shared" si="6"/>
        <v>0</v>
      </c>
      <c r="J191" s="65">
        <f>I191/$I$25</f>
        <v>0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'[2]CUENTA T FONDO 100'!CV126</f>
        <v>0</v>
      </c>
      <c r="H193" s="64">
        <f>'[2]CUENTA T VS'!CV75</f>
        <v>0</v>
      </c>
      <c r="I193" s="64">
        <f t="shared" si="6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'[2]CUENTA T FONDO 100'!CW126</f>
        <v>0</v>
      </c>
      <c r="H194" s="64">
        <f>'[2]CUENTA T VS'!CW75</f>
        <v>0</v>
      </c>
      <c r="I194" s="64">
        <f t="shared" si="6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'[2]CUENTA T FONDO 100'!CX126</f>
        <v>0</v>
      </c>
      <c r="H195" s="64">
        <f>'[2]CUENTA T VS'!CX75</f>
        <v>0</v>
      </c>
      <c r="I195" s="64">
        <f t="shared" si="6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'[2]CUENTA T FONDO 100'!CY126</f>
        <v>0</v>
      </c>
      <c r="H196" s="64">
        <f>'[2]CUENTA T VS'!CY75</f>
        <v>0</v>
      </c>
      <c r="I196" s="64">
        <f t="shared" si="6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3779000</v>
      </c>
      <c r="H197" s="59">
        <f>SUM(H198:H203)</f>
        <v>145345</v>
      </c>
      <c r="I197" s="59">
        <f t="shared" si="6"/>
        <v>3924345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'[2]CUENTA T FONDO 100'!CZ126</f>
        <v>0</v>
      </c>
      <c r="H198" s="64">
        <f>'[2]CUENTA T VS'!CZ75</f>
        <v>0</v>
      </c>
      <c r="I198" s="64">
        <f t="shared" si="6"/>
        <v>0</v>
      </c>
      <c r="J198" s="65">
        <f t="shared" ref="J198:J203" si="9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'[2]CUENTA T FONDO 100'!DA126</f>
        <v>0</v>
      </c>
      <c r="H199" s="64">
        <f>'[2]CUENTA T VS'!DA75</f>
        <v>0</v>
      </c>
      <c r="I199" s="64">
        <f t="shared" si="6"/>
        <v>0</v>
      </c>
      <c r="J199" s="65">
        <f t="shared" si="9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'[2]CUENTA T FONDO 100'!DB126</f>
        <v>0</v>
      </c>
      <c r="H200" s="64">
        <f>'[2]CUENTA T VS'!DB75</f>
        <v>0</v>
      </c>
      <c r="I200" s="64">
        <f t="shared" si="6"/>
        <v>0</v>
      </c>
      <c r="J200" s="65">
        <f t="shared" si="9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'[2]CUENTA T FONDO 100'!DC126</f>
        <v>0</v>
      </c>
      <c r="H201" s="64">
        <f>'[2]CUENTA T VS'!DC75</f>
        <v>0</v>
      </c>
      <c r="I201" s="64">
        <f t="shared" si="6"/>
        <v>0</v>
      </c>
      <c r="J201" s="65">
        <f t="shared" si="9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'[2]CUENTA T FONDO 100'!DD126</f>
        <v>3779000</v>
      </c>
      <c r="H202" s="64">
        <f>'[2]CUENTA T VS'!DD75</f>
        <v>0</v>
      </c>
      <c r="I202" s="64">
        <f t="shared" si="6"/>
        <v>3779000</v>
      </c>
      <c r="J202" s="65">
        <f t="shared" si="9"/>
        <v>3.1041074537326598E-2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'[2]CUENTA T FONDO 100'!DE126</f>
        <v>0</v>
      </c>
      <c r="H203" s="64">
        <f>'[2]CUENTA T VS'!DE75</f>
        <v>145345</v>
      </c>
      <c r="I203" s="64">
        <f t="shared" si="6"/>
        <v>145345</v>
      </c>
      <c r="J203" s="65">
        <f t="shared" si="9"/>
        <v>1.1938780044000357E-3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0</v>
      </c>
      <c r="I204" s="59">
        <f t="shared" si="6"/>
        <v>0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'[2]CUENTA T FONDO 100'!DF126</f>
        <v>0</v>
      </c>
      <c r="H205" s="64">
        <f>'[2]CUENTA T VS'!DF75</f>
        <v>0</v>
      </c>
      <c r="I205" s="64">
        <f t="shared" si="6"/>
        <v>0</v>
      </c>
      <c r="J205" s="65">
        <f>I205/$I$25</f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'[2]CUENTA T FONDO 100'!DG126</f>
        <v>0</v>
      </c>
      <c r="H206" s="64">
        <f>'[2]CUENTA T VS'!DG75</f>
        <v>0</v>
      </c>
      <c r="I206" s="64">
        <f t="shared" si="6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'[2]CUENTA T FONDO 100'!DH126</f>
        <v>0</v>
      </c>
      <c r="H207" s="64">
        <f>'[2]CUENTA T VS'!DH75</f>
        <v>0</v>
      </c>
      <c r="I207" s="64">
        <f t="shared" si="6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2314511</v>
      </c>
      <c r="H208" s="56">
        <f t="shared" si="10"/>
        <v>90048.75</v>
      </c>
      <c r="I208" s="56">
        <f t="shared" si="6"/>
        <v>2404559.75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2314511</v>
      </c>
      <c r="H209" s="59">
        <f t="shared" ref="H209" si="11">H210+H211</f>
        <v>90048.75</v>
      </c>
      <c r="I209" s="59">
        <f t="shared" si="6"/>
        <v>2404559.75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'[2]CUENTA T FONDO 100'!DI126</f>
        <v>0</v>
      </c>
      <c r="H210" s="64">
        <f>'[2]CUENTA T VS'!DI75</f>
        <v>90048.75</v>
      </c>
      <c r="I210" s="64">
        <f t="shared" si="6"/>
        <v>90048.75</v>
      </c>
      <c r="J210" s="65">
        <f>I210/$I$25</f>
        <v>7.3966921427443466E-4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'[2]CUENTA T FONDO 100'!DJ126</f>
        <v>2314511</v>
      </c>
      <c r="H211" s="64">
        <f>'[2]CUENTA T VS'!DJ75</f>
        <v>0</v>
      </c>
      <c r="I211" s="64">
        <f t="shared" si="6"/>
        <v>2314511</v>
      </c>
      <c r="J211" s="65">
        <f>I211/$I$25</f>
        <v>1.9011619070775952E-2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25141648.079999998</v>
      </c>
      <c r="H212" s="56">
        <f>H213+H225+H232+H245+H250+H261+H286+H303+H308</f>
        <v>3168875.6799999997</v>
      </c>
      <c r="I212" s="56">
        <f t="shared" si="6"/>
        <v>28310523.759999998</v>
      </c>
      <c r="J212" s="53">
        <f>I212/$I$25</f>
        <v>0.23254540307618832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2180362.58</v>
      </c>
      <c r="H213" s="56">
        <f>+H214+H217+H219+H223</f>
        <v>1046945.66</v>
      </c>
      <c r="I213" s="56">
        <f t="shared" si="6"/>
        <v>3227308.24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2180362.58</v>
      </c>
      <c r="H214" s="59">
        <f>SUM(H215:H216)</f>
        <v>1046945.66</v>
      </c>
      <c r="I214" s="59">
        <f t="shared" si="6"/>
        <v>3227308.24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'[2]CUENTA T FONDO 100'!DK126</f>
        <v>2180362.58</v>
      </c>
      <c r="H215" s="64">
        <f>'[2]CUENTA T VS'!DK75</f>
        <v>1046945.66</v>
      </c>
      <c r="I215" s="64">
        <f t="shared" si="6"/>
        <v>3227308.24</v>
      </c>
      <c r="J215" s="65">
        <f>I215/$I$25</f>
        <v>2.6509424618356266E-2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'[2]CUENTA T FONDO 100'!DL126</f>
        <v>0</v>
      </c>
      <c r="H216" s="64">
        <f>'[2]CUENTA T VS'!DL75</f>
        <v>0</v>
      </c>
      <c r="I216" s="64">
        <f t="shared" si="6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'[2]CUENTA T FONDO 100'!DM126</f>
        <v>0</v>
      </c>
      <c r="H218" s="64">
        <f>'[2]CUENTA T VS'!DM75</f>
        <v>0</v>
      </c>
      <c r="I218" s="64">
        <f t="shared" si="12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'[2]CUENTA T FONDO 100'!DN126</f>
        <v>0</v>
      </c>
      <c r="H220" s="64">
        <f>'[2]CUENTA T VS'!DN75</f>
        <v>0</v>
      </c>
      <c r="I220" s="64">
        <f t="shared" si="12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'[2]CUENTA T FONDO 100'!DO126</f>
        <v>0</v>
      </c>
      <c r="H221" s="64">
        <f>'[2]CUENTA T VS'!DO75</f>
        <v>0</v>
      </c>
      <c r="I221" s="64">
        <f t="shared" si="12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'[2]CUENTA T FONDO 100'!DP126</f>
        <v>0</v>
      </c>
      <c r="H222" s="64">
        <f>'[2]CUENTA T VS'!DP75</f>
        <v>0</v>
      </c>
      <c r="I222" s="64">
        <f t="shared" si="12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'[2]CUENTA T FONDO 100'!DQ126</f>
        <v>0</v>
      </c>
      <c r="H224" s="64">
        <f>'[2]CUENTA T VS'!DQ75</f>
        <v>0</v>
      </c>
      <c r="I224" s="64">
        <f t="shared" si="12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1258116.06</v>
      </c>
      <c r="H225" s="56">
        <f>+H226+H228+H230</f>
        <v>0</v>
      </c>
      <c r="I225" s="56">
        <f t="shared" si="12"/>
        <v>1258116.06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'[2]CUENTA T FONDO 100'!DR126</f>
        <v>0</v>
      </c>
      <c r="H227" s="64">
        <f>'[2]CUENTA T VS'!DR75</f>
        <v>0</v>
      </c>
      <c r="I227" s="64">
        <f t="shared" si="12"/>
        <v>0</v>
      </c>
      <c r="J227" s="65">
        <f>I227/$I$25</f>
        <v>0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1258116.06</v>
      </c>
      <c r="H228" s="59">
        <f>SUM(H229)</f>
        <v>0</v>
      </c>
      <c r="I228" s="59">
        <f t="shared" si="12"/>
        <v>1258116.06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'[2]CUENTA T FONDO 100'!DS126</f>
        <v>1258116.06</v>
      </c>
      <c r="H229" s="64">
        <f>'[2]CUENTA T VS'!DS75</f>
        <v>0</v>
      </c>
      <c r="I229" s="64">
        <f t="shared" si="12"/>
        <v>1258116.06</v>
      </c>
      <c r="J229" s="65">
        <f>I229/$I$25</f>
        <v>1.0334288011396577E-2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12"/>
        <v>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'[2]CUENTA T FONDO 100'!DT126</f>
        <v>0</v>
      </c>
      <c r="H231" s="64">
        <f>'[2]CUENTA T VS'!DT75</f>
        <v>0</v>
      </c>
      <c r="I231" s="64">
        <f t="shared" si="12"/>
        <v>0</v>
      </c>
      <c r="J231" s="65">
        <f>I231/$I$25</f>
        <v>0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366980</v>
      </c>
      <c r="H232" s="56">
        <f>+H233+H235+H237+H239+H241+H243</f>
        <v>17600.03</v>
      </c>
      <c r="I232" s="56">
        <f t="shared" si="12"/>
        <v>384580.03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12"/>
        <v>0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'[2]CUENTA T FONDO 100'!DU126</f>
        <v>0</v>
      </c>
      <c r="H234" s="64">
        <f>'[2]CUENTA T VS'!DU75</f>
        <v>0</v>
      </c>
      <c r="I234" s="64">
        <f t="shared" si="12"/>
        <v>0</v>
      </c>
      <c r="J234" s="65">
        <f>I234/$I$25</f>
        <v>0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124608</v>
      </c>
      <c r="H235" s="59">
        <f>SUM(H236)</f>
        <v>17600.03</v>
      </c>
      <c r="I235" s="59">
        <f t="shared" si="12"/>
        <v>142208.03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'[2]CUENTA T FONDO 100'!DV126</f>
        <v>124608</v>
      </c>
      <c r="H236" s="64">
        <f>'[2]CUENTA T VS'!DV75</f>
        <v>17600.03</v>
      </c>
      <c r="I236" s="64">
        <f t="shared" si="12"/>
        <v>142208.03</v>
      </c>
      <c r="J236" s="65">
        <f>I236/$I$25</f>
        <v>1.1681106268950456E-3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242372</v>
      </c>
      <c r="H237" s="59">
        <f>SUM(H238)</f>
        <v>0</v>
      </c>
      <c r="I237" s="59">
        <f t="shared" si="12"/>
        <v>242372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'[2]CUENTA T FONDO 100'!DW126</f>
        <v>242372</v>
      </c>
      <c r="H238" s="64">
        <f>'[2]CUENTA T VS'!DW75</f>
        <v>0</v>
      </c>
      <c r="I238" s="64">
        <f t="shared" si="12"/>
        <v>242372</v>
      </c>
      <c r="J238" s="65">
        <f>I238/$I$25</f>
        <v>1.9908672447104848E-3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'[2]CUENTA T FONDO 100'!DX126</f>
        <v>0</v>
      </c>
      <c r="H240" s="64">
        <f>'[2]CUENTA T VS'!DX75</f>
        <v>0</v>
      </c>
      <c r="I240" s="64">
        <f t="shared" si="12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'[2]CUENTA T FONDO 100'!DY126</f>
        <v>0</v>
      </c>
      <c r="H242" s="64">
        <f>'[2]CUENTA T VS'!DY75</f>
        <v>0</v>
      </c>
      <c r="I242" s="64">
        <f t="shared" si="12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'[2]CUENTA T FONDO 100'!DZ126</f>
        <v>0</v>
      </c>
      <c r="H244" s="64">
        <f>'[2]CUENTA T VS'!DZ75</f>
        <v>0</v>
      </c>
      <c r="I244" s="64">
        <f t="shared" si="12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9434300</v>
      </c>
      <c r="H245" s="56">
        <f>+H246+H248</f>
        <v>74000</v>
      </c>
      <c r="I245" s="56">
        <f t="shared" si="12"/>
        <v>9508300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9434300</v>
      </c>
      <c r="H246" s="59">
        <f>SUM(H247)</f>
        <v>74000</v>
      </c>
      <c r="I246" s="59">
        <f t="shared" si="12"/>
        <v>9508300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'[2]CUENTA T FONDO 100'!EA126</f>
        <v>9434300</v>
      </c>
      <c r="H247" s="64">
        <f>'[2]CUENTA T VS'!EA75</f>
        <v>74000</v>
      </c>
      <c r="I247" s="64">
        <f t="shared" si="12"/>
        <v>9508300</v>
      </c>
      <c r="J247" s="65">
        <f>I247/$I$25</f>
        <v>7.8102103472681261E-2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'[2]CUENTA T FONDO 100'!EB126</f>
        <v>0</v>
      </c>
      <c r="H249" s="64">
        <f>'[2]CUENTA T VS'!EB75</f>
        <v>0</v>
      </c>
      <c r="I249" s="64">
        <f t="shared" si="12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0</v>
      </c>
      <c r="H250" s="56">
        <f>+H251+H253+H255+H257+H259</f>
        <v>0</v>
      </c>
      <c r="I250" s="56">
        <f t="shared" si="12"/>
        <v>0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'[2]CUENTA T FONDO 100'!EC126</f>
        <v>0</v>
      </c>
      <c r="H252" s="64">
        <f>'[2]CUENTA T VS'!EC75</f>
        <v>0</v>
      </c>
      <c r="I252" s="64">
        <f t="shared" si="12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'[2]CUENTA T FONDO 100'!ED126</f>
        <v>0</v>
      </c>
      <c r="H254" s="64">
        <f>'[2]CUENTA T VS'!ED75</f>
        <v>0</v>
      </c>
      <c r="I254" s="64">
        <f t="shared" si="12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'[2]CUENTA T FONDO 100'!EE126</f>
        <v>0</v>
      </c>
      <c r="H256" s="64">
        <f>'[2]CUENTA T VS'!EE75</f>
        <v>0</v>
      </c>
      <c r="I256" s="64">
        <f t="shared" si="12"/>
        <v>0</v>
      </c>
      <c r="J256" s="65">
        <f>I256/$I$25</f>
        <v>0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12"/>
        <v>0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'[2]CUENTA T FONDO 100'!EF126</f>
        <v>0</v>
      </c>
      <c r="H258" s="64">
        <f>'[2]CUENTA T VS'!EF75</f>
        <v>0</v>
      </c>
      <c r="I258" s="64">
        <f t="shared" si="12"/>
        <v>0</v>
      </c>
      <c r="J258" s="65">
        <f>I258/$I$25</f>
        <v>0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0</v>
      </c>
      <c r="H259" s="59">
        <f>SUM(H260)</f>
        <v>0</v>
      </c>
      <c r="I259" s="59">
        <f t="shared" si="12"/>
        <v>0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'[2]CUENTA T FONDO 100'!EG126</f>
        <v>0</v>
      </c>
      <c r="H260" s="64">
        <f>'[2]CUENTA T VS'!EG75</f>
        <v>0</v>
      </c>
      <c r="I260" s="64">
        <f t="shared" si="12"/>
        <v>0</v>
      </c>
      <c r="J260" s="65">
        <f>I260/$I$25</f>
        <v>0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0</v>
      </c>
      <c r="H261" s="56">
        <f>+H262+H268+H272+H276+H284</f>
        <v>0</v>
      </c>
      <c r="I261" s="56">
        <f t="shared" si="12"/>
        <v>0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12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'[2]CUENTA T FONDO 100'!EH126</f>
        <v>0</v>
      </c>
      <c r="H263" s="64">
        <f>'[2]CUENTA T VS'!EH75</f>
        <v>0</v>
      </c>
      <c r="I263" s="64">
        <f t="shared" si="12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'[2]CUENTA T FONDO 100'!EI126</f>
        <v>0</v>
      </c>
      <c r="H264" s="64">
        <f>'[2]CUENTA T VS'!EI75</f>
        <v>0</v>
      </c>
      <c r="I264" s="64">
        <f t="shared" si="12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'[2]CUENTA T FONDO 100'!EJ126</f>
        <v>0</v>
      </c>
      <c r="H265" s="64">
        <f>'[2]CUENTA T VS'!EJ75</f>
        <v>0</v>
      </c>
      <c r="I265" s="64">
        <f t="shared" si="12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'[2]CUENTA T FONDO 100'!EK126</f>
        <v>0</v>
      </c>
      <c r="H266" s="64">
        <f>'[2]CUENTA T VS'!EK75</f>
        <v>0</v>
      </c>
      <c r="I266" s="64">
        <f t="shared" si="12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'[2]CUENTA T FONDO 100'!EL126</f>
        <v>0</v>
      </c>
      <c r="H267" s="64">
        <f>'[2]CUENTA T VS'!EL75</f>
        <v>0</v>
      </c>
      <c r="I267" s="64">
        <f t="shared" si="12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0</v>
      </c>
      <c r="I268" s="59">
        <f t="shared" si="12"/>
        <v>0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'[2]CUENTA T FONDO 100'!EM126</f>
        <v>0</v>
      </c>
      <c r="H269" s="64">
        <f>'[2]CUENTA T VS'!EM75</f>
        <v>0</v>
      </c>
      <c r="I269" s="64">
        <f t="shared" si="12"/>
        <v>0</v>
      </c>
      <c r="J269" s="65">
        <f>I269/$I$25</f>
        <v>0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'[2]CUENTA T FONDO 100'!EN126</f>
        <v>0</v>
      </c>
      <c r="H270" s="64">
        <f>'[2]CUENTA T VS'!EN75</f>
        <v>0</v>
      </c>
      <c r="I270" s="64">
        <f t="shared" si="12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'[2]CUENTA T FONDO 100'!EO126</f>
        <v>0</v>
      </c>
      <c r="H271" s="64">
        <f>'[2]CUENTA T VS'!EO75</f>
        <v>0</v>
      </c>
      <c r="I271" s="64">
        <f t="shared" si="12"/>
        <v>0</v>
      </c>
      <c r="J271" s="65">
        <f>I271/$I$25</f>
        <v>0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0</v>
      </c>
      <c r="H272" s="59">
        <f>SUM(H273:H275)</f>
        <v>0</v>
      </c>
      <c r="I272" s="59">
        <f t="shared" si="12"/>
        <v>0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'[2]CUENTA T FONDO 100'!EP126</f>
        <v>0</v>
      </c>
      <c r="H273" s="64">
        <f>'[2]CUENTA T VS'!EP75</f>
        <v>0</v>
      </c>
      <c r="I273" s="64">
        <f t="shared" si="12"/>
        <v>0</v>
      </c>
      <c r="J273" s="65">
        <f>I273/$I$25</f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'[2]CUENTA T FONDO 100'!EQ126</f>
        <v>0</v>
      </c>
      <c r="H274" s="64">
        <f>'[2]CUENTA T VS'!EQ75</f>
        <v>0</v>
      </c>
      <c r="I274" s="64">
        <f t="shared" si="12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'[2]CUENTA T FONDO 100'!ER126</f>
        <v>0</v>
      </c>
      <c r="H275" s="64">
        <f>'[2]CUENTA T VS'!ER75</f>
        <v>0</v>
      </c>
      <c r="I275" s="64">
        <f t="shared" si="12"/>
        <v>0</v>
      </c>
      <c r="J275" s="65">
        <f>I275/$I$25</f>
        <v>0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'[2]CUENTA T FONDO 100'!ES126</f>
        <v>0</v>
      </c>
      <c r="H277" s="64">
        <f>'[2]CUENTA T VS'!ES75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'[2]CUENTA T FONDO 100'!ET126</f>
        <v>0</v>
      </c>
      <c r="H278" s="64">
        <f>'[2]CUENTA T VS'!ET75</f>
        <v>0</v>
      </c>
      <c r="I278" s="64">
        <f t="shared" si="12"/>
        <v>0</v>
      </c>
      <c r="J278" s="65">
        <f t="shared" si="13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'[2]CUENTA T FONDO 100'!EU126</f>
        <v>0</v>
      </c>
      <c r="H279" s="64">
        <f>'[2]CUENTA T VS'!EU75</f>
        <v>0</v>
      </c>
      <c r="I279" s="64">
        <f t="shared" si="12"/>
        <v>0</v>
      </c>
      <c r="J279" s="65">
        <f t="shared" si="13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'[2]CUENTA T FONDO 100'!EV126</f>
        <v>0</v>
      </c>
      <c r="H280" s="64">
        <f>'[2]CUENTA T VS'!EV75</f>
        <v>0</v>
      </c>
      <c r="I280" s="64">
        <f t="shared" si="12"/>
        <v>0</v>
      </c>
      <c r="J280" s="65">
        <f t="shared" si="13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'[2]CUENTA T FONDO 100'!EW126</f>
        <v>0</v>
      </c>
      <c r="H281" s="64">
        <f>'[2]CUENTA T VS'!EW75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'[2]CUENTA T FONDO 100'!EX126</f>
        <v>0</v>
      </c>
      <c r="H282" s="64">
        <f>'[2]CUENTA T VS'!EX75</f>
        <v>0</v>
      </c>
      <c r="I282" s="64">
        <f t="shared" si="14"/>
        <v>0</v>
      </c>
      <c r="J282" s="65">
        <f t="shared" si="13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'[2]CUENTA T FONDO 100'!EY126</f>
        <v>0</v>
      </c>
      <c r="H283" s="64">
        <f>'[2]CUENTA T VS'!EY75</f>
        <v>0</v>
      </c>
      <c r="I283" s="64">
        <f t="shared" si="14"/>
        <v>0</v>
      </c>
      <c r="J283" s="65">
        <f t="shared" si="13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'[2]CUENTA T FONDO 100'!EZ126</f>
        <v>0</v>
      </c>
      <c r="H285" s="64">
        <f>'[2]CUENTA T VS'!EZ75</f>
        <v>0</v>
      </c>
      <c r="I285" s="64">
        <f t="shared" si="14"/>
        <v>0</v>
      </c>
      <c r="J285" s="65">
        <f>I285/$I$25</f>
        <v>0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5003060.22</v>
      </c>
      <c r="H286" s="56">
        <f>H287+H295</f>
        <v>1029096</v>
      </c>
      <c r="I286" s="56">
        <f t="shared" si="14"/>
        <v>6032156.2199999997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337200</v>
      </c>
      <c r="H287" s="59">
        <f>SUM(H288:H294)</f>
        <v>194638</v>
      </c>
      <c r="I287" s="59">
        <f t="shared" si="14"/>
        <v>531838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'[2]CUENTA T FONDO 100'!FA126</f>
        <v>0</v>
      </c>
      <c r="H288" s="64">
        <f>'[2]CUENTA T VS'!FA75</f>
        <v>172000</v>
      </c>
      <c r="I288" s="64">
        <f t="shared" si="14"/>
        <v>172000</v>
      </c>
      <c r="J288" s="65">
        <f t="shared" ref="J288:J294" si="15">I288/$I$25</f>
        <v>1.4128247738608561E-3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'[2]CUENTA T FONDO 100'!FB126</f>
        <v>337200</v>
      </c>
      <c r="H289" s="64">
        <f>'[2]CUENTA T VS'!FB75</f>
        <v>0</v>
      </c>
      <c r="I289" s="64">
        <f t="shared" si="14"/>
        <v>337200</v>
      </c>
      <c r="J289" s="65">
        <f t="shared" si="15"/>
        <v>2.7697936845690737E-3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'[2]CUENTA T FONDO 100'!FC126</f>
        <v>0</v>
      </c>
      <c r="H290" s="64">
        <f>'[2]CUENTA T VS'!FC75</f>
        <v>0</v>
      </c>
      <c r="I290" s="64">
        <f t="shared" si="14"/>
        <v>0</v>
      </c>
      <c r="J290" s="65">
        <f t="shared" si="15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'[2]CUENTA T FONDO 100'!FD126</f>
        <v>0</v>
      </c>
      <c r="H291" s="64">
        <f>'[2]CUENTA T VS'!FD75</f>
        <v>22638</v>
      </c>
      <c r="I291" s="64">
        <f t="shared" si="14"/>
        <v>22638</v>
      </c>
      <c r="J291" s="65">
        <f t="shared" si="15"/>
        <v>1.8595073971315151E-4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'[2]CUENTA T FONDO 100'!FE126</f>
        <v>0</v>
      </c>
      <c r="H292" s="64">
        <f>'[2]CUENTA T VS'!FE75</f>
        <v>0</v>
      </c>
      <c r="I292" s="64">
        <f t="shared" si="14"/>
        <v>0</v>
      </c>
      <c r="J292" s="65">
        <f t="shared" si="15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'[2]CUENTA T FONDO 100'!FF126</f>
        <v>0</v>
      </c>
      <c r="H293" s="64">
        <f>'[2]CUENTA T VS'!FF75</f>
        <v>0</v>
      </c>
      <c r="I293" s="64">
        <f t="shared" si="14"/>
        <v>0</v>
      </c>
      <c r="J293" s="65">
        <f t="shared" si="15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'[2]CUENTA T FONDO 100'!FG126</f>
        <v>0</v>
      </c>
      <c r="H294" s="64">
        <f>'[2]CUENTA T VS'!FG75</f>
        <v>0</v>
      </c>
      <c r="I294" s="64">
        <f t="shared" si="14"/>
        <v>0</v>
      </c>
      <c r="J294" s="65">
        <f t="shared" si="15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4665860.22</v>
      </c>
      <c r="H295" s="59">
        <f>SUM(H296:H302)</f>
        <v>834458</v>
      </c>
      <c r="I295" s="59">
        <f t="shared" si="14"/>
        <v>5500318.2199999997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'[2]CUENTA T FONDO 100'!FH126</f>
        <v>0</v>
      </c>
      <c r="H296" s="64">
        <f>'[2]CUENTA T VS'!FH75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'[2]CUENTA T FONDO 100'!FI126</f>
        <v>0</v>
      </c>
      <c r="H297" s="64">
        <f>'[2]CUENTA T VS'!FI75</f>
        <v>0</v>
      </c>
      <c r="I297" s="64">
        <f t="shared" si="14"/>
        <v>0</v>
      </c>
      <c r="J297" s="65">
        <f t="shared" si="16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'[2]CUENTA T FONDO 100'!FJ126</f>
        <v>4665860.22</v>
      </c>
      <c r="H298" s="64">
        <f>'[2]CUENTA T VS'!FJ75</f>
        <v>4800</v>
      </c>
      <c r="I298" s="64">
        <f t="shared" si="14"/>
        <v>4670660.22</v>
      </c>
      <c r="J298" s="65">
        <f t="shared" si="16"/>
        <v>3.8365258541292996E-2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'[2]CUENTA T FONDO 100'!FK126</f>
        <v>0</v>
      </c>
      <c r="H299" s="64">
        <f>'[2]CUENTA T VS'!FK75</f>
        <v>0</v>
      </c>
      <c r="I299" s="64">
        <f t="shared" si="14"/>
        <v>0</v>
      </c>
      <c r="J299" s="65">
        <f t="shared" si="16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'[2]CUENTA T FONDO 100'!FL126</f>
        <v>0</v>
      </c>
      <c r="H300" s="64">
        <f>'[2]CUENTA T VS'!FL75</f>
        <v>0</v>
      </c>
      <c r="I300" s="64">
        <f t="shared" si="14"/>
        <v>0</v>
      </c>
      <c r="J300" s="65">
        <f t="shared" si="16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'[2]CUENTA T FONDO 100'!FM126</f>
        <v>0</v>
      </c>
      <c r="H301" s="64">
        <f>'[2]CUENTA T VS'!FM75</f>
        <v>0</v>
      </c>
      <c r="I301" s="64">
        <f t="shared" si="14"/>
        <v>0</v>
      </c>
      <c r="J301" s="65">
        <f t="shared" si="16"/>
        <v>0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'[2]CUENTA T FONDO 100'!FN126</f>
        <v>0</v>
      </c>
      <c r="H302" s="64">
        <f>'[2]CUENTA T VS'!FN75</f>
        <v>829658</v>
      </c>
      <c r="I302" s="64">
        <f t="shared" si="14"/>
        <v>829658</v>
      </c>
      <c r="J302" s="65">
        <f t="shared" si="16"/>
        <v>6.8148917222781982E-3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'[2]CUENTA T FONDO 100'!FO126</f>
        <v>0</v>
      </c>
      <c r="H305" s="64">
        <f>'[2]CUENTA T VS'!FO75</f>
        <v>0</v>
      </c>
      <c r="I305" s="64">
        <f t="shared" si="14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'[2]CUENTA T FONDO 100'!FP126</f>
        <v>0</v>
      </c>
      <c r="H307" s="64">
        <f>'[2]CUENTA T VS'!FP75</f>
        <v>0</v>
      </c>
      <c r="I307" s="64">
        <f t="shared" si="14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6898829.2199999997</v>
      </c>
      <c r="H308" s="56">
        <f>+H309+H312+H314+H316+H318+H320+H322+H324+H327</f>
        <v>1001233.99</v>
      </c>
      <c r="I308" s="56">
        <f t="shared" si="14"/>
        <v>7900063.21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599529.09</v>
      </c>
      <c r="H309" s="59">
        <f>SUM(H310:H311)</f>
        <v>0</v>
      </c>
      <c r="I309" s="59">
        <f t="shared" si="14"/>
        <v>599529.09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'[2]CUENTA T FONDO 100'!FQ126</f>
        <v>599529.09</v>
      </c>
      <c r="H310" s="64">
        <f>'[2]CUENTA T VS'!FQ75</f>
        <v>0</v>
      </c>
      <c r="I310" s="64">
        <f t="shared" si="14"/>
        <v>599529.09</v>
      </c>
      <c r="J310" s="65">
        <f>I310/$I$25</f>
        <v>4.9245904128038072E-3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'[2]CUENTA T FONDO 100'!FR126</f>
        <v>0</v>
      </c>
      <c r="H311" s="64">
        <f>'[2]CUENTA T VS'!FR75</f>
        <v>0</v>
      </c>
      <c r="I311" s="64">
        <f t="shared" si="14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271071.5</v>
      </c>
      <c r="H312" s="59">
        <f>SUM(H313)</f>
        <v>0</v>
      </c>
      <c r="I312" s="59">
        <f t="shared" si="14"/>
        <v>271071.5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'[2]CUENTA T FONDO 100'!FS126</f>
        <v>271071.5</v>
      </c>
      <c r="H313" s="64">
        <f>'[2]CUENTA T VS'!FS75</f>
        <v>0</v>
      </c>
      <c r="I313" s="64">
        <f t="shared" si="14"/>
        <v>271071.5</v>
      </c>
      <c r="J313" s="65">
        <f>I313/$I$25</f>
        <v>2.226607736555948E-3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5921554.2699999996</v>
      </c>
      <c r="H314" s="59">
        <f>SUM(H315)</f>
        <v>27704.04</v>
      </c>
      <c r="I314" s="59">
        <f t="shared" si="14"/>
        <v>5949258.3099999996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'[2]CUENTA T FONDO 100'!FT126</f>
        <v>5921554.2699999996</v>
      </c>
      <c r="H315" s="64">
        <f>'[2]CUENTA T VS'!FT75</f>
        <v>27704.04</v>
      </c>
      <c r="I315" s="64">
        <f t="shared" si="14"/>
        <v>5949258.3099999996</v>
      </c>
      <c r="J315" s="65">
        <f>I315/$I$25</f>
        <v>4.8867787944567254E-2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'[2]CUENTA T FONDO 100'!FU126</f>
        <v>0</v>
      </c>
      <c r="H317" s="64">
        <f>'[2]CUENTA T VS'!FU75</f>
        <v>0</v>
      </c>
      <c r="I317" s="64">
        <f t="shared" si="14"/>
        <v>0</v>
      </c>
      <c r="J317" s="65">
        <f>I317/$I$25</f>
        <v>0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861440</v>
      </c>
      <c r="I318" s="59">
        <f t="shared" si="14"/>
        <v>861440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'[2]CUENTA T FONDO 100'!FV126</f>
        <v>0</v>
      </c>
      <c r="H319" s="64">
        <f>'[2]CUENTA T VS'!FV75</f>
        <v>861440</v>
      </c>
      <c r="I319" s="64">
        <f t="shared" si="14"/>
        <v>861440</v>
      </c>
      <c r="J319" s="65">
        <f>I319/$I$25</f>
        <v>7.075952169736604E-3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0</v>
      </c>
      <c r="I320" s="59">
        <f t="shared" si="14"/>
        <v>0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'[2]CUENTA T FONDO 100'!FW126</f>
        <v>0</v>
      </c>
      <c r="H321" s="64">
        <f>'[2]CUENTA T VS'!FW75</f>
        <v>0</v>
      </c>
      <c r="I321" s="64">
        <f t="shared" si="14"/>
        <v>0</v>
      </c>
      <c r="J321" s="65">
        <f>I321/$I$25</f>
        <v>0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'[2]CUENTA T FONDO 100'!FX126</f>
        <v>0</v>
      </c>
      <c r="H323" s="64">
        <f>'[2]CUENTA T VS'!FX75</f>
        <v>0</v>
      </c>
      <c r="I323" s="64">
        <f t="shared" si="14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106674.36</v>
      </c>
      <c r="H324" s="59">
        <f>SUM(H325:H326)</f>
        <v>0</v>
      </c>
      <c r="I324" s="59">
        <f t="shared" si="14"/>
        <v>106674.36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'[2]CUENTA T FONDO 100'!FY126</f>
        <v>106674.36</v>
      </c>
      <c r="H325" s="64">
        <f>'[2]CUENTA T VS'!FY75</f>
        <v>0</v>
      </c>
      <c r="I325" s="64">
        <f t="shared" si="14"/>
        <v>106674.36</v>
      </c>
      <c r="J325" s="65">
        <f>I325/$I$25</f>
        <v>8.7623359618460204E-4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'[2]CUENTA T FONDO 100'!FZ126</f>
        <v>0</v>
      </c>
      <c r="H326" s="64">
        <f>'[2]CUENTA T VS'!FZ75</f>
        <v>0</v>
      </c>
      <c r="I326" s="64">
        <f t="shared" si="14"/>
        <v>0</v>
      </c>
      <c r="J326" s="65">
        <f>I326/$I$25</f>
        <v>0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0</v>
      </c>
      <c r="H327" s="59">
        <f>SUM(H328:H329)</f>
        <v>112089.95000000001</v>
      </c>
      <c r="I327" s="59">
        <f t="shared" si="14"/>
        <v>112089.95000000001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'[2]CUENTA T FONDO 100'!GA126</f>
        <v>0</v>
      </c>
      <c r="H328" s="64">
        <f>'[2]CUENTA T VS'!GA75</f>
        <v>112089.95000000001</v>
      </c>
      <c r="I328" s="64">
        <f t="shared" si="14"/>
        <v>112089.95000000001</v>
      </c>
      <c r="J328" s="65">
        <f>I328/$I$25</f>
        <v>9.2071778058619002E-4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'[2]CUENTA T FONDO 100'!GB126</f>
        <v>0</v>
      </c>
      <c r="H329" s="64">
        <f>'[2]CUENTA T VS'!GB75</f>
        <v>0</v>
      </c>
      <c r="I329" s="64">
        <f t="shared" si="14"/>
        <v>0</v>
      </c>
      <c r="J329" s="65">
        <f>I329/$I$25</f>
        <v>0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21600</v>
      </c>
      <c r="I330" s="56">
        <f t="shared" si="14"/>
        <v>21600</v>
      </c>
      <c r="J330" s="53">
        <f>+I330/I25</f>
        <v>1.774245064848517E-4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'[2]CUENTA T FONDO 100'!GC126</f>
        <v>0</v>
      </c>
      <c r="H331" s="64">
        <f>'[2]CUENTA T VS'!GC75</f>
        <v>21600</v>
      </c>
      <c r="I331" s="64">
        <f t="shared" si="14"/>
        <v>21600</v>
      </c>
      <c r="J331" s="65">
        <f t="shared" ref="J331:J336" si="17">I331/$I$25</f>
        <v>1.774245064848517E-4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'[2]CUENTA T FONDO 100'!GD126</f>
        <v>0</v>
      </c>
      <c r="H332" s="64">
        <f>'[2]CUENTA T VS'!GD75</f>
        <v>0</v>
      </c>
      <c r="I332" s="64">
        <f t="shared" si="14"/>
        <v>0</v>
      </c>
      <c r="J332" s="65">
        <f t="shared" si="17"/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'[2]CUENTA T FONDO 100'!GE126</f>
        <v>0</v>
      </c>
      <c r="H333" s="64">
        <f>'[2]CUENTA T VS'!GE75</f>
        <v>0</v>
      </c>
      <c r="I333" s="64">
        <f t="shared" si="14"/>
        <v>0</v>
      </c>
      <c r="J333" s="65">
        <f t="shared" si="17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'[2]CUENTA T FONDO 100'!GF126</f>
        <v>0</v>
      </c>
      <c r="H334" s="64">
        <f>'[2]CUENTA T VS'!GF75</f>
        <v>0</v>
      </c>
      <c r="I334" s="64">
        <f t="shared" si="14"/>
        <v>0</v>
      </c>
      <c r="J334" s="65">
        <f t="shared" si="17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'[2]CUENTA T FONDO 100'!GG126</f>
        <v>0</v>
      </c>
      <c r="H335" s="64">
        <f>'[2]CUENTA T VS'!GG75</f>
        <v>0</v>
      </c>
      <c r="I335" s="64">
        <f t="shared" si="14"/>
        <v>0</v>
      </c>
      <c r="J335" s="65">
        <f t="shared" si="17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5819603.3499999996</v>
      </c>
      <c r="H336" s="56">
        <f>H337+H348+H357+H366+H383+H400+H405+H424+H446</f>
        <v>2245366.02</v>
      </c>
      <c r="I336" s="56">
        <f t="shared" si="14"/>
        <v>8064969.3699999992</v>
      </c>
      <c r="J336" s="53">
        <f t="shared" si="17"/>
        <v>6.6246444920726621E-2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1146269.97</v>
      </c>
      <c r="H337" s="56">
        <f>+H338+H340+H342+H344+H346</f>
        <v>2245366.02</v>
      </c>
      <c r="I337" s="56">
        <f t="shared" si="14"/>
        <v>3391635.99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566354.13</v>
      </c>
      <c r="H338" s="59">
        <f>SUM(H339)</f>
        <v>162142.87</v>
      </c>
      <c r="I338" s="59">
        <f t="shared" si="14"/>
        <v>728497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'[2]CUENTA T FONDO 100'!GH126</f>
        <v>566354.13</v>
      </c>
      <c r="H339" s="64">
        <f>'[2]CUENTA T VS'!GH75</f>
        <v>162142.87</v>
      </c>
      <c r="I339" s="64">
        <f t="shared" si="14"/>
        <v>728497</v>
      </c>
      <c r="J339" s="65">
        <f>I339/$I$25</f>
        <v>5.9839454028099539E-3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'[2]CUENTA T FONDO 100'!GI126</f>
        <v>0</v>
      </c>
      <c r="H341" s="64">
        <f>'[2]CUENTA T VS'!GI75</f>
        <v>0</v>
      </c>
      <c r="I341" s="64">
        <f t="shared" si="14"/>
        <v>0</v>
      </c>
      <c r="J341" s="65">
        <f>I341/$I$25</f>
        <v>0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468405.84</v>
      </c>
      <c r="H342" s="59">
        <f>SUM(H343)</f>
        <v>1819265</v>
      </c>
      <c r="I342" s="59">
        <f t="shared" si="14"/>
        <v>2287670.84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'[2]CUENTA T FONDO 100'!GJ126</f>
        <v>468405.84</v>
      </c>
      <c r="H343" s="64">
        <f>'[2]CUENTA T VS'!GJ75</f>
        <v>1819265</v>
      </c>
      <c r="I343" s="64">
        <f t="shared" si="14"/>
        <v>2287670.84</v>
      </c>
      <c r="J343" s="65">
        <f>I343/$I$25</f>
        <v>1.8791151379017875E-2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111510</v>
      </c>
      <c r="H344" s="59">
        <f>SUM(H345)</f>
        <v>26658.16</v>
      </c>
      <c r="I344" s="59">
        <f t="shared" si="14"/>
        <v>138168.16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'[2]CUENTA T FONDO 100'!GK126</f>
        <v>111510</v>
      </c>
      <c r="H345" s="64">
        <f>'[2]CUENTA T VS'!GK75</f>
        <v>26658.16</v>
      </c>
      <c r="I345" s="64">
        <f t="shared" ref="I345:I408" si="18">SUM(G345:H345)</f>
        <v>138168.16</v>
      </c>
      <c r="J345" s="65">
        <f>I345/$I$25</f>
        <v>1.1349267407370382E-3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237299.99</v>
      </c>
      <c r="I346" s="59">
        <f t="shared" si="18"/>
        <v>237299.99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'[2]CUENTA T FONDO 100'!GL126</f>
        <v>0</v>
      </c>
      <c r="H347" s="64">
        <f>'[2]CUENTA T VS'!GL75</f>
        <v>237299.99</v>
      </c>
      <c r="I347" s="64">
        <f t="shared" si="18"/>
        <v>237299.99</v>
      </c>
      <c r="J347" s="65">
        <f>I347/$I$25</f>
        <v>1.9492052599356592E-3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'[2]CUENTA T FONDO 100'!GM126</f>
        <v>0</v>
      </c>
      <c r="H350" s="64">
        <f>'[2]CUENTA T VS'!GM75</f>
        <v>0</v>
      </c>
      <c r="I350" s="64">
        <f t="shared" si="18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'[2]CUENTA T FONDO 100'!GN126</f>
        <v>0</v>
      </c>
      <c r="H352" s="64">
        <f>'[2]CUENTA T VS'!GN75</f>
        <v>0</v>
      </c>
      <c r="I352" s="64">
        <f t="shared" si="18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'[2]CUENTA T FONDO 100'!GO126</f>
        <v>0</v>
      </c>
      <c r="H354" s="64">
        <f>'[2]CUENTA T VS'!GO75</f>
        <v>0</v>
      </c>
      <c r="I354" s="64">
        <f t="shared" si="18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'[2]CUENTA T FONDO 100'!GP126</f>
        <v>0</v>
      </c>
      <c r="H356" s="64">
        <f>'[2]CUENTA T VS'!GP75</f>
        <v>0</v>
      </c>
      <c r="I356" s="64">
        <f t="shared" si="18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4197628.18</v>
      </c>
      <c r="H357" s="56">
        <f>+H358+H360+H362+H364</f>
        <v>0</v>
      </c>
      <c r="I357" s="56">
        <f t="shared" si="18"/>
        <v>4197628.18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4197628.18</v>
      </c>
      <c r="H358" s="59">
        <f>SUM(H359)</f>
        <v>0</v>
      </c>
      <c r="I358" s="59">
        <f t="shared" si="18"/>
        <v>4197628.18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'[2]CUENTA T FONDO 100'!GQ126</f>
        <v>4197628.18</v>
      </c>
      <c r="H359" s="64">
        <f>'[2]CUENTA T VS'!GQ75</f>
        <v>0</v>
      </c>
      <c r="I359" s="64">
        <f t="shared" si="18"/>
        <v>4197628.18</v>
      </c>
      <c r="J359" s="65">
        <f>I359/$I$25</f>
        <v>3.4479727233491027E-2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0</v>
      </c>
      <c r="H360" s="59">
        <f>SUM(H361)</f>
        <v>0</v>
      </c>
      <c r="I360" s="59">
        <f t="shared" si="18"/>
        <v>0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'[2]CUENTA T FONDO 100'!GR126</f>
        <v>0</v>
      </c>
      <c r="H361" s="64">
        <f>'[2]CUENTA T VS'!GR75</f>
        <v>0</v>
      </c>
      <c r="I361" s="64">
        <f t="shared" si="18"/>
        <v>0</v>
      </c>
      <c r="J361" s="65">
        <f>I361/$I$25</f>
        <v>0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'[2]CUENTA T FONDO 100'!GS126</f>
        <v>0</v>
      </c>
      <c r="H363" s="64">
        <f>'[2]CUENTA T VS'!GS75</f>
        <v>0</v>
      </c>
      <c r="I363" s="64">
        <f t="shared" si="18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0</v>
      </c>
      <c r="I364" s="59">
        <f t="shared" si="18"/>
        <v>0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'[2]CUENTA T FONDO 100'!GT126</f>
        <v>0</v>
      </c>
      <c r="H365" s="64">
        <f>'[2]CUENTA T VS'!GT75</f>
        <v>0</v>
      </c>
      <c r="I365" s="64">
        <f t="shared" si="18"/>
        <v>0</v>
      </c>
      <c r="J365" s="65">
        <f>I365/$I$25</f>
        <v>0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'[2]CUENTA T FONDO 100'!GU126</f>
        <v>0</v>
      </c>
      <c r="H368" s="64">
        <f>'[2]CUENTA T VS'!GU75</f>
        <v>0</v>
      </c>
      <c r="I368" s="64">
        <f t="shared" si="18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'[2]CUENTA T FONDO 100'!GV126</f>
        <v>0</v>
      </c>
      <c r="H370" s="64">
        <f>'[2]CUENTA T VS'!GV75</f>
        <v>0</v>
      </c>
      <c r="I370" s="64">
        <f t="shared" si="18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'[2]CUENTA T FONDO 100'!GW126</f>
        <v>0</v>
      </c>
      <c r="H372" s="64">
        <f>'[2]CUENTA T VS'!GX75</f>
        <v>0</v>
      </c>
      <c r="I372" s="64">
        <f t="shared" si="18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'[2]CUENTA T FONDO 100'!GX126</f>
        <v>0</v>
      </c>
      <c r="H374" s="64">
        <f>'[2]CUENTA T VS'!GX75</f>
        <v>0</v>
      </c>
      <c r="I374" s="64">
        <f t="shared" si="18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'[2]CUENTA T FONDO 100'!GY126</f>
        <v>0</v>
      </c>
      <c r="H376" s="64">
        <f>'[2]CUENTA T VS'!GY75</f>
        <v>0</v>
      </c>
      <c r="I376" s="64">
        <f t="shared" si="18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'[2]CUENTA T FONDO 100'!GZ126</f>
        <v>0</v>
      </c>
      <c r="H378" s="64">
        <f>'[2]CUENTA T VS'!GZ75</f>
        <v>0</v>
      </c>
      <c r="I378" s="64">
        <f t="shared" si="18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'[2]CUENTA T FONDO 100'!HA126</f>
        <v>0</v>
      </c>
      <c r="H380" s="64">
        <f>'[2]CUENTA T VS'!HA75</f>
        <v>0</v>
      </c>
      <c r="I380" s="64">
        <f t="shared" si="18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'[2]CUENTA T FONDO 100'!HB126</f>
        <v>0</v>
      </c>
      <c r="H382" s="64">
        <f>'[2]CUENTA T VS'!HB75</f>
        <v>0</v>
      </c>
      <c r="I382" s="64">
        <f t="shared" si="18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409625.2</v>
      </c>
      <c r="H383" s="56">
        <f>+H384+H386+H388+H390+H392+H394+H396+H398</f>
        <v>0</v>
      </c>
      <c r="I383" s="56">
        <f t="shared" si="18"/>
        <v>409625.2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'[2]CUENTA T FONDO 100'!HC126</f>
        <v>0</v>
      </c>
      <c r="H385" s="64">
        <f>'[2]CUENTA T VS'!HC75</f>
        <v>0</v>
      </c>
      <c r="I385" s="64">
        <f t="shared" si="18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0</v>
      </c>
      <c r="H386" s="59">
        <f>SUM(H387)</f>
        <v>0</v>
      </c>
      <c r="I386" s="59">
        <f t="shared" si="18"/>
        <v>0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'[2]CUENTA T FONDO 100'!HD126</f>
        <v>0</v>
      </c>
      <c r="H387" s="64">
        <f>'[2]CUENTA T VS'!HD75</f>
        <v>0</v>
      </c>
      <c r="I387" s="64">
        <f t="shared" si="18"/>
        <v>0</v>
      </c>
      <c r="J387" s="65">
        <f>I387/$I$25</f>
        <v>0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'[2]CUENTA T FONDO 100'!HE126</f>
        <v>0</v>
      </c>
      <c r="H389" s="64">
        <f>'[2]CUENTA T VS'!HE75</f>
        <v>0</v>
      </c>
      <c r="I389" s="64">
        <f t="shared" si="18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0</v>
      </c>
      <c r="H390" s="59">
        <f>SUM(H391)</f>
        <v>0</v>
      </c>
      <c r="I390" s="59">
        <f t="shared" si="18"/>
        <v>0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'[2]CUENTA T FONDO 100'!HF126</f>
        <v>0</v>
      </c>
      <c r="H391" s="64">
        <f>'[2]CUENTA T VS'!HF75</f>
        <v>0</v>
      </c>
      <c r="I391" s="64">
        <f t="shared" si="18"/>
        <v>0</v>
      </c>
      <c r="J391" s="65">
        <f>I391/$I$25</f>
        <v>0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0</v>
      </c>
      <c r="H392" s="59">
        <f>SUM(H393)</f>
        <v>0</v>
      </c>
      <c r="I392" s="59">
        <f t="shared" si="18"/>
        <v>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'[2]CUENTA T FONDO 100'!HG126</f>
        <v>0</v>
      </c>
      <c r="H393" s="64">
        <f>'[2]CUENTA T VS'!HG75</f>
        <v>0</v>
      </c>
      <c r="I393" s="64">
        <f t="shared" si="18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277701.2</v>
      </c>
      <c r="H394" s="59">
        <f>SUM(H395)</f>
        <v>0</v>
      </c>
      <c r="I394" s="59">
        <f t="shared" si="18"/>
        <v>277701.2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'[2]CUENTA T FONDO 100'!HH126</f>
        <v>277701.2</v>
      </c>
      <c r="H395" s="64">
        <f>'[2]CUENTA T VS'!HH75</f>
        <v>0</v>
      </c>
      <c r="I395" s="64">
        <f t="shared" si="18"/>
        <v>277701.2</v>
      </c>
      <c r="J395" s="65">
        <f>I395/$I$25</f>
        <v>2.2810647389005139E-3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0</v>
      </c>
      <c r="H396" s="59">
        <f>SUM(H397)</f>
        <v>0</v>
      </c>
      <c r="I396" s="59">
        <f t="shared" si="18"/>
        <v>0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'[2]CUENTA T FONDO 100'!HI126</f>
        <v>0</v>
      </c>
      <c r="H397" s="64">
        <f>'[2]CUENTA T VS'!HI75</f>
        <v>0</v>
      </c>
      <c r="I397" s="64">
        <f t="shared" si="18"/>
        <v>0</v>
      </c>
      <c r="J397" s="65">
        <f>I397/$I$25</f>
        <v>0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131924</v>
      </c>
      <c r="H398" s="59">
        <f>SUM(H399)</f>
        <v>0</v>
      </c>
      <c r="I398" s="59">
        <f t="shared" si="18"/>
        <v>131924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'[2]CUENTA T FONDO 100'!HJ126</f>
        <v>131924</v>
      </c>
      <c r="H399" s="64">
        <f>'[2]CUENTA T VS'!HJ75</f>
        <v>0</v>
      </c>
      <c r="I399" s="64">
        <f t="shared" si="18"/>
        <v>131924</v>
      </c>
      <c r="J399" s="65">
        <f>I399/$I$25</f>
        <v>1.0836366015512767E-3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66080</v>
      </c>
      <c r="H400" s="56">
        <f>+H401+H403</f>
        <v>0</v>
      </c>
      <c r="I400" s="56">
        <f t="shared" si="18"/>
        <v>66080</v>
      </c>
      <c r="J400" s="53">
        <f>I400/$I$25</f>
        <v>5.4278756428328707E-4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'[2]CUENTA T FONDO 100'!HK126</f>
        <v>0</v>
      </c>
      <c r="H402" s="64">
        <f>'[2]CUENTA T VS'!HK75</f>
        <v>0</v>
      </c>
      <c r="I402" s="64">
        <f t="shared" si="18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66080</v>
      </c>
      <c r="H403" s="59">
        <f>+H404</f>
        <v>0</v>
      </c>
      <c r="I403" s="59">
        <f t="shared" si="18"/>
        <v>66080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'[2]CUENTA T FONDO 100'!HL126</f>
        <v>66080</v>
      </c>
      <c r="H404" s="64">
        <f>'[2]CUENTA T VS'!HL75</f>
        <v>0</v>
      </c>
      <c r="I404" s="64">
        <f t="shared" si="18"/>
        <v>66080</v>
      </c>
      <c r="J404" s="65">
        <f>I404/$I$25</f>
        <v>5.4278756428328707E-4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'[2]CUENTA T FONDO 100'!HM126</f>
        <v>0</v>
      </c>
      <c r="H407" s="64">
        <f>'[2]CUENTA T VS'!HM75</f>
        <v>0</v>
      </c>
      <c r="I407" s="64">
        <f t="shared" si="18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'[2]CUENTA T FONDO 100'!HN126</f>
        <v>0</v>
      </c>
      <c r="H409" s="64">
        <f>'[2]CUENTA T VS'!HN75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'[2]CUENTA T FONDO 100'!HO126</f>
        <v>0</v>
      </c>
      <c r="H411" s="64">
        <f>'[2]CUENTA T VS'!HO75</f>
        <v>0</v>
      </c>
      <c r="I411" s="64">
        <f t="shared" si="19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'[2]CUENTA T FONDO 100'!HP126</f>
        <v>0</v>
      </c>
      <c r="H413" s="64">
        <f>'[2]CUENTA T VS'!HP75</f>
        <v>0</v>
      </c>
      <c r="I413" s="64">
        <f t="shared" si="19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'[2]CUENTA T FONDO 100'!HQ126</f>
        <v>0</v>
      </c>
      <c r="H415" s="64">
        <f>'[2]CUENTA T VS'!HQ75</f>
        <v>0</v>
      </c>
      <c r="I415" s="64">
        <f t="shared" si="19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'[2]CUENTA T FONDO 100'!HR126</f>
        <v>0</v>
      </c>
      <c r="H417" s="64">
        <f>'[2]CUENTA T VS'!HR75</f>
        <v>0</v>
      </c>
      <c r="I417" s="64">
        <f t="shared" si="19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'[2]CUENTA T FONDO 100'!HS126</f>
        <v>0</v>
      </c>
      <c r="H419" s="64">
        <f>'[2]CUENTA T VS'!HS75</f>
        <v>0</v>
      </c>
      <c r="I419" s="64">
        <f t="shared" si="19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'[2]CUENTA T FONDO 100'!HT126</f>
        <v>0</v>
      </c>
      <c r="H421" s="64">
        <f>'[2]CUENTA T VS'!HT75</f>
        <v>0</v>
      </c>
      <c r="I421" s="64">
        <f t="shared" si="19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'[2]CUENTA T FONDO 100'!HU126</f>
        <v>0</v>
      </c>
      <c r="H423" s="64">
        <f>'[2]CUENTA T VS'!HU75</f>
        <v>0</v>
      </c>
      <c r="I423" s="64">
        <f t="shared" si="19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'[2]CUENTA T FONDO 100'!HV126</f>
        <v>0</v>
      </c>
      <c r="H426" s="64">
        <f>'[2]CUENTA T VS'!HV75</f>
        <v>0</v>
      </c>
      <c r="I426" s="64">
        <f t="shared" si="19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'[2]CUENTA T FONDO 100'!HW126</f>
        <v>0</v>
      </c>
      <c r="H428" s="64">
        <f>'[2]CUENTA T VS'!HW75</f>
        <v>0</v>
      </c>
      <c r="I428" s="64">
        <f t="shared" si="19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'[2]CUENTA T FONDO 100'!HX126</f>
        <v>0</v>
      </c>
      <c r="H430" s="64">
        <f>'[2]CUENTA T VS'!HX75</f>
        <v>0</v>
      </c>
      <c r="I430" s="64">
        <f t="shared" si="19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'[2]CUENTA T FONDO 100'!HY126</f>
        <v>0</v>
      </c>
      <c r="H431" s="64">
        <f>'[2]CUENTA T VS'!HY75</f>
        <v>0</v>
      </c>
      <c r="I431" s="64">
        <f t="shared" si="19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'[2]CUENTA T FONDO 100'!HZ126</f>
        <v>0</v>
      </c>
      <c r="H433" s="64">
        <f>'[2]CUENTA T VS'!HZ75</f>
        <v>0</v>
      </c>
      <c r="I433" s="64">
        <f t="shared" si="19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'[2]CUENTA T FONDO 100'!IA126</f>
        <v>0</v>
      </c>
      <c r="H435" s="64">
        <f>'[2]CUENTA T VS'!IA75</f>
        <v>0</v>
      </c>
      <c r="I435" s="64">
        <f t="shared" si="19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'[2]CUENTA T FONDO 100'!IB126</f>
        <v>0</v>
      </c>
      <c r="H437" s="64">
        <f>'[2]CUENTA T VS'!IB75</f>
        <v>0</v>
      </c>
      <c r="I437" s="64">
        <f t="shared" si="19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'[2]CUENTA T FONDO 100'!IC126</f>
        <v>0</v>
      </c>
      <c r="H439" s="64">
        <f>'[2]CUENTA T VS'!IC75</f>
        <v>0</v>
      </c>
      <c r="I439" s="64">
        <f t="shared" si="19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'[2]CUENTA T FONDO 100'!ID126</f>
        <v>0</v>
      </c>
      <c r="H441" s="64">
        <f>'[2]CUENTA T VS'!ID75</f>
        <v>0</v>
      </c>
      <c r="I441" s="64">
        <f t="shared" si="19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'[2]CUENTA T FONDO 100'!IE126</f>
        <v>0</v>
      </c>
      <c r="H442" s="64">
        <f>'[2]CUENTA T VS'!IE75</f>
        <v>0</v>
      </c>
      <c r="I442" s="64">
        <f t="shared" si="19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'[2]CUENTA T FONDO 100'!IF126</f>
        <v>0</v>
      </c>
      <c r="H443" s="64">
        <f>'[2]CUENTA T VS'!IF75</f>
        <v>0</v>
      </c>
      <c r="I443" s="64">
        <f t="shared" si="19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'[2]CUENTA T FONDO 100'!IG126</f>
        <v>0</v>
      </c>
      <c r="H445" s="64">
        <f>'[2]CUENTA T VS'!IG75</f>
        <v>0</v>
      </c>
      <c r="I445" s="64">
        <f t="shared" si="19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'[2]CUENTA T FONDO 100'!IH126</f>
        <v>0</v>
      </c>
      <c r="H448" s="92">
        <f>'[2]CUENTA T VS'!IH75</f>
        <v>0</v>
      </c>
      <c r="I448" s="92">
        <f t="shared" si="19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'[2]CUENTA T FONDO 100'!II126</f>
        <v>0</v>
      </c>
      <c r="H449" s="92">
        <f>'[2]CUENTA T VS'!II75</f>
        <v>0</v>
      </c>
      <c r="I449" s="92">
        <f t="shared" si="19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'[2]CUENTA T FONDO 100'!IJ126</f>
        <v>0</v>
      </c>
      <c r="H451" s="64">
        <f>'[2]CUENTA T VS'!IJ75</f>
        <v>0</v>
      </c>
      <c r="I451" s="64">
        <f t="shared" si="19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'[2]CUENTA T FONDO 100'!IK126</f>
        <v>0</v>
      </c>
      <c r="H452" s="64">
        <f>'[2]CUENTA T VS'!IK75</f>
        <v>0</v>
      </c>
      <c r="I452" s="64">
        <f t="shared" si="19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'[2]CUENTA T FONDO 100'!IL126</f>
        <v>0</v>
      </c>
      <c r="H454" s="64">
        <f>'[2]CUENTA T VS'!IL75</f>
        <v>0</v>
      </c>
      <c r="I454" s="64">
        <f t="shared" si="19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'[2]CUENTA T FONDO 100'!IM126</f>
        <v>0</v>
      </c>
      <c r="H456" s="64">
        <f>'[2]CUENTA T VS'!IM75</f>
        <v>0</v>
      </c>
      <c r="I456" s="64">
        <f t="shared" si="19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'[2]CUENTA T FONDO 100'!IN126</f>
        <v>0</v>
      </c>
      <c r="H458" s="64">
        <f>'[2]CUENTA T VS'!IN75</f>
        <v>0</v>
      </c>
      <c r="I458" s="64">
        <f t="shared" si="19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'[2]CUENTA T FONDO 100'!IO126</f>
        <v>0</v>
      </c>
      <c r="H459" s="64">
        <f>'[2]CUENTA T VS'!IO75</f>
        <v>0</v>
      </c>
      <c r="I459" s="64">
        <f t="shared" si="19"/>
        <v>0</v>
      </c>
      <c r="J459" s="65">
        <f>I459/$I$25</f>
        <v>0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'[2]CUENTA T FONDO 100'!IP126</f>
        <v>0</v>
      </c>
      <c r="H460" s="64">
        <f>'[2]CUENTA T VS'!IP75</f>
        <v>0</v>
      </c>
      <c r="I460" s="64">
        <f t="shared" si="19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'[2]CUENTA T FONDO 100'!IQ126</f>
        <v>0</v>
      </c>
      <c r="H462" s="64">
        <f>'[2]CUENTA T VS'!IQ75</f>
        <v>0</v>
      </c>
      <c r="I462" s="64">
        <f t="shared" si="19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'[2]CUENTA T FONDO 100'!IR126</f>
        <v>0</v>
      </c>
      <c r="H466" s="64">
        <f>'[2]CUENTA T VS'!IR75</f>
        <v>0</v>
      </c>
      <c r="I466" s="64">
        <f t="shared" si="19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'[2]CUENTA T FONDO 100'!IS126</f>
        <v>0</v>
      </c>
      <c r="H468" s="64">
        <f>'[2]CUENTA T VS'!IS75</f>
        <v>0</v>
      </c>
      <c r="I468" s="64">
        <f t="shared" si="19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'[2]CUENTA T FONDO 100'!IT126</f>
        <v>0</v>
      </c>
      <c r="H470" s="64">
        <f>'[2]CUENTA T VS'!IT75</f>
        <v>0</v>
      </c>
      <c r="I470" s="64">
        <f t="shared" si="19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'[2]CUENTA T FONDO 100'!IU126</f>
        <v>0</v>
      </c>
      <c r="H472" s="64">
        <f>'[2]CUENTA T VS'!IU75</f>
        <v>0</v>
      </c>
      <c r="I472" s="64">
        <f t="shared" si="19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'[2]CUENTA T FONDO 100'!IV126</f>
        <v>0</v>
      </c>
      <c r="H475" s="64">
        <f>'[2]CUENTA T VS'!IV75</f>
        <v>0</v>
      </c>
      <c r="I475" s="64">
        <f t="shared" si="22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'[2]CUENTA T FONDO 100'!IW126</f>
        <v>0</v>
      </c>
      <c r="H477" s="64">
        <f>'[2]CUENTA T VS'!IW75</f>
        <v>0</v>
      </c>
      <c r="I477" s="64">
        <f t="shared" si="22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'[2]CUENTA T FONDO 100'!IX126</f>
        <v>0</v>
      </c>
      <c r="H479" s="64">
        <f>'[2]CUENTA T VS'!IX75</f>
        <v>0</v>
      </c>
      <c r="I479" s="64">
        <f t="shared" si="22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'[2]CUENTA T FONDO 100'!IY126</f>
        <v>0</v>
      </c>
      <c r="H481" s="64">
        <f>'[2]CUENTA T VS'!IY75</f>
        <v>0</v>
      </c>
      <c r="I481" s="64">
        <f t="shared" si="22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'[2]CUENTA T FONDO 100'!IZ126</f>
        <v>0</v>
      </c>
      <c r="H483" s="64">
        <f>'[2]CUENTA T VS'!IZ75</f>
        <v>0</v>
      </c>
      <c r="I483" s="64">
        <f t="shared" si="22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'[2]CUENTA T FONDO 100'!JA126</f>
        <v>0</v>
      </c>
      <c r="H485" s="64">
        <f>'[2]CUENTA T VS'!JA75</f>
        <v>0</v>
      </c>
      <c r="I485" s="64">
        <f t="shared" si="22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'[2]CUENTA T FONDO 100'!JB126</f>
        <v>0</v>
      </c>
      <c r="H487" s="64">
        <f>'[2]CUENTA T VS'!JB75</f>
        <v>0</v>
      </c>
      <c r="I487" s="64">
        <f t="shared" si="22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'[2]CUENTA T FONDO 100'!JC126</f>
        <v>0</v>
      </c>
      <c r="H489" s="64">
        <f>'[2]CUENTA T VS'!JC75</f>
        <v>0</v>
      </c>
      <c r="I489" s="64">
        <f t="shared" si="22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'[2]CUENTA T FONDO 100'!JD126</f>
        <v>0</v>
      </c>
      <c r="H491" s="64">
        <f>'[2]CUENTA T VS'!JD75</f>
        <v>0</v>
      </c>
      <c r="I491" s="64">
        <f t="shared" si="22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'[2]CUENTA T FONDO 100'!JE126</f>
        <v>0</v>
      </c>
      <c r="H494" s="64">
        <f>'[2]CUENTA T VS'!JE75</f>
        <v>0</v>
      </c>
      <c r="I494" s="64">
        <f t="shared" si="22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'[2]CUENTA T FONDO 100'!JF126</f>
        <v>0</v>
      </c>
      <c r="H496" s="64">
        <f>'[2]CUENTA T VS'!JF75</f>
        <v>0</v>
      </c>
      <c r="I496" s="64">
        <f t="shared" si="22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'[2]CUENTA T FONDO 100'!JG126</f>
        <v>0</v>
      </c>
      <c r="H499" s="64">
        <f>'[2]CUENTA T VS'!JG75</f>
        <v>0</v>
      </c>
      <c r="I499" s="64">
        <f t="shared" si="22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'[2]CUENTA T FONDO 100'!JH126</f>
        <v>0</v>
      </c>
      <c r="H501" s="64">
        <f>'[2]CUENTA T VS'!JH75</f>
        <v>0</v>
      </c>
      <c r="I501" s="64">
        <f t="shared" si="22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  <mergeCell ref="A21:E21"/>
    <mergeCell ref="G21:H21"/>
    <mergeCell ref="A22:E22"/>
    <mergeCell ref="F22:F24"/>
    <mergeCell ref="G22:H22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A29D-1E51-4244-BA6E-293392F7EA57}">
  <dimension ref="A1:P511"/>
  <sheetViews>
    <sheetView topLeftCell="A10" workbookViewId="0">
      <selection activeCell="K24" sqref="K24"/>
    </sheetView>
  </sheetViews>
  <sheetFormatPr baseColWidth="10" defaultColWidth="2.85546875" defaultRowHeight="12.75" x14ac:dyDescent="0.2"/>
  <cols>
    <col min="1" max="5" width="5.28515625" style="5" customWidth="1"/>
    <col min="6" max="6" width="34.85546875" style="5" customWidth="1"/>
    <col min="7" max="7" width="17.140625" style="5" customWidth="1"/>
    <col min="8" max="8" width="14.42578125" style="5" customWidth="1"/>
    <col min="9" max="9" width="13.42578125" style="5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x14ac:dyDescent="0.2">
      <c r="A1" s="215" t="s">
        <v>0</v>
      </c>
      <c r="B1" s="216"/>
      <c r="C1" s="216"/>
      <c r="D1" s="216"/>
      <c r="E1" s="216"/>
      <c r="F1" s="216"/>
      <c r="G1" s="216"/>
      <c r="H1" s="216"/>
      <c r="I1" s="216"/>
      <c r="J1" s="217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179"/>
      <c r="J2" s="218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388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389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1771845.4899999984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>
        <f>+'[3]INGR SEGUN ORIGEN'!E37</f>
        <v>590200</v>
      </c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+'[3]INGR SEGUN ORIGEN'!E12</f>
        <v>100316795.08</v>
      </c>
      <c r="H15" s="25" t="s">
        <v>17</v>
      </c>
      <c r="I15" s="19"/>
      <c r="J15" s="17"/>
      <c r="L15" s="5">
        <v>2.1</v>
      </c>
      <c r="M15" s="27">
        <f>G26</f>
        <v>71831261.00999999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+'[3]INGR SEGUN ORIGEN'!E29</f>
        <v>6887322.669999999</v>
      </c>
      <c r="H16" s="25"/>
      <c r="I16" s="23"/>
      <c r="J16" s="17"/>
      <c r="L16" s="5">
        <v>2.2000000000000002</v>
      </c>
      <c r="M16" s="27">
        <f>G87</f>
        <v>3128332.8</v>
      </c>
      <c r="N16" s="27">
        <f>H87</f>
        <v>3852523.8099999996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109566163.23999999</v>
      </c>
      <c r="J17" s="17"/>
      <c r="L17" s="5">
        <v>2.2999999999999998</v>
      </c>
      <c r="M17" s="27">
        <f>'[3]CONS. FUENTES FINAN'!G212</f>
        <v>14321739.580000002</v>
      </c>
      <c r="N17" s="27">
        <f>'[3]CONS. FUENTES FINAN'!H212</f>
        <v>2478357.52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33600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10590778.550000001</v>
      </c>
      <c r="N19" s="27">
        <f>H336</f>
        <v>2395076.41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'[3]CONS. FUENTES FINAN'!G463</f>
        <v>0</v>
      </c>
      <c r="N20" s="27">
        <f>'[3]CONS. FUENTES FINAN'!H463</f>
        <v>0</v>
      </c>
    </row>
    <row r="21" spans="1:16" x14ac:dyDescent="0.2">
      <c r="A21" s="41">
        <v>1</v>
      </c>
      <c r="B21" s="41"/>
      <c r="C21" s="41"/>
      <c r="D21" s="41"/>
      <c r="E21" s="41"/>
      <c r="F21" s="41">
        <v>2</v>
      </c>
      <c r="G21" s="95">
        <v>3</v>
      </c>
      <c r="H21" s="96"/>
      <c r="I21" s="42">
        <v>4</v>
      </c>
      <c r="J21" s="42">
        <v>5</v>
      </c>
    </row>
    <row r="22" spans="1:16" ht="33.75" x14ac:dyDescent="0.2">
      <c r="A22" s="97" t="s">
        <v>19</v>
      </c>
      <c r="B22" s="97"/>
      <c r="C22" s="97"/>
      <c r="D22" s="97"/>
      <c r="E22" s="97"/>
      <c r="F22" s="98" t="s">
        <v>20</v>
      </c>
      <c r="G22" s="99" t="s">
        <v>21</v>
      </c>
      <c r="H22" s="100"/>
      <c r="I22" s="101" t="s">
        <v>22</v>
      </c>
      <c r="J22" s="102" t="s">
        <v>23</v>
      </c>
    </row>
    <row r="23" spans="1:16" ht="63" x14ac:dyDescent="0.2">
      <c r="A23" s="103" t="s">
        <v>24</v>
      </c>
      <c r="B23" s="103" t="s">
        <v>25</v>
      </c>
      <c r="C23" s="103" t="s">
        <v>26</v>
      </c>
      <c r="D23" s="103" t="s">
        <v>27</v>
      </c>
      <c r="E23" s="103" t="s">
        <v>28</v>
      </c>
      <c r="F23" s="104"/>
      <c r="G23" s="105" t="s">
        <v>29</v>
      </c>
      <c r="H23" s="105" t="s">
        <v>30</v>
      </c>
      <c r="I23" s="106"/>
      <c r="J23" s="107"/>
      <c r="L23" s="43"/>
      <c r="M23" s="43"/>
      <c r="N23" s="43"/>
      <c r="O23" s="43"/>
      <c r="P23" s="43"/>
    </row>
    <row r="24" spans="1:16" ht="15.75" x14ac:dyDescent="0.2">
      <c r="A24" s="108"/>
      <c r="B24" s="108"/>
      <c r="C24" s="108"/>
      <c r="D24" s="108"/>
      <c r="E24" s="108"/>
      <c r="F24" s="109"/>
      <c r="G24" s="110"/>
      <c r="H24" s="110"/>
      <c r="I24" s="111"/>
      <c r="J24" s="112"/>
      <c r="L24" s="43"/>
      <c r="M24" s="43"/>
      <c r="N24" s="43"/>
      <c r="O24" s="43"/>
      <c r="P24" s="4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99872111.939999983</v>
      </c>
      <c r="H25" s="47">
        <f>+H26+H87+H212+H330+H336+H463</f>
        <v>8759557.7400000002</v>
      </c>
      <c r="I25" s="47">
        <f t="shared" ref="I25:I88" si="0">SUM(G25:H25)</f>
        <v>108631669.67999998</v>
      </c>
      <c r="J25" s="48">
        <f>+J26+J87+J212+J330+J336+J463</f>
        <v>1.0000000000000002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71831261.00999999</v>
      </c>
      <c r="H26" s="52">
        <f>+H27+H51+H64+H71+H78</f>
        <v>0</v>
      </c>
      <c r="I26" s="52">
        <f t="shared" si="0"/>
        <v>71831261.00999999</v>
      </c>
      <c r="J26" s="53">
        <f>I26/$I$25</f>
        <v>0.66123683104195852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59410355.989999995</v>
      </c>
      <c r="H27" s="56">
        <f>+H28+H35+H42+H44+H46</f>
        <v>0</v>
      </c>
      <c r="I27" s="56">
        <f t="shared" si="0"/>
        <v>59410355.989999995</v>
      </c>
      <c r="J27" s="53">
        <v>0</v>
      </c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57719080.159999996</v>
      </c>
      <c r="H28" s="59">
        <f>SUM(H29:H34)</f>
        <v>0</v>
      </c>
      <c r="I28" s="59">
        <f t="shared" si="0"/>
        <v>57719080.159999996</v>
      </c>
      <c r="J28" s="60">
        <v>0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'[3]CUENTA T FONDO 100'!A461</f>
        <v>57719080.159999996</v>
      </c>
      <c r="H29" s="64">
        <f>'[3]CUENTA T VS'!A225</f>
        <v>0</v>
      </c>
      <c r="I29" s="64">
        <f t="shared" si="0"/>
        <v>57719080.159999996</v>
      </c>
      <c r="J29" s="65">
        <f t="shared" ref="J29:J34" si="1">I29/$I$25</f>
        <v>0.53132829800025227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'[3]CUENTA T FONDO 100'!B461</f>
        <v>0</v>
      </c>
      <c r="H30" s="64">
        <f>'[3]CUENTA T VS'!B225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'[3]CUENTA T FONDO 100'!C461</f>
        <v>0</v>
      </c>
      <c r="H31" s="64">
        <f>'[3]CUENTA T VS'!C225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'[3]CUENTA T FONDO 100'!D461</f>
        <v>0</v>
      </c>
      <c r="H32" s="64">
        <f>'[3]CUENTA T VS'!D225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'[3]CUENTA T FONDO 100'!E461</f>
        <v>0</v>
      </c>
      <c r="H33" s="64">
        <f>'[3]CUENTA T VS'!E225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'[3]CUENTA T FONDO 100'!F461</f>
        <v>0</v>
      </c>
      <c r="H34" s="64">
        <f>'[3]CUENTA T VS'!F225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1112531.03</v>
      </c>
      <c r="H35" s="59">
        <f>SUM(H36:H41)</f>
        <v>0</v>
      </c>
      <c r="I35" s="59">
        <f t="shared" si="0"/>
        <v>1112531.03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'[3]CUENTA T FONDO 100'!G461</f>
        <v>0</v>
      </c>
      <c r="H36" s="64">
        <f>'[3]CUENTA T VS'!G225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'[3]CUENTA T FONDO 100'!H461</f>
        <v>0</v>
      </c>
      <c r="H37" s="64">
        <f>'[3]CUENTA T VS'!H225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'[3]CUENTA T FONDO 100'!I461</f>
        <v>0</v>
      </c>
      <c r="H38" s="64">
        <f>'[3]CUENTA T VS'!I225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'[3]CUENTA T FONDO 100'!J461</f>
        <v>1112531.03</v>
      </c>
      <c r="H39" s="64">
        <f>'[3]CUENTA T VS'!J225</f>
        <v>0</v>
      </c>
      <c r="I39" s="64">
        <f t="shared" si="0"/>
        <v>1112531.03</v>
      </c>
      <c r="J39" s="65">
        <f t="shared" si="2"/>
        <v>1.0241313912206456E-2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'[3]CUENTA T FONDO 100'!K461</f>
        <v>0</v>
      </c>
      <c r="H40" s="64">
        <f>'[3]CUENTA T VS'!K225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'[3]CUENTA T FONDO 100'!L461</f>
        <v>0</v>
      </c>
      <c r="H41" s="64">
        <f>'[3]CUENTA T VS'!L225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'[3]CUENTA T FONDO 100'!M461</f>
        <v>0</v>
      </c>
      <c r="H43" s="64">
        <f>'[3]CUENTA T VS'!M225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'[3]CUENTA T FONDO 100'!N461</f>
        <v>0</v>
      </c>
      <c r="H45" s="64">
        <f>'[3]CUENTA T VS'!N225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578744.80000000005</v>
      </c>
      <c r="H46" s="59">
        <f>SUM(H47:H50)</f>
        <v>0</v>
      </c>
      <c r="I46" s="59">
        <f t="shared" si="0"/>
        <v>578744.80000000005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'[3]CUENTA T FONDO 100'!O461</f>
        <v>0</v>
      </c>
      <c r="H47" s="64">
        <f>'[3]CUENTA T VS'!O225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'[3]CUENTA T FONDO 100'!P461</f>
        <v>0</v>
      </c>
      <c r="H48" s="64">
        <f>'[3]CUENTA T VS'!P225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'[3]CUENTA T FONDO 100'!Q461</f>
        <v>130000</v>
      </c>
      <c r="H49" s="64">
        <f>'[3]CUENTA T VS'!Q225</f>
        <v>0</v>
      </c>
      <c r="I49" s="64">
        <f t="shared" si="0"/>
        <v>130000</v>
      </c>
      <c r="J49" s="65">
        <f>I49/$I$25</f>
        <v>1.1967044268300895E-3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'[3]CUENTA T FONDO 100'!R461</f>
        <v>448744.8</v>
      </c>
      <c r="H50" s="64">
        <f>'[3]CUENTA T VS'!R225</f>
        <v>0</v>
      </c>
      <c r="I50" s="64">
        <f t="shared" si="0"/>
        <v>448744.8</v>
      </c>
      <c r="J50" s="65">
        <f>I50/$I$25</f>
        <v>4.1308837590537167E-3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3368105.6100000003</v>
      </c>
      <c r="H51" s="56">
        <f>+H52+H54</f>
        <v>0</v>
      </c>
      <c r="I51" s="56">
        <f t="shared" si="0"/>
        <v>3368105.6100000003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2702311.62</v>
      </c>
      <c r="H52" s="59">
        <f>SUM(H53)</f>
        <v>0</v>
      </c>
      <c r="I52" s="59">
        <f t="shared" si="0"/>
        <v>2702311.62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'[3]CUENTA T FONDO 100'!S461</f>
        <v>2702311.62</v>
      </c>
      <c r="H53" s="64">
        <f>'[3]CUENTA T VS'!S225</f>
        <v>0</v>
      </c>
      <c r="I53" s="64">
        <f t="shared" si="0"/>
        <v>2702311.62</v>
      </c>
      <c r="J53" s="65">
        <f>I53/$I$25</f>
        <v>2.4875909833295316E-2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665793.99</v>
      </c>
      <c r="H54" s="59">
        <f>SUM(H55:H63)</f>
        <v>0</v>
      </c>
      <c r="I54" s="59">
        <f t="shared" si="0"/>
        <v>665793.99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'[3]CUENTA T FONDO 100'!T461</f>
        <v>0</v>
      </c>
      <c r="H55" s="64">
        <f>'[3]CUENTA T VS'!T225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'[3]CUENTA T FONDO 100'!U461</f>
        <v>0</v>
      </c>
      <c r="H56" s="64">
        <f>'[3]CUENTA T VS'!U225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'[3]CUENTA T FONDO 100'!V461</f>
        <v>0</v>
      </c>
      <c r="H57" s="64">
        <f>'[3]CUENTA T VS'!V225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'[3]CUENTA T FONDO 100'!W461</f>
        <v>45000</v>
      </c>
      <c r="H58" s="64">
        <f>'[3]CUENTA T VS'!W225</f>
        <v>0</v>
      </c>
      <c r="I58" s="64">
        <f t="shared" si="0"/>
        <v>45000</v>
      </c>
      <c r="J58" s="65">
        <f t="shared" si="3"/>
        <v>4.1424384005656951E-4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'[3]CUENTA T FONDO 100'!X461</f>
        <v>0</v>
      </c>
      <c r="H59" s="64">
        <f>'[3]CUENTA T VS'!X225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'[3]CUENTA T FONDO 100'!Y461</f>
        <v>0</v>
      </c>
      <c r="H60" s="64">
        <f>'[3]CUENTA T VS'!Y225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'[3]CUENTA T FONDO 100'!Z461</f>
        <v>334200</v>
      </c>
      <c r="H61" s="64">
        <f>'[3]CUENTA T VS'!Z225</f>
        <v>0</v>
      </c>
      <c r="I61" s="64">
        <f t="shared" si="0"/>
        <v>334200</v>
      </c>
      <c r="J61" s="65">
        <f t="shared" si="3"/>
        <v>3.076450918820123E-3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'[3]CUENTA T FONDO 100'!AA461</f>
        <v>0</v>
      </c>
      <c r="H62" s="64">
        <f>'[3]CUENTA T VS'!AA225</f>
        <v>0</v>
      </c>
      <c r="I62" s="64">
        <f t="shared" si="0"/>
        <v>0</v>
      </c>
      <c r="J62" s="65">
        <f t="shared" si="3"/>
        <v>0</v>
      </c>
    </row>
    <row r="63" spans="1:10" ht="25.5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'[3]CUENTA T FONDO 100'!AB461</f>
        <v>286593.99</v>
      </c>
      <c r="H63" s="64">
        <f>'[3]CUENTA T VS'!AB225</f>
        <v>0</v>
      </c>
      <c r="I63" s="64">
        <f t="shared" si="0"/>
        <v>286593.99</v>
      </c>
      <c r="J63" s="65">
        <f t="shared" si="3"/>
        <v>2.638217665660757E-3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'[3]CUENTA T FONDO 100'!AC461</f>
        <v>0</v>
      </c>
      <c r="H66" s="64">
        <f>'[3]CUENTA T VS'!AC225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'[3]CUENTA T FONDO 100'!AD461</f>
        <v>0</v>
      </c>
      <c r="H67" s="64">
        <f>'[3]CUENTA T VS'!AD225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'[3]CUENTA T FONDO 100'!AE461</f>
        <v>0</v>
      </c>
      <c r="H69" s="64">
        <f>'[3]CUENTA T VS'!AE225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'[3]CUENTA T FONDO 100'!AF461</f>
        <v>0</v>
      </c>
      <c r="H70" s="64">
        <f>'[3]CUENTA T VS'!AF225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'[3]CUENTA T FONDO 100'!AG461</f>
        <v>0</v>
      </c>
      <c r="H73" s="64">
        <f>'[3]CUENTA T VS'!AG225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'[3]CUENTA T FONDO 100'!AH461</f>
        <v>0</v>
      </c>
      <c r="H75" s="64">
        <f>'[3]CUENTA T VS'!AH225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'[3]CUENTA T FONDO 100'!AI461</f>
        <v>0</v>
      </c>
      <c r="H76" s="64">
        <f>'[3]CUENTA T VS'!AI225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'[3]CUENTA T FONDO 100'!AJ461</f>
        <v>0</v>
      </c>
      <c r="H77" s="64">
        <f>'[3]CUENTA T VS'!AJ225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9052799.4100000001</v>
      </c>
      <c r="H78" s="56">
        <f>+H79+H81+H83+H85</f>
        <v>0</v>
      </c>
      <c r="I78" s="56">
        <f t="shared" si="0"/>
        <v>9052799.4100000001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4171161.9400000004</v>
      </c>
      <c r="H79" s="59">
        <f>SUM(H80)</f>
        <v>0</v>
      </c>
      <c r="I79" s="59">
        <f t="shared" si="0"/>
        <v>4171161.9400000004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'[3]CUENTA T FONDO 100'!AK461</f>
        <v>4171161.9400000004</v>
      </c>
      <c r="H80" s="64">
        <f>'[3]CUENTA T VS'!AK225</f>
        <v>0</v>
      </c>
      <c r="I80" s="64">
        <f t="shared" si="0"/>
        <v>4171161.9400000004</v>
      </c>
      <c r="J80" s="65">
        <f>I80/$I$25</f>
        <v>3.8397291989409117E-2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4177046.06</v>
      </c>
      <c r="H81" s="59">
        <f>SUM(H82)</f>
        <v>0</v>
      </c>
      <c r="I81" s="59">
        <f t="shared" si="0"/>
        <v>4177046.06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'[3]CUENTA T FONDO 100'!AL461</f>
        <v>4177046.06</v>
      </c>
      <c r="H82" s="64">
        <f>'[3]CUENTA T VS'!AL225</f>
        <v>0</v>
      </c>
      <c r="I82" s="64">
        <f t="shared" si="0"/>
        <v>4177046.06</v>
      </c>
      <c r="J82" s="65">
        <f>I82/$I$25</f>
        <v>3.8451457777501419E-2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704591.41</v>
      </c>
      <c r="H83" s="59">
        <f>SUM(H84)</f>
        <v>0</v>
      </c>
      <c r="I83" s="59">
        <f t="shared" si="0"/>
        <v>704591.41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'[3]CUENTA T FONDO 100'!AM461</f>
        <v>704591.41</v>
      </c>
      <c r="H84" s="64">
        <f>'[3]CUENTA T VS'!AM225</f>
        <v>0</v>
      </c>
      <c r="I84" s="64">
        <f t="shared" si="0"/>
        <v>704591.41</v>
      </c>
      <c r="J84" s="65">
        <f>I84/$I$25</f>
        <v>6.486058918872729E-3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'[3]CUENTA T FONDO 100'!AN461</f>
        <v>0</v>
      </c>
      <c r="H86" s="64">
        <f>'[3]CUENTA T VS'!AN225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3128332.8</v>
      </c>
      <c r="H87" s="56">
        <f>H88+H106+H111+H116+H125+H148+H157+H179+H208</f>
        <v>3852523.8099999996</v>
      </c>
      <c r="I87" s="56">
        <f t="shared" si="0"/>
        <v>6980856.6099999994</v>
      </c>
      <c r="J87" s="53">
        <f>I87/$I$25</f>
        <v>6.4261707755793013E-2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933611.83</v>
      </c>
      <c r="I88" s="56">
        <f t="shared" si="0"/>
        <v>994146.83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'[3]CUENTA T FONDO 100'!AO461</f>
        <v>0</v>
      </c>
      <c r="H90" s="64">
        <f>'[3]CUENTA T VS'!AO225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'[3]CUENTA T FONDO 100'!AP461</f>
        <v>0</v>
      </c>
      <c r="H92" s="64">
        <f>'[3]CUENTA T VS'!AP225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213611.83</v>
      </c>
      <c r="I93" s="59">
        <f t="shared" si="4"/>
        <v>213611.83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'[3]CUENTA T FONDO 100'!AQ461</f>
        <v>0</v>
      </c>
      <c r="H94" s="64">
        <f>'[3]CUENTA T VS'!AQ225</f>
        <v>213611.83</v>
      </c>
      <c r="I94" s="64">
        <f t="shared" si="4"/>
        <v>213611.83</v>
      </c>
      <c r="J94" s="65">
        <f>I94/$I$25</f>
        <v>1.9663863275713581E-3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'[3]CUENTA T FONDO 100'!AR461</f>
        <v>0</v>
      </c>
      <c r="H96" s="64">
        <f>'[3]CUENTA T VS'!AR225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'[3]CUENTA T FONDO 100'!AS461</f>
        <v>0</v>
      </c>
      <c r="H98" s="64">
        <f>'[3]CUENTA T VS'!AS225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'[3]CUENTA T FONDO 100'!AT461</f>
        <v>0</v>
      </c>
      <c r="H100" s="64">
        <f>'[3]CUENTA T VS'!AT225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'[3]CUENTA T FONDO 100'!AU461</f>
        <v>0</v>
      </c>
      <c r="H101" s="64">
        <f>'[3]CUENTA T VS'!AU225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'[3]CUENTA T FONDO 100'!AV461</f>
        <v>60535</v>
      </c>
      <c r="H103" s="64">
        <f>'[3]CUENTA T VS'!AV225</f>
        <v>0</v>
      </c>
      <c r="I103" s="64">
        <f t="shared" si="4"/>
        <v>60535</v>
      </c>
      <c r="J103" s="65">
        <f>I103/$I$25</f>
        <v>5.5725001906276517E-4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720000</v>
      </c>
      <c r="I104" s="59">
        <f t="shared" si="4"/>
        <v>720000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'[3]CUENTA T FONDO 100'!AW461</f>
        <v>0</v>
      </c>
      <c r="H105" s="64">
        <f>'[3]CUENTA T VS'!AW225</f>
        <v>720000</v>
      </c>
      <c r="I105" s="64">
        <f t="shared" si="4"/>
        <v>720000</v>
      </c>
      <c r="J105" s="65">
        <f>I105/$I$25</f>
        <v>6.6279014409051122E-3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88795</v>
      </c>
      <c r="H106" s="56">
        <f>+H107+H109</f>
        <v>336559.6</v>
      </c>
      <c r="I106" s="56">
        <f t="shared" si="4"/>
        <v>425354.6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'[3]CUENTA T FONDO 100'!AX461</f>
        <v>0</v>
      </c>
      <c r="H108" s="64">
        <f>'[3]CUENTA T VS'!AX225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88795</v>
      </c>
      <c r="H109" s="59">
        <f>SUM(H110)</f>
        <v>336559.6</v>
      </c>
      <c r="I109" s="59">
        <f t="shared" si="4"/>
        <v>425354.6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'[3]CUENTA T FONDO 100'!AY461</f>
        <v>88795</v>
      </c>
      <c r="H110" s="64">
        <f>'[3]CUENTA T VS'!AY225</f>
        <v>336559.6</v>
      </c>
      <c r="I110" s="64">
        <f t="shared" si="4"/>
        <v>425354.6</v>
      </c>
      <c r="J110" s="65">
        <f>I110/$I$25</f>
        <v>3.9155671753272467E-3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'[3]CUENTA T FONDO 100'!AZ461</f>
        <v>0</v>
      </c>
      <c r="H113" s="64">
        <f>'[3]CUENTA T VS'!AZ225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'[3]CUENTA T FONDO 100'!BA461</f>
        <v>0</v>
      </c>
      <c r="H115" s="64">
        <f>'[3]CUENTA T VS'!BA225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44000</v>
      </c>
      <c r="I116" s="56">
        <f t="shared" si="4"/>
        <v>44000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'[3]CUENTA T FONDO 100'!BB461</f>
        <v>0</v>
      </c>
      <c r="H118" s="64">
        <f>'[3]CUENTA T VS'!BB225</f>
        <v>0</v>
      </c>
      <c r="I118" s="64">
        <f t="shared" si="4"/>
        <v>0</v>
      </c>
      <c r="J118" s="65">
        <f>I118/$I$25</f>
        <v>0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44000</v>
      </c>
      <c r="I119" s="59">
        <f t="shared" si="4"/>
        <v>44000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'[3]CUENTA T FONDO 100'!BC461</f>
        <v>0</v>
      </c>
      <c r="H120" s="64">
        <f>'[3]CUENTA T VS'!BC225</f>
        <v>44000</v>
      </c>
      <c r="I120" s="64">
        <f t="shared" si="4"/>
        <v>44000</v>
      </c>
      <c r="J120" s="65">
        <f>I120/$I$25</f>
        <v>4.0503842138864575E-4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'[3]CUENTA T FONDO 100'!BD461</f>
        <v>0</v>
      </c>
      <c r="H122" s="64">
        <f>'[3]CUENTA T VS'!BD225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'[3]CUENTA T FONDO 100'!BE461</f>
        <v>0</v>
      </c>
      <c r="H124" s="64">
        <f>'[3]CUENTA T VS'!BE225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150000</v>
      </c>
      <c r="H125" s="56">
        <f t="shared" ref="H125" si="5">+H126+H128+H130+H136+H138+H140+H142+H144+H146</f>
        <v>628164.1</v>
      </c>
      <c r="I125" s="56">
        <f t="shared" si="4"/>
        <v>778164.1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'[3]CUENTA T FONDO 100'!BF461</f>
        <v>0</v>
      </c>
      <c r="H127" s="64">
        <f>'[3]CUENTA T VS'!BF225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'[3]CUENTA T FONDO 100'!BG461</f>
        <v>0</v>
      </c>
      <c r="H129" s="64">
        <f>'[3]CUENTA T VS'!BG225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0</v>
      </c>
      <c r="H130" s="59">
        <f>SUM(H131:H135)</f>
        <v>628164.1</v>
      </c>
      <c r="I130" s="59">
        <f t="shared" si="4"/>
        <v>628164.1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'[3]CUENTA T FONDO 100'!BH461</f>
        <v>0</v>
      </c>
      <c r="H131" s="64">
        <f>'[3]CUENTA T VS'!BH225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'[3]CUENTA T FONDO 100'!BI461</f>
        <v>0</v>
      </c>
      <c r="H132" s="64">
        <f>'[3]CUENTA T VS'!BI225</f>
        <v>628164.1</v>
      </c>
      <c r="I132" s="64">
        <f t="shared" si="4"/>
        <v>628164.1</v>
      </c>
      <c r="J132" s="65">
        <f>I132/$I$25</f>
        <v>5.7825135326595315E-3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'[3]CUENTA T FONDO 100'!BJ461</f>
        <v>0</v>
      </c>
      <c r="H133" s="64">
        <f>'[3]CUENTA T VS'!BJ225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'[3]CUENTA T FONDO 100'!BK461</f>
        <v>0</v>
      </c>
      <c r="H134" s="64">
        <f>'[3]CUENTA T VS'!BK225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'[3]CUENTA T FONDO 100'!BL461</f>
        <v>0</v>
      </c>
      <c r="H135" s="64">
        <f>'[3]CUENTA T VS'!BL225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'[3]CUENTA T FONDO 100'!BM461</f>
        <v>0</v>
      </c>
      <c r="H137" s="64">
        <f>'[3]CUENTA T VS'!BM225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'[3]CUENTA T FONDO 100'!BN461</f>
        <v>0</v>
      </c>
      <c r="H139" s="64">
        <f>'[3]CUENTA T VS'!BN225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'[3]CUENTA T FONDO 100'!BO461</f>
        <v>0</v>
      </c>
      <c r="H141" s="64">
        <f>'[3]CUENTA T VS'!BO225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'[3]CUENTA T FONDO 100'!BP461</f>
        <v>0</v>
      </c>
      <c r="H143" s="64">
        <f>'[3]CUENTA T VS'!BP225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'[3]CUENTA T FONDO 100'!BQ461</f>
        <v>0</v>
      </c>
      <c r="H145" s="64">
        <f>'[3]CUENTA T VS'!BQ225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150000</v>
      </c>
      <c r="H146" s="59">
        <f>SUM(H147)</f>
        <v>0</v>
      </c>
      <c r="I146" s="59">
        <f t="shared" si="4"/>
        <v>150000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'[3]CUENTA T FONDO 100'!BR461</f>
        <v>150000</v>
      </c>
      <c r="H147" s="64">
        <f>'[3]CUENTA T VS'!BR225</f>
        <v>0</v>
      </c>
      <c r="I147" s="64">
        <f t="shared" si="4"/>
        <v>150000</v>
      </c>
      <c r="J147" s="65">
        <f>I147/$I$25</f>
        <v>1.3808128001885651E-3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'[3]CUENTA T FONDO 100'!BS461</f>
        <v>0</v>
      </c>
      <c r="H150" s="64">
        <f>'[3]CUENTA T VS'!BS225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'[3]CUENTA T FONDO 100'!BT461</f>
        <v>0</v>
      </c>
      <c r="H152" s="64">
        <f>'[3]CUENTA T VS'!BT225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6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'[3]CUENTA T FONDO 100'!BU461</f>
        <v>0</v>
      </c>
      <c r="H154" s="64">
        <f>'[3]CUENTA T VS'!BU225</f>
        <v>0</v>
      </c>
      <c r="I154" s="64">
        <f t="shared" si="6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'[3]CUENTA T FONDO 100'!BV461</f>
        <v>0</v>
      </c>
      <c r="H156" s="64">
        <f>'[3]CUENTA T VS'!BV225</f>
        <v>0</v>
      </c>
      <c r="I156" s="64">
        <f t="shared" si="6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2829002.8</v>
      </c>
      <c r="H157" s="56">
        <f>+H158+H167+H177</f>
        <v>925675.21</v>
      </c>
      <c r="I157" s="56">
        <f t="shared" si="6"/>
        <v>3754678.01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1829000</v>
      </c>
      <c r="H158" s="59">
        <f>SUM(H159:H166)</f>
        <v>256800.19999999998</v>
      </c>
      <c r="I158" s="59">
        <f t="shared" si="6"/>
        <v>2085800.2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'[3]CUENTA T FONDO 100'!BW461</f>
        <v>0</v>
      </c>
      <c r="H159" s="64">
        <f>'[3]CUENTA T VS'!BW225</f>
        <v>216800.19999999998</v>
      </c>
      <c r="I159" s="64">
        <f t="shared" si="6"/>
        <v>216800.19999999998</v>
      </c>
      <c r="J159" s="65">
        <f t="shared" ref="J159:J166" si="7">I159/$I$25</f>
        <v>1.9957366082896059E-3</v>
      </c>
    </row>
    <row r="160" spans="1:10" ht="25.5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'[3]CUENTA T FONDO 100'!BX461</f>
        <v>0</v>
      </c>
      <c r="H160" s="64">
        <f>'[3]CUENTA T VS'!BX225</f>
        <v>0</v>
      </c>
      <c r="I160" s="64">
        <f t="shared" si="6"/>
        <v>0</v>
      </c>
      <c r="J160" s="65">
        <f t="shared" si="7"/>
        <v>0</v>
      </c>
    </row>
    <row r="161" spans="1:10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'[3]CUENTA T FONDO 100'!BY461</f>
        <v>0</v>
      </c>
      <c r="H161" s="64">
        <f>'[3]CUENTA T VS'!BY225</f>
        <v>0</v>
      </c>
      <c r="I161" s="64">
        <f t="shared" si="6"/>
        <v>0</v>
      </c>
      <c r="J161" s="65">
        <f t="shared" si="7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'[3]CUENTA T FONDO 100'!BZ461</f>
        <v>0</v>
      </c>
      <c r="H162" s="64">
        <f>'[3]CUENTA T VS'!BZ225</f>
        <v>0</v>
      </c>
      <c r="I162" s="64">
        <f t="shared" si="6"/>
        <v>0</v>
      </c>
      <c r="J162" s="65">
        <f t="shared" si="7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'[3]CUENTA T FONDO 100'!CA461</f>
        <v>0</v>
      </c>
      <c r="H163" s="64">
        <f>'[3]CUENTA T VS'!CA225</f>
        <v>0</v>
      </c>
      <c r="I163" s="64">
        <f t="shared" si="6"/>
        <v>0</v>
      </c>
      <c r="J163" s="65">
        <f t="shared" si="7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'[3]CUENTA T FONDO 100'!CB461</f>
        <v>1829000</v>
      </c>
      <c r="H164" s="64">
        <f>'[3]CUENTA T VS'!CB225</f>
        <v>0</v>
      </c>
      <c r="I164" s="64">
        <f t="shared" si="6"/>
        <v>1829000</v>
      </c>
      <c r="J164" s="65">
        <f t="shared" si="7"/>
        <v>1.683671074363257E-2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'[3]CUENTA T FONDO 100'!CC461</f>
        <v>0</v>
      </c>
      <c r="H165" s="64">
        <f>'[3]CUENTA T VS'!CC225</f>
        <v>40000</v>
      </c>
      <c r="I165" s="64">
        <f t="shared" si="6"/>
        <v>40000</v>
      </c>
      <c r="J165" s="65">
        <f t="shared" si="7"/>
        <v>3.6821674671695068E-4</v>
      </c>
    </row>
    <row r="166" spans="1:10" ht="38.2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'[3]CUENTA T FONDO 100'!CD461</f>
        <v>0</v>
      </c>
      <c r="H166" s="64">
        <f>'[3]CUENTA T VS'!CD225</f>
        <v>0</v>
      </c>
      <c r="I166" s="64">
        <f t="shared" si="6"/>
        <v>0</v>
      </c>
      <c r="J166" s="65">
        <f t="shared" si="7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1000002.8</v>
      </c>
      <c r="H167" s="59">
        <f>SUM(H168:H176)</f>
        <v>668875.01</v>
      </c>
      <c r="I167" s="59">
        <f t="shared" si="6"/>
        <v>1668877.81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'[3]CUENTA T FONDO 100'!CE461</f>
        <v>0</v>
      </c>
      <c r="H168" s="64">
        <f>'[3]CUENTA T VS'!CE225</f>
        <v>30102.05</v>
      </c>
      <c r="I168" s="64">
        <f t="shared" si="6"/>
        <v>30102.05</v>
      </c>
      <c r="J168" s="65">
        <f t="shared" ref="J168:J176" si="8">I168/$I$25</f>
        <v>2.771019730127746E-4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'[3]CUENTA T FONDO 100'!CF461</f>
        <v>0</v>
      </c>
      <c r="H169" s="64">
        <f>'[3]CUENTA T VS'!CF225</f>
        <v>0</v>
      </c>
      <c r="I169" s="64">
        <f t="shared" si="6"/>
        <v>0</v>
      </c>
      <c r="J169" s="65">
        <f t="shared" si="8"/>
        <v>0</v>
      </c>
    </row>
    <row r="170" spans="1:10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'[3]CUENTA T FONDO 100'!CG461</f>
        <v>0</v>
      </c>
      <c r="H170" s="64">
        <f>'[3]CUENTA T VS'!CG225</f>
        <v>0</v>
      </c>
      <c r="I170" s="64">
        <f t="shared" si="6"/>
        <v>0</v>
      </c>
      <c r="J170" s="65">
        <f t="shared" si="8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'[3]CUENTA T FONDO 100'!CH461</f>
        <v>0</v>
      </c>
      <c r="H171" s="64">
        <f>'[3]CUENTA T VS'!CH225</f>
        <v>23010</v>
      </c>
      <c r="I171" s="64">
        <f t="shared" si="6"/>
        <v>23010</v>
      </c>
      <c r="J171" s="65">
        <f t="shared" si="8"/>
        <v>2.1181668354892586E-4</v>
      </c>
    </row>
    <row r="172" spans="1:10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'[3]CUENTA T FONDO 100'!CI461</f>
        <v>0</v>
      </c>
      <c r="H172" s="64">
        <f>'[3]CUENTA T VS'!CI225</f>
        <v>0</v>
      </c>
      <c r="I172" s="64">
        <f t="shared" si="6"/>
        <v>0</v>
      </c>
      <c r="J172" s="65">
        <f t="shared" si="8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'[3]CUENTA T FONDO 100'!CJ461</f>
        <v>0</v>
      </c>
      <c r="H173" s="64">
        <f>'[3]CUENTA T VS'!CJ225</f>
        <v>0</v>
      </c>
      <c r="I173" s="64">
        <f t="shared" si="6"/>
        <v>0</v>
      </c>
      <c r="J173" s="65">
        <f t="shared" si="8"/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'[3]CUENTA T FONDO 100'!CK461</f>
        <v>0</v>
      </c>
      <c r="H174" s="64">
        <f>'[3]CUENTA T VS'!CK225</f>
        <v>0</v>
      </c>
      <c r="I174" s="64">
        <f t="shared" si="6"/>
        <v>0</v>
      </c>
      <c r="J174" s="65">
        <f t="shared" si="8"/>
        <v>0</v>
      </c>
    </row>
    <row r="175" spans="1:10" ht="25.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'[3]CUENTA T FONDO 100'!CL461</f>
        <v>1000002.8</v>
      </c>
      <c r="H175" s="64">
        <f>'[3]CUENTA T VS'!CL225</f>
        <v>615762.96</v>
      </c>
      <c r="I175" s="64">
        <f t="shared" si="6"/>
        <v>1615765.76</v>
      </c>
      <c r="J175" s="65">
        <f t="shared" si="8"/>
        <v>1.4873800290096032E-2</v>
      </c>
    </row>
    <row r="176" spans="1:10" ht="38.2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'[3]CUENTA T FONDO 100'!CM461</f>
        <v>0</v>
      </c>
      <c r="H176" s="64">
        <f>'[3]CUENTA T VS'!CM225</f>
        <v>0</v>
      </c>
      <c r="I176" s="64">
        <f t="shared" si="6"/>
        <v>0</v>
      </c>
      <c r="J176" s="65">
        <f t="shared" si="8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'[3]CUENTA T FONDO 100'!CN461</f>
        <v>0</v>
      </c>
      <c r="H178" s="64">
        <f>'[3]CUENTA T VS'!CN225</f>
        <v>0</v>
      </c>
      <c r="I178" s="64">
        <f t="shared" si="6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0</v>
      </c>
      <c r="H179" s="56">
        <f>+H180+H182+H184+H186+H188+H192+H197+H204</f>
        <v>524832.27</v>
      </c>
      <c r="I179" s="56">
        <f t="shared" si="6"/>
        <v>524832.27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'[3]CUENTA T FONDO 100'!CO461</f>
        <v>0</v>
      </c>
      <c r="H181" s="64">
        <f>'[3]CUENTA T VS'!CO225</f>
        <v>0</v>
      </c>
      <c r="I181" s="64">
        <f t="shared" si="6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13746.67</v>
      </c>
      <c r="I182" s="59">
        <f t="shared" si="6"/>
        <v>13746.67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'[3]CUENTA T FONDO 100'!CP461</f>
        <v>0</v>
      </c>
      <c r="H183" s="64">
        <f>'[3]CUENTA T VS'!CP225</f>
        <v>13746.67</v>
      </c>
      <c r="I183" s="64">
        <f t="shared" si="6"/>
        <v>13746.67</v>
      </c>
      <c r="J183" s="65">
        <f>I183/$I$25</f>
        <v>1.2654385263978762E-4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195000</v>
      </c>
      <c r="I184" s="59">
        <f t="shared" si="6"/>
        <v>195000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'[3]CUENTA T FONDO 100'!CQ461</f>
        <v>0</v>
      </c>
      <c r="H185" s="64">
        <f>'[3]CUENTA T VS'!CQ225</f>
        <v>195000</v>
      </c>
      <c r="I185" s="64">
        <f t="shared" si="6"/>
        <v>195000</v>
      </c>
      <c r="J185" s="65">
        <f>I185/$I$25</f>
        <v>1.7950566402451344E-3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'[3]CUENTA T FONDO 100'!CR461</f>
        <v>0</v>
      </c>
      <c r="H187" s="64">
        <f>'[3]CUENTA T VS'!CR225</f>
        <v>0</v>
      </c>
      <c r="I187" s="64">
        <f t="shared" si="6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197673.60000000001</v>
      </c>
      <c r="I188" s="59">
        <f t="shared" si="6"/>
        <v>197673.60000000001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'[3]CUENTA T FONDO 100'!CS461</f>
        <v>0</v>
      </c>
      <c r="H189" s="64">
        <f>'[3]CUENTA T VS'!CS225</f>
        <v>0</v>
      </c>
      <c r="I189" s="64">
        <f t="shared" si="6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'[3]CUENTA T FONDO 100'!CT461</f>
        <v>0</v>
      </c>
      <c r="H190" s="64">
        <f>'[3]CUENTA T VS'!CT225</f>
        <v>0</v>
      </c>
      <c r="I190" s="64">
        <f t="shared" si="6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'[3]CUENTA T FONDO 100'!CU461</f>
        <v>0</v>
      </c>
      <c r="H191" s="64">
        <f>'[3]CUENTA T VS'!CU225</f>
        <v>197673.60000000001</v>
      </c>
      <c r="I191" s="64">
        <f t="shared" si="6"/>
        <v>197673.60000000001</v>
      </c>
      <c r="J191" s="65">
        <f>I191/$I$25</f>
        <v>1.8196682475956954E-3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'[3]CUENTA T FONDO 100'!CV461</f>
        <v>0</v>
      </c>
      <c r="H193" s="64">
        <f>'[3]CUENTA T VS'!CV225</f>
        <v>0</v>
      </c>
      <c r="I193" s="64">
        <f t="shared" si="6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'[3]CUENTA T FONDO 100'!CW461</f>
        <v>0</v>
      </c>
      <c r="H194" s="64">
        <f>'[3]CUENTA T VS'!CW225</f>
        <v>0</v>
      </c>
      <c r="I194" s="64">
        <f t="shared" si="6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'[3]CUENTA T FONDO 100'!CX461</f>
        <v>0</v>
      </c>
      <c r="H195" s="64">
        <f>'[3]CUENTA T VS'!CX225</f>
        <v>0</v>
      </c>
      <c r="I195" s="64">
        <f t="shared" si="6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'[3]CUENTA T FONDO 100'!CY461</f>
        <v>0</v>
      </c>
      <c r="H196" s="64">
        <f>'[3]CUENTA T VS'!CY225</f>
        <v>0</v>
      </c>
      <c r="I196" s="64">
        <f t="shared" si="6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108500</v>
      </c>
      <c r="I197" s="59">
        <f t="shared" si="6"/>
        <v>108500</v>
      </c>
      <c r="J197" s="60"/>
    </row>
    <row r="198" spans="1:10" ht="25.5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'[3]CUENTA T FONDO 100'!CZ461</f>
        <v>0</v>
      </c>
      <c r="H198" s="64">
        <f>'[3]CUENTA T VS'!CZ225</f>
        <v>0</v>
      </c>
      <c r="I198" s="64">
        <f t="shared" si="6"/>
        <v>0</v>
      </c>
      <c r="J198" s="65">
        <f t="shared" ref="J198:J203" si="9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'[3]CUENTA T FONDO 100'!DA461</f>
        <v>0</v>
      </c>
      <c r="H199" s="64">
        <f>'[3]CUENTA T VS'!DA225</f>
        <v>0</v>
      </c>
      <c r="I199" s="64">
        <f t="shared" si="6"/>
        <v>0</v>
      </c>
      <c r="J199" s="65">
        <f t="shared" si="9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'[3]CUENTA T FONDO 100'!DB461</f>
        <v>0</v>
      </c>
      <c r="H200" s="64">
        <f>'[3]CUENTA T VS'!DB225</f>
        <v>0</v>
      </c>
      <c r="I200" s="64">
        <f t="shared" si="6"/>
        <v>0</v>
      </c>
      <c r="J200" s="65">
        <f t="shared" si="9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'[3]CUENTA T FONDO 100'!DC461</f>
        <v>0</v>
      </c>
      <c r="H201" s="64">
        <f>'[3]CUENTA T VS'!DC225</f>
        <v>0</v>
      </c>
      <c r="I201" s="64">
        <f t="shared" si="6"/>
        <v>0</v>
      </c>
      <c r="J201" s="65">
        <f t="shared" si="9"/>
        <v>0</v>
      </c>
    </row>
    <row r="202" spans="1:10" ht="25.5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'[3]CUENTA T FONDO 100'!DD461</f>
        <v>0</v>
      </c>
      <c r="H202" s="64">
        <f>'[3]CUENTA T VS'!DD225</f>
        <v>0</v>
      </c>
      <c r="I202" s="64">
        <f t="shared" si="6"/>
        <v>0</v>
      </c>
      <c r="J202" s="65">
        <f t="shared" si="9"/>
        <v>0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'[3]CUENTA T FONDO 100'!DE461</f>
        <v>0</v>
      </c>
      <c r="H203" s="64">
        <f>'[3]CUENTA T VS'!DE225</f>
        <v>108500</v>
      </c>
      <c r="I203" s="64">
        <f t="shared" si="6"/>
        <v>108500</v>
      </c>
      <c r="J203" s="65">
        <f t="shared" si="9"/>
        <v>9.9878792546972874E-4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9912</v>
      </c>
      <c r="I204" s="59">
        <f t="shared" si="6"/>
        <v>9912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'[3]CUENTA T FONDO 100'!DF461</f>
        <v>0</v>
      </c>
      <c r="H205" s="64">
        <f>'[3]CUENTA T VS'!DF225</f>
        <v>9912</v>
      </c>
      <c r="I205" s="64">
        <f t="shared" si="6"/>
        <v>9912</v>
      </c>
      <c r="J205" s="65">
        <f>I205/$I$25</f>
        <v>9.1244109836460371E-5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'[3]CUENTA T FONDO 100'!DG461</f>
        <v>0</v>
      </c>
      <c r="H206" s="64">
        <f>'[3]CUENTA T VS'!DG225</f>
        <v>0</v>
      </c>
      <c r="I206" s="64">
        <f t="shared" si="6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'[3]CUENTA T FONDO 100'!DH461</f>
        <v>0</v>
      </c>
      <c r="H207" s="64">
        <f>'[3]CUENTA T VS'!DH225</f>
        <v>0</v>
      </c>
      <c r="I207" s="64">
        <f t="shared" si="6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0</v>
      </c>
      <c r="H208" s="56">
        <f t="shared" si="10"/>
        <v>459680.8</v>
      </c>
      <c r="I208" s="56">
        <f t="shared" si="6"/>
        <v>459680.8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 t="shared" ref="H209" si="11">H210+H211</f>
        <v>459680.8</v>
      </c>
      <c r="I209" s="59">
        <f t="shared" si="6"/>
        <v>459680.8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'[3]CUENTA T FONDO 100'!DI461</f>
        <v>0</v>
      </c>
      <c r="H210" s="64">
        <f>'[3]CUENTA T VS'!DI225</f>
        <v>0</v>
      </c>
      <c r="I210" s="64">
        <f t="shared" si="6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'[3]CUENTA T FONDO 100'!DJ461</f>
        <v>0</v>
      </c>
      <c r="H211" s="64">
        <f>'[3]CUENTA T VS'!DJ225</f>
        <v>459680.8</v>
      </c>
      <c r="I211" s="64">
        <f t="shared" si="6"/>
        <v>459680.8</v>
      </c>
      <c r="J211" s="65">
        <f>I211/$I$25</f>
        <v>4.2315542176061312E-3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14321739.580000002</v>
      </c>
      <c r="H212" s="56">
        <f>H213+H225+H232+H245+H250+H261+H286+H303+H308</f>
        <v>2478357.52</v>
      </c>
      <c r="I212" s="56">
        <f t="shared" si="6"/>
        <v>16800097.100000001</v>
      </c>
      <c r="J212" s="53">
        <f>I212/$I$25</f>
        <v>0.15465192746727194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2077230.72</v>
      </c>
      <c r="H213" s="56">
        <f>+H214+H217+H219+H223</f>
        <v>166750</v>
      </c>
      <c r="I213" s="56">
        <f t="shared" si="6"/>
        <v>2243980.7199999997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2077230.72</v>
      </c>
      <c r="H214" s="59">
        <f>SUM(H215:H216)</f>
        <v>166750</v>
      </c>
      <c r="I214" s="59">
        <f t="shared" si="6"/>
        <v>2243980.7199999997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'[3]CUENTA T FONDO 100'!DK461</f>
        <v>2077230.72</v>
      </c>
      <c r="H215" s="64">
        <f>'[3]CUENTA T VS'!DK225</f>
        <v>166750</v>
      </c>
      <c r="I215" s="64">
        <f t="shared" si="6"/>
        <v>2243980.7199999997</v>
      </c>
      <c r="J215" s="65">
        <f>I215/$I$25</f>
        <v>2.0656782010349012E-2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'[3]CUENTA T FONDO 100'!DL461</f>
        <v>0</v>
      </c>
      <c r="H216" s="64">
        <f>'[3]CUENTA T VS'!DL225</f>
        <v>0</v>
      </c>
      <c r="I216" s="64">
        <f t="shared" si="6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'[3]CUENTA T FONDO 100'!DM461</f>
        <v>0</v>
      </c>
      <c r="H218" s="64">
        <f>'[3]CUENTA T VS'!DM225</f>
        <v>0</v>
      </c>
      <c r="I218" s="64">
        <f t="shared" si="12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'[3]CUENTA T FONDO 100'!DN461</f>
        <v>0</v>
      </c>
      <c r="H220" s="64">
        <f>'[3]CUENTA T VS'!DN225</f>
        <v>0</v>
      </c>
      <c r="I220" s="64">
        <f t="shared" si="12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'[3]CUENTA T FONDO 100'!DO461</f>
        <v>0</v>
      </c>
      <c r="H221" s="64">
        <f>'[3]CUENTA T VS'!DO225</f>
        <v>0</v>
      </c>
      <c r="I221" s="64">
        <f t="shared" si="12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'[3]CUENTA T FONDO 100'!DP461</f>
        <v>0</v>
      </c>
      <c r="H222" s="64">
        <f>'[3]CUENTA T VS'!DP225</f>
        <v>0</v>
      </c>
      <c r="I222" s="64">
        <f t="shared" si="12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'[3]CUENTA T FONDO 100'!DQ461</f>
        <v>0</v>
      </c>
      <c r="H224" s="64">
        <f>'[3]CUENTA T VS'!DQ225</f>
        <v>0</v>
      </c>
      <c r="I224" s="64">
        <f t="shared" si="12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180540</v>
      </c>
      <c r="H225" s="56">
        <f>+H226+H228+H230</f>
        <v>0</v>
      </c>
      <c r="I225" s="56">
        <f t="shared" si="12"/>
        <v>180540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'[3]CUENTA T FONDO 100'!DR461</f>
        <v>0</v>
      </c>
      <c r="H227" s="64">
        <f>'[3]CUENTA T VS'!DR225</f>
        <v>0</v>
      </c>
      <c r="I227" s="64">
        <f t="shared" si="12"/>
        <v>0</v>
      </c>
      <c r="J227" s="65">
        <f>I227/$I$25</f>
        <v>0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53100</v>
      </c>
      <c r="H228" s="59">
        <f>SUM(H229)</f>
        <v>0</v>
      </c>
      <c r="I228" s="59">
        <f t="shared" si="12"/>
        <v>53100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'[3]CUENTA T FONDO 100'!DS461</f>
        <v>53100</v>
      </c>
      <c r="H229" s="64">
        <f>'[3]CUENTA T VS'!DS225</f>
        <v>0</v>
      </c>
      <c r="I229" s="64">
        <f t="shared" si="12"/>
        <v>53100</v>
      </c>
      <c r="J229" s="65">
        <f>I229/$I$25</f>
        <v>4.8880773126675197E-4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127440</v>
      </c>
      <c r="H230" s="59">
        <f>SUM(H231)</f>
        <v>0</v>
      </c>
      <c r="I230" s="59">
        <f t="shared" si="12"/>
        <v>127440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'[3]CUENTA T FONDO 100'!DT461</f>
        <v>127440</v>
      </c>
      <c r="H231" s="64">
        <f>'[3]CUENTA T VS'!DT225</f>
        <v>0</v>
      </c>
      <c r="I231" s="64">
        <f t="shared" si="12"/>
        <v>127440</v>
      </c>
      <c r="J231" s="65">
        <f>I231/$I$25</f>
        <v>1.1731385550402048E-3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912967.7</v>
      </c>
      <c r="H232" s="56">
        <f>+H233+H235+H237+H239+H241+H243</f>
        <v>690182</v>
      </c>
      <c r="I232" s="56">
        <f t="shared" si="12"/>
        <v>1603149.7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10148</v>
      </c>
      <c r="H233" s="59">
        <f>SUM(H234)</f>
        <v>0</v>
      </c>
      <c r="I233" s="59">
        <f t="shared" si="12"/>
        <v>10148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'[3]CUENTA T FONDO 100'!DU461</f>
        <v>10148</v>
      </c>
      <c r="H234" s="64">
        <f>'[3]CUENTA T VS'!DU225</f>
        <v>0</v>
      </c>
      <c r="I234" s="64">
        <f t="shared" si="12"/>
        <v>10148</v>
      </c>
      <c r="J234" s="65">
        <f>I234/$I$25</f>
        <v>9.3416588642090381E-5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367469.7</v>
      </c>
      <c r="H235" s="59">
        <f>SUM(H236)</f>
        <v>469640</v>
      </c>
      <c r="I235" s="59">
        <f t="shared" si="12"/>
        <v>837109.7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'[3]CUENTA T FONDO 100'!DV461</f>
        <v>367469.7</v>
      </c>
      <c r="H236" s="64">
        <f>'[3]CUENTA T VS'!DV225</f>
        <v>469640</v>
      </c>
      <c r="I236" s="64">
        <f t="shared" si="12"/>
        <v>837109.7</v>
      </c>
      <c r="J236" s="65">
        <f>I236/$I$25</f>
        <v>7.7059452594800629E-3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535350</v>
      </c>
      <c r="H237" s="59">
        <f>SUM(H238)</f>
        <v>220542</v>
      </c>
      <c r="I237" s="59">
        <f t="shared" si="12"/>
        <v>755892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'[3]CUENTA T FONDO 100'!DW461</f>
        <v>535350</v>
      </c>
      <c r="H238" s="64">
        <f>'[3]CUENTA T VS'!DW225</f>
        <v>220542</v>
      </c>
      <c r="I238" s="64">
        <f t="shared" si="12"/>
        <v>755892</v>
      </c>
      <c r="J238" s="65">
        <f>I238/$I$25</f>
        <v>6.9583023277342317E-3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'[3]CUENTA T FONDO 100'!DX461</f>
        <v>0</v>
      </c>
      <c r="H240" s="64">
        <f>'[3]CUENTA T VS'!DX225</f>
        <v>0</v>
      </c>
      <c r="I240" s="64">
        <f t="shared" si="12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'[3]CUENTA T FONDO 100'!DY461</f>
        <v>0</v>
      </c>
      <c r="H242" s="64">
        <f>'[3]CUENTA T VS'!DY225</f>
        <v>0</v>
      </c>
      <c r="I242" s="64">
        <f t="shared" si="12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'[3]CUENTA T FONDO 100'!DZ461</f>
        <v>0</v>
      </c>
      <c r="H244" s="64">
        <f>'[3]CUENTA T VS'!DZ225</f>
        <v>0</v>
      </c>
      <c r="I244" s="64">
        <f t="shared" si="12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2962573</v>
      </c>
      <c r="H245" s="56">
        <f>+H246+H248</f>
        <v>269200</v>
      </c>
      <c r="I245" s="56">
        <f t="shared" si="12"/>
        <v>3231773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2962573</v>
      </c>
      <c r="H246" s="59">
        <f>SUM(H247)</f>
        <v>269200</v>
      </c>
      <c r="I246" s="59">
        <f t="shared" si="12"/>
        <v>3231773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'[3]CUENTA T FONDO 100'!EA461</f>
        <v>2962573</v>
      </c>
      <c r="H247" s="64">
        <f>'[3]CUENTA T VS'!EA225</f>
        <v>269200</v>
      </c>
      <c r="I247" s="64">
        <f t="shared" si="12"/>
        <v>3231773</v>
      </c>
      <c r="J247" s="65">
        <f>I247/$I$25</f>
        <v>2.9749823504691995E-2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'[3]CUENTA T FONDO 100'!EB461</f>
        <v>0</v>
      </c>
      <c r="H249" s="64">
        <f>'[3]CUENTA T VS'!EB225</f>
        <v>0</v>
      </c>
      <c r="I249" s="64">
        <f t="shared" si="12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18313.599999999999</v>
      </c>
      <c r="H250" s="56">
        <f>+H251+H253+H255+H257+H259</f>
        <v>62924.77</v>
      </c>
      <c r="I250" s="56">
        <f t="shared" si="12"/>
        <v>81238.37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'[3]CUENTA T FONDO 100'!EC461</f>
        <v>0</v>
      </c>
      <c r="H252" s="64">
        <f>'[3]CUENTA T VS'!EC225</f>
        <v>0</v>
      </c>
      <c r="I252" s="64">
        <f t="shared" si="12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'[3]CUENTA T FONDO 100'!ED461</f>
        <v>0</v>
      </c>
      <c r="H254" s="64">
        <f>'[3]CUENTA T VS'!ED225</f>
        <v>0</v>
      </c>
      <c r="I254" s="64">
        <f t="shared" si="12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'[3]CUENTA T FONDO 100'!EE461</f>
        <v>0</v>
      </c>
      <c r="H256" s="64">
        <f>'[3]CUENTA T VS'!EE225</f>
        <v>0</v>
      </c>
      <c r="I256" s="64">
        <f t="shared" si="12"/>
        <v>0</v>
      </c>
      <c r="J256" s="65">
        <f>I256/$I$25</f>
        <v>0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14278</v>
      </c>
      <c r="H257" s="59">
        <f>SUM(H258)</f>
        <v>0</v>
      </c>
      <c r="I257" s="59">
        <f t="shared" si="12"/>
        <v>14278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'[3]CUENTA T FONDO 100'!EF461</f>
        <v>14278</v>
      </c>
      <c r="H258" s="64">
        <f>'[3]CUENTA T VS'!EF225</f>
        <v>0</v>
      </c>
      <c r="I258" s="64">
        <f t="shared" si="12"/>
        <v>14278</v>
      </c>
      <c r="J258" s="65">
        <f>I258/$I$25</f>
        <v>1.3143496774061555E-4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4035.6</v>
      </c>
      <c r="H259" s="59">
        <f>SUM(H260)</f>
        <v>62924.77</v>
      </c>
      <c r="I259" s="59">
        <f t="shared" si="12"/>
        <v>66960.37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'[3]CUENTA T FONDO 100'!EG461</f>
        <v>4035.6</v>
      </c>
      <c r="H260" s="64">
        <f>'[3]CUENTA T VS'!EG225</f>
        <v>62924.77</v>
      </c>
      <c r="I260" s="64">
        <f t="shared" si="12"/>
        <v>66960.37</v>
      </c>
      <c r="J260" s="65">
        <f>I260/$I$25</f>
        <v>6.1639824000908248E-4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286504</v>
      </c>
      <c r="H261" s="56">
        <f>+H262+H268+H272+H276+H284</f>
        <v>187394.11</v>
      </c>
      <c r="I261" s="56">
        <f t="shared" si="12"/>
        <v>473898.11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12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'[3]CUENTA T FONDO 100'!EH461</f>
        <v>0</v>
      </c>
      <c r="H263" s="64">
        <f>'[3]CUENTA T VS'!EH225</f>
        <v>0</v>
      </c>
      <c r="I263" s="64">
        <f t="shared" si="12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'[3]CUENTA T FONDO 100'!EI461</f>
        <v>0</v>
      </c>
      <c r="H264" s="64">
        <f>'[3]CUENTA T VS'!EI225</f>
        <v>0</v>
      </c>
      <c r="I264" s="64">
        <f t="shared" si="12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'[3]CUENTA T FONDO 100'!EJ461</f>
        <v>0</v>
      </c>
      <c r="H265" s="64">
        <f>'[3]CUENTA T VS'!EJ225</f>
        <v>0</v>
      </c>
      <c r="I265" s="64">
        <f t="shared" si="12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'[3]CUENTA T FONDO 100'!EK461</f>
        <v>0</v>
      </c>
      <c r="H266" s="64">
        <f>'[3]CUENTA T VS'!EK225</f>
        <v>0</v>
      </c>
      <c r="I266" s="64">
        <f t="shared" si="12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'[3]CUENTA T FONDO 100'!EL461</f>
        <v>0</v>
      </c>
      <c r="H267" s="64">
        <f>'[3]CUENTA T VS'!EL225</f>
        <v>0</v>
      </c>
      <c r="I267" s="64">
        <f t="shared" si="12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251015.5</v>
      </c>
      <c r="H268" s="59">
        <f>SUM(H269:H271)</f>
        <v>0</v>
      </c>
      <c r="I268" s="59">
        <f t="shared" si="12"/>
        <v>251015.5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'[3]CUENTA T FONDO 100'!EM461</f>
        <v>0</v>
      </c>
      <c r="H269" s="64">
        <f>'[3]CUENTA T VS'!EM225</f>
        <v>0</v>
      </c>
      <c r="I269" s="64">
        <f t="shared" si="12"/>
        <v>0</v>
      </c>
      <c r="J269" s="65">
        <f>I269/$I$25</f>
        <v>0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'[3]CUENTA T FONDO 100'!EN461</f>
        <v>251015.5</v>
      </c>
      <c r="H270" s="64">
        <f>'[3]CUENTA T VS'!EN225</f>
        <v>0</v>
      </c>
      <c r="I270" s="64">
        <f t="shared" si="12"/>
        <v>251015.5</v>
      </c>
      <c r="J270" s="65">
        <f>I270/$I$25</f>
        <v>2.3107027696382182E-3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'[3]CUENTA T FONDO 100'!EO461</f>
        <v>0</v>
      </c>
      <c r="H271" s="64">
        <f>'[3]CUENTA T VS'!EO225</f>
        <v>0</v>
      </c>
      <c r="I271" s="64">
        <f t="shared" si="12"/>
        <v>0</v>
      </c>
      <c r="J271" s="65">
        <f>I271/$I$25</f>
        <v>0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35488.5</v>
      </c>
      <c r="H272" s="59">
        <f>SUM(H273:H275)</f>
        <v>187394.11</v>
      </c>
      <c r="I272" s="59">
        <f t="shared" si="12"/>
        <v>222882.61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'[3]CUENTA T FONDO 100'!EP461</f>
        <v>2802.5</v>
      </c>
      <c r="H273" s="64">
        <f>'[3]CUENTA T VS'!EP225</f>
        <v>0</v>
      </c>
      <c r="I273" s="64">
        <f t="shared" si="12"/>
        <v>2802.5</v>
      </c>
      <c r="J273" s="65">
        <f>I273/$I$25</f>
        <v>2.5798185816856357E-5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'[3]CUENTA T FONDO 100'!EQ461</f>
        <v>0</v>
      </c>
      <c r="H274" s="64">
        <f>'[3]CUENTA T VS'!EQ225</f>
        <v>0</v>
      </c>
      <c r="I274" s="64">
        <f t="shared" si="12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'[3]CUENTA T FONDO 100'!ER461</f>
        <v>32686</v>
      </c>
      <c r="H275" s="64">
        <f>'[3]CUENTA T VS'!ER225</f>
        <v>187394.11</v>
      </c>
      <c r="I275" s="64">
        <f t="shared" si="12"/>
        <v>220080.11</v>
      </c>
      <c r="J275" s="65">
        <f>I275/$I$25</f>
        <v>2.0259295530327161E-3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'[3]CUENTA T FONDO 100'!ES461</f>
        <v>0</v>
      </c>
      <c r="H277" s="64">
        <f>'[3]CUENTA T VS'!ES225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'[3]CUENTA T FONDO 100'!ET461</f>
        <v>0</v>
      </c>
      <c r="H278" s="64">
        <f>'[3]CUENTA T VS'!ET225</f>
        <v>0</v>
      </c>
      <c r="I278" s="64">
        <f t="shared" si="12"/>
        <v>0</v>
      </c>
      <c r="J278" s="65">
        <f t="shared" si="13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'[3]CUENTA T FONDO 100'!EU461</f>
        <v>0</v>
      </c>
      <c r="H279" s="64">
        <f>'[3]CUENTA T VS'!EU225</f>
        <v>0</v>
      </c>
      <c r="I279" s="64">
        <f t="shared" si="12"/>
        <v>0</v>
      </c>
      <c r="J279" s="65">
        <f t="shared" si="13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'[3]CUENTA T FONDO 100'!EV461</f>
        <v>0</v>
      </c>
      <c r="H280" s="64">
        <f>'[3]CUENTA T VS'!EV225</f>
        <v>0</v>
      </c>
      <c r="I280" s="64">
        <f t="shared" si="12"/>
        <v>0</v>
      </c>
      <c r="J280" s="65">
        <f t="shared" si="13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'[3]CUENTA T FONDO 100'!EW461</f>
        <v>0</v>
      </c>
      <c r="H281" s="64">
        <f>'[3]CUENTA T VS'!EW225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'[3]CUENTA T FONDO 100'!EX461</f>
        <v>0</v>
      </c>
      <c r="H282" s="64">
        <f>'[3]CUENTA T VS'!EX225</f>
        <v>0</v>
      </c>
      <c r="I282" s="64">
        <f t="shared" si="14"/>
        <v>0</v>
      </c>
      <c r="J282" s="65">
        <f t="shared" si="13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'[3]CUENTA T FONDO 100'!EY461</f>
        <v>0</v>
      </c>
      <c r="H283" s="64">
        <f>'[3]CUENTA T VS'!EY225</f>
        <v>0</v>
      </c>
      <c r="I283" s="64">
        <f t="shared" si="14"/>
        <v>0</v>
      </c>
      <c r="J283" s="65">
        <f t="shared" si="13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'[3]CUENTA T FONDO 100'!EZ461</f>
        <v>0</v>
      </c>
      <c r="H285" s="64">
        <f>'[3]CUENTA T VS'!EZ225</f>
        <v>0</v>
      </c>
      <c r="I285" s="64">
        <f t="shared" si="14"/>
        <v>0</v>
      </c>
      <c r="J285" s="65">
        <f>I285/$I$25</f>
        <v>0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2398943.9800000004</v>
      </c>
      <c r="H286" s="56">
        <f>H287+H295</f>
        <v>250850.02</v>
      </c>
      <c r="I286" s="56">
        <f t="shared" si="14"/>
        <v>2649794.0000000005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220020</v>
      </c>
      <c r="I287" s="59">
        <f t="shared" si="14"/>
        <v>220020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'[3]CUENTA T FONDO 100'!FA461</f>
        <v>0</v>
      </c>
      <c r="H288" s="64">
        <f>'[3]CUENTA T VS'!FA225</f>
        <v>172000</v>
      </c>
      <c r="I288" s="64">
        <f t="shared" si="14"/>
        <v>172000</v>
      </c>
      <c r="J288" s="65">
        <f t="shared" ref="J288:J294" si="15">I288/$I$25</f>
        <v>1.5833320108828879E-3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'[3]CUENTA T FONDO 100'!FB461</f>
        <v>0</v>
      </c>
      <c r="H289" s="64">
        <f>'[3]CUENTA T VS'!FB225</f>
        <v>0</v>
      </c>
      <c r="I289" s="64">
        <f t="shared" si="14"/>
        <v>0</v>
      </c>
      <c r="J289" s="65">
        <f t="shared" si="15"/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'[3]CUENTA T FONDO 100'!FC461</f>
        <v>0</v>
      </c>
      <c r="H290" s="64">
        <f>'[3]CUENTA T VS'!FC225</f>
        <v>0</v>
      </c>
      <c r="I290" s="64">
        <f t="shared" si="14"/>
        <v>0</v>
      </c>
      <c r="J290" s="65">
        <f t="shared" si="15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'[3]CUENTA T FONDO 100'!FD461</f>
        <v>0</v>
      </c>
      <c r="H291" s="64">
        <f>'[3]CUENTA T VS'!FD225</f>
        <v>48020</v>
      </c>
      <c r="I291" s="64">
        <f t="shared" si="14"/>
        <v>48020</v>
      </c>
      <c r="J291" s="65">
        <f t="shared" si="15"/>
        <v>4.4204420443369924E-4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'[3]CUENTA T FONDO 100'!FE461</f>
        <v>0</v>
      </c>
      <c r="H292" s="64">
        <f>'[3]CUENTA T VS'!FE225</f>
        <v>0</v>
      </c>
      <c r="I292" s="64">
        <f t="shared" si="14"/>
        <v>0</v>
      </c>
      <c r="J292" s="65">
        <f t="shared" si="15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'[3]CUENTA T FONDO 100'!FF461</f>
        <v>0</v>
      </c>
      <c r="H293" s="64">
        <f>'[3]CUENTA T VS'!FF225</f>
        <v>0</v>
      </c>
      <c r="I293" s="64">
        <f t="shared" si="14"/>
        <v>0</v>
      </c>
      <c r="J293" s="65">
        <f t="shared" si="15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'[3]CUENTA T FONDO 100'!FG461</f>
        <v>0</v>
      </c>
      <c r="H294" s="64">
        <f>'[3]CUENTA T VS'!FG225</f>
        <v>0</v>
      </c>
      <c r="I294" s="64">
        <f t="shared" si="14"/>
        <v>0</v>
      </c>
      <c r="J294" s="65">
        <f t="shared" si="15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2398943.9800000004</v>
      </c>
      <c r="H295" s="59">
        <f>SUM(H296:H302)</f>
        <v>30830.02</v>
      </c>
      <c r="I295" s="59">
        <f t="shared" si="14"/>
        <v>2429774.0000000005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'[3]CUENTA T FONDO 100'!FH461</f>
        <v>0</v>
      </c>
      <c r="H296" s="64">
        <f>'[3]CUENTA T VS'!FH225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'[3]CUENTA T FONDO 100'!FI461</f>
        <v>0</v>
      </c>
      <c r="H297" s="64">
        <f>'[3]CUENTA T VS'!FI225</f>
        <v>0</v>
      </c>
      <c r="I297" s="64">
        <f t="shared" si="14"/>
        <v>0</v>
      </c>
      <c r="J297" s="65">
        <f t="shared" si="16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'[3]CUENTA T FONDO 100'!FJ461</f>
        <v>1643406.7000000002</v>
      </c>
      <c r="H298" s="64">
        <f>'[3]CUENTA T VS'!FJ225</f>
        <v>9600</v>
      </c>
      <c r="I298" s="64">
        <f t="shared" si="14"/>
        <v>1653006.7000000002</v>
      </c>
      <c r="J298" s="65">
        <f t="shared" si="16"/>
        <v>1.5216618734383063E-2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'[3]CUENTA T FONDO 100'!FK461</f>
        <v>0</v>
      </c>
      <c r="H299" s="64">
        <f>'[3]CUENTA T VS'!FK225</f>
        <v>0</v>
      </c>
      <c r="I299" s="64">
        <f t="shared" si="14"/>
        <v>0</v>
      </c>
      <c r="J299" s="65">
        <f t="shared" si="16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'[3]CUENTA T FONDO 100'!FL461</f>
        <v>0</v>
      </c>
      <c r="H300" s="64">
        <f>'[3]CUENTA T VS'!FL225</f>
        <v>0</v>
      </c>
      <c r="I300" s="64">
        <f t="shared" si="14"/>
        <v>0</v>
      </c>
      <c r="J300" s="65">
        <f t="shared" si="16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'[3]CUENTA T FONDO 100'!FM461</f>
        <v>155537.28</v>
      </c>
      <c r="H301" s="64">
        <f>'[3]CUENTA T VS'!FM225</f>
        <v>0</v>
      </c>
      <c r="I301" s="64">
        <f t="shared" si="14"/>
        <v>155537.28</v>
      </c>
      <c r="J301" s="65">
        <f t="shared" si="16"/>
        <v>1.4317857808700859E-3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'[3]CUENTA T FONDO 100'!FN461</f>
        <v>600000</v>
      </c>
      <c r="H302" s="64">
        <f>'[3]CUENTA T VS'!FN225</f>
        <v>21230.02</v>
      </c>
      <c r="I302" s="64">
        <f t="shared" si="14"/>
        <v>621230.02</v>
      </c>
      <c r="J302" s="65">
        <f t="shared" si="16"/>
        <v>5.7186824231826548E-3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'[3]CUENTA T FONDO 100'!FO461</f>
        <v>0</v>
      </c>
      <c r="H305" s="64">
        <f>'[3]CUENTA T VS'!FO225</f>
        <v>0</v>
      </c>
      <c r="I305" s="64">
        <f t="shared" si="14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'[3]CUENTA T FONDO 100'!FP461</f>
        <v>0</v>
      </c>
      <c r="H307" s="64">
        <f>'[3]CUENTA T VS'!FP225</f>
        <v>0</v>
      </c>
      <c r="I307" s="64">
        <f t="shared" si="14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5484666.580000001</v>
      </c>
      <c r="H308" s="56">
        <f>+H309+H312+H314+H316+H318+H320+H322+H324+H327</f>
        <v>851056.62</v>
      </c>
      <c r="I308" s="56">
        <f t="shared" si="14"/>
        <v>6335723.2000000011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49986.22</v>
      </c>
      <c r="H309" s="59">
        <f>SUM(H310:H311)</f>
        <v>238456.75999999998</v>
      </c>
      <c r="I309" s="59">
        <f t="shared" si="14"/>
        <v>288442.98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'[3]CUENTA T FONDO 100'!FQ461</f>
        <v>49986.22</v>
      </c>
      <c r="H310" s="64">
        <f>'[3]CUENTA T VS'!FQ225</f>
        <v>238456.75999999998</v>
      </c>
      <c r="I310" s="64">
        <f t="shared" si="14"/>
        <v>288442.98</v>
      </c>
      <c r="J310" s="65">
        <f>I310/$I$25</f>
        <v>2.6552383927235614E-3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'[3]CUENTA T FONDO 100'!FR461</f>
        <v>0</v>
      </c>
      <c r="H311" s="64">
        <f>'[3]CUENTA T VS'!FR225</f>
        <v>0</v>
      </c>
      <c r="I311" s="64">
        <f t="shared" si="14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670504.5</v>
      </c>
      <c r="H312" s="59">
        <f>SUM(H313)</f>
        <v>0</v>
      </c>
      <c r="I312" s="59">
        <f t="shared" si="14"/>
        <v>670504.5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'[3]CUENTA T FONDO 100'!FS461</f>
        <v>670504.5</v>
      </c>
      <c r="H313" s="64">
        <f>'[3]CUENTA T VS'!FS225</f>
        <v>0</v>
      </c>
      <c r="I313" s="64">
        <f t="shared" si="14"/>
        <v>670504.5</v>
      </c>
      <c r="J313" s="65">
        <f>I313/$I$25</f>
        <v>6.1722746412268912E-3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4188418.4600000004</v>
      </c>
      <c r="H314" s="59">
        <f>SUM(H315)</f>
        <v>438045</v>
      </c>
      <c r="I314" s="59">
        <f t="shared" si="14"/>
        <v>4626463.4600000009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'[3]CUENTA T FONDO 100'!FT461</f>
        <v>4188418.4600000004</v>
      </c>
      <c r="H315" s="64">
        <f>'[3]CUENTA T VS'!FT225</f>
        <v>438045</v>
      </c>
      <c r="I315" s="64">
        <f t="shared" si="14"/>
        <v>4626463.4600000009</v>
      </c>
      <c r="J315" s="65">
        <f>I315/$I$25</f>
        <v>4.2588533101151189E-2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'[3]CUENTA T FONDO 100'!FU461</f>
        <v>0</v>
      </c>
      <c r="H317" s="64">
        <f>'[3]CUENTA T VS'!FU225</f>
        <v>0</v>
      </c>
      <c r="I317" s="64">
        <f t="shared" si="14"/>
        <v>0</v>
      </c>
      <c r="J317" s="65">
        <f>I317/$I$25</f>
        <v>0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325656.40000000002</v>
      </c>
      <c r="H318" s="59">
        <f>SUM(H319)</f>
        <v>0</v>
      </c>
      <c r="I318" s="59">
        <f t="shared" si="14"/>
        <v>325656.40000000002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'[3]CUENTA T FONDO 100'!FV461</f>
        <v>325656.40000000002</v>
      </c>
      <c r="H319" s="64">
        <f>'[3]CUENTA T VS'!FV225</f>
        <v>0</v>
      </c>
      <c r="I319" s="64">
        <f t="shared" si="14"/>
        <v>325656.40000000002</v>
      </c>
      <c r="J319" s="65">
        <f>I319/$I$25</f>
        <v>2.9978035038888493E-3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175023.5</v>
      </c>
      <c r="H320" s="59">
        <f>SUM(H321)</f>
        <v>76228</v>
      </c>
      <c r="I320" s="59">
        <f t="shared" si="14"/>
        <v>251251.5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'[3]CUENTA T FONDO 100'!FW461</f>
        <v>175023.5</v>
      </c>
      <c r="H321" s="64">
        <f>'[3]CUENTA T VS'!FW225</f>
        <v>76228</v>
      </c>
      <c r="I321" s="64">
        <f t="shared" si="14"/>
        <v>251251.5</v>
      </c>
      <c r="J321" s="65">
        <f>I321/$I$25</f>
        <v>2.3128752484438482E-3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'[3]CUENTA T FONDO 100'!FX461</f>
        <v>0</v>
      </c>
      <c r="H323" s="64">
        <f>'[3]CUENTA T VS'!FX225</f>
        <v>0</v>
      </c>
      <c r="I323" s="64">
        <f t="shared" si="14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75077.5</v>
      </c>
      <c r="H324" s="59">
        <f>SUM(H325:H326)</f>
        <v>40800</v>
      </c>
      <c r="I324" s="59">
        <f t="shared" si="14"/>
        <v>115877.5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'[3]CUENTA T FONDO 100'!FY461</f>
        <v>11357.5</v>
      </c>
      <c r="H325" s="64">
        <f>'[3]CUENTA T VS'!FY225</f>
        <v>0</v>
      </c>
      <c r="I325" s="64">
        <f t="shared" si="14"/>
        <v>11357.5</v>
      </c>
      <c r="J325" s="65">
        <f>I325/$I$25</f>
        <v>1.0455054252094418E-4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'[3]CUENTA T FONDO 100'!FZ461</f>
        <v>63720</v>
      </c>
      <c r="H326" s="64">
        <f>'[3]CUENTA T VS'!FZ225</f>
        <v>40800</v>
      </c>
      <c r="I326" s="64">
        <f t="shared" si="14"/>
        <v>104520</v>
      </c>
      <c r="J326" s="65">
        <f>I326/$I$25</f>
        <v>9.6215035917139211E-4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0</v>
      </c>
      <c r="H327" s="59">
        <f>SUM(H328:H329)</f>
        <v>57526.86</v>
      </c>
      <c r="I327" s="59">
        <f t="shared" si="14"/>
        <v>57526.86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'[3]CUENTA T FONDO 100'!GA461</f>
        <v>0</v>
      </c>
      <c r="H328" s="64">
        <f>'[3]CUENTA T VS'!GA225</f>
        <v>57526.86</v>
      </c>
      <c r="I328" s="64">
        <f t="shared" si="14"/>
        <v>57526.86</v>
      </c>
      <c r="J328" s="65">
        <f>I328/$I$25</f>
        <v>5.29558830951037E-4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'[3]CUENTA T FONDO 100'!GB461</f>
        <v>0</v>
      </c>
      <c r="H329" s="64">
        <f>'[3]CUENTA T VS'!GB225</f>
        <v>0</v>
      </c>
      <c r="I329" s="64">
        <f t="shared" si="14"/>
        <v>0</v>
      </c>
      <c r="J329" s="65">
        <f>I329/$I$25</f>
        <v>0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33600</v>
      </c>
      <c r="I330" s="56">
        <f t="shared" si="14"/>
        <v>33600</v>
      </c>
      <c r="J330" s="53">
        <f>+I330/I25</f>
        <v>3.0930206724223854E-4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'[3]CUENTA T FONDO 100'!GC461</f>
        <v>0</v>
      </c>
      <c r="H331" s="64">
        <f>'[3]CUENTA T VS'!GC225</f>
        <v>30000</v>
      </c>
      <c r="I331" s="64">
        <f t="shared" si="14"/>
        <v>30000</v>
      </c>
      <c r="J331" s="65">
        <f t="shared" ref="J331:J336" si="17">I331/$I$25</f>
        <v>2.7616256003771297E-4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'[3]CUENTA T FONDO 100'!GD461</f>
        <v>0</v>
      </c>
      <c r="H332" s="64">
        <f>'[3]CUENTA T VS'!GD225</f>
        <v>3600</v>
      </c>
      <c r="I332" s="64">
        <f t="shared" si="14"/>
        <v>3600</v>
      </c>
      <c r="J332" s="65">
        <f t="shared" si="17"/>
        <v>3.3139507204525561E-5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'[3]CUENTA T FONDO 100'!GE461</f>
        <v>0</v>
      </c>
      <c r="H333" s="64">
        <f>'[3]CUENTA T VS'!GE225</f>
        <v>0</v>
      </c>
      <c r="I333" s="64">
        <f t="shared" si="14"/>
        <v>0</v>
      </c>
      <c r="J333" s="65">
        <f t="shared" si="17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'[3]CUENTA T FONDO 100'!GF461</f>
        <v>0</v>
      </c>
      <c r="H334" s="64">
        <f>'[3]CUENTA T VS'!GF225</f>
        <v>0</v>
      </c>
      <c r="I334" s="64">
        <f t="shared" si="14"/>
        <v>0</v>
      </c>
      <c r="J334" s="65">
        <f t="shared" si="17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'[3]CUENTA T FONDO 100'!GG461</f>
        <v>0</v>
      </c>
      <c r="H335" s="64">
        <f>'[3]CUENTA T VS'!GG225</f>
        <v>0</v>
      </c>
      <c r="I335" s="64">
        <f t="shared" si="14"/>
        <v>0</v>
      </c>
      <c r="J335" s="65">
        <f t="shared" si="17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10590778.550000001</v>
      </c>
      <c r="H336" s="56">
        <f>H337+H348+H357+H366+H383+H400+H405+H424+H446</f>
        <v>2395076.41</v>
      </c>
      <c r="I336" s="56">
        <f t="shared" si="14"/>
        <v>12985854.960000001</v>
      </c>
      <c r="J336" s="53">
        <f t="shared" si="17"/>
        <v>0.11954023166773445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2704062.94</v>
      </c>
      <c r="H337" s="56">
        <f>+H338+H340+H342+H344+H346</f>
        <v>684631.95</v>
      </c>
      <c r="I337" s="56">
        <f t="shared" si="14"/>
        <v>3388694.8899999997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937588.78</v>
      </c>
      <c r="H338" s="59">
        <f>SUM(H339)</f>
        <v>507584.75</v>
      </c>
      <c r="I338" s="59">
        <f t="shared" si="14"/>
        <v>1445173.53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'[3]CUENTA T FONDO 100'!GH461</f>
        <v>937588.78</v>
      </c>
      <c r="H339" s="64">
        <f>'[3]CUENTA T VS'!GH225</f>
        <v>507584.75</v>
      </c>
      <c r="I339" s="64">
        <f t="shared" si="14"/>
        <v>1445173.53</v>
      </c>
      <c r="J339" s="65">
        <f>I339/$I$25</f>
        <v>1.3303427391451288E-2</v>
      </c>
    </row>
    <row r="340" spans="1:10" ht="25.5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0"/>
    </row>
    <row r="341" spans="1:10" ht="25.5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'[3]CUENTA T FONDO 100'!GI461</f>
        <v>0</v>
      </c>
      <c r="H341" s="64">
        <f>'[3]CUENTA T VS'!GI225</f>
        <v>0</v>
      </c>
      <c r="I341" s="64">
        <f t="shared" si="14"/>
        <v>0</v>
      </c>
      <c r="J341" s="65">
        <f>I341/$I$25</f>
        <v>0</v>
      </c>
    </row>
    <row r="342" spans="1:10" ht="25.5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1766474.16</v>
      </c>
      <c r="H342" s="59">
        <f>SUM(H343)</f>
        <v>0</v>
      </c>
      <c r="I342" s="59">
        <f t="shared" si="14"/>
        <v>1766474.16</v>
      </c>
      <c r="J342" s="60"/>
    </row>
    <row r="343" spans="1:10" ht="25.5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'[3]CUENTA T FONDO 100'!GJ461</f>
        <v>1766474.16</v>
      </c>
      <c r="H343" s="64">
        <f>'[3]CUENTA T VS'!GJ225</f>
        <v>0</v>
      </c>
      <c r="I343" s="64">
        <f t="shared" si="14"/>
        <v>1766474.16</v>
      </c>
      <c r="J343" s="65">
        <f>I343/$I$25</f>
        <v>1.6261134208868953E-2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0</v>
      </c>
      <c r="H344" s="59">
        <f>SUM(H345)</f>
        <v>177047.2</v>
      </c>
      <c r="I344" s="59">
        <f t="shared" si="14"/>
        <v>177047.2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'[3]CUENTA T FONDO 100'!GK461</f>
        <v>0</v>
      </c>
      <c r="H345" s="64">
        <f>'[3]CUENTA T VS'!GK225</f>
        <v>177047.2</v>
      </c>
      <c r="I345" s="64">
        <f t="shared" ref="I345:I408" si="18">SUM(G345:H345)</f>
        <v>177047.2</v>
      </c>
      <c r="J345" s="65">
        <f>I345/$I$25</f>
        <v>1.6297935999836327E-3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0</v>
      </c>
      <c r="I346" s="59">
        <f t="shared" si="18"/>
        <v>0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'[3]CUENTA T FONDO 100'!GL461</f>
        <v>0</v>
      </c>
      <c r="H347" s="64">
        <f>'[3]CUENTA T VS'!GL225</f>
        <v>0</v>
      </c>
      <c r="I347" s="64">
        <f t="shared" si="18"/>
        <v>0</v>
      </c>
      <c r="J347" s="65">
        <f>I347/$I$25</f>
        <v>0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'[3]CUENTA T FONDO 100'!GM461</f>
        <v>0</v>
      </c>
      <c r="H350" s="64">
        <f>'[3]CUENTA T VS'!GM225</f>
        <v>0</v>
      </c>
      <c r="I350" s="64">
        <f t="shared" si="18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'[3]CUENTA T FONDO 100'!GN461</f>
        <v>0</v>
      </c>
      <c r="H352" s="64">
        <f>'[3]CUENTA T VS'!GN225</f>
        <v>0</v>
      </c>
      <c r="I352" s="64">
        <f t="shared" si="18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'[3]CUENTA T FONDO 100'!GO461</f>
        <v>0</v>
      </c>
      <c r="H354" s="64">
        <f>'[3]CUENTA T VS'!GO225</f>
        <v>0</v>
      </c>
      <c r="I354" s="64">
        <f t="shared" si="18"/>
        <v>0</v>
      </c>
      <c r="J354" s="65">
        <f>I354/$I$25</f>
        <v>0</v>
      </c>
    </row>
    <row r="355" spans="1:10" ht="25.5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0"/>
    </row>
    <row r="356" spans="1:10" ht="25.5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'[3]CUENTA T FONDO 100'!GP461</f>
        <v>0</v>
      </c>
      <c r="H356" s="64">
        <f>'[3]CUENTA T VS'!GP225</f>
        <v>0</v>
      </c>
      <c r="I356" s="64">
        <f t="shared" si="18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1295400.17</v>
      </c>
      <c r="H357" s="56">
        <f>+H358+H360+H362+H364</f>
        <v>1710444.46</v>
      </c>
      <c r="I357" s="56">
        <f t="shared" si="18"/>
        <v>3005844.63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878388.16999999993</v>
      </c>
      <c r="H358" s="59">
        <f>SUM(H359)</f>
        <v>1230992.52</v>
      </c>
      <c r="I358" s="59">
        <f t="shared" si="18"/>
        <v>2109380.69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'[3]CUENTA T FONDO 100'!GQ461</f>
        <v>878388.16999999993</v>
      </c>
      <c r="H359" s="64">
        <f>'[3]CUENTA T VS'!GQ225</f>
        <v>1230992.52</v>
      </c>
      <c r="I359" s="64">
        <f t="shared" si="18"/>
        <v>2109380.69</v>
      </c>
      <c r="J359" s="65">
        <f>I359/$I$25</f>
        <v>1.9417732381483914E-2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417012</v>
      </c>
      <c r="H360" s="59">
        <f>SUM(H361)</f>
        <v>0</v>
      </c>
      <c r="I360" s="59">
        <f t="shared" si="18"/>
        <v>417012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'[3]CUENTA T FONDO 100'!GR461</f>
        <v>417012</v>
      </c>
      <c r="H361" s="64">
        <f>'[3]CUENTA T VS'!GR225</f>
        <v>0</v>
      </c>
      <c r="I361" s="64">
        <f t="shared" si="18"/>
        <v>417012</v>
      </c>
      <c r="J361" s="65">
        <f>I361/$I$25</f>
        <v>3.8387700495482258E-3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'[3]CUENTA T FONDO 100'!GS461</f>
        <v>0</v>
      </c>
      <c r="H363" s="64">
        <f>'[3]CUENTA T VS'!GS225</f>
        <v>0</v>
      </c>
      <c r="I363" s="64">
        <f t="shared" si="18"/>
        <v>0</v>
      </c>
      <c r="J363" s="65">
        <f>I363/$I$25</f>
        <v>0</v>
      </c>
    </row>
    <row r="364" spans="1:10" ht="25.5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479451.94</v>
      </c>
      <c r="I364" s="59">
        <f t="shared" si="18"/>
        <v>479451.94</v>
      </c>
      <c r="J364" s="60"/>
    </row>
    <row r="365" spans="1:10" ht="25.5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'[3]CUENTA T FONDO 100'!GT461</f>
        <v>0</v>
      </c>
      <c r="H365" s="64">
        <f>'[3]CUENTA T VS'!GT225</f>
        <v>479451.94</v>
      </c>
      <c r="I365" s="64">
        <f t="shared" si="18"/>
        <v>479451.94</v>
      </c>
      <c r="J365" s="65">
        <f>I365/$I$25</f>
        <v>4.4135558388482656E-3</v>
      </c>
    </row>
    <row r="366" spans="1:10" ht="25.5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'[3]CUENTA T FONDO 100'!GU461</f>
        <v>0</v>
      </c>
      <c r="H368" s="64">
        <f>'[3]CUENTA T VS'!GU225</f>
        <v>0</v>
      </c>
      <c r="I368" s="64">
        <f t="shared" si="18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'[3]CUENTA T FONDO 100'!GV461</f>
        <v>0</v>
      </c>
      <c r="H370" s="64">
        <f>'[3]CUENTA T VS'!GV225</f>
        <v>0</v>
      </c>
      <c r="I370" s="64">
        <f t="shared" si="18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'[3]CUENTA T FONDO 100'!GW461</f>
        <v>0</v>
      </c>
      <c r="H372" s="64">
        <f>'[3]CUENTA T VS'!GX225</f>
        <v>0</v>
      </c>
      <c r="I372" s="64">
        <f t="shared" si="18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'[3]CUENTA T FONDO 100'!GX461</f>
        <v>0</v>
      </c>
      <c r="H374" s="64">
        <f>'[3]CUENTA T VS'!GX225</f>
        <v>0</v>
      </c>
      <c r="I374" s="64">
        <f t="shared" si="18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'[3]CUENTA T FONDO 100'!GY461</f>
        <v>0</v>
      </c>
      <c r="H376" s="64">
        <f>'[3]CUENTA T VS'!GY225</f>
        <v>0</v>
      </c>
      <c r="I376" s="64">
        <f t="shared" si="18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'[3]CUENTA T FONDO 100'!GZ461</f>
        <v>0</v>
      </c>
      <c r="H378" s="64">
        <f>'[3]CUENTA T VS'!GZ225</f>
        <v>0</v>
      </c>
      <c r="I378" s="64">
        <f t="shared" si="18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'[3]CUENTA T FONDO 100'!HA461</f>
        <v>0</v>
      </c>
      <c r="H380" s="64">
        <f>'[3]CUENTA T VS'!HA225</f>
        <v>0</v>
      </c>
      <c r="I380" s="64">
        <f t="shared" si="18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'[3]CUENTA T FONDO 100'!HB461</f>
        <v>0</v>
      </c>
      <c r="H382" s="64">
        <f>'[3]CUENTA T VS'!HB225</f>
        <v>0</v>
      </c>
      <c r="I382" s="64">
        <f t="shared" si="18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6591315.4400000004</v>
      </c>
      <c r="H383" s="56">
        <f>+H384+H386+H388+H390+H392+H394+H396+H398</f>
        <v>0</v>
      </c>
      <c r="I383" s="56">
        <f t="shared" si="18"/>
        <v>6591315.4400000004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'[3]CUENTA T FONDO 100'!HC461</f>
        <v>0</v>
      </c>
      <c r="H385" s="64">
        <f>'[3]CUENTA T VS'!HC225</f>
        <v>0</v>
      </c>
      <c r="I385" s="64">
        <f t="shared" si="18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1013620</v>
      </c>
      <c r="H386" s="59">
        <f>SUM(H387)</f>
        <v>0</v>
      </c>
      <c r="I386" s="59">
        <f t="shared" si="18"/>
        <v>1013620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'[3]CUENTA T FONDO 100'!HD461</f>
        <v>1013620</v>
      </c>
      <c r="H387" s="64">
        <f>'[3]CUENTA T VS'!HD225</f>
        <v>0</v>
      </c>
      <c r="I387" s="64">
        <f t="shared" si="18"/>
        <v>1013620</v>
      </c>
      <c r="J387" s="65">
        <f>I387/$I$25</f>
        <v>9.3307964701808879E-3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'[3]CUENTA T FONDO 100'!HE461</f>
        <v>0</v>
      </c>
      <c r="H389" s="64">
        <f>'[3]CUENTA T VS'!HE225</f>
        <v>0</v>
      </c>
      <c r="I389" s="64">
        <f t="shared" si="18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3351970</v>
      </c>
      <c r="H390" s="59">
        <f>SUM(H391)</f>
        <v>0</v>
      </c>
      <c r="I390" s="59">
        <f t="shared" si="18"/>
        <v>3351970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'[3]CUENTA T FONDO 100'!HF461</f>
        <v>3351970</v>
      </c>
      <c r="H391" s="64">
        <f>'[3]CUENTA T VS'!HF225</f>
        <v>0</v>
      </c>
      <c r="I391" s="64">
        <f t="shared" si="18"/>
        <v>3351970</v>
      </c>
      <c r="J391" s="65">
        <f>I391/$I$25</f>
        <v>3.0856287212320428E-2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216185.44</v>
      </c>
      <c r="H392" s="59">
        <f>SUM(H393)</f>
        <v>0</v>
      </c>
      <c r="I392" s="59">
        <f t="shared" si="18"/>
        <v>216185.44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'[3]CUENTA T FONDO 100'!HG461</f>
        <v>216185.44</v>
      </c>
      <c r="H393" s="64">
        <f>'[3]CUENTA T VS'!HG225</f>
        <v>0</v>
      </c>
      <c r="I393" s="64">
        <f t="shared" si="18"/>
        <v>216185.44</v>
      </c>
      <c r="J393" s="65">
        <f>I393/$I$25</f>
        <v>1.9900774851093132E-3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2009540</v>
      </c>
      <c r="H394" s="59">
        <f>SUM(H395)</f>
        <v>0</v>
      </c>
      <c r="I394" s="59">
        <f t="shared" si="18"/>
        <v>2009540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'[3]CUENTA T FONDO 100'!HH461</f>
        <v>2009540</v>
      </c>
      <c r="H395" s="64">
        <f>'[3]CUENTA T VS'!HH225</f>
        <v>0</v>
      </c>
      <c r="I395" s="64">
        <f t="shared" si="18"/>
        <v>2009540</v>
      </c>
      <c r="J395" s="65">
        <f>I395/$I$25</f>
        <v>1.8498657029939525E-2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0</v>
      </c>
      <c r="H396" s="59">
        <f>SUM(H397)</f>
        <v>0</v>
      </c>
      <c r="I396" s="59">
        <f t="shared" si="18"/>
        <v>0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'[3]CUENTA T FONDO 100'!HI461</f>
        <v>0</v>
      </c>
      <c r="H397" s="64">
        <f>'[3]CUENTA T VS'!HI225</f>
        <v>0</v>
      </c>
      <c r="I397" s="64">
        <f t="shared" si="18"/>
        <v>0</v>
      </c>
      <c r="J397" s="65">
        <f>I397/$I$25</f>
        <v>0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8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'[3]CUENTA T FONDO 100'!HJ461</f>
        <v>0</v>
      </c>
      <c r="H399" s="64">
        <f>'[3]CUENTA T VS'!HJ225</f>
        <v>0</v>
      </c>
      <c r="I399" s="64">
        <f t="shared" si="18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0</v>
      </c>
      <c r="I400" s="56">
        <f t="shared" si="18"/>
        <v>0</v>
      </c>
      <c r="J400" s="53">
        <f>I400/$I$25</f>
        <v>0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'[3]CUENTA T FONDO 100'!HK461</f>
        <v>0</v>
      </c>
      <c r="H402" s="64">
        <f>'[3]CUENTA T VS'!HK225</f>
        <v>0</v>
      </c>
      <c r="I402" s="64">
        <f t="shared" si="18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0</v>
      </c>
      <c r="I403" s="59">
        <f t="shared" si="18"/>
        <v>0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'[3]CUENTA T FONDO 100'!HL461</f>
        <v>0</v>
      </c>
      <c r="H404" s="64">
        <f>'[3]CUENTA T VS'!HL225</f>
        <v>0</v>
      </c>
      <c r="I404" s="64">
        <f t="shared" si="18"/>
        <v>0</v>
      </c>
      <c r="J404" s="65">
        <f>I404/$I$25</f>
        <v>0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'[3]CUENTA T FONDO 100'!HM461</f>
        <v>0</v>
      </c>
      <c r="H407" s="64">
        <f>'[3]CUENTA T VS'!HM225</f>
        <v>0</v>
      </c>
      <c r="I407" s="64">
        <f t="shared" si="18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'[3]CUENTA T FONDO 100'!HN461</f>
        <v>0</v>
      </c>
      <c r="H409" s="64">
        <f>'[3]CUENTA T VS'!HN225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'[3]CUENTA T FONDO 100'!HO461</f>
        <v>0</v>
      </c>
      <c r="H411" s="64">
        <f>'[3]CUENTA T VS'!HO225</f>
        <v>0</v>
      </c>
      <c r="I411" s="64">
        <f t="shared" si="19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'[3]CUENTA T FONDO 100'!HP461</f>
        <v>0</v>
      </c>
      <c r="H413" s="64">
        <f>'[3]CUENTA T VS'!HP225</f>
        <v>0</v>
      </c>
      <c r="I413" s="64">
        <f t="shared" si="19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'[3]CUENTA T FONDO 100'!HQ461</f>
        <v>0</v>
      </c>
      <c r="H415" s="64">
        <f>'[3]CUENTA T VS'!HQ225</f>
        <v>0</v>
      </c>
      <c r="I415" s="64">
        <f t="shared" si="19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'[3]CUENTA T FONDO 100'!HR461</f>
        <v>0</v>
      </c>
      <c r="H417" s="64">
        <f>'[3]CUENTA T VS'!HR225</f>
        <v>0</v>
      </c>
      <c r="I417" s="64">
        <f t="shared" si="19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'[3]CUENTA T FONDO 100'!HS461</f>
        <v>0</v>
      </c>
      <c r="H419" s="64">
        <f>'[3]CUENTA T VS'!HS225</f>
        <v>0</v>
      </c>
      <c r="I419" s="64">
        <f t="shared" si="19"/>
        <v>0</v>
      </c>
      <c r="J419" s="65">
        <f>I419/$I$25</f>
        <v>0</v>
      </c>
    </row>
    <row r="420" spans="1:10" ht="25.5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0"/>
    </row>
    <row r="421" spans="1:10" ht="25.5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'[3]CUENTA T FONDO 100'!HT461</f>
        <v>0</v>
      </c>
      <c r="H421" s="64">
        <f>'[3]CUENTA T VS'!HT225</f>
        <v>0</v>
      </c>
      <c r="I421" s="64">
        <f t="shared" si="19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'[3]CUENTA T FONDO 100'!HU461</f>
        <v>0</v>
      </c>
      <c r="H423" s="64">
        <f>'[3]CUENTA T VS'!HU225</f>
        <v>0</v>
      </c>
      <c r="I423" s="64">
        <f t="shared" si="19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'[3]CUENTA T FONDO 100'!HV461</f>
        <v>0</v>
      </c>
      <c r="H426" s="64">
        <f>'[3]CUENTA T VS'!HV225</f>
        <v>0</v>
      </c>
      <c r="I426" s="64">
        <f t="shared" si="19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'[3]CUENTA T FONDO 100'!HW461</f>
        <v>0</v>
      </c>
      <c r="H428" s="64">
        <f>'[3]CUENTA T VS'!HW225</f>
        <v>0</v>
      </c>
      <c r="I428" s="64">
        <f t="shared" si="19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'[3]CUENTA T FONDO 100'!HX461</f>
        <v>0</v>
      </c>
      <c r="H430" s="64">
        <f>'[3]CUENTA T VS'!HX225</f>
        <v>0</v>
      </c>
      <c r="I430" s="64">
        <f t="shared" si="19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'[3]CUENTA T FONDO 100'!HY461</f>
        <v>0</v>
      </c>
      <c r="H431" s="64">
        <f>'[3]CUENTA T VS'!HY225</f>
        <v>0</v>
      </c>
      <c r="I431" s="64">
        <f t="shared" si="19"/>
        <v>0</v>
      </c>
      <c r="J431" s="65">
        <f>I431/$I$25</f>
        <v>0</v>
      </c>
    </row>
    <row r="432" spans="1:10" ht="25.5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0"/>
    </row>
    <row r="433" spans="1:10" ht="25.5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'[3]CUENTA T FONDO 100'!HZ461</f>
        <v>0</v>
      </c>
      <c r="H433" s="64">
        <f>'[3]CUENTA T VS'!HZ225</f>
        <v>0</v>
      </c>
      <c r="I433" s="64">
        <f t="shared" si="19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'[3]CUENTA T FONDO 100'!IA461</f>
        <v>0</v>
      </c>
      <c r="H435" s="64">
        <f>'[3]CUENTA T VS'!IA225</f>
        <v>0</v>
      </c>
      <c r="I435" s="64">
        <f t="shared" si="19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'[3]CUENTA T FONDO 100'!IB461</f>
        <v>0</v>
      </c>
      <c r="H437" s="64">
        <f>'[3]CUENTA T VS'!IB225</f>
        <v>0</v>
      </c>
      <c r="I437" s="64">
        <f t="shared" si="19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'[3]CUENTA T FONDO 100'!IC461</f>
        <v>0</v>
      </c>
      <c r="H439" s="64">
        <f>'[3]CUENTA T VS'!IC225</f>
        <v>0</v>
      </c>
      <c r="I439" s="64">
        <f t="shared" si="19"/>
        <v>0</v>
      </c>
      <c r="J439" s="65">
        <f>I439/$I$25</f>
        <v>0</v>
      </c>
    </row>
    <row r="440" spans="1:10" ht="25.5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'[3]CUENTA T FONDO 100'!ID461</f>
        <v>0</v>
      </c>
      <c r="H441" s="64">
        <f>'[3]CUENTA T VS'!ID225</f>
        <v>0</v>
      </c>
      <c r="I441" s="64">
        <f t="shared" si="19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'[3]CUENTA T FONDO 100'!IE461</f>
        <v>0</v>
      </c>
      <c r="H442" s="64">
        <f>'[3]CUENTA T VS'!IE225</f>
        <v>0</v>
      </c>
      <c r="I442" s="64">
        <f t="shared" si="19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'[3]CUENTA T FONDO 100'!IF461</f>
        <v>0</v>
      </c>
      <c r="H443" s="64">
        <f>'[3]CUENTA T VS'!IF225</f>
        <v>0</v>
      </c>
      <c r="I443" s="64">
        <f t="shared" si="19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'[3]CUENTA T FONDO 100'!IG461</f>
        <v>0</v>
      </c>
      <c r="H445" s="64">
        <f>'[3]CUENTA T VS'!IG225</f>
        <v>0</v>
      </c>
      <c r="I445" s="64">
        <f t="shared" si="19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'[3]CUENTA T FONDO 100'!IH461</f>
        <v>0</v>
      </c>
      <c r="H448" s="92">
        <f>'[3]CUENTA T VS'!IH225</f>
        <v>0</v>
      </c>
      <c r="I448" s="92">
        <f t="shared" si="19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'[3]CUENTA T FONDO 100'!II461</f>
        <v>0</v>
      </c>
      <c r="H449" s="92">
        <f>'[3]CUENTA T VS'!II225</f>
        <v>0</v>
      </c>
      <c r="I449" s="92">
        <f t="shared" si="19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'[3]CUENTA T FONDO 100'!IJ461</f>
        <v>0</v>
      </c>
      <c r="H451" s="64">
        <f>'[3]CUENTA T VS'!IJ225</f>
        <v>0</v>
      </c>
      <c r="I451" s="64">
        <f t="shared" si="19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'[3]CUENTA T FONDO 100'!IK461</f>
        <v>0</v>
      </c>
      <c r="H452" s="64">
        <f>'[3]CUENTA T VS'!IK225</f>
        <v>0</v>
      </c>
      <c r="I452" s="64">
        <f t="shared" si="19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'[3]CUENTA T FONDO 100'!IL461</f>
        <v>0</v>
      </c>
      <c r="H454" s="64">
        <f>'[3]CUENTA T VS'!IL225</f>
        <v>0</v>
      </c>
      <c r="I454" s="64">
        <f t="shared" si="19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'[3]CUENTA T FONDO 100'!IM461</f>
        <v>0</v>
      </c>
      <c r="H456" s="64">
        <f>'[3]CUENTA T VS'!IM225</f>
        <v>0</v>
      </c>
      <c r="I456" s="64">
        <f t="shared" si="19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'[3]CUENTA T FONDO 100'!IN461</f>
        <v>0</v>
      </c>
      <c r="H458" s="64">
        <f>'[3]CUENTA T VS'!IN225</f>
        <v>0</v>
      </c>
      <c r="I458" s="64">
        <f t="shared" si="19"/>
        <v>0</v>
      </c>
      <c r="J458" s="65">
        <f>I458/$I$25</f>
        <v>0</v>
      </c>
    </row>
    <row r="459" spans="1:10" ht="25.5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'[3]CUENTA T FONDO 100'!IO461</f>
        <v>0</v>
      </c>
      <c r="H459" s="64">
        <f>'[3]CUENTA T VS'!IO225</f>
        <v>0</v>
      </c>
      <c r="I459" s="64">
        <f t="shared" si="19"/>
        <v>0</v>
      </c>
      <c r="J459" s="65">
        <f>I459/$I$25</f>
        <v>0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'[3]CUENTA T FONDO 100'!IP461</f>
        <v>0</v>
      </c>
      <c r="H460" s="64">
        <f>'[3]CUENTA T VS'!IP225</f>
        <v>0</v>
      </c>
      <c r="I460" s="64">
        <f t="shared" si="19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'[3]CUENTA T FONDO 100'!IQ461</f>
        <v>0</v>
      </c>
      <c r="H462" s="64">
        <f>'[3]CUENTA T VS'!IQ225</f>
        <v>0</v>
      </c>
      <c r="I462" s="64">
        <f t="shared" si="19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ht="25.5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0"/>
    </row>
    <row r="466" spans="1:10" ht="25.5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'[3]CUENTA T FONDO 100'!IR461</f>
        <v>0</v>
      </c>
      <c r="H466" s="64">
        <f>'[3]CUENTA T VS'!IR225</f>
        <v>0</v>
      </c>
      <c r="I466" s="64">
        <f t="shared" si="19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'[3]CUENTA T FONDO 100'!IS461</f>
        <v>0</v>
      </c>
      <c r="H468" s="64">
        <f>'[3]CUENTA T VS'!IS225</f>
        <v>0</v>
      </c>
      <c r="I468" s="64">
        <f t="shared" si="19"/>
        <v>0</v>
      </c>
      <c r="J468" s="65">
        <f>I468/$I$25</f>
        <v>0</v>
      </c>
    </row>
    <row r="469" spans="1:10" ht="25.5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0"/>
    </row>
    <row r="470" spans="1:10" ht="25.5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'[3]CUENTA T FONDO 100'!IT461</f>
        <v>0</v>
      </c>
      <c r="H470" s="64">
        <f>'[3]CUENTA T VS'!IT225</f>
        <v>0</v>
      </c>
      <c r="I470" s="64">
        <f t="shared" si="19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'[3]CUENTA T FONDO 100'!IU461</f>
        <v>0</v>
      </c>
      <c r="H472" s="64">
        <f>'[3]CUENTA T VS'!IU225</f>
        <v>0</v>
      </c>
      <c r="I472" s="64">
        <f t="shared" si="19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'[3]CUENTA T FONDO 100'!IV461</f>
        <v>0</v>
      </c>
      <c r="H475" s="64">
        <f>'[3]CUENTA T VS'!IV225</f>
        <v>0</v>
      </c>
      <c r="I475" s="64">
        <f t="shared" si="22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'[3]CUENTA T FONDO 100'!IW461</f>
        <v>0</v>
      </c>
      <c r="H477" s="64">
        <f>'[3]CUENTA T VS'!IW225</f>
        <v>0</v>
      </c>
      <c r="I477" s="64">
        <f t="shared" si="22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'[3]CUENTA T FONDO 100'!IX461</f>
        <v>0</v>
      </c>
      <c r="H479" s="64">
        <f>'[3]CUENTA T VS'!IX225</f>
        <v>0</v>
      </c>
      <c r="I479" s="64">
        <f t="shared" si="22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'[3]CUENTA T FONDO 100'!IY461</f>
        <v>0</v>
      </c>
      <c r="H481" s="64">
        <f>'[3]CUENTA T VS'!IY225</f>
        <v>0</v>
      </c>
      <c r="I481" s="64">
        <f t="shared" si="22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'[3]CUENTA T FONDO 100'!IZ461</f>
        <v>0</v>
      </c>
      <c r="H483" s="64">
        <f>'[3]CUENTA T VS'!IZ225</f>
        <v>0</v>
      </c>
      <c r="I483" s="64">
        <f t="shared" si="22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'[3]CUENTA T FONDO 100'!JA461</f>
        <v>0</v>
      </c>
      <c r="H485" s="64">
        <f>'[3]CUENTA T VS'!JA225</f>
        <v>0</v>
      </c>
      <c r="I485" s="64">
        <f t="shared" si="22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'[3]CUENTA T FONDO 100'!JB461</f>
        <v>0</v>
      </c>
      <c r="H487" s="64">
        <f>'[3]CUENTA T VS'!JB225</f>
        <v>0</v>
      </c>
      <c r="I487" s="64">
        <f t="shared" si="22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'[3]CUENTA T FONDO 100'!JC461</f>
        <v>0</v>
      </c>
      <c r="H489" s="64">
        <f>'[3]CUENTA T VS'!JC225</f>
        <v>0</v>
      </c>
      <c r="I489" s="64">
        <f t="shared" si="22"/>
        <v>0</v>
      </c>
      <c r="J489" s="65">
        <f>I489/$I$25</f>
        <v>0</v>
      </c>
    </row>
    <row r="490" spans="1:10" ht="25.5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0"/>
    </row>
    <row r="491" spans="1:10" ht="25.5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'[3]CUENTA T FONDO 100'!JD461</f>
        <v>0</v>
      </c>
      <c r="H491" s="64">
        <f>'[3]CUENTA T VS'!JD225</f>
        <v>0</v>
      </c>
      <c r="I491" s="64">
        <f t="shared" si="22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ht="25.5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0"/>
    </row>
    <row r="494" spans="1:10" ht="25.5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'[3]CUENTA T FONDO 100'!JE461</f>
        <v>0</v>
      </c>
      <c r="H494" s="64">
        <f>'[3]CUENTA T VS'!JE225</f>
        <v>0</v>
      </c>
      <c r="I494" s="64">
        <f t="shared" si="22"/>
        <v>0</v>
      </c>
      <c r="J494" s="65">
        <f>I494/$I$25</f>
        <v>0</v>
      </c>
    </row>
    <row r="495" spans="1:10" ht="25.5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0"/>
    </row>
    <row r="496" spans="1:10" ht="25.5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'[3]CUENTA T FONDO 100'!JF461</f>
        <v>0</v>
      </c>
      <c r="H496" s="64">
        <f>'[3]CUENTA T VS'!JF225</f>
        <v>0</v>
      </c>
      <c r="I496" s="64">
        <f t="shared" si="22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ht="25.5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0"/>
    </row>
    <row r="499" spans="1:10" ht="25.5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'[3]CUENTA T FONDO 100'!JG461</f>
        <v>0</v>
      </c>
      <c r="H499" s="64">
        <f>'[3]CUENTA T VS'!JG225</f>
        <v>0</v>
      </c>
      <c r="I499" s="64">
        <f t="shared" si="22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'[3]CUENTA T FONDO 100'!JH461</f>
        <v>0</v>
      </c>
      <c r="H501" s="64">
        <f>'[3]CUENTA T VS'!JH225</f>
        <v>0</v>
      </c>
      <c r="I501" s="64">
        <f t="shared" si="22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mergeCells count="7">
    <mergeCell ref="A7:J7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7EC1-ECA4-4DFB-A322-5A52F3F9F1FB}">
  <dimension ref="A1:P511"/>
  <sheetViews>
    <sheetView workbookViewId="0">
      <selection sqref="A1:XFD1048576"/>
    </sheetView>
  </sheetViews>
  <sheetFormatPr baseColWidth="10" defaultColWidth="2.85546875" defaultRowHeight="12.75" x14ac:dyDescent="0.2"/>
  <cols>
    <col min="1" max="5" width="3.5703125" style="5" customWidth="1"/>
    <col min="6" max="6" width="43.7109375" style="5" customWidth="1"/>
    <col min="7" max="7" width="18.28515625" style="5" customWidth="1"/>
    <col min="8" max="8" width="22.5703125" style="5" customWidth="1"/>
    <col min="9" max="9" width="20.42578125" style="5" customWidth="1"/>
    <col min="10" max="10" width="14" style="5" bestFit="1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390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1377881.16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>
        <v>0</v>
      </c>
      <c r="H14" s="20" t="s">
        <v>9</v>
      </c>
      <c r="I14" s="19">
        <f>+'[1]INGR SEGUN ORIGEN'!E31</f>
        <v>1026168.74</v>
      </c>
      <c r="J14" s="113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+'[1]INGR SEGUN ORIGEN'!E12</f>
        <v>100316795.08</v>
      </c>
      <c r="H15" s="25" t="s">
        <v>17</v>
      </c>
      <c r="I15" s="19">
        <v>0</v>
      </c>
      <c r="J15" s="113"/>
      <c r="L15" s="5">
        <v>2.1</v>
      </c>
      <c r="M15" s="27">
        <f>G26</f>
        <v>58925421.189999998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+'[1]INGR SEGUN ORIGEN'!E23</f>
        <v>3631511.44</v>
      </c>
      <c r="H16" s="25"/>
      <c r="I16" s="23"/>
      <c r="J16" s="17"/>
      <c r="L16" s="5">
        <v>2.2000000000000002</v>
      </c>
      <c r="M16" s="27">
        <f>G87</f>
        <v>60535</v>
      </c>
      <c r="N16" s="27">
        <f>H87</f>
        <v>1781904.05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106352356.41999999</v>
      </c>
      <c r="J17" s="17"/>
      <c r="L17" s="5">
        <v>2.2999999999999998</v>
      </c>
      <c r="M17" s="27">
        <f>'[1]CONS. FUENTES FINAN'!G212</f>
        <v>15408530.41</v>
      </c>
      <c r="N17" s="27">
        <f>'[1]CONS. FUENTES FINAN'!H212</f>
        <v>999513.81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30371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2268904.39</v>
      </c>
      <c r="N19" s="27">
        <f>H336</f>
        <v>0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'[1]CONS. FUENTES FINAN'!G463</f>
        <v>0</v>
      </c>
      <c r="N20" s="27">
        <f>'[1]CONS. FUENTES FINAN'!H463</f>
        <v>0</v>
      </c>
    </row>
    <row r="21" spans="1:16" ht="24.75" customHeight="1" x14ac:dyDescent="0.2">
      <c r="A21" s="195" t="s">
        <v>19</v>
      </c>
      <c r="B21" s="195"/>
      <c r="C21" s="195"/>
      <c r="D21" s="195"/>
      <c r="E21" s="195"/>
      <c r="F21" s="196" t="s">
        <v>20</v>
      </c>
      <c r="G21" s="199" t="s">
        <v>21</v>
      </c>
      <c r="H21" s="200"/>
      <c r="I21" s="201" t="s">
        <v>22</v>
      </c>
      <c r="J21" s="204" t="s">
        <v>23</v>
      </c>
    </row>
    <row r="22" spans="1:16" ht="24" customHeight="1" x14ac:dyDescent="0.2">
      <c r="A22" s="207" t="s">
        <v>24</v>
      </c>
      <c r="B22" s="207" t="s">
        <v>25</v>
      </c>
      <c r="C22" s="207" t="s">
        <v>26</v>
      </c>
      <c r="D22" s="207" t="s">
        <v>27</v>
      </c>
      <c r="E22" s="207" t="s">
        <v>28</v>
      </c>
      <c r="F22" s="197"/>
      <c r="G22" s="192" t="s">
        <v>29</v>
      </c>
      <c r="H22" s="192" t="s">
        <v>30</v>
      </c>
      <c r="I22" s="202"/>
      <c r="J22" s="205"/>
    </row>
    <row r="23" spans="1:16" ht="29.25" customHeight="1" x14ac:dyDescent="0.2">
      <c r="A23" s="208"/>
      <c r="B23" s="208"/>
      <c r="C23" s="208"/>
      <c r="D23" s="208"/>
      <c r="E23" s="208"/>
      <c r="F23" s="198"/>
      <c r="G23" s="193"/>
      <c r="H23" s="193"/>
      <c r="I23" s="203"/>
      <c r="J23" s="206"/>
      <c r="L23" s="194"/>
      <c r="M23" s="194"/>
      <c r="N23" s="194"/>
      <c r="O23" s="194"/>
      <c r="P23" s="194"/>
    </row>
    <row r="24" spans="1:16" ht="18.75" customHeight="1" thickBot="1" x14ac:dyDescent="0.25">
      <c r="A24" s="44">
        <v>2</v>
      </c>
      <c r="B24" s="45"/>
      <c r="C24" s="45"/>
      <c r="D24" s="45"/>
      <c r="E24" s="45"/>
      <c r="F24" s="114" t="s">
        <v>31</v>
      </c>
      <c r="G24" s="47">
        <v>110292183.97999999</v>
      </c>
      <c r="H24" s="47">
        <v>9254860.6300000008</v>
      </c>
      <c r="I24" s="47">
        <v>119547044.60999998</v>
      </c>
      <c r="J24" s="48">
        <v>1</v>
      </c>
      <c r="L24" s="43"/>
      <c r="M24" s="43"/>
      <c r="N24" s="43"/>
      <c r="O24" s="43"/>
      <c r="P24" s="43"/>
    </row>
    <row r="25" spans="1:16" ht="13.5" thickTop="1" x14ac:dyDescent="0.2">
      <c r="A25" s="49">
        <v>2</v>
      </c>
      <c r="B25" s="50">
        <v>1</v>
      </c>
      <c r="C25" s="50"/>
      <c r="D25" s="50"/>
      <c r="E25" s="50"/>
      <c r="F25" s="115" t="s">
        <v>32</v>
      </c>
      <c r="G25" s="52">
        <v>71335675.949999988</v>
      </c>
      <c r="H25" s="52">
        <v>0</v>
      </c>
      <c r="I25" s="52">
        <v>71335675.949999988</v>
      </c>
      <c r="J25" s="53">
        <v>0.59671634863680134</v>
      </c>
    </row>
    <row r="26" spans="1:16" x14ac:dyDescent="0.2">
      <c r="A26" s="54">
        <v>2</v>
      </c>
      <c r="B26" s="55">
        <v>1</v>
      </c>
      <c r="C26" s="55">
        <v>1</v>
      </c>
      <c r="D26" s="55"/>
      <c r="E26" s="55"/>
      <c r="F26" s="83" t="s">
        <v>33</v>
      </c>
      <c r="G26" s="56">
        <v>58925421.189999998</v>
      </c>
      <c r="H26" s="56">
        <v>0</v>
      </c>
      <c r="I26" s="56">
        <v>58925421.189999998</v>
      </c>
      <c r="J26" s="53">
        <v>0.49290571240998249</v>
      </c>
    </row>
    <row r="27" spans="1:16" x14ac:dyDescent="0.2">
      <c r="A27" s="57">
        <v>2</v>
      </c>
      <c r="B27" s="58">
        <v>1</v>
      </c>
      <c r="C27" s="58">
        <v>1</v>
      </c>
      <c r="D27" s="58">
        <v>1</v>
      </c>
      <c r="E27" s="58"/>
      <c r="F27" s="82" t="s">
        <v>34</v>
      </c>
      <c r="G27" s="59">
        <v>57782790.159999996</v>
      </c>
      <c r="H27" s="59">
        <v>0</v>
      </c>
      <c r="I27" s="59">
        <v>57782790.159999996</v>
      </c>
      <c r="J27" s="116">
        <v>0.48334770925124593</v>
      </c>
    </row>
    <row r="28" spans="1:16" x14ac:dyDescent="0.2">
      <c r="A28" s="61">
        <v>2</v>
      </c>
      <c r="B28" s="62">
        <v>1</v>
      </c>
      <c r="C28" s="62">
        <v>1</v>
      </c>
      <c r="D28" s="62">
        <v>1</v>
      </c>
      <c r="E28" s="63" t="s">
        <v>35</v>
      </c>
      <c r="F28" s="81" t="s">
        <v>36</v>
      </c>
      <c r="G28" s="64">
        <v>57782790.159999996</v>
      </c>
      <c r="H28" s="64">
        <v>0</v>
      </c>
      <c r="I28" s="64">
        <v>57782790.159999996</v>
      </c>
      <c r="J28" s="65">
        <v>0.48334770925124593</v>
      </c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37</v>
      </c>
      <c r="F29" s="69" t="s">
        <v>38</v>
      </c>
      <c r="G29" s="64">
        <v>0</v>
      </c>
      <c r="H29" s="64">
        <v>0</v>
      </c>
      <c r="I29" s="64">
        <v>0</v>
      </c>
      <c r="J29" s="65">
        <v>0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39</v>
      </c>
      <c r="F30" s="69" t="s">
        <v>40</v>
      </c>
      <c r="G30" s="64">
        <v>0</v>
      </c>
      <c r="H30" s="64">
        <v>0</v>
      </c>
      <c r="I30" s="64">
        <v>0</v>
      </c>
      <c r="J30" s="65"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41</v>
      </c>
      <c r="F31" s="69" t="s">
        <v>42</v>
      </c>
      <c r="G31" s="64">
        <v>0</v>
      </c>
      <c r="H31" s="64">
        <v>0</v>
      </c>
      <c r="I31" s="64">
        <v>0</v>
      </c>
      <c r="J31" s="65"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43</v>
      </c>
      <c r="F32" s="69" t="s">
        <v>44</v>
      </c>
      <c r="G32" s="64">
        <v>0</v>
      </c>
      <c r="H32" s="64">
        <v>0</v>
      </c>
      <c r="I32" s="64">
        <v>0</v>
      </c>
      <c r="J32" s="65"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45</v>
      </c>
      <c r="F33" s="69" t="s">
        <v>46</v>
      </c>
      <c r="G33" s="64">
        <v>0</v>
      </c>
      <c r="H33" s="64">
        <v>0</v>
      </c>
      <c r="I33" s="64">
        <v>0</v>
      </c>
      <c r="J33" s="65">
        <v>0</v>
      </c>
    </row>
    <row r="34" spans="1:10" x14ac:dyDescent="0.2">
      <c r="A34" s="57">
        <v>2</v>
      </c>
      <c r="B34" s="58">
        <v>1</v>
      </c>
      <c r="C34" s="58">
        <v>1</v>
      </c>
      <c r="D34" s="58">
        <v>2</v>
      </c>
      <c r="E34" s="58"/>
      <c r="F34" s="86" t="s">
        <v>47</v>
      </c>
      <c r="G34" s="59">
        <v>1130531.03</v>
      </c>
      <c r="H34" s="59">
        <v>0</v>
      </c>
      <c r="I34" s="59">
        <v>1130531.03</v>
      </c>
      <c r="J34" s="60"/>
    </row>
    <row r="35" spans="1:10" x14ac:dyDescent="0.2">
      <c r="A35" s="61">
        <v>2</v>
      </c>
      <c r="B35" s="62">
        <v>1</v>
      </c>
      <c r="C35" s="62">
        <v>1</v>
      </c>
      <c r="D35" s="62">
        <v>2</v>
      </c>
      <c r="E35" s="63" t="s">
        <v>39</v>
      </c>
      <c r="F35" s="69" t="s">
        <v>48</v>
      </c>
      <c r="G35" s="64">
        <v>0</v>
      </c>
      <c r="H35" s="64">
        <v>0</v>
      </c>
      <c r="I35" s="64">
        <v>0</v>
      </c>
      <c r="J35" s="65">
        <v>0</v>
      </c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43</v>
      </c>
      <c r="F36" s="69" t="s">
        <v>49</v>
      </c>
      <c r="G36" s="64">
        <v>0</v>
      </c>
      <c r="H36" s="64">
        <v>0</v>
      </c>
      <c r="I36" s="64">
        <v>0</v>
      </c>
      <c r="J36" s="65"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45</v>
      </c>
      <c r="F37" s="69" t="s">
        <v>50</v>
      </c>
      <c r="G37" s="64">
        <v>0</v>
      </c>
      <c r="H37" s="64">
        <v>0</v>
      </c>
      <c r="I37" s="64">
        <v>0</v>
      </c>
      <c r="J37" s="65"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51</v>
      </c>
      <c r="F38" s="69" t="s">
        <v>52</v>
      </c>
      <c r="G38" s="64">
        <v>1130531.03</v>
      </c>
      <c r="H38" s="64">
        <v>0</v>
      </c>
      <c r="I38" s="64">
        <v>1130531.03</v>
      </c>
      <c r="J38" s="65">
        <v>9.4567877749562722E-3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53</v>
      </c>
      <c r="F39" s="69" t="s">
        <v>54</v>
      </c>
      <c r="G39" s="64">
        <v>0</v>
      </c>
      <c r="H39" s="64">
        <v>0</v>
      </c>
      <c r="I39" s="64">
        <v>0</v>
      </c>
      <c r="J39" s="65">
        <v>0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55</v>
      </c>
      <c r="F40" s="69" t="s">
        <v>56</v>
      </c>
      <c r="G40" s="64">
        <v>0</v>
      </c>
      <c r="H40" s="64">
        <v>0</v>
      </c>
      <c r="I40" s="64">
        <v>0</v>
      </c>
      <c r="J40" s="65">
        <v>0</v>
      </c>
    </row>
    <row r="41" spans="1:10" x14ac:dyDescent="0.2">
      <c r="A41" s="57">
        <v>2</v>
      </c>
      <c r="B41" s="58">
        <v>1</v>
      </c>
      <c r="C41" s="58">
        <v>1</v>
      </c>
      <c r="D41" s="58">
        <v>3</v>
      </c>
      <c r="E41" s="58"/>
      <c r="F41" s="86" t="s">
        <v>57</v>
      </c>
      <c r="G41" s="59">
        <v>0</v>
      </c>
      <c r="H41" s="59">
        <v>0</v>
      </c>
      <c r="I41" s="59">
        <v>0</v>
      </c>
      <c r="J41" s="60"/>
    </row>
    <row r="42" spans="1:10" x14ac:dyDescent="0.2">
      <c r="A42" s="61">
        <v>2</v>
      </c>
      <c r="B42" s="62">
        <v>1</v>
      </c>
      <c r="C42" s="62">
        <v>1</v>
      </c>
      <c r="D42" s="62">
        <v>3</v>
      </c>
      <c r="E42" s="63" t="s">
        <v>35</v>
      </c>
      <c r="F42" s="69" t="s">
        <v>57</v>
      </c>
      <c r="G42" s="64">
        <v>0</v>
      </c>
      <c r="H42" s="64">
        <v>0</v>
      </c>
      <c r="I42" s="64">
        <v>0</v>
      </c>
      <c r="J42" s="65">
        <v>0</v>
      </c>
    </row>
    <row r="43" spans="1:10" x14ac:dyDescent="0.2">
      <c r="A43" s="57">
        <v>2</v>
      </c>
      <c r="B43" s="58">
        <v>1</v>
      </c>
      <c r="C43" s="58">
        <v>1</v>
      </c>
      <c r="D43" s="58">
        <v>4</v>
      </c>
      <c r="E43" s="58"/>
      <c r="F43" s="86" t="s">
        <v>58</v>
      </c>
      <c r="G43" s="59">
        <v>0</v>
      </c>
      <c r="H43" s="59">
        <v>0</v>
      </c>
      <c r="I43" s="59">
        <v>0</v>
      </c>
      <c r="J43" s="60"/>
    </row>
    <row r="44" spans="1:10" x14ac:dyDescent="0.2">
      <c r="A44" s="61">
        <v>2</v>
      </c>
      <c r="B44" s="62">
        <v>1</v>
      </c>
      <c r="C44" s="62">
        <v>1</v>
      </c>
      <c r="D44" s="62">
        <v>4</v>
      </c>
      <c r="E44" s="63" t="s">
        <v>35</v>
      </c>
      <c r="F44" s="69" t="s">
        <v>58</v>
      </c>
      <c r="G44" s="64">
        <v>0</v>
      </c>
      <c r="H44" s="64">
        <v>0</v>
      </c>
      <c r="I44" s="64">
        <v>0</v>
      </c>
      <c r="J44" s="65">
        <v>0</v>
      </c>
    </row>
    <row r="45" spans="1:10" x14ac:dyDescent="0.2">
      <c r="A45" s="57">
        <v>2</v>
      </c>
      <c r="B45" s="58">
        <v>1</v>
      </c>
      <c r="C45" s="58">
        <v>1</v>
      </c>
      <c r="D45" s="58">
        <v>5</v>
      </c>
      <c r="E45" s="58"/>
      <c r="F45" s="86" t="s">
        <v>59</v>
      </c>
      <c r="G45" s="59">
        <v>12100</v>
      </c>
      <c r="H45" s="59">
        <v>0</v>
      </c>
      <c r="I45" s="59">
        <v>12100</v>
      </c>
      <c r="J45" s="60"/>
    </row>
    <row r="46" spans="1:10" x14ac:dyDescent="0.2">
      <c r="A46" s="61">
        <v>2</v>
      </c>
      <c r="B46" s="62">
        <v>1</v>
      </c>
      <c r="C46" s="62">
        <v>1</v>
      </c>
      <c r="D46" s="62">
        <v>5</v>
      </c>
      <c r="E46" s="63" t="s">
        <v>35</v>
      </c>
      <c r="F46" s="69" t="s">
        <v>59</v>
      </c>
      <c r="G46" s="64">
        <v>0</v>
      </c>
      <c r="H46" s="64">
        <v>0</v>
      </c>
      <c r="I46" s="64">
        <v>0</v>
      </c>
      <c r="J46" s="65">
        <v>0</v>
      </c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37</v>
      </c>
      <c r="F47" s="69" t="s">
        <v>60</v>
      </c>
      <c r="G47" s="64">
        <v>0</v>
      </c>
      <c r="H47" s="64">
        <v>0</v>
      </c>
      <c r="I47" s="64">
        <v>0</v>
      </c>
      <c r="J47" s="65"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39</v>
      </c>
      <c r="F48" s="69" t="s">
        <v>61</v>
      </c>
      <c r="G48" s="64">
        <v>12100</v>
      </c>
      <c r="H48" s="64">
        <v>0</v>
      </c>
      <c r="I48" s="64">
        <v>12100</v>
      </c>
      <c r="J48" s="65">
        <v>1.01215383780285E-4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41</v>
      </c>
      <c r="F49" s="69" t="s">
        <v>62</v>
      </c>
      <c r="G49" s="64">
        <v>0</v>
      </c>
      <c r="H49" s="64">
        <v>0</v>
      </c>
      <c r="I49" s="64">
        <v>0</v>
      </c>
      <c r="J49" s="65">
        <v>0</v>
      </c>
    </row>
    <row r="50" spans="1:10" x14ac:dyDescent="0.2">
      <c r="A50" s="54">
        <v>2</v>
      </c>
      <c r="B50" s="55">
        <v>1</v>
      </c>
      <c r="C50" s="55">
        <v>2</v>
      </c>
      <c r="D50" s="55"/>
      <c r="E50" s="55"/>
      <c r="F50" s="85" t="s">
        <v>63</v>
      </c>
      <c r="G50" s="56">
        <v>3344880.1900000004</v>
      </c>
      <c r="H50" s="56">
        <v>0</v>
      </c>
      <c r="I50" s="56">
        <v>3344880.1900000004</v>
      </c>
      <c r="J50" s="53"/>
    </row>
    <row r="51" spans="1:10" x14ac:dyDescent="0.2">
      <c r="A51" s="57">
        <v>2</v>
      </c>
      <c r="B51" s="58">
        <v>1</v>
      </c>
      <c r="C51" s="58">
        <v>2</v>
      </c>
      <c r="D51" s="58">
        <v>1</v>
      </c>
      <c r="E51" s="58"/>
      <c r="F51" s="86" t="s">
        <v>64</v>
      </c>
      <c r="G51" s="59">
        <v>2707086.2</v>
      </c>
      <c r="H51" s="59">
        <v>0</v>
      </c>
      <c r="I51" s="59">
        <v>2707086.2</v>
      </c>
      <c r="J51" s="60"/>
    </row>
    <row r="52" spans="1:10" x14ac:dyDescent="0.2">
      <c r="A52" s="61">
        <v>2</v>
      </c>
      <c r="B52" s="62">
        <v>1</v>
      </c>
      <c r="C52" s="62">
        <v>2</v>
      </c>
      <c r="D52" s="62">
        <v>1</v>
      </c>
      <c r="E52" s="63" t="s">
        <v>35</v>
      </c>
      <c r="F52" s="69" t="s">
        <v>64</v>
      </c>
      <c r="G52" s="64">
        <v>2707086.2</v>
      </c>
      <c r="H52" s="64">
        <v>0</v>
      </c>
      <c r="I52" s="64">
        <v>2707086.2</v>
      </c>
      <c r="J52" s="65">
        <v>2.2644526335480444E-2</v>
      </c>
    </row>
    <row r="53" spans="1:10" x14ac:dyDescent="0.2">
      <c r="A53" s="57">
        <v>2</v>
      </c>
      <c r="B53" s="58">
        <v>1</v>
      </c>
      <c r="C53" s="58">
        <v>2</v>
      </c>
      <c r="D53" s="58">
        <v>2</v>
      </c>
      <c r="E53" s="58"/>
      <c r="F53" s="86" t="s">
        <v>65</v>
      </c>
      <c r="G53" s="59">
        <v>637793.99</v>
      </c>
      <c r="H53" s="59">
        <v>0</v>
      </c>
      <c r="I53" s="59">
        <v>637793.99</v>
      </c>
      <c r="J53" s="60"/>
    </row>
    <row r="54" spans="1:10" x14ac:dyDescent="0.2">
      <c r="A54" s="61">
        <v>2</v>
      </c>
      <c r="B54" s="62">
        <v>1</v>
      </c>
      <c r="C54" s="62">
        <v>2</v>
      </c>
      <c r="D54" s="62">
        <v>2</v>
      </c>
      <c r="E54" s="63" t="s">
        <v>35</v>
      </c>
      <c r="F54" s="69" t="s">
        <v>66</v>
      </c>
      <c r="G54" s="64">
        <v>0</v>
      </c>
      <c r="H54" s="64">
        <v>0</v>
      </c>
      <c r="I54" s="64">
        <v>0</v>
      </c>
      <c r="J54" s="65">
        <v>0</v>
      </c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39</v>
      </c>
      <c r="F55" s="69" t="s">
        <v>67</v>
      </c>
      <c r="G55" s="64">
        <v>0</v>
      </c>
      <c r="H55" s="64">
        <v>0</v>
      </c>
      <c r="I55" s="64">
        <v>0</v>
      </c>
      <c r="J55" s="65"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41</v>
      </c>
      <c r="F56" s="69" t="s">
        <v>68</v>
      </c>
      <c r="G56" s="64">
        <v>0</v>
      </c>
      <c r="H56" s="64">
        <v>0</v>
      </c>
      <c r="I56" s="64">
        <v>0</v>
      </c>
      <c r="J56" s="65"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43</v>
      </c>
      <c r="F57" s="69" t="s">
        <v>69</v>
      </c>
      <c r="G57" s="64">
        <v>45000</v>
      </c>
      <c r="H57" s="64">
        <v>0</v>
      </c>
      <c r="I57" s="64">
        <v>45000</v>
      </c>
      <c r="J57" s="65">
        <v>3.7642084876965496E-4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45</v>
      </c>
      <c r="F58" s="69" t="s">
        <v>70</v>
      </c>
      <c r="G58" s="64">
        <v>0</v>
      </c>
      <c r="H58" s="64">
        <v>0</v>
      </c>
      <c r="I58" s="64">
        <v>0</v>
      </c>
      <c r="J58" s="65">
        <v>0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71</v>
      </c>
      <c r="F59" s="69" t="s">
        <v>72</v>
      </c>
      <c r="G59" s="64">
        <v>0</v>
      </c>
      <c r="H59" s="64">
        <v>0</v>
      </c>
      <c r="I59" s="64">
        <v>0</v>
      </c>
      <c r="J59" s="65"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51</v>
      </c>
      <c r="F60" s="69" t="s">
        <v>73</v>
      </c>
      <c r="G60" s="64">
        <v>306200</v>
      </c>
      <c r="H60" s="64">
        <v>0</v>
      </c>
      <c r="I60" s="64">
        <v>306200</v>
      </c>
      <c r="J60" s="65">
        <v>2.5613347531837413E-3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53</v>
      </c>
      <c r="F61" s="69" t="s">
        <v>74</v>
      </c>
      <c r="G61" s="64">
        <v>0</v>
      </c>
      <c r="H61" s="64">
        <v>0</v>
      </c>
      <c r="I61" s="64">
        <v>0</v>
      </c>
      <c r="J61" s="65">
        <v>0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2">
        <v>10</v>
      </c>
      <c r="F62" s="69" t="s">
        <v>75</v>
      </c>
      <c r="G62" s="64">
        <v>286593.99</v>
      </c>
      <c r="H62" s="64">
        <v>0</v>
      </c>
      <c r="I62" s="64">
        <v>286593.99</v>
      </c>
      <c r="J62" s="65">
        <v>2.3973322881796003E-3</v>
      </c>
    </row>
    <row r="63" spans="1:10" x14ac:dyDescent="0.2">
      <c r="A63" s="70">
        <v>2</v>
      </c>
      <c r="B63" s="55">
        <v>1</v>
      </c>
      <c r="C63" s="55">
        <v>3</v>
      </c>
      <c r="D63" s="55"/>
      <c r="E63" s="55"/>
      <c r="F63" s="79" t="s">
        <v>76</v>
      </c>
      <c r="G63" s="56">
        <v>0</v>
      </c>
      <c r="H63" s="56">
        <v>0</v>
      </c>
      <c r="I63" s="56">
        <v>0</v>
      </c>
      <c r="J63" s="53"/>
    </row>
    <row r="64" spans="1:10" x14ac:dyDescent="0.2">
      <c r="A64" s="72">
        <v>2</v>
      </c>
      <c r="B64" s="58">
        <v>1</v>
      </c>
      <c r="C64" s="58">
        <v>3</v>
      </c>
      <c r="D64" s="58">
        <v>1</v>
      </c>
      <c r="E64" s="58"/>
      <c r="F64" s="117" t="s">
        <v>77</v>
      </c>
      <c r="G64" s="59">
        <v>0</v>
      </c>
      <c r="H64" s="59">
        <v>0</v>
      </c>
      <c r="I64" s="59">
        <v>0</v>
      </c>
      <c r="J64" s="60"/>
    </row>
    <row r="65" spans="1:10" x14ac:dyDescent="0.2">
      <c r="A65" s="74">
        <v>2</v>
      </c>
      <c r="B65" s="62">
        <v>1</v>
      </c>
      <c r="C65" s="62">
        <v>3</v>
      </c>
      <c r="D65" s="62">
        <v>1</v>
      </c>
      <c r="E65" s="63" t="s">
        <v>35</v>
      </c>
      <c r="F65" s="80" t="s">
        <v>78</v>
      </c>
      <c r="G65" s="64">
        <v>0</v>
      </c>
      <c r="H65" s="64">
        <v>0</v>
      </c>
      <c r="I65" s="64">
        <v>0</v>
      </c>
      <c r="J65" s="65">
        <v>0</v>
      </c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37</v>
      </c>
      <c r="F66" s="80" t="s">
        <v>79</v>
      </c>
      <c r="G66" s="64">
        <v>0</v>
      </c>
      <c r="H66" s="64">
        <v>0</v>
      </c>
      <c r="I66" s="64">
        <v>0</v>
      </c>
      <c r="J66" s="65">
        <v>0</v>
      </c>
    </row>
    <row r="67" spans="1:10" x14ac:dyDescent="0.2">
      <c r="A67" s="72">
        <v>2</v>
      </c>
      <c r="B67" s="58">
        <v>1</v>
      </c>
      <c r="C67" s="58">
        <v>3</v>
      </c>
      <c r="D67" s="58">
        <v>2</v>
      </c>
      <c r="E67" s="58"/>
      <c r="F67" s="117" t="s">
        <v>80</v>
      </c>
      <c r="G67" s="59">
        <v>0</v>
      </c>
      <c r="H67" s="59">
        <v>0</v>
      </c>
      <c r="I67" s="59">
        <v>0</v>
      </c>
      <c r="J67" s="60"/>
    </row>
    <row r="68" spans="1:10" x14ac:dyDescent="0.2">
      <c r="A68" s="74">
        <v>2</v>
      </c>
      <c r="B68" s="62">
        <v>1</v>
      </c>
      <c r="C68" s="62">
        <v>3</v>
      </c>
      <c r="D68" s="62">
        <v>2</v>
      </c>
      <c r="E68" s="63" t="s">
        <v>35</v>
      </c>
      <c r="F68" s="80" t="s">
        <v>81</v>
      </c>
      <c r="G68" s="64">
        <v>0</v>
      </c>
      <c r="H68" s="64">
        <v>0</v>
      </c>
      <c r="I68" s="64">
        <v>0</v>
      </c>
      <c r="J68" s="65">
        <v>0</v>
      </c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37</v>
      </c>
      <c r="F69" s="80" t="s">
        <v>82</v>
      </c>
      <c r="G69" s="64">
        <v>0</v>
      </c>
      <c r="H69" s="64">
        <v>0</v>
      </c>
      <c r="I69" s="64">
        <v>0</v>
      </c>
      <c r="J69" s="65">
        <v>0</v>
      </c>
    </row>
    <row r="70" spans="1:10" x14ac:dyDescent="0.2">
      <c r="A70" s="70">
        <v>2</v>
      </c>
      <c r="B70" s="55">
        <v>1</v>
      </c>
      <c r="C70" s="55">
        <v>4</v>
      </c>
      <c r="D70" s="55"/>
      <c r="E70" s="55"/>
      <c r="F70" s="79" t="s">
        <v>83</v>
      </c>
      <c r="G70" s="56">
        <v>0</v>
      </c>
      <c r="H70" s="56">
        <v>0</v>
      </c>
      <c r="I70" s="56">
        <v>0</v>
      </c>
      <c r="J70" s="53"/>
    </row>
    <row r="71" spans="1:10" x14ac:dyDescent="0.2">
      <c r="A71" s="57">
        <v>2</v>
      </c>
      <c r="B71" s="58">
        <v>1</v>
      </c>
      <c r="C71" s="58">
        <v>4</v>
      </c>
      <c r="D71" s="58">
        <v>1</v>
      </c>
      <c r="E71" s="58"/>
      <c r="F71" s="86" t="s">
        <v>84</v>
      </c>
      <c r="G71" s="59">
        <v>0</v>
      </c>
      <c r="H71" s="59">
        <v>0</v>
      </c>
      <c r="I71" s="59">
        <v>0</v>
      </c>
      <c r="J71" s="60"/>
    </row>
    <row r="72" spans="1:10" x14ac:dyDescent="0.2">
      <c r="A72" s="61">
        <v>2</v>
      </c>
      <c r="B72" s="62">
        <v>1</v>
      </c>
      <c r="C72" s="62">
        <v>4</v>
      </c>
      <c r="D72" s="62">
        <v>1</v>
      </c>
      <c r="E72" s="63" t="s">
        <v>35</v>
      </c>
      <c r="F72" s="69" t="s">
        <v>84</v>
      </c>
      <c r="G72" s="64">
        <v>0</v>
      </c>
      <c r="H72" s="64">
        <v>0</v>
      </c>
      <c r="I72" s="64">
        <v>0</v>
      </c>
      <c r="J72" s="65">
        <v>0</v>
      </c>
    </row>
    <row r="73" spans="1:10" x14ac:dyDescent="0.2">
      <c r="A73" s="57">
        <v>2</v>
      </c>
      <c r="B73" s="58">
        <v>1</v>
      </c>
      <c r="C73" s="58">
        <v>4</v>
      </c>
      <c r="D73" s="58">
        <v>2</v>
      </c>
      <c r="E73" s="58"/>
      <c r="F73" s="86" t="s">
        <v>85</v>
      </c>
      <c r="G73" s="59">
        <v>0</v>
      </c>
      <c r="H73" s="59">
        <v>0</v>
      </c>
      <c r="I73" s="59">
        <v>0</v>
      </c>
      <c r="J73" s="60"/>
    </row>
    <row r="74" spans="1:10" x14ac:dyDescent="0.2">
      <c r="A74" s="61">
        <v>2</v>
      </c>
      <c r="B74" s="62">
        <v>1</v>
      </c>
      <c r="C74" s="62">
        <v>4</v>
      </c>
      <c r="D74" s="62">
        <v>2</v>
      </c>
      <c r="E74" s="63" t="s">
        <v>35</v>
      </c>
      <c r="F74" s="69" t="s">
        <v>86</v>
      </c>
      <c r="G74" s="64">
        <v>0</v>
      </c>
      <c r="H74" s="64">
        <v>0</v>
      </c>
      <c r="I74" s="64">
        <v>0</v>
      </c>
      <c r="J74" s="65">
        <v>0</v>
      </c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37</v>
      </c>
      <c r="F75" s="69" t="s">
        <v>87</v>
      </c>
      <c r="G75" s="64">
        <v>0</v>
      </c>
      <c r="H75" s="64">
        <v>0</v>
      </c>
      <c r="I75" s="64">
        <v>0</v>
      </c>
      <c r="J75" s="65"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39</v>
      </c>
      <c r="F76" s="69" t="s">
        <v>88</v>
      </c>
      <c r="G76" s="64">
        <v>0</v>
      </c>
      <c r="H76" s="64">
        <v>0</v>
      </c>
      <c r="I76" s="64">
        <v>0</v>
      </c>
      <c r="J76" s="65">
        <v>0</v>
      </c>
    </row>
    <row r="77" spans="1:10" x14ac:dyDescent="0.2">
      <c r="A77" s="70">
        <v>2</v>
      </c>
      <c r="B77" s="55">
        <v>1</v>
      </c>
      <c r="C77" s="55">
        <v>5</v>
      </c>
      <c r="D77" s="55"/>
      <c r="E77" s="55"/>
      <c r="F77" s="79" t="s">
        <v>89</v>
      </c>
      <c r="G77" s="56">
        <v>9065374.5700000003</v>
      </c>
      <c r="H77" s="56">
        <v>0</v>
      </c>
      <c r="I77" s="56">
        <v>9065374.5700000003</v>
      </c>
      <c r="J77" s="53"/>
    </row>
    <row r="78" spans="1:10" x14ac:dyDescent="0.2">
      <c r="A78" s="57">
        <v>2</v>
      </c>
      <c r="B78" s="58">
        <v>1</v>
      </c>
      <c r="C78" s="58">
        <v>5</v>
      </c>
      <c r="D78" s="58">
        <v>1</v>
      </c>
      <c r="E78" s="58"/>
      <c r="F78" s="86" t="s">
        <v>90</v>
      </c>
      <c r="G78" s="59">
        <v>4176955.17</v>
      </c>
      <c r="H78" s="59">
        <v>0</v>
      </c>
      <c r="I78" s="59">
        <v>4176955.17</v>
      </c>
      <c r="J78" s="60"/>
    </row>
    <row r="79" spans="1:10" x14ac:dyDescent="0.2">
      <c r="A79" s="61">
        <v>2</v>
      </c>
      <c r="B79" s="62">
        <v>1</v>
      </c>
      <c r="C79" s="62">
        <v>5</v>
      </c>
      <c r="D79" s="62">
        <v>1</v>
      </c>
      <c r="E79" s="63" t="s">
        <v>35</v>
      </c>
      <c r="F79" s="69" t="s">
        <v>90</v>
      </c>
      <c r="G79" s="64">
        <v>4176955.17</v>
      </c>
      <c r="H79" s="64">
        <v>0</v>
      </c>
      <c r="I79" s="64">
        <v>4176955.17</v>
      </c>
      <c r="J79" s="65">
        <v>3.4939844674759968E-2</v>
      </c>
    </row>
    <row r="80" spans="1:10" x14ac:dyDescent="0.2">
      <c r="A80" s="57">
        <v>2</v>
      </c>
      <c r="B80" s="58">
        <v>1</v>
      </c>
      <c r="C80" s="58">
        <v>5</v>
      </c>
      <c r="D80" s="58">
        <v>2</v>
      </c>
      <c r="E80" s="58"/>
      <c r="F80" s="86" t="s">
        <v>91</v>
      </c>
      <c r="G80" s="59">
        <v>4182847.47</v>
      </c>
      <c r="H80" s="59">
        <v>0</v>
      </c>
      <c r="I80" s="59">
        <v>4182847.47</v>
      </c>
      <c r="J80" s="60"/>
    </row>
    <row r="81" spans="1:10" x14ac:dyDescent="0.2">
      <c r="A81" s="61">
        <v>2</v>
      </c>
      <c r="B81" s="62">
        <v>1</v>
      </c>
      <c r="C81" s="62">
        <v>5</v>
      </c>
      <c r="D81" s="62">
        <v>2</v>
      </c>
      <c r="E81" s="63" t="s">
        <v>35</v>
      </c>
      <c r="F81" s="69" t="s">
        <v>91</v>
      </c>
      <c r="G81" s="64">
        <v>4182847.47</v>
      </c>
      <c r="H81" s="64">
        <v>0</v>
      </c>
      <c r="I81" s="64">
        <v>4182847.47</v>
      </c>
      <c r="J81" s="65">
        <v>3.4989133220697868E-2</v>
      </c>
    </row>
    <row r="82" spans="1:10" x14ac:dyDescent="0.2">
      <c r="A82" s="57">
        <v>2</v>
      </c>
      <c r="B82" s="58">
        <v>1</v>
      </c>
      <c r="C82" s="58">
        <v>5</v>
      </c>
      <c r="D82" s="58">
        <v>3</v>
      </c>
      <c r="E82" s="58"/>
      <c r="F82" s="86" t="s">
        <v>92</v>
      </c>
      <c r="G82" s="59">
        <v>705571.93</v>
      </c>
      <c r="H82" s="59">
        <v>0</v>
      </c>
      <c r="I82" s="59">
        <v>705571.93</v>
      </c>
      <c r="J82" s="60"/>
    </row>
    <row r="83" spans="1:10" x14ac:dyDescent="0.2">
      <c r="A83" s="61">
        <v>2</v>
      </c>
      <c r="B83" s="62">
        <v>1</v>
      </c>
      <c r="C83" s="62">
        <v>5</v>
      </c>
      <c r="D83" s="62">
        <v>3</v>
      </c>
      <c r="E83" s="63" t="s">
        <v>35</v>
      </c>
      <c r="F83" s="69" t="s">
        <v>92</v>
      </c>
      <c r="G83" s="64">
        <v>705571.93</v>
      </c>
      <c r="H83" s="64">
        <v>0</v>
      </c>
      <c r="I83" s="64">
        <v>705571.93</v>
      </c>
      <c r="J83" s="65">
        <v>5.9020441057476359E-3</v>
      </c>
    </row>
    <row r="84" spans="1:10" x14ac:dyDescent="0.2">
      <c r="A84" s="57">
        <v>2</v>
      </c>
      <c r="B84" s="58">
        <v>1</v>
      </c>
      <c r="C84" s="58">
        <v>5</v>
      </c>
      <c r="D84" s="58">
        <v>4</v>
      </c>
      <c r="E84" s="58"/>
      <c r="F84" s="86" t="s">
        <v>93</v>
      </c>
      <c r="G84" s="59">
        <v>0</v>
      </c>
      <c r="H84" s="59">
        <v>0</v>
      </c>
      <c r="I84" s="59">
        <v>0</v>
      </c>
      <c r="J84" s="60"/>
    </row>
    <row r="85" spans="1:10" x14ac:dyDescent="0.2">
      <c r="A85" s="61">
        <v>2</v>
      </c>
      <c r="B85" s="62">
        <v>1</v>
      </c>
      <c r="C85" s="62">
        <v>5</v>
      </c>
      <c r="D85" s="62">
        <v>4</v>
      </c>
      <c r="E85" s="63" t="s">
        <v>35</v>
      </c>
      <c r="F85" s="69" t="s">
        <v>93</v>
      </c>
      <c r="G85" s="64">
        <v>0</v>
      </c>
      <c r="H85" s="64">
        <v>0</v>
      </c>
      <c r="I85" s="64">
        <v>0</v>
      </c>
      <c r="J85" s="65">
        <v>0</v>
      </c>
    </row>
    <row r="86" spans="1:10" x14ac:dyDescent="0.2">
      <c r="A86" s="70">
        <v>2</v>
      </c>
      <c r="B86" s="76">
        <v>2</v>
      </c>
      <c r="C86" s="55"/>
      <c r="D86" s="55"/>
      <c r="E86" s="55"/>
      <c r="F86" s="79" t="s">
        <v>94</v>
      </c>
      <c r="G86" s="56">
        <v>3509565.7800000003</v>
      </c>
      <c r="H86" s="56">
        <v>5012155.75</v>
      </c>
      <c r="I86" s="56">
        <v>8521721.5300000012</v>
      </c>
      <c r="J86" s="53">
        <v>7.1283414473360965E-2</v>
      </c>
    </row>
    <row r="87" spans="1:10" x14ac:dyDescent="0.2">
      <c r="A87" s="70">
        <v>2</v>
      </c>
      <c r="B87" s="55">
        <v>2</v>
      </c>
      <c r="C87" s="55">
        <v>1</v>
      </c>
      <c r="D87" s="55"/>
      <c r="E87" s="55"/>
      <c r="F87" s="79" t="s">
        <v>95</v>
      </c>
      <c r="G87" s="56">
        <v>60535</v>
      </c>
      <c r="H87" s="56">
        <v>1781904.05</v>
      </c>
      <c r="I87" s="56">
        <v>1842439.05</v>
      </c>
      <c r="J87" s="53"/>
    </row>
    <row r="88" spans="1:10" x14ac:dyDescent="0.2">
      <c r="A88" s="72">
        <v>2</v>
      </c>
      <c r="B88" s="58">
        <v>2</v>
      </c>
      <c r="C88" s="58">
        <v>1</v>
      </c>
      <c r="D88" s="58">
        <v>1</v>
      </c>
      <c r="E88" s="58"/>
      <c r="F88" s="117" t="s">
        <v>96</v>
      </c>
      <c r="G88" s="59">
        <v>0</v>
      </c>
      <c r="H88" s="59">
        <v>0</v>
      </c>
      <c r="I88" s="59">
        <v>0</v>
      </c>
      <c r="J88" s="60"/>
    </row>
    <row r="89" spans="1:10" x14ac:dyDescent="0.2">
      <c r="A89" s="74">
        <v>2</v>
      </c>
      <c r="B89" s="62">
        <v>2</v>
      </c>
      <c r="C89" s="62">
        <v>1</v>
      </c>
      <c r="D89" s="62">
        <v>1</v>
      </c>
      <c r="E89" s="63" t="s">
        <v>35</v>
      </c>
      <c r="F89" s="80" t="s">
        <v>96</v>
      </c>
      <c r="G89" s="64">
        <v>0</v>
      </c>
      <c r="H89" s="64">
        <v>0</v>
      </c>
      <c r="I89" s="64">
        <v>0</v>
      </c>
      <c r="J89" s="65">
        <v>0</v>
      </c>
    </row>
    <row r="90" spans="1:10" x14ac:dyDescent="0.2">
      <c r="A90" s="72">
        <v>2</v>
      </c>
      <c r="B90" s="58">
        <v>2</v>
      </c>
      <c r="C90" s="58">
        <v>1</v>
      </c>
      <c r="D90" s="58">
        <v>2</v>
      </c>
      <c r="E90" s="58"/>
      <c r="F90" s="117" t="s">
        <v>97</v>
      </c>
      <c r="G90" s="59">
        <v>0</v>
      </c>
      <c r="H90" s="59">
        <v>0</v>
      </c>
      <c r="I90" s="59">
        <v>0</v>
      </c>
      <c r="J90" s="60"/>
    </row>
    <row r="91" spans="1:10" x14ac:dyDescent="0.2">
      <c r="A91" s="74">
        <v>2</v>
      </c>
      <c r="B91" s="62">
        <v>2</v>
      </c>
      <c r="C91" s="62">
        <v>1</v>
      </c>
      <c r="D91" s="62">
        <v>2</v>
      </c>
      <c r="E91" s="63" t="s">
        <v>35</v>
      </c>
      <c r="F91" s="80" t="s">
        <v>97</v>
      </c>
      <c r="G91" s="64">
        <v>0</v>
      </c>
      <c r="H91" s="64">
        <v>0</v>
      </c>
      <c r="I91" s="64">
        <v>0</v>
      </c>
      <c r="J91" s="65">
        <v>0</v>
      </c>
    </row>
    <row r="92" spans="1:10" x14ac:dyDescent="0.2">
      <c r="A92" s="72">
        <v>2</v>
      </c>
      <c r="B92" s="58">
        <v>2</v>
      </c>
      <c r="C92" s="58">
        <v>1</v>
      </c>
      <c r="D92" s="58">
        <v>3</v>
      </c>
      <c r="E92" s="58"/>
      <c r="F92" s="117" t="s">
        <v>98</v>
      </c>
      <c r="G92" s="59">
        <v>0</v>
      </c>
      <c r="H92" s="59">
        <v>211904.05</v>
      </c>
      <c r="I92" s="59">
        <v>211904.05</v>
      </c>
      <c r="J92" s="60"/>
    </row>
    <row r="93" spans="1:10" x14ac:dyDescent="0.2">
      <c r="A93" s="74">
        <v>2</v>
      </c>
      <c r="B93" s="62">
        <v>2</v>
      </c>
      <c r="C93" s="62">
        <v>1</v>
      </c>
      <c r="D93" s="62">
        <v>3</v>
      </c>
      <c r="E93" s="63" t="s">
        <v>35</v>
      </c>
      <c r="F93" s="80" t="s">
        <v>98</v>
      </c>
      <c r="G93" s="64">
        <v>0</v>
      </c>
      <c r="H93" s="64">
        <v>211904.05</v>
      </c>
      <c r="I93" s="64">
        <v>211904.05</v>
      </c>
      <c r="J93" s="65">
        <v>1.7725578301939421E-3</v>
      </c>
    </row>
    <row r="94" spans="1:10" x14ac:dyDescent="0.2">
      <c r="A94" s="72">
        <v>2</v>
      </c>
      <c r="B94" s="58">
        <v>2</v>
      </c>
      <c r="C94" s="58">
        <v>1</v>
      </c>
      <c r="D94" s="58">
        <v>4</v>
      </c>
      <c r="E94" s="58"/>
      <c r="F94" s="117" t="s">
        <v>99</v>
      </c>
      <c r="G94" s="59">
        <v>0</v>
      </c>
      <c r="H94" s="59">
        <v>0</v>
      </c>
      <c r="I94" s="59">
        <v>0</v>
      </c>
      <c r="J94" s="60"/>
    </row>
    <row r="95" spans="1:10" x14ac:dyDescent="0.2">
      <c r="A95" s="74">
        <v>2</v>
      </c>
      <c r="B95" s="62">
        <v>2</v>
      </c>
      <c r="C95" s="62">
        <v>1</v>
      </c>
      <c r="D95" s="62">
        <v>4</v>
      </c>
      <c r="E95" s="63" t="s">
        <v>35</v>
      </c>
      <c r="F95" s="80" t="s">
        <v>99</v>
      </c>
      <c r="G95" s="64">
        <v>0</v>
      </c>
      <c r="H95" s="64">
        <v>0</v>
      </c>
      <c r="I95" s="64">
        <v>0</v>
      </c>
      <c r="J95" s="65">
        <v>0</v>
      </c>
    </row>
    <row r="96" spans="1:10" x14ac:dyDescent="0.2">
      <c r="A96" s="72">
        <v>2</v>
      </c>
      <c r="B96" s="58">
        <v>2</v>
      </c>
      <c r="C96" s="58">
        <v>1</v>
      </c>
      <c r="D96" s="58">
        <v>5</v>
      </c>
      <c r="E96" s="58"/>
      <c r="F96" s="117" t="s">
        <v>100</v>
      </c>
      <c r="G96" s="59">
        <v>0</v>
      </c>
      <c r="H96" s="59">
        <v>0</v>
      </c>
      <c r="I96" s="59">
        <v>0</v>
      </c>
      <c r="J96" s="60"/>
    </row>
    <row r="97" spans="1:10" x14ac:dyDescent="0.2">
      <c r="A97" s="74">
        <v>2</v>
      </c>
      <c r="B97" s="62">
        <v>2</v>
      </c>
      <c r="C97" s="62">
        <v>1</v>
      </c>
      <c r="D97" s="62">
        <v>5</v>
      </c>
      <c r="E97" s="63" t="s">
        <v>35</v>
      </c>
      <c r="F97" s="80" t="s">
        <v>100</v>
      </c>
      <c r="G97" s="64">
        <v>0</v>
      </c>
      <c r="H97" s="64">
        <v>0</v>
      </c>
      <c r="I97" s="64">
        <v>0</v>
      </c>
      <c r="J97" s="65">
        <v>0</v>
      </c>
    </row>
    <row r="98" spans="1:10" x14ac:dyDescent="0.2">
      <c r="A98" s="72">
        <v>2</v>
      </c>
      <c r="B98" s="58">
        <v>2</v>
      </c>
      <c r="C98" s="58">
        <v>1</v>
      </c>
      <c r="D98" s="58">
        <v>6</v>
      </c>
      <c r="E98" s="58"/>
      <c r="F98" s="117" t="s">
        <v>101</v>
      </c>
      <c r="G98" s="59">
        <v>0</v>
      </c>
      <c r="H98" s="59">
        <v>0</v>
      </c>
      <c r="I98" s="59">
        <v>0</v>
      </c>
      <c r="J98" s="60"/>
    </row>
    <row r="99" spans="1:10" x14ac:dyDescent="0.2">
      <c r="A99" s="74">
        <v>2</v>
      </c>
      <c r="B99" s="62">
        <v>2</v>
      </c>
      <c r="C99" s="62">
        <v>1</v>
      </c>
      <c r="D99" s="62">
        <v>6</v>
      </c>
      <c r="E99" s="63" t="s">
        <v>35</v>
      </c>
      <c r="F99" s="80" t="s">
        <v>102</v>
      </c>
      <c r="G99" s="64">
        <v>0</v>
      </c>
      <c r="H99" s="64">
        <v>0</v>
      </c>
      <c r="I99" s="64">
        <v>0</v>
      </c>
      <c r="J99" s="65">
        <v>0</v>
      </c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37</v>
      </c>
      <c r="F100" s="80" t="s">
        <v>103</v>
      </c>
      <c r="G100" s="64">
        <v>0</v>
      </c>
      <c r="H100" s="64">
        <v>0</v>
      </c>
      <c r="I100" s="64">
        <v>0</v>
      </c>
      <c r="J100" s="65">
        <v>0</v>
      </c>
    </row>
    <row r="101" spans="1:10" x14ac:dyDescent="0.2">
      <c r="A101" s="72">
        <v>2</v>
      </c>
      <c r="B101" s="58">
        <v>2</v>
      </c>
      <c r="C101" s="58">
        <v>1</v>
      </c>
      <c r="D101" s="58">
        <v>7</v>
      </c>
      <c r="E101" s="58"/>
      <c r="F101" s="117" t="s">
        <v>104</v>
      </c>
      <c r="G101" s="59">
        <v>60535</v>
      </c>
      <c r="H101" s="59">
        <v>0</v>
      </c>
      <c r="I101" s="59">
        <v>60535</v>
      </c>
      <c r="J101" s="60"/>
    </row>
    <row r="102" spans="1:10" x14ac:dyDescent="0.2">
      <c r="A102" s="74">
        <v>2</v>
      </c>
      <c r="B102" s="62">
        <v>2</v>
      </c>
      <c r="C102" s="62">
        <v>1</v>
      </c>
      <c r="D102" s="62">
        <v>7</v>
      </c>
      <c r="E102" s="63" t="s">
        <v>35</v>
      </c>
      <c r="F102" s="80" t="s">
        <v>104</v>
      </c>
      <c r="G102" s="64">
        <v>60535</v>
      </c>
      <c r="H102" s="64">
        <v>0</v>
      </c>
      <c r="I102" s="64">
        <v>60535</v>
      </c>
      <c r="J102" s="65">
        <v>5.0636969067269027E-4</v>
      </c>
    </row>
    <row r="103" spans="1:10" x14ac:dyDescent="0.2">
      <c r="A103" s="72">
        <v>2</v>
      </c>
      <c r="B103" s="58">
        <v>2</v>
      </c>
      <c r="C103" s="58">
        <v>1</v>
      </c>
      <c r="D103" s="58">
        <v>8</v>
      </c>
      <c r="E103" s="58"/>
      <c r="F103" s="117" t="s">
        <v>105</v>
      </c>
      <c r="G103" s="59">
        <v>0</v>
      </c>
      <c r="H103" s="59">
        <v>1570000</v>
      </c>
      <c r="I103" s="59">
        <v>1570000</v>
      </c>
      <c r="J103" s="60"/>
    </row>
    <row r="104" spans="1:10" x14ac:dyDescent="0.2">
      <c r="A104" s="74">
        <v>2</v>
      </c>
      <c r="B104" s="62">
        <v>2</v>
      </c>
      <c r="C104" s="62">
        <v>1</v>
      </c>
      <c r="D104" s="62">
        <v>8</v>
      </c>
      <c r="E104" s="63" t="s">
        <v>35</v>
      </c>
      <c r="F104" s="80" t="s">
        <v>105</v>
      </c>
      <c r="G104" s="64">
        <v>0</v>
      </c>
      <c r="H104" s="64">
        <v>1570000</v>
      </c>
      <c r="I104" s="64">
        <v>1570000</v>
      </c>
      <c r="J104" s="65">
        <v>1.313290516818574E-2</v>
      </c>
    </row>
    <row r="105" spans="1:10" x14ac:dyDescent="0.2">
      <c r="A105" s="70">
        <v>2</v>
      </c>
      <c r="B105" s="55">
        <v>2</v>
      </c>
      <c r="C105" s="55">
        <v>2</v>
      </c>
      <c r="D105" s="55"/>
      <c r="E105" s="55"/>
      <c r="F105" s="79" t="s">
        <v>106</v>
      </c>
      <c r="G105" s="56">
        <v>0</v>
      </c>
      <c r="H105" s="56">
        <v>581445</v>
      </c>
      <c r="I105" s="56">
        <v>581445</v>
      </c>
      <c r="J105" s="53"/>
    </row>
    <row r="106" spans="1:10" x14ac:dyDescent="0.2">
      <c r="A106" s="72">
        <v>2</v>
      </c>
      <c r="B106" s="58">
        <v>2</v>
      </c>
      <c r="C106" s="58">
        <v>2</v>
      </c>
      <c r="D106" s="58">
        <v>1</v>
      </c>
      <c r="E106" s="58"/>
      <c r="F106" s="117" t="s">
        <v>107</v>
      </c>
      <c r="G106" s="59">
        <v>0</v>
      </c>
      <c r="H106" s="59">
        <v>0</v>
      </c>
      <c r="I106" s="59">
        <v>0</v>
      </c>
      <c r="J106" s="60"/>
    </row>
    <row r="107" spans="1:10" x14ac:dyDescent="0.2">
      <c r="A107" s="74">
        <v>2</v>
      </c>
      <c r="B107" s="62">
        <v>2</v>
      </c>
      <c r="C107" s="62">
        <v>2</v>
      </c>
      <c r="D107" s="62">
        <v>1</v>
      </c>
      <c r="E107" s="63" t="s">
        <v>35</v>
      </c>
      <c r="F107" s="80" t="s">
        <v>107</v>
      </c>
      <c r="G107" s="64">
        <v>0</v>
      </c>
      <c r="H107" s="64">
        <v>0</v>
      </c>
      <c r="I107" s="64">
        <v>0</v>
      </c>
      <c r="J107" s="65">
        <v>0</v>
      </c>
    </row>
    <row r="108" spans="1:10" x14ac:dyDescent="0.2">
      <c r="A108" s="72">
        <v>2</v>
      </c>
      <c r="B108" s="58">
        <v>2</v>
      </c>
      <c r="C108" s="58">
        <v>2</v>
      </c>
      <c r="D108" s="58">
        <v>2</v>
      </c>
      <c r="E108" s="58"/>
      <c r="F108" s="117" t="s">
        <v>108</v>
      </c>
      <c r="G108" s="59">
        <v>0</v>
      </c>
      <c r="H108" s="59">
        <v>581445</v>
      </c>
      <c r="I108" s="59">
        <v>581445</v>
      </c>
      <c r="J108" s="60"/>
    </row>
    <row r="109" spans="1:10" x14ac:dyDescent="0.2">
      <c r="A109" s="74">
        <v>2</v>
      </c>
      <c r="B109" s="62">
        <v>2</v>
      </c>
      <c r="C109" s="62">
        <v>2</v>
      </c>
      <c r="D109" s="62">
        <v>2</v>
      </c>
      <c r="E109" s="63" t="s">
        <v>35</v>
      </c>
      <c r="F109" s="80" t="s">
        <v>108</v>
      </c>
      <c r="G109" s="64">
        <v>0</v>
      </c>
      <c r="H109" s="64">
        <v>581445</v>
      </c>
      <c r="I109" s="64">
        <v>581445</v>
      </c>
      <c r="J109" s="65">
        <v>4.8637337869527116E-3</v>
      </c>
    </row>
    <row r="110" spans="1:10" x14ac:dyDescent="0.2">
      <c r="A110" s="70">
        <v>2</v>
      </c>
      <c r="B110" s="55">
        <v>2</v>
      </c>
      <c r="C110" s="55">
        <v>3</v>
      </c>
      <c r="D110" s="55"/>
      <c r="E110" s="55"/>
      <c r="F110" s="79" t="s">
        <v>109</v>
      </c>
      <c r="G110" s="56">
        <v>0</v>
      </c>
      <c r="H110" s="56">
        <v>0</v>
      </c>
      <c r="I110" s="56">
        <v>0</v>
      </c>
      <c r="J110" s="53"/>
    </row>
    <row r="111" spans="1:10" x14ac:dyDescent="0.2">
      <c r="A111" s="72">
        <v>2</v>
      </c>
      <c r="B111" s="58">
        <v>2</v>
      </c>
      <c r="C111" s="58">
        <v>3</v>
      </c>
      <c r="D111" s="58">
        <v>1</v>
      </c>
      <c r="E111" s="58"/>
      <c r="F111" s="117" t="s">
        <v>110</v>
      </c>
      <c r="G111" s="59">
        <v>0</v>
      </c>
      <c r="H111" s="59">
        <v>0</v>
      </c>
      <c r="I111" s="59">
        <v>0</v>
      </c>
      <c r="J111" s="60"/>
    </row>
    <row r="112" spans="1:10" x14ac:dyDescent="0.2">
      <c r="A112" s="74">
        <v>2</v>
      </c>
      <c r="B112" s="62">
        <v>2</v>
      </c>
      <c r="C112" s="62">
        <v>3</v>
      </c>
      <c r="D112" s="62">
        <v>1</v>
      </c>
      <c r="E112" s="63" t="s">
        <v>35</v>
      </c>
      <c r="F112" s="80" t="s">
        <v>110</v>
      </c>
      <c r="G112" s="64">
        <v>0</v>
      </c>
      <c r="H112" s="64">
        <v>0</v>
      </c>
      <c r="I112" s="64">
        <v>0</v>
      </c>
      <c r="J112" s="65">
        <v>0</v>
      </c>
    </row>
    <row r="113" spans="1:10" x14ac:dyDescent="0.2">
      <c r="A113" s="72">
        <v>2</v>
      </c>
      <c r="B113" s="58">
        <v>2</v>
      </c>
      <c r="C113" s="58">
        <v>3</v>
      </c>
      <c r="D113" s="58">
        <v>2</v>
      </c>
      <c r="E113" s="58"/>
      <c r="F113" s="117" t="s">
        <v>111</v>
      </c>
      <c r="G113" s="59">
        <v>0</v>
      </c>
      <c r="H113" s="59">
        <v>0</v>
      </c>
      <c r="I113" s="59">
        <v>0</v>
      </c>
      <c r="J113" s="60"/>
    </row>
    <row r="114" spans="1:10" x14ac:dyDescent="0.2">
      <c r="A114" s="74">
        <v>2</v>
      </c>
      <c r="B114" s="62">
        <v>2</v>
      </c>
      <c r="C114" s="62">
        <v>3</v>
      </c>
      <c r="D114" s="62">
        <v>2</v>
      </c>
      <c r="E114" s="63" t="s">
        <v>35</v>
      </c>
      <c r="F114" s="80" t="s">
        <v>111</v>
      </c>
      <c r="G114" s="64">
        <v>0</v>
      </c>
      <c r="H114" s="64">
        <v>0</v>
      </c>
      <c r="I114" s="64">
        <v>0</v>
      </c>
      <c r="J114" s="65">
        <v>0</v>
      </c>
    </row>
    <row r="115" spans="1:10" x14ac:dyDescent="0.2">
      <c r="A115" s="70">
        <v>2</v>
      </c>
      <c r="B115" s="55">
        <v>2</v>
      </c>
      <c r="C115" s="55">
        <v>4</v>
      </c>
      <c r="D115" s="55"/>
      <c r="E115" s="55"/>
      <c r="F115" s="79" t="s">
        <v>112</v>
      </c>
      <c r="G115" s="56">
        <v>0</v>
      </c>
      <c r="H115" s="56">
        <v>8000</v>
      </c>
      <c r="I115" s="56">
        <v>8000</v>
      </c>
      <c r="J115" s="53"/>
    </row>
    <row r="116" spans="1:10" x14ac:dyDescent="0.2">
      <c r="A116" s="72">
        <v>2</v>
      </c>
      <c r="B116" s="58">
        <v>2</v>
      </c>
      <c r="C116" s="58">
        <v>4</v>
      </c>
      <c r="D116" s="58">
        <v>1</v>
      </c>
      <c r="E116" s="58"/>
      <c r="F116" s="117" t="s">
        <v>113</v>
      </c>
      <c r="G116" s="59">
        <v>0</v>
      </c>
      <c r="H116" s="59">
        <v>0</v>
      </c>
      <c r="I116" s="59">
        <v>0</v>
      </c>
      <c r="J116" s="60"/>
    </row>
    <row r="117" spans="1:10" x14ac:dyDescent="0.2">
      <c r="A117" s="74">
        <v>2</v>
      </c>
      <c r="B117" s="62">
        <v>2</v>
      </c>
      <c r="C117" s="62">
        <v>4</v>
      </c>
      <c r="D117" s="62">
        <v>1</v>
      </c>
      <c r="E117" s="63" t="s">
        <v>35</v>
      </c>
      <c r="F117" s="80" t="s">
        <v>113</v>
      </c>
      <c r="G117" s="64">
        <v>0</v>
      </c>
      <c r="H117" s="64">
        <v>0</v>
      </c>
      <c r="I117" s="64">
        <v>0</v>
      </c>
      <c r="J117" s="65">
        <v>0</v>
      </c>
    </row>
    <row r="118" spans="1:10" x14ac:dyDescent="0.2">
      <c r="A118" s="72">
        <v>2</v>
      </c>
      <c r="B118" s="58">
        <v>2</v>
      </c>
      <c r="C118" s="58">
        <v>4</v>
      </c>
      <c r="D118" s="58">
        <v>2</v>
      </c>
      <c r="E118" s="58"/>
      <c r="F118" s="117" t="s">
        <v>114</v>
      </c>
      <c r="G118" s="59">
        <v>0</v>
      </c>
      <c r="H118" s="59">
        <v>8000</v>
      </c>
      <c r="I118" s="59">
        <v>8000</v>
      </c>
      <c r="J118" s="60"/>
    </row>
    <row r="119" spans="1:10" x14ac:dyDescent="0.2">
      <c r="A119" s="74">
        <v>2</v>
      </c>
      <c r="B119" s="62">
        <v>2</v>
      </c>
      <c r="C119" s="62">
        <v>4</v>
      </c>
      <c r="D119" s="62">
        <v>2</v>
      </c>
      <c r="E119" s="63" t="s">
        <v>35</v>
      </c>
      <c r="F119" s="80" t="s">
        <v>114</v>
      </c>
      <c r="G119" s="64">
        <v>0</v>
      </c>
      <c r="H119" s="64">
        <v>8000</v>
      </c>
      <c r="I119" s="64">
        <v>8000</v>
      </c>
      <c r="J119" s="65">
        <v>6.6919262003494218E-5</v>
      </c>
    </row>
    <row r="120" spans="1:10" x14ac:dyDescent="0.2">
      <c r="A120" s="72">
        <v>2</v>
      </c>
      <c r="B120" s="58">
        <v>2</v>
      </c>
      <c r="C120" s="58">
        <v>4</v>
      </c>
      <c r="D120" s="58">
        <v>3</v>
      </c>
      <c r="E120" s="58"/>
      <c r="F120" s="117" t="s">
        <v>115</v>
      </c>
      <c r="G120" s="59">
        <v>0</v>
      </c>
      <c r="H120" s="59">
        <v>0</v>
      </c>
      <c r="I120" s="59">
        <v>0</v>
      </c>
      <c r="J120" s="60"/>
    </row>
    <row r="121" spans="1:10" x14ac:dyDescent="0.2">
      <c r="A121" s="74">
        <v>2</v>
      </c>
      <c r="B121" s="62">
        <v>2</v>
      </c>
      <c r="C121" s="62">
        <v>4</v>
      </c>
      <c r="D121" s="62">
        <v>3</v>
      </c>
      <c r="E121" s="63" t="s">
        <v>35</v>
      </c>
      <c r="F121" s="80" t="s">
        <v>115</v>
      </c>
      <c r="G121" s="64">
        <v>0</v>
      </c>
      <c r="H121" s="64">
        <v>0</v>
      </c>
      <c r="I121" s="64">
        <v>0</v>
      </c>
      <c r="J121" s="65">
        <v>0</v>
      </c>
    </row>
    <row r="122" spans="1:10" x14ac:dyDescent="0.2">
      <c r="A122" s="72">
        <v>2</v>
      </c>
      <c r="B122" s="58">
        <v>2</v>
      </c>
      <c r="C122" s="58">
        <v>4</v>
      </c>
      <c r="D122" s="58">
        <v>4</v>
      </c>
      <c r="E122" s="58"/>
      <c r="F122" s="117" t="s">
        <v>116</v>
      </c>
      <c r="G122" s="59">
        <v>0</v>
      </c>
      <c r="H122" s="59">
        <v>0</v>
      </c>
      <c r="I122" s="59">
        <v>0</v>
      </c>
      <c r="J122" s="60"/>
    </row>
    <row r="123" spans="1:10" x14ac:dyDescent="0.2">
      <c r="A123" s="74">
        <v>2</v>
      </c>
      <c r="B123" s="62">
        <v>2</v>
      </c>
      <c r="C123" s="62">
        <v>4</v>
      </c>
      <c r="D123" s="62">
        <v>4</v>
      </c>
      <c r="E123" s="63" t="s">
        <v>35</v>
      </c>
      <c r="F123" s="80" t="s">
        <v>116</v>
      </c>
      <c r="G123" s="64">
        <v>0</v>
      </c>
      <c r="H123" s="64">
        <v>0</v>
      </c>
      <c r="I123" s="64">
        <v>0</v>
      </c>
      <c r="J123" s="65">
        <v>0</v>
      </c>
    </row>
    <row r="124" spans="1:10" x14ac:dyDescent="0.2">
      <c r="A124" s="54">
        <v>2</v>
      </c>
      <c r="B124" s="55">
        <v>2</v>
      </c>
      <c r="C124" s="55">
        <v>5</v>
      </c>
      <c r="D124" s="55"/>
      <c r="E124" s="55"/>
      <c r="F124" s="79" t="s">
        <v>117</v>
      </c>
      <c r="G124" s="56">
        <v>0</v>
      </c>
      <c r="H124" s="56">
        <v>298861.53999999998</v>
      </c>
      <c r="I124" s="56">
        <v>298861.53999999998</v>
      </c>
      <c r="J124" s="53"/>
    </row>
    <row r="125" spans="1:10" x14ac:dyDescent="0.2">
      <c r="A125" s="72">
        <v>2</v>
      </c>
      <c r="B125" s="58">
        <v>2</v>
      </c>
      <c r="C125" s="58">
        <v>5</v>
      </c>
      <c r="D125" s="58">
        <v>1</v>
      </c>
      <c r="E125" s="77"/>
      <c r="F125" s="117" t="s">
        <v>118</v>
      </c>
      <c r="G125" s="59">
        <v>0</v>
      </c>
      <c r="H125" s="59">
        <v>0</v>
      </c>
      <c r="I125" s="59">
        <v>0</v>
      </c>
      <c r="J125" s="60"/>
    </row>
    <row r="126" spans="1:10" x14ac:dyDescent="0.2">
      <c r="A126" s="74">
        <v>2</v>
      </c>
      <c r="B126" s="62">
        <v>2</v>
      </c>
      <c r="C126" s="62">
        <v>5</v>
      </c>
      <c r="D126" s="62">
        <v>1</v>
      </c>
      <c r="E126" s="63" t="s">
        <v>35</v>
      </c>
      <c r="F126" s="80" t="s">
        <v>118</v>
      </c>
      <c r="G126" s="64">
        <v>0</v>
      </c>
      <c r="H126" s="64">
        <v>0</v>
      </c>
      <c r="I126" s="64">
        <v>0</v>
      </c>
      <c r="J126" s="65">
        <v>0</v>
      </c>
    </row>
    <row r="127" spans="1:10" x14ac:dyDescent="0.2">
      <c r="A127" s="72">
        <v>2</v>
      </c>
      <c r="B127" s="58">
        <v>2</v>
      </c>
      <c r="C127" s="58">
        <v>5</v>
      </c>
      <c r="D127" s="58">
        <v>2</v>
      </c>
      <c r="E127" s="77"/>
      <c r="F127" s="117" t="s">
        <v>119</v>
      </c>
      <c r="G127" s="59">
        <v>0</v>
      </c>
      <c r="H127" s="59">
        <v>0</v>
      </c>
      <c r="I127" s="59">
        <v>0</v>
      </c>
      <c r="J127" s="60"/>
    </row>
    <row r="128" spans="1:10" x14ac:dyDescent="0.2">
      <c r="A128" s="74">
        <v>2</v>
      </c>
      <c r="B128" s="62">
        <v>2</v>
      </c>
      <c r="C128" s="62">
        <v>5</v>
      </c>
      <c r="D128" s="62">
        <v>2</v>
      </c>
      <c r="E128" s="63" t="s">
        <v>35</v>
      </c>
      <c r="F128" s="80" t="s">
        <v>120</v>
      </c>
      <c r="G128" s="64">
        <v>0</v>
      </c>
      <c r="H128" s="64">
        <v>0</v>
      </c>
      <c r="I128" s="64">
        <v>0</v>
      </c>
      <c r="J128" s="65">
        <v>0</v>
      </c>
    </row>
    <row r="129" spans="1:10" x14ac:dyDescent="0.2">
      <c r="A129" s="72">
        <v>2</v>
      </c>
      <c r="B129" s="58">
        <v>2</v>
      </c>
      <c r="C129" s="58">
        <v>5</v>
      </c>
      <c r="D129" s="58">
        <v>3</v>
      </c>
      <c r="E129" s="77"/>
      <c r="F129" s="117" t="s">
        <v>121</v>
      </c>
      <c r="G129" s="59">
        <v>0</v>
      </c>
      <c r="H129" s="59">
        <v>298861.53999999998</v>
      </c>
      <c r="I129" s="59">
        <v>298861.53999999998</v>
      </c>
      <c r="J129" s="60"/>
    </row>
    <row r="130" spans="1:10" x14ac:dyDescent="0.2">
      <c r="A130" s="74">
        <v>2</v>
      </c>
      <c r="B130" s="62">
        <v>2</v>
      </c>
      <c r="C130" s="62">
        <v>5</v>
      </c>
      <c r="D130" s="62">
        <v>3</v>
      </c>
      <c r="E130" s="63" t="s">
        <v>35</v>
      </c>
      <c r="F130" s="80" t="s">
        <v>122</v>
      </c>
      <c r="G130" s="64">
        <v>0</v>
      </c>
      <c r="H130" s="64">
        <v>0</v>
      </c>
      <c r="I130" s="64">
        <v>0</v>
      </c>
      <c r="J130" s="65">
        <v>0</v>
      </c>
    </row>
    <row r="131" spans="1:10" ht="25.5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37</v>
      </c>
      <c r="F131" s="80" t="s">
        <v>123</v>
      </c>
      <c r="G131" s="64">
        <v>0</v>
      </c>
      <c r="H131" s="64">
        <v>298861.53999999998</v>
      </c>
      <c r="I131" s="64">
        <v>298861.53999999998</v>
      </c>
      <c r="J131" s="65">
        <v>2.4999492122534709E-3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39</v>
      </c>
      <c r="F132" s="80" t="s">
        <v>124</v>
      </c>
      <c r="G132" s="64">
        <v>0</v>
      </c>
      <c r="H132" s="64">
        <v>0</v>
      </c>
      <c r="I132" s="64">
        <v>0</v>
      </c>
      <c r="J132" s="65"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41</v>
      </c>
      <c r="F133" s="80" t="s">
        <v>125</v>
      </c>
      <c r="G133" s="64">
        <v>0</v>
      </c>
      <c r="H133" s="64">
        <v>0</v>
      </c>
      <c r="I133" s="64">
        <v>0</v>
      </c>
      <c r="J133" s="65"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43</v>
      </c>
      <c r="F134" s="80" t="s">
        <v>126</v>
      </c>
      <c r="G134" s="64">
        <v>0</v>
      </c>
      <c r="H134" s="64">
        <v>0</v>
      </c>
      <c r="I134" s="64">
        <v>0</v>
      </c>
      <c r="J134" s="65">
        <v>0</v>
      </c>
    </row>
    <row r="135" spans="1:10" ht="25.5" x14ac:dyDescent="0.2">
      <c r="A135" s="72">
        <v>2</v>
      </c>
      <c r="B135" s="58">
        <v>2</v>
      </c>
      <c r="C135" s="58">
        <v>5</v>
      </c>
      <c r="D135" s="58">
        <v>4</v>
      </c>
      <c r="E135" s="77"/>
      <c r="F135" s="117" t="s">
        <v>127</v>
      </c>
      <c r="G135" s="59">
        <v>0</v>
      </c>
      <c r="H135" s="59">
        <v>0</v>
      </c>
      <c r="I135" s="59">
        <v>0</v>
      </c>
      <c r="J135" s="60"/>
    </row>
    <row r="136" spans="1:10" ht="25.5" x14ac:dyDescent="0.2">
      <c r="A136" s="74">
        <v>2</v>
      </c>
      <c r="B136" s="62">
        <v>2</v>
      </c>
      <c r="C136" s="62">
        <v>5</v>
      </c>
      <c r="D136" s="62">
        <v>4</v>
      </c>
      <c r="E136" s="63" t="s">
        <v>35</v>
      </c>
      <c r="F136" s="80" t="s">
        <v>127</v>
      </c>
      <c r="G136" s="64">
        <v>0</v>
      </c>
      <c r="H136" s="64">
        <v>0</v>
      </c>
      <c r="I136" s="64">
        <v>0</v>
      </c>
      <c r="J136" s="65">
        <v>0</v>
      </c>
    </row>
    <row r="137" spans="1:10" x14ac:dyDescent="0.2">
      <c r="A137" s="72">
        <v>2</v>
      </c>
      <c r="B137" s="58">
        <v>2</v>
      </c>
      <c r="C137" s="58">
        <v>5</v>
      </c>
      <c r="D137" s="58">
        <v>5</v>
      </c>
      <c r="E137" s="77"/>
      <c r="F137" s="117" t="s">
        <v>128</v>
      </c>
      <c r="G137" s="59">
        <v>0</v>
      </c>
      <c r="H137" s="59">
        <v>0</v>
      </c>
      <c r="I137" s="59">
        <v>0</v>
      </c>
      <c r="J137" s="60"/>
    </row>
    <row r="138" spans="1:10" x14ac:dyDescent="0.2">
      <c r="A138" s="74">
        <v>2</v>
      </c>
      <c r="B138" s="62">
        <v>2</v>
      </c>
      <c r="C138" s="62">
        <v>5</v>
      </c>
      <c r="D138" s="62">
        <v>5</v>
      </c>
      <c r="E138" s="63" t="s">
        <v>35</v>
      </c>
      <c r="F138" s="80" t="s">
        <v>128</v>
      </c>
      <c r="G138" s="64">
        <v>0</v>
      </c>
      <c r="H138" s="64">
        <v>0</v>
      </c>
      <c r="I138" s="64">
        <v>0</v>
      </c>
      <c r="J138" s="65">
        <v>0</v>
      </c>
    </row>
    <row r="139" spans="1:10" x14ac:dyDescent="0.2">
      <c r="A139" s="72">
        <v>2</v>
      </c>
      <c r="B139" s="58">
        <v>2</v>
      </c>
      <c r="C139" s="58">
        <v>5</v>
      </c>
      <c r="D139" s="58">
        <v>6</v>
      </c>
      <c r="E139" s="77"/>
      <c r="F139" s="117" t="s">
        <v>129</v>
      </c>
      <c r="G139" s="59">
        <v>0</v>
      </c>
      <c r="H139" s="59">
        <v>0</v>
      </c>
      <c r="I139" s="59">
        <v>0</v>
      </c>
      <c r="J139" s="60"/>
    </row>
    <row r="140" spans="1:10" x14ac:dyDescent="0.2">
      <c r="A140" s="74">
        <v>2</v>
      </c>
      <c r="B140" s="62">
        <v>2</v>
      </c>
      <c r="C140" s="62">
        <v>5</v>
      </c>
      <c r="D140" s="62">
        <v>6</v>
      </c>
      <c r="E140" s="63" t="s">
        <v>35</v>
      </c>
      <c r="F140" s="80" t="s">
        <v>129</v>
      </c>
      <c r="G140" s="64">
        <v>0</v>
      </c>
      <c r="H140" s="64">
        <v>0</v>
      </c>
      <c r="I140" s="64">
        <v>0</v>
      </c>
      <c r="J140" s="65">
        <v>0</v>
      </c>
    </row>
    <row r="141" spans="1:10" ht="25.5" x14ac:dyDescent="0.2">
      <c r="A141" s="72">
        <v>2</v>
      </c>
      <c r="B141" s="58">
        <v>2</v>
      </c>
      <c r="C141" s="58">
        <v>5</v>
      </c>
      <c r="D141" s="58">
        <v>7</v>
      </c>
      <c r="E141" s="77"/>
      <c r="F141" s="117" t="s">
        <v>130</v>
      </c>
      <c r="G141" s="59">
        <v>0</v>
      </c>
      <c r="H141" s="59">
        <v>0</v>
      </c>
      <c r="I141" s="59">
        <v>0</v>
      </c>
      <c r="J141" s="60"/>
    </row>
    <row r="142" spans="1:10" ht="25.5" x14ac:dyDescent="0.2">
      <c r="A142" s="74">
        <v>2</v>
      </c>
      <c r="B142" s="62">
        <v>2</v>
      </c>
      <c r="C142" s="62">
        <v>5</v>
      </c>
      <c r="D142" s="62">
        <v>7</v>
      </c>
      <c r="E142" s="63" t="s">
        <v>35</v>
      </c>
      <c r="F142" s="80" t="s">
        <v>130</v>
      </c>
      <c r="G142" s="64">
        <v>0</v>
      </c>
      <c r="H142" s="64">
        <v>0</v>
      </c>
      <c r="I142" s="64">
        <v>0</v>
      </c>
      <c r="J142" s="65">
        <v>0</v>
      </c>
    </row>
    <row r="143" spans="1:10" x14ac:dyDescent="0.2">
      <c r="A143" s="72">
        <v>2</v>
      </c>
      <c r="B143" s="58">
        <v>2</v>
      </c>
      <c r="C143" s="58">
        <v>5</v>
      </c>
      <c r="D143" s="58">
        <v>8</v>
      </c>
      <c r="E143" s="77"/>
      <c r="F143" s="117" t="s">
        <v>131</v>
      </c>
      <c r="G143" s="59">
        <v>0</v>
      </c>
      <c r="H143" s="59">
        <v>0</v>
      </c>
      <c r="I143" s="59">
        <v>0</v>
      </c>
      <c r="J143" s="60"/>
    </row>
    <row r="144" spans="1:10" x14ac:dyDescent="0.2">
      <c r="A144" s="74">
        <v>2</v>
      </c>
      <c r="B144" s="62">
        <v>2</v>
      </c>
      <c r="C144" s="62">
        <v>5</v>
      </c>
      <c r="D144" s="62">
        <v>8</v>
      </c>
      <c r="E144" s="63" t="s">
        <v>35</v>
      </c>
      <c r="F144" s="80" t="s">
        <v>131</v>
      </c>
      <c r="G144" s="64">
        <v>0</v>
      </c>
      <c r="H144" s="64">
        <v>0</v>
      </c>
      <c r="I144" s="64">
        <v>0</v>
      </c>
      <c r="J144" s="65">
        <v>0</v>
      </c>
    </row>
    <row r="145" spans="1:10" x14ac:dyDescent="0.2">
      <c r="A145" s="72">
        <v>2</v>
      </c>
      <c r="B145" s="58">
        <v>2</v>
      </c>
      <c r="C145" s="58">
        <v>5</v>
      </c>
      <c r="D145" s="58">
        <v>9</v>
      </c>
      <c r="E145" s="77"/>
      <c r="F145" s="117" t="s">
        <v>132</v>
      </c>
      <c r="G145" s="59">
        <v>0</v>
      </c>
      <c r="H145" s="59">
        <v>0</v>
      </c>
      <c r="I145" s="59">
        <v>0</v>
      </c>
      <c r="J145" s="60"/>
    </row>
    <row r="146" spans="1:10" x14ac:dyDescent="0.2">
      <c r="A146" s="74">
        <v>2</v>
      </c>
      <c r="B146" s="62">
        <v>2</v>
      </c>
      <c r="C146" s="62">
        <v>5</v>
      </c>
      <c r="D146" s="62">
        <v>9</v>
      </c>
      <c r="E146" s="63" t="s">
        <v>35</v>
      </c>
      <c r="F146" s="80" t="s">
        <v>133</v>
      </c>
      <c r="G146" s="64">
        <v>0</v>
      </c>
      <c r="H146" s="64">
        <v>0</v>
      </c>
      <c r="I146" s="64">
        <v>0</v>
      </c>
      <c r="J146" s="65">
        <v>0</v>
      </c>
    </row>
    <row r="147" spans="1:10" x14ac:dyDescent="0.2">
      <c r="A147" s="54">
        <v>2</v>
      </c>
      <c r="B147" s="55">
        <v>2</v>
      </c>
      <c r="C147" s="55">
        <v>6</v>
      </c>
      <c r="D147" s="55"/>
      <c r="E147" s="55"/>
      <c r="F147" s="79" t="s">
        <v>134</v>
      </c>
      <c r="G147" s="56">
        <v>0</v>
      </c>
      <c r="H147" s="56">
        <v>0</v>
      </c>
      <c r="I147" s="56">
        <v>0</v>
      </c>
      <c r="J147" s="53"/>
    </row>
    <row r="148" spans="1:10" x14ac:dyDescent="0.2">
      <c r="A148" s="72">
        <v>2</v>
      </c>
      <c r="B148" s="58">
        <v>2</v>
      </c>
      <c r="C148" s="58">
        <v>6</v>
      </c>
      <c r="D148" s="58">
        <v>1</v>
      </c>
      <c r="E148" s="77"/>
      <c r="F148" s="117" t="s">
        <v>135</v>
      </c>
      <c r="G148" s="59">
        <v>0</v>
      </c>
      <c r="H148" s="59">
        <v>0</v>
      </c>
      <c r="I148" s="59">
        <v>0</v>
      </c>
      <c r="J148" s="60"/>
    </row>
    <row r="149" spans="1:10" x14ac:dyDescent="0.2">
      <c r="A149" s="74">
        <v>2</v>
      </c>
      <c r="B149" s="62">
        <v>2</v>
      </c>
      <c r="C149" s="62">
        <v>6</v>
      </c>
      <c r="D149" s="62">
        <v>1</v>
      </c>
      <c r="E149" s="63" t="s">
        <v>35</v>
      </c>
      <c r="F149" s="80" t="s">
        <v>135</v>
      </c>
      <c r="G149" s="64">
        <v>0</v>
      </c>
      <c r="H149" s="64">
        <v>0</v>
      </c>
      <c r="I149" s="64">
        <v>0</v>
      </c>
      <c r="J149" s="65">
        <v>0</v>
      </c>
    </row>
    <row r="150" spans="1:10" x14ac:dyDescent="0.2">
      <c r="A150" s="72">
        <v>2</v>
      </c>
      <c r="B150" s="58">
        <v>2</v>
      </c>
      <c r="C150" s="58">
        <v>6</v>
      </c>
      <c r="D150" s="58">
        <v>2</v>
      </c>
      <c r="E150" s="58"/>
      <c r="F150" s="117" t="s">
        <v>136</v>
      </c>
      <c r="G150" s="59">
        <v>0</v>
      </c>
      <c r="H150" s="59">
        <v>0</v>
      </c>
      <c r="I150" s="59">
        <v>0</v>
      </c>
      <c r="J150" s="60"/>
    </row>
    <row r="151" spans="1:10" x14ac:dyDescent="0.2">
      <c r="A151" s="74">
        <v>2</v>
      </c>
      <c r="B151" s="62">
        <v>2</v>
      </c>
      <c r="C151" s="62">
        <v>6</v>
      </c>
      <c r="D151" s="62">
        <v>2</v>
      </c>
      <c r="E151" s="63" t="s">
        <v>35</v>
      </c>
      <c r="F151" s="80" t="s">
        <v>136</v>
      </c>
      <c r="G151" s="64">
        <v>0</v>
      </c>
      <c r="H151" s="64">
        <v>0</v>
      </c>
      <c r="I151" s="64">
        <v>0</v>
      </c>
      <c r="J151" s="65">
        <v>0</v>
      </c>
    </row>
    <row r="152" spans="1:10" x14ac:dyDescent="0.2">
      <c r="A152" s="72">
        <v>2</v>
      </c>
      <c r="B152" s="58">
        <v>2</v>
      </c>
      <c r="C152" s="58">
        <v>6</v>
      </c>
      <c r="D152" s="58">
        <v>3</v>
      </c>
      <c r="E152" s="58"/>
      <c r="F152" s="117" t="s">
        <v>137</v>
      </c>
      <c r="G152" s="59">
        <v>0</v>
      </c>
      <c r="H152" s="59">
        <v>0</v>
      </c>
      <c r="I152" s="59">
        <v>0</v>
      </c>
      <c r="J152" s="60"/>
    </row>
    <row r="153" spans="1:10" x14ac:dyDescent="0.2">
      <c r="A153" s="74">
        <v>2</v>
      </c>
      <c r="B153" s="62">
        <v>2</v>
      </c>
      <c r="C153" s="62">
        <v>6</v>
      </c>
      <c r="D153" s="62">
        <v>3</v>
      </c>
      <c r="E153" s="63" t="s">
        <v>35</v>
      </c>
      <c r="F153" s="80" t="s">
        <v>137</v>
      </c>
      <c r="G153" s="64">
        <v>0</v>
      </c>
      <c r="H153" s="64">
        <v>0</v>
      </c>
      <c r="I153" s="64">
        <v>0</v>
      </c>
      <c r="J153" s="65">
        <v>0</v>
      </c>
    </row>
    <row r="154" spans="1:10" x14ac:dyDescent="0.2">
      <c r="A154" s="72">
        <v>2</v>
      </c>
      <c r="B154" s="58">
        <v>2</v>
      </c>
      <c r="C154" s="58">
        <v>6</v>
      </c>
      <c r="D154" s="58">
        <v>4</v>
      </c>
      <c r="E154" s="58"/>
      <c r="F154" s="117" t="s">
        <v>138</v>
      </c>
      <c r="G154" s="59">
        <v>0</v>
      </c>
      <c r="H154" s="59">
        <v>0</v>
      </c>
      <c r="I154" s="59">
        <v>0</v>
      </c>
      <c r="J154" s="60"/>
    </row>
    <row r="155" spans="1:10" x14ac:dyDescent="0.2">
      <c r="A155" s="74">
        <v>2</v>
      </c>
      <c r="B155" s="62">
        <v>2</v>
      </c>
      <c r="C155" s="62">
        <v>6</v>
      </c>
      <c r="D155" s="62">
        <v>4</v>
      </c>
      <c r="E155" s="63" t="s">
        <v>35</v>
      </c>
      <c r="F155" s="80" t="s">
        <v>138</v>
      </c>
      <c r="G155" s="64">
        <v>0</v>
      </c>
      <c r="H155" s="64">
        <v>0</v>
      </c>
      <c r="I155" s="64">
        <v>0</v>
      </c>
      <c r="J155" s="65">
        <v>0</v>
      </c>
    </row>
    <row r="156" spans="1:10" ht="25.5" x14ac:dyDescent="0.2">
      <c r="A156" s="54">
        <v>2</v>
      </c>
      <c r="B156" s="55">
        <v>2</v>
      </c>
      <c r="C156" s="55">
        <v>7</v>
      </c>
      <c r="D156" s="55"/>
      <c r="E156" s="78"/>
      <c r="F156" s="79" t="s">
        <v>139</v>
      </c>
      <c r="G156" s="56">
        <v>3449030.7800000003</v>
      </c>
      <c r="H156" s="56">
        <v>1632573.28</v>
      </c>
      <c r="I156" s="56">
        <v>5081604.0600000005</v>
      </c>
      <c r="J156" s="53"/>
    </row>
    <row r="157" spans="1:10" x14ac:dyDescent="0.2">
      <c r="A157" s="72">
        <v>2</v>
      </c>
      <c r="B157" s="58">
        <v>2</v>
      </c>
      <c r="C157" s="58">
        <v>7</v>
      </c>
      <c r="D157" s="58">
        <v>1</v>
      </c>
      <c r="E157" s="58"/>
      <c r="F157" s="117" t="s">
        <v>140</v>
      </c>
      <c r="G157" s="59">
        <v>1723516.78</v>
      </c>
      <c r="H157" s="59">
        <v>125224.64</v>
      </c>
      <c r="I157" s="59">
        <v>1848741.42</v>
      </c>
      <c r="J157" s="60"/>
    </row>
    <row r="158" spans="1:10" x14ac:dyDescent="0.2">
      <c r="A158" s="61">
        <v>2</v>
      </c>
      <c r="B158" s="62">
        <v>2</v>
      </c>
      <c r="C158" s="62">
        <v>7</v>
      </c>
      <c r="D158" s="62">
        <v>1</v>
      </c>
      <c r="E158" s="63" t="s">
        <v>35</v>
      </c>
      <c r="F158" s="80" t="s">
        <v>141</v>
      </c>
      <c r="G158" s="64">
        <v>1723516.78</v>
      </c>
      <c r="H158" s="64">
        <v>0</v>
      </c>
      <c r="I158" s="64">
        <v>1723516.78</v>
      </c>
      <c r="J158" s="65">
        <v>1.4417058871029838E-2</v>
      </c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37</v>
      </c>
      <c r="F159" s="80" t="s">
        <v>142</v>
      </c>
      <c r="G159" s="64">
        <v>0</v>
      </c>
      <c r="H159" s="64">
        <v>0</v>
      </c>
      <c r="I159" s="64">
        <v>0</v>
      </c>
      <c r="J159" s="65">
        <v>0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39</v>
      </c>
      <c r="F160" s="80" t="s">
        <v>143</v>
      </c>
      <c r="G160" s="64">
        <v>0</v>
      </c>
      <c r="H160" s="64">
        <v>0</v>
      </c>
      <c r="I160" s="64">
        <v>0</v>
      </c>
      <c r="J160" s="65">
        <v>0</v>
      </c>
    </row>
    <row r="161" spans="1:10" ht="25.5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41</v>
      </c>
      <c r="F161" s="80" t="s">
        <v>144</v>
      </c>
      <c r="G161" s="64">
        <v>0</v>
      </c>
      <c r="H161" s="64">
        <v>0</v>
      </c>
      <c r="I161" s="64">
        <v>0</v>
      </c>
      <c r="J161" s="65">
        <v>0</v>
      </c>
    </row>
    <row r="162" spans="1:10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43</v>
      </c>
      <c r="F162" s="80" t="s">
        <v>145</v>
      </c>
      <c r="G162" s="64">
        <v>0</v>
      </c>
      <c r="H162" s="64">
        <v>80673.47</v>
      </c>
      <c r="I162" s="64">
        <v>80673.47</v>
      </c>
      <c r="J162" s="65">
        <v>6.7482613445762885E-4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45</v>
      </c>
      <c r="F163" s="80" t="s">
        <v>146</v>
      </c>
      <c r="G163" s="64">
        <v>0</v>
      </c>
      <c r="H163" s="64">
        <v>0</v>
      </c>
      <c r="I163" s="64">
        <v>0</v>
      </c>
      <c r="J163" s="65">
        <v>0</v>
      </c>
    </row>
    <row r="164" spans="1:10" ht="25.5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71</v>
      </c>
      <c r="F164" s="80" t="s">
        <v>147</v>
      </c>
      <c r="G164" s="64">
        <v>0</v>
      </c>
      <c r="H164" s="64">
        <v>0</v>
      </c>
      <c r="I164" s="64">
        <v>0</v>
      </c>
      <c r="J164" s="65"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148</v>
      </c>
      <c r="F165" s="80" t="s">
        <v>149</v>
      </c>
      <c r="G165" s="64">
        <v>0</v>
      </c>
      <c r="H165" s="64">
        <v>44551.17</v>
      </c>
      <c r="I165" s="64">
        <v>44551.17</v>
      </c>
      <c r="J165" s="65">
        <v>3.7266642722402641E-4</v>
      </c>
    </row>
    <row r="166" spans="1:10" x14ac:dyDescent="0.2">
      <c r="A166" s="72">
        <v>2</v>
      </c>
      <c r="B166" s="58">
        <v>2</v>
      </c>
      <c r="C166" s="58">
        <v>7</v>
      </c>
      <c r="D166" s="58">
        <v>2</v>
      </c>
      <c r="E166" s="58"/>
      <c r="F166" s="117" t="s">
        <v>150</v>
      </c>
      <c r="G166" s="59">
        <v>1725514</v>
      </c>
      <c r="H166" s="59">
        <v>1507348.6400000001</v>
      </c>
      <c r="I166" s="59">
        <v>3232862.64</v>
      </c>
      <c r="J166" s="60"/>
    </row>
    <row r="167" spans="1:10" ht="25.5" x14ac:dyDescent="0.2">
      <c r="A167" s="61">
        <v>2</v>
      </c>
      <c r="B167" s="62">
        <v>2</v>
      </c>
      <c r="C167" s="62">
        <v>7</v>
      </c>
      <c r="D167" s="62">
        <v>2</v>
      </c>
      <c r="E167" s="63" t="s">
        <v>35</v>
      </c>
      <c r="F167" s="80" t="s">
        <v>151</v>
      </c>
      <c r="G167" s="64">
        <v>0</v>
      </c>
      <c r="H167" s="64">
        <v>0</v>
      </c>
      <c r="I167" s="64">
        <v>0</v>
      </c>
      <c r="J167" s="65">
        <v>0</v>
      </c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37</v>
      </c>
      <c r="F168" s="80" t="s">
        <v>152</v>
      </c>
      <c r="G168" s="64">
        <v>875914</v>
      </c>
      <c r="H168" s="64">
        <v>0</v>
      </c>
      <c r="I168" s="64">
        <v>875914</v>
      </c>
      <c r="J168" s="65">
        <v>7.3269398073160788E-3</v>
      </c>
    </row>
    <row r="169" spans="1:10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39</v>
      </c>
      <c r="F169" s="80" t="s">
        <v>153</v>
      </c>
      <c r="G169" s="64">
        <v>0</v>
      </c>
      <c r="H169" s="64">
        <v>0</v>
      </c>
      <c r="I169" s="64">
        <v>0</v>
      </c>
      <c r="J169" s="65">
        <v>0</v>
      </c>
    </row>
    <row r="170" spans="1:10" ht="25.5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41</v>
      </c>
      <c r="F170" s="80" t="s">
        <v>154</v>
      </c>
      <c r="G170" s="64">
        <v>0</v>
      </c>
      <c r="H170" s="64">
        <v>460200</v>
      </c>
      <c r="I170" s="64">
        <v>460200</v>
      </c>
      <c r="J170" s="65">
        <v>3.8495305467510046E-3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43</v>
      </c>
      <c r="F171" s="80" t="s">
        <v>155</v>
      </c>
      <c r="G171" s="64">
        <v>0</v>
      </c>
      <c r="H171" s="64">
        <v>0</v>
      </c>
      <c r="I171" s="64">
        <v>0</v>
      </c>
      <c r="J171" s="65">
        <v>0</v>
      </c>
    </row>
    <row r="172" spans="1:10" ht="25.5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45</v>
      </c>
      <c r="F172" s="81" t="s">
        <v>156</v>
      </c>
      <c r="G172" s="64">
        <v>849600</v>
      </c>
      <c r="H172" s="64">
        <v>3026.1</v>
      </c>
      <c r="I172" s="64">
        <v>852626.1</v>
      </c>
      <c r="J172" s="65">
        <v>7.1321386721146822E-3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71</v>
      </c>
      <c r="F173" s="81" t="s">
        <v>157</v>
      </c>
      <c r="G173" s="64">
        <v>0</v>
      </c>
      <c r="H173" s="64">
        <v>0</v>
      </c>
      <c r="I173" s="64">
        <v>0</v>
      </c>
      <c r="J173" s="65"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51</v>
      </c>
      <c r="F174" s="81" t="s">
        <v>158</v>
      </c>
      <c r="G174" s="64">
        <v>0</v>
      </c>
      <c r="H174" s="64">
        <v>616754.71000000008</v>
      </c>
      <c r="I174" s="64">
        <v>616754.71000000008</v>
      </c>
      <c r="J174" s="65">
        <v>5.1590962537973878E-3</v>
      </c>
    </row>
    <row r="175" spans="1:10" ht="38.25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148</v>
      </c>
      <c r="F175" s="81" t="s">
        <v>159</v>
      </c>
      <c r="G175" s="64">
        <v>0</v>
      </c>
      <c r="H175" s="64">
        <v>427367.82999999996</v>
      </c>
      <c r="I175" s="64">
        <v>427367.82999999996</v>
      </c>
      <c r="J175" s="65">
        <v>3.5748924734543466E-3</v>
      </c>
    </row>
    <row r="176" spans="1:10" x14ac:dyDescent="0.2">
      <c r="A176" s="57">
        <v>2</v>
      </c>
      <c r="B176" s="58">
        <v>2</v>
      </c>
      <c r="C176" s="58">
        <v>7</v>
      </c>
      <c r="D176" s="58">
        <v>3</v>
      </c>
      <c r="E176" s="77"/>
      <c r="F176" s="82" t="s">
        <v>160</v>
      </c>
      <c r="G176" s="59">
        <v>0</v>
      </c>
      <c r="H176" s="59">
        <v>0</v>
      </c>
      <c r="I176" s="59">
        <v>0</v>
      </c>
      <c r="J176" s="60"/>
    </row>
    <row r="177" spans="1:10" x14ac:dyDescent="0.2">
      <c r="A177" s="61">
        <v>2</v>
      </c>
      <c r="B177" s="62">
        <v>2</v>
      </c>
      <c r="C177" s="62">
        <v>7</v>
      </c>
      <c r="D177" s="62">
        <v>3</v>
      </c>
      <c r="E177" s="63" t="s">
        <v>35</v>
      </c>
      <c r="F177" s="81" t="s">
        <v>160</v>
      </c>
      <c r="G177" s="64">
        <v>0</v>
      </c>
      <c r="H177" s="64">
        <v>0</v>
      </c>
      <c r="I177" s="64">
        <v>0</v>
      </c>
      <c r="J177" s="65">
        <v>0</v>
      </c>
    </row>
    <row r="178" spans="1:10" x14ac:dyDescent="0.2">
      <c r="A178" s="54">
        <v>2</v>
      </c>
      <c r="B178" s="55">
        <v>2</v>
      </c>
      <c r="C178" s="55">
        <v>8</v>
      </c>
      <c r="D178" s="55"/>
      <c r="E178" s="55"/>
      <c r="F178" s="83" t="s">
        <v>161</v>
      </c>
      <c r="G178" s="56">
        <v>0</v>
      </c>
      <c r="H178" s="56">
        <v>709371.88</v>
      </c>
      <c r="I178" s="56">
        <v>709371.88</v>
      </c>
      <c r="J178" s="53"/>
    </row>
    <row r="179" spans="1:10" x14ac:dyDescent="0.2">
      <c r="A179" s="57">
        <v>2</v>
      </c>
      <c r="B179" s="58">
        <v>2</v>
      </c>
      <c r="C179" s="58">
        <v>8</v>
      </c>
      <c r="D179" s="58">
        <v>1</v>
      </c>
      <c r="E179" s="58"/>
      <c r="F179" s="82" t="s">
        <v>162</v>
      </c>
      <c r="G179" s="59">
        <v>0</v>
      </c>
      <c r="H179" s="59">
        <v>0</v>
      </c>
      <c r="I179" s="59">
        <v>0</v>
      </c>
      <c r="J179" s="60"/>
    </row>
    <row r="180" spans="1:10" x14ac:dyDescent="0.2">
      <c r="A180" s="61">
        <v>2</v>
      </c>
      <c r="B180" s="62">
        <v>2</v>
      </c>
      <c r="C180" s="62">
        <v>8</v>
      </c>
      <c r="D180" s="62">
        <v>1</v>
      </c>
      <c r="E180" s="63" t="s">
        <v>35</v>
      </c>
      <c r="F180" s="81" t="s">
        <v>162</v>
      </c>
      <c r="G180" s="64">
        <v>0</v>
      </c>
      <c r="H180" s="64">
        <v>0</v>
      </c>
      <c r="I180" s="64">
        <v>0</v>
      </c>
      <c r="J180" s="65">
        <v>0</v>
      </c>
    </row>
    <row r="181" spans="1:10" x14ac:dyDescent="0.2">
      <c r="A181" s="57">
        <v>2</v>
      </c>
      <c r="B181" s="58">
        <v>2</v>
      </c>
      <c r="C181" s="58">
        <v>8</v>
      </c>
      <c r="D181" s="58">
        <v>2</v>
      </c>
      <c r="E181" s="58"/>
      <c r="F181" s="82" t="s">
        <v>163</v>
      </c>
      <c r="G181" s="59">
        <v>0</v>
      </c>
      <c r="H181" s="59">
        <v>0</v>
      </c>
      <c r="I181" s="59">
        <v>0</v>
      </c>
      <c r="J181" s="60"/>
    </row>
    <row r="182" spans="1:10" x14ac:dyDescent="0.2">
      <c r="A182" s="61">
        <v>2</v>
      </c>
      <c r="B182" s="62">
        <v>2</v>
      </c>
      <c r="C182" s="62">
        <v>8</v>
      </c>
      <c r="D182" s="62">
        <v>2</v>
      </c>
      <c r="E182" s="63" t="s">
        <v>35</v>
      </c>
      <c r="F182" s="81" t="s">
        <v>163</v>
      </c>
      <c r="G182" s="64">
        <v>0</v>
      </c>
      <c r="H182" s="64">
        <v>0</v>
      </c>
      <c r="I182" s="64">
        <v>0</v>
      </c>
      <c r="J182" s="65">
        <v>0</v>
      </c>
    </row>
    <row r="183" spans="1:10" x14ac:dyDescent="0.2">
      <c r="A183" s="57">
        <v>2</v>
      </c>
      <c r="B183" s="58">
        <v>2</v>
      </c>
      <c r="C183" s="58">
        <v>8</v>
      </c>
      <c r="D183" s="58">
        <v>3</v>
      </c>
      <c r="E183" s="58"/>
      <c r="F183" s="82" t="s">
        <v>164</v>
      </c>
      <c r="G183" s="59">
        <v>0</v>
      </c>
      <c r="H183" s="59">
        <v>0</v>
      </c>
      <c r="I183" s="59">
        <v>0</v>
      </c>
      <c r="J183" s="60"/>
    </row>
    <row r="184" spans="1:10" x14ac:dyDescent="0.2">
      <c r="A184" s="61">
        <v>2</v>
      </c>
      <c r="B184" s="62">
        <v>2</v>
      </c>
      <c r="C184" s="62">
        <v>8</v>
      </c>
      <c r="D184" s="62">
        <v>3</v>
      </c>
      <c r="E184" s="63" t="s">
        <v>35</v>
      </c>
      <c r="F184" s="81" t="s">
        <v>164</v>
      </c>
      <c r="G184" s="64">
        <v>0</v>
      </c>
      <c r="H184" s="64">
        <v>0</v>
      </c>
      <c r="I184" s="64">
        <v>0</v>
      </c>
      <c r="J184" s="65">
        <v>0</v>
      </c>
    </row>
    <row r="185" spans="1:10" x14ac:dyDescent="0.2">
      <c r="A185" s="57">
        <v>2</v>
      </c>
      <c r="B185" s="58">
        <v>2</v>
      </c>
      <c r="C185" s="58">
        <v>8</v>
      </c>
      <c r="D185" s="58">
        <v>4</v>
      </c>
      <c r="E185" s="58"/>
      <c r="F185" s="82" t="s">
        <v>165</v>
      </c>
      <c r="G185" s="59">
        <v>0</v>
      </c>
      <c r="H185" s="59">
        <v>0</v>
      </c>
      <c r="I185" s="59">
        <v>0</v>
      </c>
      <c r="J185" s="60"/>
    </row>
    <row r="186" spans="1:10" x14ac:dyDescent="0.2">
      <c r="A186" s="61">
        <v>2</v>
      </c>
      <c r="B186" s="62">
        <v>2</v>
      </c>
      <c r="C186" s="62">
        <v>8</v>
      </c>
      <c r="D186" s="62">
        <v>4</v>
      </c>
      <c r="E186" s="63" t="s">
        <v>35</v>
      </c>
      <c r="F186" s="81" t="s">
        <v>165</v>
      </c>
      <c r="G186" s="64">
        <v>0</v>
      </c>
      <c r="H186" s="64">
        <v>0</v>
      </c>
      <c r="I186" s="64">
        <v>0</v>
      </c>
      <c r="J186" s="65">
        <v>0</v>
      </c>
    </row>
    <row r="187" spans="1:10" x14ac:dyDescent="0.2">
      <c r="A187" s="57">
        <v>2</v>
      </c>
      <c r="B187" s="58">
        <v>2</v>
      </c>
      <c r="C187" s="58">
        <v>8</v>
      </c>
      <c r="D187" s="58">
        <v>5</v>
      </c>
      <c r="E187" s="58"/>
      <c r="F187" s="82" t="s">
        <v>166</v>
      </c>
      <c r="G187" s="59">
        <v>0</v>
      </c>
      <c r="H187" s="59">
        <v>147500</v>
      </c>
      <c r="I187" s="59">
        <v>147500</v>
      </c>
      <c r="J187" s="60"/>
    </row>
    <row r="188" spans="1:10" x14ac:dyDescent="0.2">
      <c r="A188" s="61">
        <v>2</v>
      </c>
      <c r="B188" s="62">
        <v>2</v>
      </c>
      <c r="C188" s="62">
        <v>8</v>
      </c>
      <c r="D188" s="62">
        <v>5</v>
      </c>
      <c r="E188" s="63" t="s">
        <v>35</v>
      </c>
      <c r="F188" s="81" t="s">
        <v>167</v>
      </c>
      <c r="G188" s="64">
        <v>0</v>
      </c>
      <c r="H188" s="64">
        <v>147500</v>
      </c>
      <c r="I188" s="64">
        <v>147500</v>
      </c>
      <c r="J188" s="65">
        <v>1.2338238931894245E-3</v>
      </c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37</v>
      </c>
      <c r="F189" s="81" t="s">
        <v>168</v>
      </c>
      <c r="G189" s="64">
        <v>0</v>
      </c>
      <c r="H189" s="64">
        <v>0</v>
      </c>
      <c r="I189" s="64">
        <v>0</v>
      </c>
      <c r="J189" s="65"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39</v>
      </c>
      <c r="F190" s="81" t="s">
        <v>169</v>
      </c>
      <c r="G190" s="64">
        <v>0</v>
      </c>
      <c r="H190" s="64">
        <v>0</v>
      </c>
      <c r="I190" s="64">
        <v>0</v>
      </c>
      <c r="J190" s="65">
        <v>0</v>
      </c>
    </row>
    <row r="191" spans="1:10" x14ac:dyDescent="0.2">
      <c r="A191" s="57">
        <v>2</v>
      </c>
      <c r="B191" s="58">
        <v>2</v>
      </c>
      <c r="C191" s="58">
        <v>8</v>
      </c>
      <c r="D191" s="58">
        <v>6</v>
      </c>
      <c r="E191" s="58"/>
      <c r="F191" s="82" t="s">
        <v>170</v>
      </c>
      <c r="G191" s="59">
        <v>0</v>
      </c>
      <c r="H191" s="59">
        <v>0</v>
      </c>
      <c r="I191" s="59">
        <v>0</v>
      </c>
      <c r="J191" s="60"/>
    </row>
    <row r="192" spans="1:10" x14ac:dyDescent="0.2">
      <c r="A192" s="61">
        <v>2</v>
      </c>
      <c r="B192" s="62">
        <v>2</v>
      </c>
      <c r="C192" s="62">
        <v>8</v>
      </c>
      <c r="D192" s="62">
        <v>6</v>
      </c>
      <c r="E192" s="63" t="s">
        <v>35</v>
      </c>
      <c r="F192" s="81" t="s">
        <v>171</v>
      </c>
      <c r="G192" s="64">
        <v>0</v>
      </c>
      <c r="H192" s="64">
        <v>0</v>
      </c>
      <c r="I192" s="64">
        <v>0</v>
      </c>
      <c r="J192" s="65">
        <v>0</v>
      </c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37</v>
      </c>
      <c r="F193" s="81" t="s">
        <v>172</v>
      </c>
      <c r="G193" s="64">
        <v>0</v>
      </c>
      <c r="H193" s="64">
        <v>0</v>
      </c>
      <c r="I193" s="64">
        <v>0</v>
      </c>
      <c r="J193" s="65"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39</v>
      </c>
      <c r="F194" s="81" t="s">
        <v>173</v>
      </c>
      <c r="G194" s="64">
        <v>0</v>
      </c>
      <c r="H194" s="64">
        <v>0</v>
      </c>
      <c r="I194" s="64">
        <v>0</v>
      </c>
      <c r="J194" s="65"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41</v>
      </c>
      <c r="F195" s="81" t="s">
        <v>174</v>
      </c>
      <c r="G195" s="64">
        <v>0</v>
      </c>
      <c r="H195" s="64">
        <v>0</v>
      </c>
      <c r="I195" s="64">
        <v>0</v>
      </c>
      <c r="J195" s="65">
        <v>0</v>
      </c>
    </row>
    <row r="196" spans="1:10" x14ac:dyDescent="0.2">
      <c r="A196" s="57">
        <v>2</v>
      </c>
      <c r="B196" s="58">
        <v>2</v>
      </c>
      <c r="C196" s="58">
        <v>8</v>
      </c>
      <c r="D196" s="58">
        <v>7</v>
      </c>
      <c r="E196" s="58"/>
      <c r="F196" s="82" t="s">
        <v>175</v>
      </c>
      <c r="G196" s="59">
        <v>0</v>
      </c>
      <c r="H196" s="59">
        <v>561871.88</v>
      </c>
      <c r="I196" s="59">
        <v>561871.88</v>
      </c>
      <c r="J196" s="60"/>
    </row>
    <row r="197" spans="1:10" x14ac:dyDescent="0.2">
      <c r="A197" s="61">
        <v>2</v>
      </c>
      <c r="B197" s="62">
        <v>2</v>
      </c>
      <c r="C197" s="62">
        <v>8</v>
      </c>
      <c r="D197" s="62">
        <v>7</v>
      </c>
      <c r="E197" s="63" t="s">
        <v>35</v>
      </c>
      <c r="F197" s="81" t="s">
        <v>176</v>
      </c>
      <c r="G197" s="64">
        <v>0</v>
      </c>
      <c r="H197" s="64">
        <v>39530</v>
      </c>
      <c r="I197" s="64">
        <v>39530</v>
      </c>
      <c r="J197" s="65">
        <v>3.3066480337476579E-4</v>
      </c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37</v>
      </c>
      <c r="F198" s="81" t="s">
        <v>177</v>
      </c>
      <c r="G198" s="64">
        <v>0</v>
      </c>
      <c r="H198" s="64">
        <v>0</v>
      </c>
      <c r="I198" s="64">
        <v>0</v>
      </c>
      <c r="J198" s="65"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39</v>
      </c>
      <c r="F199" s="81" t="s">
        <v>178</v>
      </c>
      <c r="G199" s="64">
        <v>0</v>
      </c>
      <c r="H199" s="64">
        <v>0</v>
      </c>
      <c r="I199" s="64">
        <v>0</v>
      </c>
      <c r="J199" s="65"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41</v>
      </c>
      <c r="F200" s="81" t="s">
        <v>179</v>
      </c>
      <c r="G200" s="64">
        <v>0</v>
      </c>
      <c r="H200" s="64">
        <v>0</v>
      </c>
      <c r="I200" s="64">
        <v>0</v>
      </c>
      <c r="J200" s="65"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43</v>
      </c>
      <c r="F201" s="81" t="s">
        <v>180</v>
      </c>
      <c r="G201" s="64">
        <v>0</v>
      </c>
      <c r="H201" s="64">
        <v>0</v>
      </c>
      <c r="I201" s="64">
        <v>0</v>
      </c>
      <c r="J201" s="65"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45</v>
      </c>
      <c r="F202" s="81" t="s">
        <v>181</v>
      </c>
      <c r="G202" s="64">
        <v>0</v>
      </c>
      <c r="H202" s="64">
        <v>522341.88</v>
      </c>
      <c r="I202" s="64">
        <v>522341.88</v>
      </c>
      <c r="J202" s="65">
        <v>4.3693416403897166E-3</v>
      </c>
    </row>
    <row r="203" spans="1:10" x14ac:dyDescent="0.2">
      <c r="A203" s="57">
        <v>2</v>
      </c>
      <c r="B203" s="58">
        <v>2</v>
      </c>
      <c r="C203" s="58">
        <v>8</v>
      </c>
      <c r="D203" s="58">
        <v>8</v>
      </c>
      <c r="E203" s="58"/>
      <c r="F203" s="82" t="s">
        <v>182</v>
      </c>
      <c r="G203" s="59">
        <v>0</v>
      </c>
      <c r="H203" s="59">
        <v>0</v>
      </c>
      <c r="I203" s="59">
        <v>0</v>
      </c>
      <c r="J203" s="60"/>
    </row>
    <row r="204" spans="1:10" x14ac:dyDescent="0.2">
      <c r="A204" s="61">
        <v>2</v>
      </c>
      <c r="B204" s="62">
        <v>2</v>
      </c>
      <c r="C204" s="62">
        <v>8</v>
      </c>
      <c r="D204" s="62">
        <v>8</v>
      </c>
      <c r="E204" s="63" t="s">
        <v>35</v>
      </c>
      <c r="F204" s="81" t="s">
        <v>183</v>
      </c>
      <c r="G204" s="64">
        <v>0</v>
      </c>
      <c r="H204" s="64">
        <v>0</v>
      </c>
      <c r="I204" s="64">
        <v>0</v>
      </c>
      <c r="J204" s="65">
        <v>0</v>
      </c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37</v>
      </c>
      <c r="F205" s="81" t="s">
        <v>184</v>
      </c>
      <c r="G205" s="64">
        <v>0</v>
      </c>
      <c r="H205" s="64">
        <v>0</v>
      </c>
      <c r="I205" s="64">
        <v>0</v>
      </c>
      <c r="J205" s="65">
        <v>0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39</v>
      </c>
      <c r="F206" s="81" t="s">
        <v>185</v>
      </c>
      <c r="G206" s="64">
        <v>0</v>
      </c>
      <c r="H206" s="64">
        <v>0</v>
      </c>
      <c r="I206" s="64">
        <v>0</v>
      </c>
      <c r="J206" s="65">
        <v>0</v>
      </c>
    </row>
    <row r="207" spans="1:10" x14ac:dyDescent="0.2">
      <c r="A207" s="54">
        <v>2</v>
      </c>
      <c r="B207" s="55">
        <v>2</v>
      </c>
      <c r="C207" s="55">
        <v>9</v>
      </c>
      <c r="D207" s="55"/>
      <c r="E207" s="55"/>
      <c r="F207" s="83" t="s">
        <v>186</v>
      </c>
      <c r="G207" s="56">
        <v>0</v>
      </c>
      <c r="H207" s="56">
        <v>0</v>
      </c>
      <c r="I207" s="56">
        <v>0</v>
      </c>
      <c r="J207" s="53"/>
    </row>
    <row r="208" spans="1:10" x14ac:dyDescent="0.2">
      <c r="A208" s="57">
        <v>2</v>
      </c>
      <c r="B208" s="58">
        <v>2</v>
      </c>
      <c r="C208" s="58">
        <v>9</v>
      </c>
      <c r="D208" s="58">
        <v>2</v>
      </c>
      <c r="E208" s="58"/>
      <c r="F208" s="82" t="s">
        <v>187</v>
      </c>
      <c r="G208" s="59">
        <v>0</v>
      </c>
      <c r="H208" s="59">
        <v>0</v>
      </c>
      <c r="I208" s="59">
        <v>0</v>
      </c>
      <c r="J208" s="60"/>
    </row>
    <row r="209" spans="1:10" x14ac:dyDescent="0.2">
      <c r="A209" s="61">
        <v>2</v>
      </c>
      <c r="B209" s="62">
        <v>2</v>
      </c>
      <c r="C209" s="62">
        <v>9</v>
      </c>
      <c r="D209" s="62">
        <v>2</v>
      </c>
      <c r="E209" s="63" t="s">
        <v>35</v>
      </c>
      <c r="F209" s="81" t="s">
        <v>188</v>
      </c>
      <c r="G209" s="64">
        <v>0</v>
      </c>
      <c r="H209" s="64">
        <v>0</v>
      </c>
      <c r="I209" s="64">
        <v>0</v>
      </c>
      <c r="J209" s="65">
        <v>0</v>
      </c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39</v>
      </c>
      <c r="F210" s="81" t="s">
        <v>189</v>
      </c>
      <c r="G210" s="64">
        <v>0</v>
      </c>
      <c r="H210" s="64">
        <v>0</v>
      </c>
      <c r="I210" s="64">
        <v>0</v>
      </c>
      <c r="J210" s="65">
        <v>0</v>
      </c>
    </row>
    <row r="211" spans="1:10" x14ac:dyDescent="0.2">
      <c r="A211" s="70">
        <v>2</v>
      </c>
      <c r="B211" s="55">
        <v>3</v>
      </c>
      <c r="C211" s="55"/>
      <c r="D211" s="55"/>
      <c r="E211" s="55"/>
      <c r="F211" s="83" t="s">
        <v>190</v>
      </c>
      <c r="G211" s="56">
        <v>26146219.530000001</v>
      </c>
      <c r="H211" s="56">
        <v>3444623.87</v>
      </c>
      <c r="I211" s="56">
        <v>29590843.400000002</v>
      </c>
      <c r="J211" s="53">
        <v>0.24752467529862096</v>
      </c>
    </row>
    <row r="212" spans="1:10" x14ac:dyDescent="0.2">
      <c r="A212" s="70">
        <v>2</v>
      </c>
      <c r="B212" s="55">
        <v>3</v>
      </c>
      <c r="C212" s="55">
        <v>1</v>
      </c>
      <c r="D212" s="55"/>
      <c r="E212" s="55"/>
      <c r="F212" s="83" t="s">
        <v>191</v>
      </c>
      <c r="G212" s="56">
        <v>1787251.81</v>
      </c>
      <c r="H212" s="56">
        <v>360730</v>
      </c>
      <c r="I212" s="56">
        <v>2147981.81</v>
      </c>
      <c r="J212" s="53"/>
    </row>
    <row r="213" spans="1:10" x14ac:dyDescent="0.2">
      <c r="A213" s="72">
        <v>2</v>
      </c>
      <c r="B213" s="58">
        <v>3</v>
      </c>
      <c r="C213" s="58">
        <v>1</v>
      </c>
      <c r="D213" s="58">
        <v>1</v>
      </c>
      <c r="E213" s="77"/>
      <c r="F213" s="82" t="s">
        <v>192</v>
      </c>
      <c r="G213" s="59">
        <v>1633851.6</v>
      </c>
      <c r="H213" s="59">
        <v>360730</v>
      </c>
      <c r="I213" s="59">
        <v>1994581.6</v>
      </c>
      <c r="J213" s="60"/>
    </row>
    <row r="214" spans="1:10" x14ac:dyDescent="0.2">
      <c r="A214" s="74">
        <v>2</v>
      </c>
      <c r="B214" s="62">
        <v>3</v>
      </c>
      <c r="C214" s="62">
        <v>1</v>
      </c>
      <c r="D214" s="62">
        <v>1</v>
      </c>
      <c r="E214" s="63" t="s">
        <v>35</v>
      </c>
      <c r="F214" s="81" t="s">
        <v>192</v>
      </c>
      <c r="G214" s="64">
        <v>1633851.6</v>
      </c>
      <c r="H214" s="64">
        <v>360730</v>
      </c>
      <c r="I214" s="64">
        <v>1994581.6</v>
      </c>
      <c r="J214" s="65">
        <v>1.6684491084718589E-2</v>
      </c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37</v>
      </c>
      <c r="F215" s="81" t="s">
        <v>193</v>
      </c>
      <c r="G215" s="64">
        <v>0</v>
      </c>
      <c r="H215" s="64">
        <v>0</v>
      </c>
      <c r="I215" s="64">
        <v>0</v>
      </c>
      <c r="J215" s="65">
        <v>0</v>
      </c>
    </row>
    <row r="216" spans="1:10" x14ac:dyDescent="0.2">
      <c r="A216" s="72">
        <v>2</v>
      </c>
      <c r="B216" s="58">
        <v>3</v>
      </c>
      <c r="C216" s="58">
        <v>1</v>
      </c>
      <c r="D216" s="58">
        <v>2</v>
      </c>
      <c r="E216" s="77"/>
      <c r="F216" s="82" t="s">
        <v>194</v>
      </c>
      <c r="G216" s="59">
        <v>0</v>
      </c>
      <c r="H216" s="59">
        <v>0</v>
      </c>
      <c r="I216" s="59">
        <v>0</v>
      </c>
      <c r="J216" s="60"/>
    </row>
    <row r="217" spans="1:10" x14ac:dyDescent="0.2">
      <c r="A217" s="74">
        <v>2</v>
      </c>
      <c r="B217" s="62">
        <v>3</v>
      </c>
      <c r="C217" s="62">
        <v>1</v>
      </c>
      <c r="D217" s="62">
        <v>2</v>
      </c>
      <c r="E217" s="63" t="s">
        <v>35</v>
      </c>
      <c r="F217" s="81" t="s">
        <v>194</v>
      </c>
      <c r="G217" s="64">
        <v>0</v>
      </c>
      <c r="H217" s="64">
        <v>0</v>
      </c>
      <c r="I217" s="64">
        <v>0</v>
      </c>
      <c r="J217" s="65">
        <v>0</v>
      </c>
    </row>
    <row r="218" spans="1:10" x14ac:dyDescent="0.2">
      <c r="A218" s="72">
        <v>2</v>
      </c>
      <c r="B218" s="58">
        <v>3</v>
      </c>
      <c r="C218" s="58">
        <v>1</v>
      </c>
      <c r="D218" s="58">
        <v>3</v>
      </c>
      <c r="E218" s="58"/>
      <c r="F218" s="82" t="s">
        <v>195</v>
      </c>
      <c r="G218" s="59">
        <v>153400.21</v>
      </c>
      <c r="H218" s="59">
        <v>0</v>
      </c>
      <c r="I218" s="59">
        <v>153400.21</v>
      </c>
      <c r="J218" s="60"/>
    </row>
    <row r="219" spans="1:10" x14ac:dyDescent="0.2">
      <c r="A219" s="74">
        <v>2</v>
      </c>
      <c r="B219" s="62">
        <v>3</v>
      </c>
      <c r="C219" s="62">
        <v>1</v>
      </c>
      <c r="D219" s="62">
        <v>3</v>
      </c>
      <c r="E219" s="63" t="s">
        <v>35</v>
      </c>
      <c r="F219" s="81" t="s">
        <v>196</v>
      </c>
      <c r="G219" s="64">
        <v>0</v>
      </c>
      <c r="H219" s="64">
        <v>0</v>
      </c>
      <c r="I219" s="64">
        <v>0</v>
      </c>
      <c r="J219" s="65">
        <v>0</v>
      </c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37</v>
      </c>
      <c r="F220" s="81" t="s">
        <v>197</v>
      </c>
      <c r="G220" s="64">
        <v>0</v>
      </c>
      <c r="H220" s="64">
        <v>0</v>
      </c>
      <c r="I220" s="64">
        <v>0</v>
      </c>
      <c r="J220" s="65"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39</v>
      </c>
      <c r="F221" s="81" t="s">
        <v>198</v>
      </c>
      <c r="G221" s="64">
        <v>153400.21</v>
      </c>
      <c r="H221" s="64">
        <v>0</v>
      </c>
      <c r="I221" s="64">
        <v>153400.21</v>
      </c>
      <c r="J221" s="65">
        <v>1.283178605547629E-3</v>
      </c>
    </row>
    <row r="222" spans="1:10" x14ac:dyDescent="0.2">
      <c r="A222" s="72">
        <v>2</v>
      </c>
      <c r="B222" s="58">
        <v>3</v>
      </c>
      <c r="C222" s="58">
        <v>1</v>
      </c>
      <c r="D222" s="58">
        <v>4</v>
      </c>
      <c r="E222" s="58"/>
      <c r="F222" s="82" t="s">
        <v>199</v>
      </c>
      <c r="G222" s="59">
        <v>0</v>
      </c>
      <c r="H222" s="59">
        <v>0</v>
      </c>
      <c r="I222" s="59">
        <v>0</v>
      </c>
      <c r="J222" s="60"/>
    </row>
    <row r="223" spans="1:10" x14ac:dyDescent="0.2">
      <c r="A223" s="74">
        <v>2</v>
      </c>
      <c r="B223" s="62">
        <v>3</v>
      </c>
      <c r="C223" s="62">
        <v>1</v>
      </c>
      <c r="D223" s="62">
        <v>4</v>
      </c>
      <c r="E223" s="63" t="s">
        <v>35</v>
      </c>
      <c r="F223" s="81" t="s">
        <v>199</v>
      </c>
      <c r="G223" s="64">
        <v>0</v>
      </c>
      <c r="H223" s="64">
        <v>0</v>
      </c>
      <c r="I223" s="64">
        <v>0</v>
      </c>
      <c r="J223" s="65">
        <v>0</v>
      </c>
    </row>
    <row r="224" spans="1:10" x14ac:dyDescent="0.2">
      <c r="A224" s="70">
        <v>2</v>
      </c>
      <c r="B224" s="55">
        <v>3</v>
      </c>
      <c r="C224" s="55">
        <v>2</v>
      </c>
      <c r="D224" s="55"/>
      <c r="E224" s="78"/>
      <c r="F224" s="83" t="s">
        <v>200</v>
      </c>
      <c r="G224" s="56">
        <v>1577150.69</v>
      </c>
      <c r="H224" s="56">
        <v>0</v>
      </c>
      <c r="I224" s="56">
        <v>1577150.69</v>
      </c>
      <c r="J224" s="53"/>
    </row>
    <row r="225" spans="1:10" x14ac:dyDescent="0.2">
      <c r="A225" s="72">
        <v>2</v>
      </c>
      <c r="B225" s="58">
        <v>3</v>
      </c>
      <c r="C225" s="58">
        <v>2</v>
      </c>
      <c r="D225" s="58">
        <v>1</v>
      </c>
      <c r="E225" s="58"/>
      <c r="F225" s="82" t="s">
        <v>201</v>
      </c>
      <c r="G225" s="59">
        <v>0</v>
      </c>
      <c r="H225" s="59">
        <v>0</v>
      </c>
      <c r="I225" s="59">
        <v>0</v>
      </c>
      <c r="J225" s="60"/>
    </row>
    <row r="226" spans="1:10" x14ac:dyDescent="0.2">
      <c r="A226" s="74">
        <v>2</v>
      </c>
      <c r="B226" s="62">
        <v>3</v>
      </c>
      <c r="C226" s="62">
        <v>2</v>
      </c>
      <c r="D226" s="62">
        <v>1</v>
      </c>
      <c r="E226" s="63" t="s">
        <v>35</v>
      </c>
      <c r="F226" s="81" t="s">
        <v>201</v>
      </c>
      <c r="G226" s="64">
        <v>0</v>
      </c>
      <c r="H226" s="64">
        <v>0</v>
      </c>
      <c r="I226" s="64">
        <v>0</v>
      </c>
      <c r="J226" s="65">
        <v>0</v>
      </c>
    </row>
    <row r="227" spans="1:10" x14ac:dyDescent="0.2">
      <c r="A227" s="72">
        <v>2</v>
      </c>
      <c r="B227" s="58">
        <v>3</v>
      </c>
      <c r="C227" s="58">
        <v>2</v>
      </c>
      <c r="D227" s="58">
        <v>2</v>
      </c>
      <c r="E227" s="58"/>
      <c r="F227" s="82" t="s">
        <v>202</v>
      </c>
      <c r="G227" s="59">
        <v>1365869.33</v>
      </c>
      <c r="H227" s="59">
        <v>0</v>
      </c>
      <c r="I227" s="59">
        <v>1365869.33</v>
      </c>
      <c r="J227" s="60"/>
    </row>
    <row r="228" spans="1:10" x14ac:dyDescent="0.2">
      <c r="A228" s="74">
        <v>2</v>
      </c>
      <c r="B228" s="62">
        <v>3</v>
      </c>
      <c r="C228" s="62">
        <v>2</v>
      </c>
      <c r="D228" s="62">
        <v>2</v>
      </c>
      <c r="E228" s="63" t="s">
        <v>35</v>
      </c>
      <c r="F228" s="81" t="s">
        <v>202</v>
      </c>
      <c r="G228" s="64">
        <v>1365869.33</v>
      </c>
      <c r="H228" s="64">
        <v>0</v>
      </c>
      <c r="I228" s="64">
        <v>1365869.33</v>
      </c>
      <c r="J228" s="65">
        <v>1.1425370944600888E-2</v>
      </c>
    </row>
    <row r="229" spans="1:10" x14ac:dyDescent="0.2">
      <c r="A229" s="72">
        <v>2</v>
      </c>
      <c r="B229" s="58">
        <v>3</v>
      </c>
      <c r="C229" s="58">
        <v>2</v>
      </c>
      <c r="D229" s="58">
        <v>3</v>
      </c>
      <c r="E229" s="58"/>
      <c r="F229" s="82" t="s">
        <v>203</v>
      </c>
      <c r="G229" s="59">
        <v>211281.36</v>
      </c>
      <c r="H229" s="59">
        <v>0</v>
      </c>
      <c r="I229" s="59">
        <v>211281.36</v>
      </c>
      <c r="J229" s="60"/>
    </row>
    <row r="230" spans="1:10" x14ac:dyDescent="0.2">
      <c r="A230" s="74">
        <v>2</v>
      </c>
      <c r="B230" s="62">
        <v>3</v>
      </c>
      <c r="C230" s="62">
        <v>2</v>
      </c>
      <c r="D230" s="62">
        <v>3</v>
      </c>
      <c r="E230" s="63" t="s">
        <v>35</v>
      </c>
      <c r="F230" s="81" t="s">
        <v>203</v>
      </c>
      <c r="G230" s="64">
        <v>211281.36</v>
      </c>
      <c r="H230" s="64">
        <v>0</v>
      </c>
      <c r="I230" s="64">
        <v>211281.36</v>
      </c>
      <c r="J230" s="65">
        <v>1.7673490857868228E-3</v>
      </c>
    </row>
    <row r="231" spans="1:10" x14ac:dyDescent="0.2">
      <c r="A231" s="70">
        <v>2</v>
      </c>
      <c r="B231" s="55">
        <v>3</v>
      </c>
      <c r="C231" s="55">
        <v>3</v>
      </c>
      <c r="D231" s="55"/>
      <c r="E231" s="78"/>
      <c r="F231" s="83" t="s">
        <v>204</v>
      </c>
      <c r="G231" s="56">
        <v>1579886.66</v>
      </c>
      <c r="H231" s="56">
        <v>26550</v>
      </c>
      <c r="I231" s="56">
        <v>1606436.66</v>
      </c>
      <c r="J231" s="53"/>
    </row>
    <row r="232" spans="1:10" x14ac:dyDescent="0.2">
      <c r="A232" s="72">
        <v>2</v>
      </c>
      <c r="B232" s="58">
        <v>3</v>
      </c>
      <c r="C232" s="58">
        <v>3</v>
      </c>
      <c r="D232" s="58">
        <v>1</v>
      </c>
      <c r="E232" s="58"/>
      <c r="F232" s="82" t="s">
        <v>205</v>
      </c>
      <c r="G232" s="59">
        <v>281721.46000000002</v>
      </c>
      <c r="H232" s="59">
        <v>0</v>
      </c>
      <c r="I232" s="59">
        <v>281721.46000000002</v>
      </c>
      <c r="J232" s="60"/>
    </row>
    <row r="233" spans="1:10" x14ac:dyDescent="0.2">
      <c r="A233" s="74">
        <v>2</v>
      </c>
      <c r="B233" s="62">
        <v>3</v>
      </c>
      <c r="C233" s="62">
        <v>3</v>
      </c>
      <c r="D233" s="62">
        <v>1</v>
      </c>
      <c r="E233" s="63" t="s">
        <v>35</v>
      </c>
      <c r="F233" s="81" t="s">
        <v>205</v>
      </c>
      <c r="G233" s="64">
        <v>281721.46000000002</v>
      </c>
      <c r="H233" s="64">
        <v>0</v>
      </c>
      <c r="I233" s="64">
        <v>281721.46000000002</v>
      </c>
      <c r="J233" s="65">
        <v>2.3565740242183645E-3</v>
      </c>
    </row>
    <row r="234" spans="1:10" x14ac:dyDescent="0.2">
      <c r="A234" s="72">
        <v>2</v>
      </c>
      <c r="B234" s="58">
        <v>3</v>
      </c>
      <c r="C234" s="58">
        <v>3</v>
      </c>
      <c r="D234" s="58">
        <v>2</v>
      </c>
      <c r="E234" s="58"/>
      <c r="F234" s="82" t="s">
        <v>206</v>
      </c>
      <c r="G234" s="59">
        <v>999625.2</v>
      </c>
      <c r="H234" s="59">
        <v>26550</v>
      </c>
      <c r="I234" s="59">
        <v>1026175.2</v>
      </c>
      <c r="J234" s="60"/>
    </row>
    <row r="235" spans="1:10" x14ac:dyDescent="0.2">
      <c r="A235" s="74">
        <v>2</v>
      </c>
      <c r="B235" s="62">
        <v>3</v>
      </c>
      <c r="C235" s="62">
        <v>3</v>
      </c>
      <c r="D235" s="62">
        <v>2</v>
      </c>
      <c r="E235" s="63" t="s">
        <v>35</v>
      </c>
      <c r="F235" s="81" t="s">
        <v>206</v>
      </c>
      <c r="G235" s="64">
        <v>999625.2</v>
      </c>
      <c r="H235" s="64">
        <v>26550</v>
      </c>
      <c r="I235" s="64">
        <v>1026175.2</v>
      </c>
      <c r="J235" s="65">
        <v>8.5838608837860101E-3</v>
      </c>
    </row>
    <row r="236" spans="1:10" x14ac:dyDescent="0.2">
      <c r="A236" s="72">
        <v>2</v>
      </c>
      <c r="B236" s="58">
        <v>3</v>
      </c>
      <c r="C236" s="58">
        <v>3</v>
      </c>
      <c r="D236" s="58">
        <v>3</v>
      </c>
      <c r="E236" s="58"/>
      <c r="F236" s="82" t="s">
        <v>207</v>
      </c>
      <c r="G236" s="59">
        <v>298540</v>
      </c>
      <c r="H236" s="59">
        <v>0</v>
      </c>
      <c r="I236" s="59">
        <v>298540</v>
      </c>
      <c r="J236" s="60"/>
    </row>
    <row r="237" spans="1:10" x14ac:dyDescent="0.2">
      <c r="A237" s="74">
        <v>2</v>
      </c>
      <c r="B237" s="62">
        <v>3</v>
      </c>
      <c r="C237" s="62">
        <v>3</v>
      </c>
      <c r="D237" s="62">
        <v>3</v>
      </c>
      <c r="E237" s="63" t="s">
        <v>35</v>
      </c>
      <c r="F237" s="81" t="s">
        <v>207</v>
      </c>
      <c r="G237" s="64">
        <v>298540</v>
      </c>
      <c r="H237" s="64">
        <v>0</v>
      </c>
      <c r="I237" s="64">
        <v>298540</v>
      </c>
      <c r="J237" s="65">
        <v>2.4972595598153954E-3</v>
      </c>
    </row>
    <row r="238" spans="1:10" x14ac:dyDescent="0.2">
      <c r="A238" s="72">
        <v>2</v>
      </c>
      <c r="B238" s="58">
        <v>3</v>
      </c>
      <c r="C238" s="58">
        <v>3</v>
      </c>
      <c r="D238" s="58">
        <v>4</v>
      </c>
      <c r="E238" s="58"/>
      <c r="F238" s="82" t="s">
        <v>208</v>
      </c>
      <c r="G238" s="59">
        <v>0</v>
      </c>
      <c r="H238" s="59">
        <v>0</v>
      </c>
      <c r="I238" s="59">
        <v>0</v>
      </c>
      <c r="J238" s="60"/>
    </row>
    <row r="239" spans="1:10" x14ac:dyDescent="0.2">
      <c r="A239" s="74">
        <v>2</v>
      </c>
      <c r="B239" s="62">
        <v>3</v>
      </c>
      <c r="C239" s="62">
        <v>3</v>
      </c>
      <c r="D239" s="62">
        <v>4</v>
      </c>
      <c r="E239" s="63" t="s">
        <v>35</v>
      </c>
      <c r="F239" s="81" t="s">
        <v>208</v>
      </c>
      <c r="G239" s="64">
        <v>0</v>
      </c>
      <c r="H239" s="64">
        <v>0</v>
      </c>
      <c r="I239" s="64">
        <v>0</v>
      </c>
      <c r="J239" s="65">
        <v>0</v>
      </c>
    </row>
    <row r="240" spans="1:10" x14ac:dyDescent="0.2">
      <c r="A240" s="72">
        <v>2</v>
      </c>
      <c r="B240" s="58">
        <v>3</v>
      </c>
      <c r="C240" s="58">
        <v>3</v>
      </c>
      <c r="D240" s="58">
        <v>5</v>
      </c>
      <c r="E240" s="58"/>
      <c r="F240" s="82" t="s">
        <v>209</v>
      </c>
      <c r="G240" s="59">
        <v>0</v>
      </c>
      <c r="H240" s="59">
        <v>0</v>
      </c>
      <c r="I240" s="59">
        <v>0</v>
      </c>
      <c r="J240" s="60"/>
    </row>
    <row r="241" spans="1:10" x14ac:dyDescent="0.2">
      <c r="A241" s="74">
        <v>2</v>
      </c>
      <c r="B241" s="62">
        <v>3</v>
      </c>
      <c r="C241" s="62">
        <v>3</v>
      </c>
      <c r="D241" s="62">
        <v>5</v>
      </c>
      <c r="E241" s="63" t="s">
        <v>35</v>
      </c>
      <c r="F241" s="81" t="s">
        <v>209</v>
      </c>
      <c r="G241" s="64">
        <v>0</v>
      </c>
      <c r="H241" s="64">
        <v>0</v>
      </c>
      <c r="I241" s="64">
        <v>0</v>
      </c>
      <c r="J241" s="65">
        <v>0</v>
      </c>
    </row>
    <row r="242" spans="1:10" x14ac:dyDescent="0.2">
      <c r="A242" s="72">
        <v>2</v>
      </c>
      <c r="B242" s="58">
        <v>3</v>
      </c>
      <c r="C242" s="58">
        <v>3</v>
      </c>
      <c r="D242" s="58">
        <v>6</v>
      </c>
      <c r="E242" s="58"/>
      <c r="F242" s="82" t="s">
        <v>210</v>
      </c>
      <c r="G242" s="59">
        <v>0</v>
      </c>
      <c r="H242" s="59">
        <v>0</v>
      </c>
      <c r="I242" s="59">
        <v>0</v>
      </c>
      <c r="J242" s="60"/>
    </row>
    <row r="243" spans="1:10" x14ac:dyDescent="0.2">
      <c r="A243" s="74">
        <v>2</v>
      </c>
      <c r="B243" s="62">
        <v>3</v>
      </c>
      <c r="C243" s="62">
        <v>3</v>
      </c>
      <c r="D243" s="62">
        <v>6</v>
      </c>
      <c r="E243" s="63" t="s">
        <v>35</v>
      </c>
      <c r="F243" s="81" t="s">
        <v>210</v>
      </c>
      <c r="G243" s="64">
        <v>0</v>
      </c>
      <c r="H243" s="64">
        <v>0</v>
      </c>
      <c r="I243" s="64">
        <v>0</v>
      </c>
      <c r="J243" s="65">
        <v>0</v>
      </c>
    </row>
    <row r="244" spans="1:10" x14ac:dyDescent="0.2">
      <c r="A244" s="70">
        <v>2</v>
      </c>
      <c r="B244" s="55">
        <v>3</v>
      </c>
      <c r="C244" s="55">
        <v>4</v>
      </c>
      <c r="D244" s="55"/>
      <c r="E244" s="78"/>
      <c r="F244" s="83" t="s">
        <v>211</v>
      </c>
      <c r="G244" s="56">
        <v>6806505</v>
      </c>
      <c r="H244" s="56">
        <v>152800</v>
      </c>
      <c r="I244" s="56">
        <v>6959305</v>
      </c>
      <c r="J244" s="53"/>
    </row>
    <row r="245" spans="1:10" x14ac:dyDescent="0.2">
      <c r="A245" s="72">
        <v>2</v>
      </c>
      <c r="B245" s="58">
        <v>3</v>
      </c>
      <c r="C245" s="58">
        <v>4</v>
      </c>
      <c r="D245" s="58">
        <v>1</v>
      </c>
      <c r="E245" s="58"/>
      <c r="F245" s="82" t="s">
        <v>212</v>
      </c>
      <c r="G245" s="59">
        <v>6806505</v>
      </c>
      <c r="H245" s="59">
        <v>152800</v>
      </c>
      <c r="I245" s="59">
        <v>6959305</v>
      </c>
      <c r="J245" s="60"/>
    </row>
    <row r="246" spans="1:10" x14ac:dyDescent="0.2">
      <c r="A246" s="74">
        <v>2</v>
      </c>
      <c r="B246" s="62">
        <v>3</v>
      </c>
      <c r="C246" s="62">
        <v>4</v>
      </c>
      <c r="D246" s="62">
        <v>1</v>
      </c>
      <c r="E246" s="63" t="s">
        <v>35</v>
      </c>
      <c r="F246" s="81" t="s">
        <v>212</v>
      </c>
      <c r="G246" s="64">
        <v>6806505</v>
      </c>
      <c r="H246" s="64">
        <v>152800</v>
      </c>
      <c r="I246" s="64">
        <v>6959305</v>
      </c>
      <c r="J246" s="65">
        <v>5.8213944332153413E-2</v>
      </c>
    </row>
    <row r="247" spans="1:10" x14ac:dyDescent="0.2">
      <c r="A247" s="72">
        <v>2</v>
      </c>
      <c r="B247" s="58">
        <v>3</v>
      </c>
      <c r="C247" s="58">
        <v>4</v>
      </c>
      <c r="D247" s="58">
        <v>2</v>
      </c>
      <c r="E247" s="58"/>
      <c r="F247" s="82" t="s">
        <v>213</v>
      </c>
      <c r="G247" s="59">
        <v>0</v>
      </c>
      <c r="H247" s="59">
        <v>0</v>
      </c>
      <c r="I247" s="59">
        <v>0</v>
      </c>
      <c r="J247" s="60"/>
    </row>
    <row r="248" spans="1:10" x14ac:dyDescent="0.2">
      <c r="A248" s="74">
        <v>2</v>
      </c>
      <c r="B248" s="62">
        <v>3</v>
      </c>
      <c r="C248" s="62">
        <v>4</v>
      </c>
      <c r="D248" s="62">
        <v>2</v>
      </c>
      <c r="E248" s="63" t="s">
        <v>35</v>
      </c>
      <c r="F248" s="81" t="s">
        <v>213</v>
      </c>
      <c r="G248" s="64">
        <v>0</v>
      </c>
      <c r="H248" s="64">
        <v>0</v>
      </c>
      <c r="I248" s="64">
        <v>0</v>
      </c>
      <c r="J248" s="65">
        <v>0</v>
      </c>
    </row>
    <row r="249" spans="1:10" x14ac:dyDescent="0.2">
      <c r="A249" s="70">
        <v>2</v>
      </c>
      <c r="B249" s="55">
        <v>3</v>
      </c>
      <c r="C249" s="55">
        <v>5</v>
      </c>
      <c r="D249" s="55"/>
      <c r="E249" s="78"/>
      <c r="F249" s="83" t="s">
        <v>214</v>
      </c>
      <c r="G249" s="56">
        <v>655140.22</v>
      </c>
      <c r="H249" s="56">
        <v>77390.009999999995</v>
      </c>
      <c r="I249" s="56">
        <v>732530.23</v>
      </c>
      <c r="J249" s="53"/>
    </row>
    <row r="250" spans="1:10" x14ac:dyDescent="0.2">
      <c r="A250" s="72">
        <v>2</v>
      </c>
      <c r="B250" s="58">
        <v>3</v>
      </c>
      <c r="C250" s="58">
        <v>5</v>
      </c>
      <c r="D250" s="58">
        <v>1</v>
      </c>
      <c r="E250" s="58"/>
      <c r="F250" s="82" t="s">
        <v>215</v>
      </c>
      <c r="G250" s="59">
        <v>0</v>
      </c>
      <c r="H250" s="59">
        <v>0</v>
      </c>
      <c r="I250" s="59">
        <v>0</v>
      </c>
      <c r="J250" s="60"/>
    </row>
    <row r="251" spans="1:10" x14ac:dyDescent="0.2">
      <c r="A251" s="74">
        <v>2</v>
      </c>
      <c r="B251" s="62">
        <v>3</v>
      </c>
      <c r="C251" s="62">
        <v>5</v>
      </c>
      <c r="D251" s="62">
        <v>1</v>
      </c>
      <c r="E251" s="63" t="s">
        <v>35</v>
      </c>
      <c r="F251" s="81" t="s">
        <v>215</v>
      </c>
      <c r="G251" s="64">
        <v>0</v>
      </c>
      <c r="H251" s="64">
        <v>0</v>
      </c>
      <c r="I251" s="64">
        <v>0</v>
      </c>
      <c r="J251" s="65">
        <v>0</v>
      </c>
    </row>
    <row r="252" spans="1:10" x14ac:dyDescent="0.2">
      <c r="A252" s="72">
        <v>2</v>
      </c>
      <c r="B252" s="58">
        <v>3</v>
      </c>
      <c r="C252" s="58">
        <v>5</v>
      </c>
      <c r="D252" s="58">
        <v>2</v>
      </c>
      <c r="E252" s="58"/>
      <c r="F252" s="82" t="s">
        <v>216</v>
      </c>
      <c r="G252" s="59">
        <v>0</v>
      </c>
      <c r="H252" s="59">
        <v>0</v>
      </c>
      <c r="I252" s="59">
        <v>0</v>
      </c>
      <c r="J252" s="60"/>
    </row>
    <row r="253" spans="1:10" x14ac:dyDescent="0.2">
      <c r="A253" s="74">
        <v>2</v>
      </c>
      <c r="B253" s="62">
        <v>3</v>
      </c>
      <c r="C253" s="62">
        <v>5</v>
      </c>
      <c r="D253" s="62">
        <v>2</v>
      </c>
      <c r="E253" s="63" t="s">
        <v>35</v>
      </c>
      <c r="F253" s="81" t="s">
        <v>216</v>
      </c>
      <c r="G253" s="64">
        <v>0</v>
      </c>
      <c r="H253" s="64">
        <v>0</v>
      </c>
      <c r="I253" s="64">
        <v>0</v>
      </c>
      <c r="J253" s="65">
        <v>0</v>
      </c>
    </row>
    <row r="254" spans="1:10" x14ac:dyDescent="0.2">
      <c r="A254" s="72">
        <v>2</v>
      </c>
      <c r="B254" s="58">
        <v>3</v>
      </c>
      <c r="C254" s="58">
        <v>5</v>
      </c>
      <c r="D254" s="58">
        <v>3</v>
      </c>
      <c r="E254" s="58"/>
      <c r="F254" s="82" t="s">
        <v>217</v>
      </c>
      <c r="G254" s="59">
        <v>0</v>
      </c>
      <c r="H254" s="59">
        <v>0</v>
      </c>
      <c r="I254" s="59">
        <v>0</v>
      </c>
      <c r="J254" s="60"/>
    </row>
    <row r="255" spans="1:10" x14ac:dyDescent="0.2">
      <c r="A255" s="74">
        <v>2</v>
      </c>
      <c r="B255" s="62">
        <v>3</v>
      </c>
      <c r="C255" s="62">
        <v>5</v>
      </c>
      <c r="D255" s="62">
        <v>3</v>
      </c>
      <c r="E255" s="63" t="s">
        <v>35</v>
      </c>
      <c r="F255" s="81" t="s">
        <v>217</v>
      </c>
      <c r="G255" s="64">
        <v>0</v>
      </c>
      <c r="H255" s="64">
        <v>0</v>
      </c>
      <c r="I255" s="64">
        <v>0</v>
      </c>
      <c r="J255" s="65">
        <v>0</v>
      </c>
    </row>
    <row r="256" spans="1:10" x14ac:dyDescent="0.2">
      <c r="A256" s="72">
        <v>2</v>
      </c>
      <c r="B256" s="58">
        <v>3</v>
      </c>
      <c r="C256" s="58">
        <v>5</v>
      </c>
      <c r="D256" s="58">
        <v>4</v>
      </c>
      <c r="E256" s="58"/>
      <c r="F256" s="82" t="s">
        <v>218</v>
      </c>
      <c r="G256" s="59">
        <v>0</v>
      </c>
      <c r="H256" s="59">
        <v>0</v>
      </c>
      <c r="I256" s="59">
        <v>0</v>
      </c>
      <c r="J256" s="60"/>
    </row>
    <row r="257" spans="1:10" x14ac:dyDescent="0.2">
      <c r="A257" s="74">
        <v>2</v>
      </c>
      <c r="B257" s="62">
        <v>3</v>
      </c>
      <c r="C257" s="62">
        <v>5</v>
      </c>
      <c r="D257" s="62">
        <v>4</v>
      </c>
      <c r="E257" s="63" t="s">
        <v>35</v>
      </c>
      <c r="F257" s="81" t="s">
        <v>218</v>
      </c>
      <c r="G257" s="64">
        <v>0</v>
      </c>
      <c r="H257" s="64">
        <v>0</v>
      </c>
      <c r="I257" s="64">
        <v>0</v>
      </c>
      <c r="J257" s="65">
        <v>0</v>
      </c>
    </row>
    <row r="258" spans="1:10" x14ac:dyDescent="0.2">
      <c r="A258" s="72">
        <v>2</v>
      </c>
      <c r="B258" s="58">
        <v>3</v>
      </c>
      <c r="C258" s="58">
        <v>5</v>
      </c>
      <c r="D258" s="58">
        <v>5</v>
      </c>
      <c r="E258" s="58"/>
      <c r="F258" s="82" t="s">
        <v>219</v>
      </c>
      <c r="G258" s="59">
        <v>655140.22</v>
      </c>
      <c r="H258" s="59">
        <v>77390.009999999995</v>
      </c>
      <c r="I258" s="59">
        <v>732530.23</v>
      </c>
      <c r="J258" s="60"/>
    </row>
    <row r="259" spans="1:10" x14ac:dyDescent="0.2">
      <c r="A259" s="74">
        <v>2</v>
      </c>
      <c r="B259" s="62">
        <v>3</v>
      </c>
      <c r="C259" s="62">
        <v>5</v>
      </c>
      <c r="D259" s="62">
        <v>5</v>
      </c>
      <c r="E259" s="63" t="s">
        <v>35</v>
      </c>
      <c r="F259" s="81" t="s">
        <v>219</v>
      </c>
      <c r="G259" s="64">
        <v>655140.22</v>
      </c>
      <c r="H259" s="64">
        <v>77390.009999999995</v>
      </c>
      <c r="I259" s="64">
        <v>732530.23</v>
      </c>
      <c r="J259" s="65">
        <v>6.127547798356235E-3</v>
      </c>
    </row>
    <row r="260" spans="1:10" x14ac:dyDescent="0.2">
      <c r="A260" s="70">
        <v>2</v>
      </c>
      <c r="B260" s="55">
        <v>3</v>
      </c>
      <c r="C260" s="55">
        <v>6</v>
      </c>
      <c r="D260" s="55"/>
      <c r="E260" s="55"/>
      <c r="F260" s="83" t="s">
        <v>220</v>
      </c>
      <c r="G260" s="56">
        <v>0</v>
      </c>
      <c r="H260" s="56">
        <v>24157.95</v>
      </c>
      <c r="I260" s="56">
        <v>24157.95</v>
      </c>
      <c r="J260" s="53"/>
    </row>
    <row r="261" spans="1:10" x14ac:dyDescent="0.2">
      <c r="A261" s="72">
        <v>2</v>
      </c>
      <c r="B261" s="58">
        <v>3</v>
      </c>
      <c r="C261" s="58">
        <v>6</v>
      </c>
      <c r="D261" s="58">
        <v>1</v>
      </c>
      <c r="E261" s="58"/>
      <c r="F261" s="82" t="s">
        <v>221</v>
      </c>
      <c r="G261" s="59">
        <v>0</v>
      </c>
      <c r="H261" s="59">
        <v>1483.02</v>
      </c>
      <c r="I261" s="59">
        <v>1483.02</v>
      </c>
      <c r="J261" s="60"/>
    </row>
    <row r="262" spans="1:10" x14ac:dyDescent="0.2">
      <c r="A262" s="74">
        <v>2</v>
      </c>
      <c r="B262" s="62">
        <v>3</v>
      </c>
      <c r="C262" s="62">
        <v>6</v>
      </c>
      <c r="D262" s="62">
        <v>1</v>
      </c>
      <c r="E262" s="63" t="s">
        <v>35</v>
      </c>
      <c r="F262" s="81" t="s">
        <v>222</v>
      </c>
      <c r="G262" s="64">
        <v>0</v>
      </c>
      <c r="H262" s="64">
        <v>1483.02</v>
      </c>
      <c r="I262" s="64">
        <v>1483.02</v>
      </c>
      <c r="J262" s="65">
        <v>1.2405325492052748E-5</v>
      </c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37</v>
      </c>
      <c r="F263" s="81" t="s">
        <v>223</v>
      </c>
      <c r="G263" s="64">
        <v>0</v>
      </c>
      <c r="H263" s="64">
        <v>0</v>
      </c>
      <c r="I263" s="64">
        <v>0</v>
      </c>
      <c r="J263" s="65"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39</v>
      </c>
      <c r="F264" s="81" t="s">
        <v>224</v>
      </c>
      <c r="G264" s="64">
        <v>0</v>
      </c>
      <c r="H264" s="64">
        <v>0</v>
      </c>
      <c r="I264" s="64">
        <v>0</v>
      </c>
      <c r="J264" s="65"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41</v>
      </c>
      <c r="F265" s="81" t="s">
        <v>225</v>
      </c>
      <c r="G265" s="64">
        <v>0</v>
      </c>
      <c r="H265" s="64">
        <v>0</v>
      </c>
      <c r="I265" s="64">
        <v>0</v>
      </c>
      <c r="J265" s="65"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43</v>
      </c>
      <c r="F266" s="81" t="s">
        <v>226</v>
      </c>
      <c r="G266" s="64">
        <v>0</v>
      </c>
      <c r="H266" s="64">
        <v>0</v>
      </c>
      <c r="I266" s="64">
        <v>0</v>
      </c>
      <c r="J266" s="65">
        <v>0</v>
      </c>
    </row>
    <row r="267" spans="1:10" x14ac:dyDescent="0.2">
      <c r="A267" s="72">
        <v>2</v>
      </c>
      <c r="B267" s="58">
        <v>3</v>
      </c>
      <c r="C267" s="58">
        <v>6</v>
      </c>
      <c r="D267" s="58">
        <v>2</v>
      </c>
      <c r="E267" s="58"/>
      <c r="F267" s="82" t="s">
        <v>227</v>
      </c>
      <c r="G267" s="59">
        <v>0</v>
      </c>
      <c r="H267" s="59">
        <v>20574.93</v>
      </c>
      <c r="I267" s="59">
        <v>20574.93</v>
      </c>
      <c r="J267" s="60"/>
    </row>
    <row r="268" spans="1:10" x14ac:dyDescent="0.2">
      <c r="A268" s="74">
        <v>2</v>
      </c>
      <c r="B268" s="62">
        <v>3</v>
      </c>
      <c r="C268" s="62">
        <v>6</v>
      </c>
      <c r="D268" s="62">
        <v>2</v>
      </c>
      <c r="E268" s="63" t="s">
        <v>35</v>
      </c>
      <c r="F268" s="81" t="s">
        <v>228</v>
      </c>
      <c r="G268" s="64">
        <v>0</v>
      </c>
      <c r="H268" s="64">
        <v>0</v>
      </c>
      <c r="I268" s="64">
        <v>0</v>
      </c>
      <c r="J268" s="65">
        <v>0</v>
      </c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37</v>
      </c>
      <c r="F269" s="81" t="s">
        <v>229</v>
      </c>
      <c r="G269" s="64">
        <v>0</v>
      </c>
      <c r="H269" s="64">
        <v>20574.93</v>
      </c>
      <c r="I269" s="64">
        <v>20574.93</v>
      </c>
      <c r="J269" s="65">
        <v>1.7210739142169417E-4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39</v>
      </c>
      <c r="F270" s="81" t="s">
        <v>230</v>
      </c>
      <c r="G270" s="64">
        <v>0</v>
      </c>
      <c r="H270" s="64">
        <v>0</v>
      </c>
      <c r="I270" s="64">
        <v>0</v>
      </c>
      <c r="J270" s="65">
        <v>0</v>
      </c>
    </row>
    <row r="271" spans="1:10" x14ac:dyDescent="0.2">
      <c r="A271" s="72">
        <v>2</v>
      </c>
      <c r="B271" s="58">
        <v>3</v>
      </c>
      <c r="C271" s="58">
        <v>6</v>
      </c>
      <c r="D271" s="58">
        <v>3</v>
      </c>
      <c r="E271" s="58"/>
      <c r="F271" s="82" t="s">
        <v>231</v>
      </c>
      <c r="G271" s="59">
        <v>0</v>
      </c>
      <c r="H271" s="59">
        <v>2100</v>
      </c>
      <c r="I271" s="59">
        <v>2100</v>
      </c>
      <c r="J271" s="60"/>
    </row>
    <row r="272" spans="1:10" x14ac:dyDescent="0.2">
      <c r="A272" s="74">
        <v>2</v>
      </c>
      <c r="B272" s="62">
        <v>3</v>
      </c>
      <c r="C272" s="62">
        <v>6</v>
      </c>
      <c r="D272" s="62">
        <v>3</v>
      </c>
      <c r="E272" s="63" t="s">
        <v>41</v>
      </c>
      <c r="F272" s="81" t="s">
        <v>232</v>
      </c>
      <c r="G272" s="64">
        <v>0</v>
      </c>
      <c r="H272" s="64">
        <v>0</v>
      </c>
      <c r="I272" s="64">
        <v>0</v>
      </c>
      <c r="J272" s="65">
        <v>0</v>
      </c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43</v>
      </c>
      <c r="F273" s="81" t="s">
        <v>233</v>
      </c>
      <c r="G273" s="64">
        <v>0</v>
      </c>
      <c r="H273" s="64">
        <v>0</v>
      </c>
      <c r="I273" s="64">
        <v>0</v>
      </c>
      <c r="J273" s="65"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45</v>
      </c>
      <c r="F274" s="81" t="s">
        <v>234</v>
      </c>
      <c r="G274" s="64">
        <v>0</v>
      </c>
      <c r="H274" s="64">
        <v>2100</v>
      </c>
      <c r="I274" s="64">
        <v>2100</v>
      </c>
      <c r="J274" s="65">
        <v>1.7566306275917233E-5</v>
      </c>
    </row>
    <row r="275" spans="1:10" x14ac:dyDescent="0.2">
      <c r="A275" s="72">
        <v>2</v>
      </c>
      <c r="B275" s="58">
        <v>3</v>
      </c>
      <c r="C275" s="58">
        <v>6</v>
      </c>
      <c r="D275" s="58">
        <v>4</v>
      </c>
      <c r="E275" s="58"/>
      <c r="F275" s="82" t="s">
        <v>235</v>
      </c>
      <c r="G275" s="59">
        <v>0</v>
      </c>
      <c r="H275" s="59">
        <v>0</v>
      </c>
      <c r="I275" s="59">
        <v>0</v>
      </c>
      <c r="J275" s="60"/>
    </row>
    <row r="276" spans="1:10" x14ac:dyDescent="0.2">
      <c r="A276" s="74">
        <v>2</v>
      </c>
      <c r="B276" s="62">
        <v>3</v>
      </c>
      <c r="C276" s="62">
        <v>6</v>
      </c>
      <c r="D276" s="62">
        <v>4</v>
      </c>
      <c r="E276" s="63" t="s">
        <v>35</v>
      </c>
      <c r="F276" s="81" t="s">
        <v>236</v>
      </c>
      <c r="G276" s="64">
        <v>0</v>
      </c>
      <c r="H276" s="64">
        <v>0</v>
      </c>
      <c r="I276" s="64">
        <v>0</v>
      </c>
      <c r="J276" s="65">
        <v>0</v>
      </c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37</v>
      </c>
      <c r="F277" s="81" t="s">
        <v>237</v>
      </c>
      <c r="G277" s="64">
        <v>0</v>
      </c>
      <c r="H277" s="64">
        <v>0</v>
      </c>
      <c r="I277" s="64">
        <v>0</v>
      </c>
      <c r="J277" s="65"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39</v>
      </c>
      <c r="F278" s="81" t="s">
        <v>238</v>
      </c>
      <c r="G278" s="64">
        <v>0</v>
      </c>
      <c r="H278" s="64">
        <v>0</v>
      </c>
      <c r="I278" s="64">
        <v>0</v>
      </c>
      <c r="J278" s="65"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41</v>
      </c>
      <c r="F279" s="81" t="s">
        <v>239</v>
      </c>
      <c r="G279" s="64">
        <v>0</v>
      </c>
      <c r="H279" s="64">
        <v>0</v>
      </c>
      <c r="I279" s="64">
        <v>0</v>
      </c>
      <c r="J279" s="65"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43</v>
      </c>
      <c r="F280" s="81" t="s">
        <v>240</v>
      </c>
      <c r="G280" s="64">
        <v>0</v>
      </c>
      <c r="H280" s="64">
        <v>0</v>
      </c>
      <c r="I280" s="64">
        <v>0</v>
      </c>
      <c r="J280" s="65"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45</v>
      </c>
      <c r="F281" s="81" t="s">
        <v>241</v>
      </c>
      <c r="G281" s="64">
        <v>0</v>
      </c>
      <c r="H281" s="64">
        <v>0</v>
      </c>
      <c r="I281" s="64">
        <v>0</v>
      </c>
      <c r="J281" s="65"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71</v>
      </c>
      <c r="F282" s="81" t="s">
        <v>242</v>
      </c>
      <c r="G282" s="64">
        <v>0</v>
      </c>
      <c r="H282" s="64">
        <v>0</v>
      </c>
      <c r="I282" s="64">
        <v>0</v>
      </c>
      <c r="J282" s="65">
        <v>0</v>
      </c>
    </row>
    <row r="283" spans="1:10" x14ac:dyDescent="0.2">
      <c r="A283" s="72">
        <v>2</v>
      </c>
      <c r="B283" s="58">
        <v>3</v>
      </c>
      <c r="C283" s="58">
        <v>6</v>
      </c>
      <c r="D283" s="58">
        <v>9</v>
      </c>
      <c r="E283" s="58"/>
      <c r="F283" s="82" t="s">
        <v>243</v>
      </c>
      <c r="G283" s="59">
        <v>0</v>
      </c>
      <c r="H283" s="59">
        <v>0</v>
      </c>
      <c r="I283" s="59">
        <v>0</v>
      </c>
      <c r="J283" s="60"/>
    </row>
    <row r="284" spans="1:10" x14ac:dyDescent="0.2">
      <c r="A284" s="74">
        <v>2</v>
      </c>
      <c r="B284" s="62">
        <v>3</v>
      </c>
      <c r="C284" s="62">
        <v>6</v>
      </c>
      <c r="D284" s="62">
        <v>9</v>
      </c>
      <c r="E284" s="63" t="s">
        <v>35</v>
      </c>
      <c r="F284" s="81" t="s">
        <v>244</v>
      </c>
      <c r="G284" s="64">
        <v>0</v>
      </c>
      <c r="H284" s="64">
        <v>0</v>
      </c>
      <c r="I284" s="64">
        <v>0</v>
      </c>
      <c r="J284" s="65">
        <v>0</v>
      </c>
    </row>
    <row r="285" spans="1:10" ht="25.5" x14ac:dyDescent="0.2">
      <c r="A285" s="54">
        <v>2</v>
      </c>
      <c r="B285" s="55">
        <v>3</v>
      </c>
      <c r="C285" s="55">
        <v>7</v>
      </c>
      <c r="D285" s="55"/>
      <c r="E285" s="55"/>
      <c r="F285" s="83" t="s">
        <v>245</v>
      </c>
      <c r="G285" s="56">
        <v>4028536.75</v>
      </c>
      <c r="H285" s="56">
        <v>1044515</v>
      </c>
      <c r="I285" s="56">
        <v>5073051.75</v>
      </c>
      <c r="J285" s="53"/>
    </row>
    <row r="286" spans="1:10" x14ac:dyDescent="0.2">
      <c r="A286" s="72">
        <v>2</v>
      </c>
      <c r="B286" s="58">
        <v>3</v>
      </c>
      <c r="C286" s="58">
        <v>7</v>
      </c>
      <c r="D286" s="58">
        <v>1</v>
      </c>
      <c r="E286" s="58"/>
      <c r="F286" s="82" t="s">
        <v>246</v>
      </c>
      <c r="G286" s="59">
        <v>664800</v>
      </c>
      <c r="H286" s="59">
        <v>217276</v>
      </c>
      <c r="I286" s="59">
        <v>882076</v>
      </c>
      <c r="J286" s="60"/>
    </row>
    <row r="287" spans="1:10" x14ac:dyDescent="0.2">
      <c r="A287" s="74">
        <v>2</v>
      </c>
      <c r="B287" s="62">
        <v>3</v>
      </c>
      <c r="C287" s="62">
        <v>7</v>
      </c>
      <c r="D287" s="62">
        <v>1</v>
      </c>
      <c r="E287" s="63" t="s">
        <v>35</v>
      </c>
      <c r="F287" s="81" t="s">
        <v>247</v>
      </c>
      <c r="G287" s="64">
        <v>0</v>
      </c>
      <c r="H287" s="64">
        <v>172000</v>
      </c>
      <c r="I287" s="64">
        <v>172000</v>
      </c>
      <c r="J287" s="65">
        <v>1.4387641330751257E-3</v>
      </c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37</v>
      </c>
      <c r="F288" s="81" t="s">
        <v>248</v>
      </c>
      <c r="G288" s="64">
        <v>664800</v>
      </c>
      <c r="H288" s="64">
        <v>0</v>
      </c>
      <c r="I288" s="64">
        <v>664800</v>
      </c>
      <c r="J288" s="65">
        <v>5.560990672490369E-3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39</v>
      </c>
      <c r="F289" s="81" t="s">
        <v>249</v>
      </c>
      <c r="G289" s="64">
        <v>0</v>
      </c>
      <c r="H289" s="64">
        <v>0</v>
      </c>
      <c r="I289" s="64">
        <v>0</v>
      </c>
      <c r="J289" s="65"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41</v>
      </c>
      <c r="F290" s="81" t="s">
        <v>250</v>
      </c>
      <c r="G290" s="64">
        <v>0</v>
      </c>
      <c r="H290" s="64">
        <v>45276</v>
      </c>
      <c r="I290" s="64">
        <v>45276</v>
      </c>
      <c r="J290" s="65">
        <v>3.7872956330877551E-4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43</v>
      </c>
      <c r="F291" s="81" t="s">
        <v>251</v>
      </c>
      <c r="G291" s="64">
        <v>0</v>
      </c>
      <c r="H291" s="64">
        <v>0</v>
      </c>
      <c r="I291" s="64">
        <v>0</v>
      </c>
      <c r="J291" s="65">
        <v>0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45</v>
      </c>
      <c r="F292" s="81" t="s">
        <v>252</v>
      </c>
      <c r="G292" s="64">
        <v>0</v>
      </c>
      <c r="H292" s="64">
        <v>0</v>
      </c>
      <c r="I292" s="64">
        <v>0</v>
      </c>
      <c r="J292" s="65"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71</v>
      </c>
      <c r="F293" s="81" t="s">
        <v>253</v>
      </c>
      <c r="G293" s="64">
        <v>0</v>
      </c>
      <c r="H293" s="64">
        <v>0</v>
      </c>
      <c r="I293" s="64">
        <v>0</v>
      </c>
      <c r="J293" s="65">
        <v>0</v>
      </c>
    </row>
    <row r="294" spans="1:10" x14ac:dyDescent="0.2">
      <c r="A294" s="72">
        <v>2</v>
      </c>
      <c r="B294" s="58">
        <v>3</v>
      </c>
      <c r="C294" s="58">
        <v>7</v>
      </c>
      <c r="D294" s="58">
        <v>2</v>
      </c>
      <c r="E294" s="58"/>
      <c r="F294" s="82" t="s">
        <v>254</v>
      </c>
      <c r="G294" s="59">
        <v>3363736.75</v>
      </c>
      <c r="H294" s="59">
        <v>827239</v>
      </c>
      <c r="I294" s="59">
        <v>4190975.75</v>
      </c>
      <c r="J294" s="60"/>
    </row>
    <row r="295" spans="1:10" x14ac:dyDescent="0.2">
      <c r="A295" s="74">
        <v>2</v>
      </c>
      <c r="B295" s="62">
        <v>3</v>
      </c>
      <c r="C295" s="62">
        <v>7</v>
      </c>
      <c r="D295" s="62">
        <v>2</v>
      </c>
      <c r="E295" s="63" t="s">
        <v>35</v>
      </c>
      <c r="F295" s="81" t="s">
        <v>255</v>
      </c>
      <c r="G295" s="64">
        <v>0</v>
      </c>
      <c r="H295" s="64">
        <v>0</v>
      </c>
      <c r="I295" s="64">
        <v>0</v>
      </c>
      <c r="J295" s="65">
        <v>0</v>
      </c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37</v>
      </c>
      <c r="F296" s="81" t="s">
        <v>256</v>
      </c>
      <c r="G296" s="64">
        <v>0</v>
      </c>
      <c r="H296" s="64">
        <v>0</v>
      </c>
      <c r="I296" s="64">
        <v>0</v>
      </c>
      <c r="J296" s="65"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39</v>
      </c>
      <c r="F297" s="81" t="s">
        <v>257</v>
      </c>
      <c r="G297" s="64">
        <v>2934466.91</v>
      </c>
      <c r="H297" s="64">
        <v>0</v>
      </c>
      <c r="I297" s="64">
        <v>2934466.91</v>
      </c>
      <c r="J297" s="65">
        <v>2.4546544998859263E-2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41</v>
      </c>
      <c r="F298" s="81" t="s">
        <v>258</v>
      </c>
      <c r="G298" s="64">
        <v>0</v>
      </c>
      <c r="H298" s="64">
        <v>0</v>
      </c>
      <c r="I298" s="64">
        <v>0</v>
      </c>
      <c r="J298" s="65">
        <v>0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43</v>
      </c>
      <c r="F299" s="81" t="s">
        <v>259</v>
      </c>
      <c r="G299" s="64">
        <v>0</v>
      </c>
      <c r="H299" s="64">
        <v>0</v>
      </c>
      <c r="I299" s="64">
        <v>0</v>
      </c>
      <c r="J299" s="65">
        <v>0</v>
      </c>
    </row>
    <row r="300" spans="1:10" ht="25.5" x14ac:dyDescent="0.2">
      <c r="A300" s="61">
        <v>2</v>
      </c>
      <c r="B300" s="62">
        <v>3</v>
      </c>
      <c r="C300" s="62">
        <v>7</v>
      </c>
      <c r="D300" s="62">
        <v>2</v>
      </c>
      <c r="E300" s="63" t="s">
        <v>45</v>
      </c>
      <c r="F300" s="84" t="s">
        <v>260</v>
      </c>
      <c r="G300" s="64">
        <v>0</v>
      </c>
      <c r="H300" s="64">
        <v>0</v>
      </c>
      <c r="I300" s="64">
        <v>0</v>
      </c>
      <c r="J300" s="65">
        <v>0</v>
      </c>
    </row>
    <row r="301" spans="1:10" x14ac:dyDescent="0.2">
      <c r="A301" s="61">
        <v>2</v>
      </c>
      <c r="B301" s="62">
        <v>3</v>
      </c>
      <c r="C301" s="62">
        <v>7</v>
      </c>
      <c r="D301" s="62">
        <v>2</v>
      </c>
      <c r="E301" s="63">
        <v>99</v>
      </c>
      <c r="F301" s="84" t="s">
        <v>261</v>
      </c>
      <c r="G301" s="64">
        <v>429269.83999999997</v>
      </c>
      <c r="H301" s="64">
        <v>827239</v>
      </c>
      <c r="I301" s="64">
        <v>1256508.8399999999</v>
      </c>
      <c r="J301" s="65">
        <v>1.0510580534208324E-2</v>
      </c>
    </row>
    <row r="302" spans="1:10" ht="25.5" x14ac:dyDescent="0.2">
      <c r="A302" s="54">
        <v>2</v>
      </c>
      <c r="B302" s="55">
        <v>3</v>
      </c>
      <c r="C302" s="55">
        <v>8</v>
      </c>
      <c r="D302" s="55"/>
      <c r="E302" s="55"/>
      <c r="F302" s="83" t="s">
        <v>262</v>
      </c>
      <c r="G302" s="56">
        <v>0</v>
      </c>
      <c r="H302" s="56">
        <v>0</v>
      </c>
      <c r="I302" s="56">
        <v>0</v>
      </c>
      <c r="J302" s="53"/>
    </row>
    <row r="303" spans="1:10" ht="25.5" x14ac:dyDescent="0.2">
      <c r="A303" s="57">
        <v>2</v>
      </c>
      <c r="B303" s="58">
        <v>3</v>
      </c>
      <c r="C303" s="58">
        <v>8</v>
      </c>
      <c r="D303" s="58">
        <v>1</v>
      </c>
      <c r="E303" s="58"/>
      <c r="F303" s="82" t="s">
        <v>263</v>
      </c>
      <c r="G303" s="59">
        <v>0</v>
      </c>
      <c r="H303" s="59">
        <v>0</v>
      </c>
      <c r="I303" s="59">
        <v>0</v>
      </c>
      <c r="J303" s="60"/>
    </row>
    <row r="304" spans="1:10" ht="25.5" x14ac:dyDescent="0.2">
      <c r="A304" s="61">
        <v>2</v>
      </c>
      <c r="B304" s="62">
        <v>3</v>
      </c>
      <c r="C304" s="62">
        <v>8</v>
      </c>
      <c r="D304" s="62">
        <v>1</v>
      </c>
      <c r="E304" s="63" t="s">
        <v>35</v>
      </c>
      <c r="F304" s="81" t="s">
        <v>263</v>
      </c>
      <c r="G304" s="64">
        <v>0</v>
      </c>
      <c r="H304" s="64">
        <v>0</v>
      </c>
      <c r="I304" s="64">
        <v>0</v>
      </c>
      <c r="J304" s="65">
        <v>0</v>
      </c>
    </row>
    <row r="305" spans="1:10" ht="25.5" x14ac:dyDescent="0.2">
      <c r="A305" s="57">
        <v>2</v>
      </c>
      <c r="B305" s="58">
        <v>3</v>
      </c>
      <c r="C305" s="58">
        <v>8</v>
      </c>
      <c r="D305" s="58">
        <v>2</v>
      </c>
      <c r="E305" s="58"/>
      <c r="F305" s="82" t="s">
        <v>264</v>
      </c>
      <c r="G305" s="59">
        <v>0</v>
      </c>
      <c r="H305" s="59">
        <v>0</v>
      </c>
      <c r="I305" s="59">
        <v>0</v>
      </c>
      <c r="J305" s="60"/>
    </row>
    <row r="306" spans="1:10" ht="25.5" x14ac:dyDescent="0.2">
      <c r="A306" s="61">
        <v>2</v>
      </c>
      <c r="B306" s="62">
        <v>3</v>
      </c>
      <c r="C306" s="62">
        <v>8</v>
      </c>
      <c r="D306" s="62">
        <v>2</v>
      </c>
      <c r="E306" s="63" t="s">
        <v>35</v>
      </c>
      <c r="F306" s="81" t="s">
        <v>264</v>
      </c>
      <c r="G306" s="64">
        <v>0</v>
      </c>
      <c r="H306" s="64">
        <v>0</v>
      </c>
      <c r="I306" s="64">
        <v>0</v>
      </c>
      <c r="J306" s="65">
        <v>0</v>
      </c>
    </row>
    <row r="307" spans="1:10" x14ac:dyDescent="0.2">
      <c r="A307" s="54">
        <v>2</v>
      </c>
      <c r="B307" s="55">
        <v>3</v>
      </c>
      <c r="C307" s="55">
        <v>9</v>
      </c>
      <c r="D307" s="55"/>
      <c r="E307" s="55"/>
      <c r="F307" s="83" t="s">
        <v>265</v>
      </c>
      <c r="G307" s="56">
        <v>9711748.3999999985</v>
      </c>
      <c r="H307" s="56">
        <v>1758480.91</v>
      </c>
      <c r="I307" s="56">
        <v>11470229.309999999</v>
      </c>
      <c r="J307" s="53"/>
    </row>
    <row r="308" spans="1:10" x14ac:dyDescent="0.2">
      <c r="A308" s="72">
        <v>2</v>
      </c>
      <c r="B308" s="58">
        <v>3</v>
      </c>
      <c r="C308" s="58">
        <v>9</v>
      </c>
      <c r="D308" s="58">
        <v>1</v>
      </c>
      <c r="E308" s="58"/>
      <c r="F308" s="82" t="s">
        <v>266</v>
      </c>
      <c r="G308" s="59">
        <v>1249743.8999999999</v>
      </c>
      <c r="H308" s="59">
        <v>1230740</v>
      </c>
      <c r="I308" s="59">
        <v>2480483.9</v>
      </c>
      <c r="J308" s="60"/>
    </row>
    <row r="309" spans="1:10" x14ac:dyDescent="0.2">
      <c r="A309" s="74">
        <v>2</v>
      </c>
      <c r="B309" s="62">
        <v>3</v>
      </c>
      <c r="C309" s="62">
        <v>9</v>
      </c>
      <c r="D309" s="62">
        <v>1</v>
      </c>
      <c r="E309" s="63" t="s">
        <v>35</v>
      </c>
      <c r="F309" s="81" t="s">
        <v>267</v>
      </c>
      <c r="G309" s="64">
        <v>1249743.8999999999</v>
      </c>
      <c r="H309" s="64">
        <v>1230740</v>
      </c>
      <c r="I309" s="64">
        <v>2480483.9</v>
      </c>
      <c r="J309" s="65">
        <v>2.0749018999943643E-2</v>
      </c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37</v>
      </c>
      <c r="F310" s="81" t="s">
        <v>268</v>
      </c>
      <c r="G310" s="64">
        <v>0</v>
      </c>
      <c r="H310" s="64">
        <v>0</v>
      </c>
      <c r="I310" s="64">
        <v>0</v>
      </c>
      <c r="J310" s="65">
        <v>0</v>
      </c>
    </row>
    <row r="311" spans="1:10" ht="25.5" x14ac:dyDescent="0.2">
      <c r="A311" s="72">
        <v>2</v>
      </c>
      <c r="B311" s="58">
        <v>3</v>
      </c>
      <c r="C311" s="58">
        <v>9</v>
      </c>
      <c r="D311" s="58">
        <v>2</v>
      </c>
      <c r="E311" s="58"/>
      <c r="F311" s="82" t="s">
        <v>269</v>
      </c>
      <c r="G311" s="59">
        <v>102896</v>
      </c>
      <c r="H311" s="59">
        <v>0</v>
      </c>
      <c r="I311" s="59">
        <v>102896</v>
      </c>
      <c r="J311" s="60"/>
    </row>
    <row r="312" spans="1:10" ht="25.5" x14ac:dyDescent="0.2">
      <c r="A312" s="74">
        <v>2</v>
      </c>
      <c r="B312" s="62">
        <v>3</v>
      </c>
      <c r="C312" s="62">
        <v>9</v>
      </c>
      <c r="D312" s="62">
        <v>2</v>
      </c>
      <c r="E312" s="63" t="s">
        <v>35</v>
      </c>
      <c r="F312" s="81" t="s">
        <v>270</v>
      </c>
      <c r="G312" s="64">
        <v>102896</v>
      </c>
      <c r="H312" s="64">
        <v>0</v>
      </c>
      <c r="I312" s="64">
        <v>102896</v>
      </c>
      <c r="J312" s="65">
        <v>8.6071554788894262E-4</v>
      </c>
    </row>
    <row r="313" spans="1:10" x14ac:dyDescent="0.2">
      <c r="A313" s="72">
        <v>2</v>
      </c>
      <c r="B313" s="58">
        <v>3</v>
      </c>
      <c r="C313" s="58">
        <v>9</v>
      </c>
      <c r="D313" s="58">
        <v>3</v>
      </c>
      <c r="E313" s="58"/>
      <c r="F313" s="82" t="s">
        <v>271</v>
      </c>
      <c r="G313" s="59">
        <v>6564715.8099999996</v>
      </c>
      <c r="H313" s="59">
        <v>168800</v>
      </c>
      <c r="I313" s="59">
        <v>6733515.8099999996</v>
      </c>
      <c r="J313" s="60"/>
    </row>
    <row r="314" spans="1:10" x14ac:dyDescent="0.2">
      <c r="A314" s="74">
        <v>2</v>
      </c>
      <c r="B314" s="62">
        <v>3</v>
      </c>
      <c r="C314" s="62">
        <v>9</v>
      </c>
      <c r="D314" s="62">
        <v>3</v>
      </c>
      <c r="E314" s="63" t="s">
        <v>35</v>
      </c>
      <c r="F314" s="81" t="s">
        <v>271</v>
      </c>
      <c r="G314" s="64">
        <v>6564715.8099999996</v>
      </c>
      <c r="H314" s="64">
        <v>168800</v>
      </c>
      <c r="I314" s="64">
        <v>6733515.8099999996</v>
      </c>
      <c r="J314" s="65">
        <v>5.6325238586757566E-2</v>
      </c>
    </row>
    <row r="315" spans="1:10" ht="25.5" x14ac:dyDescent="0.2">
      <c r="A315" s="72">
        <v>2</v>
      </c>
      <c r="B315" s="58">
        <v>3</v>
      </c>
      <c r="C315" s="58">
        <v>9</v>
      </c>
      <c r="D315" s="58">
        <v>4</v>
      </c>
      <c r="E315" s="58"/>
      <c r="F315" s="82" t="s">
        <v>272</v>
      </c>
      <c r="G315" s="59">
        <v>45076</v>
      </c>
      <c r="H315" s="59">
        <v>0</v>
      </c>
      <c r="I315" s="59">
        <v>45076</v>
      </c>
      <c r="J315" s="60"/>
    </row>
    <row r="316" spans="1:10" ht="25.5" x14ac:dyDescent="0.2">
      <c r="A316" s="74">
        <v>2</v>
      </c>
      <c r="B316" s="62">
        <v>3</v>
      </c>
      <c r="C316" s="62">
        <v>9</v>
      </c>
      <c r="D316" s="62">
        <v>4</v>
      </c>
      <c r="E316" s="63" t="s">
        <v>35</v>
      </c>
      <c r="F316" s="81" t="s">
        <v>272</v>
      </c>
      <c r="G316" s="64">
        <v>45076</v>
      </c>
      <c r="H316" s="64">
        <v>0</v>
      </c>
      <c r="I316" s="64">
        <v>45076</v>
      </c>
      <c r="J316" s="65">
        <v>3.7705658175868817E-4</v>
      </c>
    </row>
    <row r="317" spans="1:10" x14ac:dyDescent="0.2">
      <c r="A317" s="72">
        <v>2</v>
      </c>
      <c r="B317" s="58">
        <v>3</v>
      </c>
      <c r="C317" s="58">
        <v>9</v>
      </c>
      <c r="D317" s="58">
        <v>5</v>
      </c>
      <c r="E317" s="58"/>
      <c r="F317" s="82" t="s">
        <v>273</v>
      </c>
      <c r="G317" s="59">
        <v>54704.800000000003</v>
      </c>
      <c r="H317" s="59">
        <v>0</v>
      </c>
      <c r="I317" s="59">
        <v>54704.800000000003</v>
      </c>
      <c r="J317" s="60"/>
    </row>
    <row r="318" spans="1:10" x14ac:dyDescent="0.2">
      <c r="A318" s="74">
        <v>2</v>
      </c>
      <c r="B318" s="62">
        <v>3</v>
      </c>
      <c r="C318" s="62">
        <v>9</v>
      </c>
      <c r="D318" s="62">
        <v>5</v>
      </c>
      <c r="E318" s="63" t="s">
        <v>35</v>
      </c>
      <c r="F318" s="81" t="s">
        <v>273</v>
      </c>
      <c r="G318" s="64">
        <v>54704.800000000003</v>
      </c>
      <c r="H318" s="64">
        <v>0</v>
      </c>
      <c r="I318" s="64">
        <v>54704.800000000003</v>
      </c>
      <c r="J318" s="65">
        <v>4.5760060550609384E-4</v>
      </c>
    </row>
    <row r="319" spans="1:10" x14ac:dyDescent="0.2">
      <c r="A319" s="72">
        <v>2</v>
      </c>
      <c r="B319" s="58">
        <v>3</v>
      </c>
      <c r="C319" s="58">
        <v>9</v>
      </c>
      <c r="D319" s="58">
        <v>6</v>
      </c>
      <c r="E319" s="58"/>
      <c r="F319" s="82" t="s">
        <v>274</v>
      </c>
      <c r="G319" s="59">
        <v>609323.98</v>
      </c>
      <c r="H319" s="59">
        <v>62731.97</v>
      </c>
      <c r="I319" s="59">
        <v>672055.95</v>
      </c>
      <c r="J319" s="60"/>
    </row>
    <row r="320" spans="1:10" x14ac:dyDescent="0.2">
      <c r="A320" s="74">
        <v>2</v>
      </c>
      <c r="B320" s="62">
        <v>3</v>
      </c>
      <c r="C320" s="62">
        <v>9</v>
      </c>
      <c r="D320" s="62">
        <v>6</v>
      </c>
      <c r="E320" s="63" t="s">
        <v>35</v>
      </c>
      <c r="F320" s="81" t="s">
        <v>274</v>
      </c>
      <c r="G320" s="64">
        <v>609323.98</v>
      </c>
      <c r="H320" s="64">
        <v>62731.97</v>
      </c>
      <c r="I320" s="64">
        <v>672055.95</v>
      </c>
      <c r="J320" s="65">
        <v>5.6216860248821509E-3</v>
      </c>
    </row>
    <row r="321" spans="1:10" x14ac:dyDescent="0.2">
      <c r="A321" s="72">
        <v>2</v>
      </c>
      <c r="B321" s="58">
        <v>3</v>
      </c>
      <c r="C321" s="58">
        <v>9</v>
      </c>
      <c r="D321" s="58">
        <v>7</v>
      </c>
      <c r="E321" s="58"/>
      <c r="F321" s="82" t="s">
        <v>275</v>
      </c>
      <c r="G321" s="59">
        <v>0</v>
      </c>
      <c r="H321" s="59">
        <v>0</v>
      </c>
      <c r="I321" s="59">
        <v>0</v>
      </c>
      <c r="J321" s="60"/>
    </row>
    <row r="322" spans="1:10" x14ac:dyDescent="0.2">
      <c r="A322" s="74">
        <v>2</v>
      </c>
      <c r="B322" s="62">
        <v>3</v>
      </c>
      <c r="C322" s="62">
        <v>9</v>
      </c>
      <c r="D322" s="62">
        <v>7</v>
      </c>
      <c r="E322" s="63" t="s">
        <v>35</v>
      </c>
      <c r="F322" s="81" t="s">
        <v>275</v>
      </c>
      <c r="G322" s="64">
        <v>0</v>
      </c>
      <c r="H322" s="64">
        <v>0</v>
      </c>
      <c r="I322" s="64">
        <v>0</v>
      </c>
      <c r="J322" s="65">
        <v>0</v>
      </c>
    </row>
    <row r="323" spans="1:10" x14ac:dyDescent="0.2">
      <c r="A323" s="72">
        <v>2</v>
      </c>
      <c r="B323" s="58">
        <v>3</v>
      </c>
      <c r="C323" s="58">
        <v>9</v>
      </c>
      <c r="D323" s="58">
        <v>8</v>
      </c>
      <c r="E323" s="58"/>
      <c r="F323" s="82" t="s">
        <v>276</v>
      </c>
      <c r="G323" s="59">
        <v>888298.71000000008</v>
      </c>
      <c r="H323" s="59">
        <v>184621</v>
      </c>
      <c r="I323" s="59">
        <v>1072919.71</v>
      </c>
      <c r="J323" s="60"/>
    </row>
    <row r="324" spans="1:10" x14ac:dyDescent="0.2">
      <c r="A324" s="74">
        <v>2</v>
      </c>
      <c r="B324" s="62">
        <v>3</v>
      </c>
      <c r="C324" s="62">
        <v>9</v>
      </c>
      <c r="D324" s="62">
        <v>8</v>
      </c>
      <c r="E324" s="63" t="s">
        <v>35</v>
      </c>
      <c r="F324" s="81" t="s">
        <v>277</v>
      </c>
      <c r="G324" s="64">
        <v>809192.93</v>
      </c>
      <c r="H324" s="64">
        <v>149740</v>
      </c>
      <c r="I324" s="64">
        <v>958932.93</v>
      </c>
      <c r="J324" s="65">
        <v>8.0213854983060481E-3</v>
      </c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37</v>
      </c>
      <c r="F325" s="81" t="s">
        <v>278</v>
      </c>
      <c r="G325" s="64">
        <v>79105.78</v>
      </c>
      <c r="H325" s="64">
        <v>34881</v>
      </c>
      <c r="I325" s="64">
        <v>113986.78</v>
      </c>
      <c r="J325" s="65">
        <v>9.5348889946933176E-4</v>
      </c>
    </row>
    <row r="326" spans="1:10" x14ac:dyDescent="0.2">
      <c r="A326" s="72">
        <v>2</v>
      </c>
      <c r="B326" s="58">
        <v>3</v>
      </c>
      <c r="C326" s="58">
        <v>9</v>
      </c>
      <c r="D326" s="58">
        <v>9</v>
      </c>
      <c r="E326" s="58"/>
      <c r="F326" s="82" t="s">
        <v>279</v>
      </c>
      <c r="G326" s="59">
        <v>196989.2</v>
      </c>
      <c r="H326" s="59">
        <v>111587.93999999999</v>
      </c>
      <c r="I326" s="59">
        <v>308577.14</v>
      </c>
      <c r="J326" s="60"/>
    </row>
    <row r="327" spans="1:10" x14ac:dyDescent="0.2">
      <c r="A327" s="74">
        <v>2</v>
      </c>
      <c r="B327" s="62">
        <v>3</v>
      </c>
      <c r="C327" s="62">
        <v>9</v>
      </c>
      <c r="D327" s="62">
        <v>9</v>
      </c>
      <c r="E327" s="63" t="s">
        <v>35</v>
      </c>
      <c r="F327" s="81" t="s">
        <v>279</v>
      </c>
      <c r="G327" s="64">
        <v>0</v>
      </c>
      <c r="H327" s="64">
        <v>109357.45999999999</v>
      </c>
      <c r="I327" s="64">
        <v>109357.45999999999</v>
      </c>
      <c r="J327" s="65">
        <v>9.147650647220798E-4</v>
      </c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41</v>
      </c>
      <c r="F328" s="81" t="s">
        <v>280</v>
      </c>
      <c r="G328" s="64">
        <v>196989.2</v>
      </c>
      <c r="H328" s="64">
        <v>2230.48</v>
      </c>
      <c r="I328" s="64">
        <v>199219.68000000002</v>
      </c>
      <c r="J328" s="65">
        <v>1.6664542452715348E-3</v>
      </c>
    </row>
    <row r="329" spans="1:10" x14ac:dyDescent="0.2">
      <c r="A329" s="70">
        <v>2</v>
      </c>
      <c r="B329" s="55">
        <v>4</v>
      </c>
      <c r="C329" s="55">
        <v>1</v>
      </c>
      <c r="D329" s="55">
        <v>2</v>
      </c>
      <c r="E329" s="55"/>
      <c r="F329" s="85" t="s">
        <v>281</v>
      </c>
      <c r="G329" s="56">
        <v>0</v>
      </c>
      <c r="H329" s="56">
        <v>67571</v>
      </c>
      <c r="I329" s="56">
        <v>67571</v>
      </c>
      <c r="J329" s="53">
        <v>5.6522518160476349E-4</v>
      </c>
    </row>
    <row r="330" spans="1:10" ht="25.5" x14ac:dyDescent="0.2">
      <c r="A330" s="74">
        <v>2</v>
      </c>
      <c r="B330" s="62">
        <v>4</v>
      </c>
      <c r="C330" s="62">
        <v>1</v>
      </c>
      <c r="D330" s="62">
        <v>2</v>
      </c>
      <c r="E330" s="63" t="s">
        <v>35</v>
      </c>
      <c r="F330" s="81" t="s">
        <v>282</v>
      </c>
      <c r="G330" s="64">
        <v>0</v>
      </c>
      <c r="H330" s="64">
        <v>30371</v>
      </c>
      <c r="I330" s="64">
        <v>30371</v>
      </c>
      <c r="J330" s="65">
        <v>2.5405061328851537E-4</v>
      </c>
    </row>
    <row r="331" spans="1:10" ht="25.5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37</v>
      </c>
      <c r="F331" s="81" t="s">
        <v>283</v>
      </c>
      <c r="G331" s="64">
        <v>0</v>
      </c>
      <c r="H331" s="64">
        <v>37200</v>
      </c>
      <c r="I331" s="64">
        <v>37200</v>
      </c>
      <c r="J331" s="65">
        <v>3.1117456831624812E-4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39</v>
      </c>
      <c r="F332" s="81" t="s">
        <v>284</v>
      </c>
      <c r="G332" s="64">
        <v>0</v>
      </c>
      <c r="H332" s="64">
        <v>0</v>
      </c>
      <c r="I332" s="64">
        <v>0</v>
      </c>
      <c r="J332" s="65"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41</v>
      </c>
      <c r="F333" s="81" t="s">
        <v>285</v>
      </c>
      <c r="G333" s="64">
        <v>0</v>
      </c>
      <c r="H333" s="64">
        <v>0</v>
      </c>
      <c r="I333" s="64">
        <v>0</v>
      </c>
      <c r="J333" s="65"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43</v>
      </c>
      <c r="F334" s="81" t="s">
        <v>286</v>
      </c>
      <c r="G334" s="64">
        <v>0</v>
      </c>
      <c r="H334" s="64">
        <v>0</v>
      </c>
      <c r="I334" s="64">
        <v>0</v>
      </c>
      <c r="J334" s="65">
        <v>0</v>
      </c>
    </row>
    <row r="335" spans="1:10" x14ac:dyDescent="0.2">
      <c r="A335" s="70">
        <v>2</v>
      </c>
      <c r="B335" s="55">
        <v>6</v>
      </c>
      <c r="C335" s="55"/>
      <c r="D335" s="55"/>
      <c r="E335" s="55"/>
      <c r="F335" s="85" t="s">
        <v>287</v>
      </c>
      <c r="G335" s="56">
        <v>9300722.7199999988</v>
      </c>
      <c r="H335" s="56">
        <v>730510.01</v>
      </c>
      <c r="I335" s="56">
        <v>10031232.729999999</v>
      </c>
      <c r="J335" s="53">
        <v>8.3910336409612055E-2</v>
      </c>
    </row>
    <row r="336" spans="1:10" x14ac:dyDescent="0.2">
      <c r="A336" s="54">
        <v>2</v>
      </c>
      <c r="B336" s="55">
        <v>6</v>
      </c>
      <c r="C336" s="55">
        <v>1</v>
      </c>
      <c r="D336" s="55"/>
      <c r="E336" s="55"/>
      <c r="F336" s="85" t="s">
        <v>288</v>
      </c>
      <c r="G336" s="56">
        <v>2268904.39</v>
      </c>
      <c r="H336" s="56">
        <v>0</v>
      </c>
      <c r="I336" s="56">
        <v>2268904.39</v>
      </c>
      <c r="J336" s="53"/>
    </row>
    <row r="337" spans="1:10" x14ac:dyDescent="0.2">
      <c r="A337" s="57">
        <v>2</v>
      </c>
      <c r="B337" s="58">
        <v>6</v>
      </c>
      <c r="C337" s="58">
        <v>1</v>
      </c>
      <c r="D337" s="58">
        <v>1</v>
      </c>
      <c r="E337" s="58"/>
      <c r="F337" s="86" t="s">
        <v>289</v>
      </c>
      <c r="G337" s="59">
        <v>566439.29</v>
      </c>
      <c r="H337" s="59">
        <v>0</v>
      </c>
      <c r="I337" s="59">
        <v>566439.29</v>
      </c>
      <c r="J337" s="60"/>
    </row>
    <row r="338" spans="1:10" x14ac:dyDescent="0.2">
      <c r="A338" s="61">
        <v>2</v>
      </c>
      <c r="B338" s="62">
        <v>6</v>
      </c>
      <c r="C338" s="62">
        <v>1</v>
      </c>
      <c r="D338" s="62">
        <v>1</v>
      </c>
      <c r="E338" s="63" t="s">
        <v>35</v>
      </c>
      <c r="F338" s="69" t="s">
        <v>289</v>
      </c>
      <c r="G338" s="64">
        <v>566439.29</v>
      </c>
      <c r="H338" s="64">
        <v>0</v>
      </c>
      <c r="I338" s="64">
        <v>566439.29</v>
      </c>
      <c r="J338" s="65">
        <v>4.7382124070729052E-3</v>
      </c>
    </row>
    <row r="339" spans="1:10" ht="25.5" x14ac:dyDescent="0.2">
      <c r="A339" s="57">
        <v>2</v>
      </c>
      <c r="B339" s="58">
        <v>6</v>
      </c>
      <c r="C339" s="58">
        <v>1</v>
      </c>
      <c r="D339" s="58">
        <v>2</v>
      </c>
      <c r="E339" s="58"/>
      <c r="F339" s="86" t="s">
        <v>290</v>
      </c>
      <c r="G339" s="59">
        <v>0</v>
      </c>
      <c r="H339" s="59">
        <v>0</v>
      </c>
      <c r="I339" s="59">
        <v>0</v>
      </c>
      <c r="J339" s="60"/>
    </row>
    <row r="340" spans="1:10" ht="25.5" x14ac:dyDescent="0.2">
      <c r="A340" s="61">
        <v>2</v>
      </c>
      <c r="B340" s="62">
        <v>6</v>
      </c>
      <c r="C340" s="62">
        <v>1</v>
      </c>
      <c r="D340" s="62">
        <v>2</v>
      </c>
      <c r="E340" s="63" t="s">
        <v>35</v>
      </c>
      <c r="F340" s="69" t="s">
        <v>290</v>
      </c>
      <c r="G340" s="64">
        <v>0</v>
      </c>
      <c r="H340" s="64">
        <v>0</v>
      </c>
      <c r="I340" s="64">
        <v>0</v>
      </c>
      <c r="J340" s="65">
        <v>0</v>
      </c>
    </row>
    <row r="341" spans="1:10" ht="25.5" x14ac:dyDescent="0.2">
      <c r="A341" s="57">
        <v>2</v>
      </c>
      <c r="B341" s="58">
        <v>6</v>
      </c>
      <c r="C341" s="58">
        <v>1</v>
      </c>
      <c r="D341" s="58">
        <v>3</v>
      </c>
      <c r="E341" s="58"/>
      <c r="F341" s="86" t="s">
        <v>291</v>
      </c>
      <c r="G341" s="59">
        <v>0</v>
      </c>
      <c r="H341" s="59">
        <v>0</v>
      </c>
      <c r="I341" s="59">
        <v>0</v>
      </c>
      <c r="J341" s="60"/>
    </row>
    <row r="342" spans="1:10" ht="25.5" x14ac:dyDescent="0.2">
      <c r="A342" s="61">
        <v>2</v>
      </c>
      <c r="B342" s="62">
        <v>6</v>
      </c>
      <c r="C342" s="62">
        <v>1</v>
      </c>
      <c r="D342" s="62">
        <v>3</v>
      </c>
      <c r="E342" s="63" t="s">
        <v>35</v>
      </c>
      <c r="F342" s="69" t="s">
        <v>291</v>
      </c>
      <c r="G342" s="64">
        <v>0</v>
      </c>
      <c r="H342" s="64">
        <v>0</v>
      </c>
      <c r="I342" s="64">
        <v>0</v>
      </c>
      <c r="J342" s="65">
        <v>0</v>
      </c>
    </row>
    <row r="343" spans="1:10" x14ac:dyDescent="0.2">
      <c r="A343" s="57">
        <v>2</v>
      </c>
      <c r="B343" s="58">
        <v>6</v>
      </c>
      <c r="C343" s="58">
        <v>1</v>
      </c>
      <c r="D343" s="58">
        <v>4</v>
      </c>
      <c r="E343" s="58"/>
      <c r="F343" s="86" t="s">
        <v>292</v>
      </c>
      <c r="G343" s="59">
        <v>341320.14</v>
      </c>
      <c r="H343" s="59">
        <v>0</v>
      </c>
      <c r="I343" s="59">
        <v>341320.14</v>
      </c>
      <c r="J343" s="60"/>
    </row>
    <row r="344" spans="1:10" x14ac:dyDescent="0.2">
      <c r="A344" s="61">
        <v>2</v>
      </c>
      <c r="B344" s="62">
        <v>6</v>
      </c>
      <c r="C344" s="62">
        <v>1</v>
      </c>
      <c r="D344" s="62">
        <v>4</v>
      </c>
      <c r="E344" s="63" t="s">
        <v>35</v>
      </c>
      <c r="F344" s="69" t="s">
        <v>292</v>
      </c>
      <c r="G344" s="64">
        <v>341320.14</v>
      </c>
      <c r="H344" s="64">
        <v>0</v>
      </c>
      <c r="I344" s="64">
        <v>341320.14</v>
      </c>
      <c r="J344" s="65">
        <v>2.855111484466166E-3</v>
      </c>
    </row>
    <row r="345" spans="1:10" ht="25.5" x14ac:dyDescent="0.2">
      <c r="A345" s="57">
        <v>2</v>
      </c>
      <c r="B345" s="58">
        <v>6</v>
      </c>
      <c r="C345" s="58">
        <v>1</v>
      </c>
      <c r="D345" s="58">
        <v>9</v>
      </c>
      <c r="E345" s="58"/>
      <c r="F345" s="86" t="s">
        <v>293</v>
      </c>
      <c r="G345" s="59">
        <v>1361144.96</v>
      </c>
      <c r="H345" s="59">
        <v>0</v>
      </c>
      <c r="I345" s="59">
        <v>1361144.96</v>
      </c>
      <c r="J345" s="60"/>
    </row>
    <row r="346" spans="1:10" ht="25.5" x14ac:dyDescent="0.2">
      <c r="A346" s="61">
        <v>2</v>
      </c>
      <c r="B346" s="62">
        <v>6</v>
      </c>
      <c r="C346" s="62">
        <v>1</v>
      </c>
      <c r="D346" s="62">
        <v>9</v>
      </c>
      <c r="E346" s="63" t="s">
        <v>35</v>
      </c>
      <c r="F346" s="69" t="s">
        <v>293</v>
      </c>
      <c r="G346" s="64">
        <v>1361144.96</v>
      </c>
      <c r="H346" s="64">
        <v>0</v>
      </c>
      <c r="I346" s="64">
        <v>1361144.96</v>
      </c>
      <c r="J346" s="65">
        <v>1.1385852025371956E-2</v>
      </c>
    </row>
    <row r="347" spans="1:10" ht="25.5" x14ac:dyDescent="0.2">
      <c r="A347" s="87">
        <v>2</v>
      </c>
      <c r="B347" s="87">
        <v>6</v>
      </c>
      <c r="C347" s="87">
        <v>2</v>
      </c>
      <c r="D347" s="87"/>
      <c r="E347" s="87"/>
      <c r="F347" s="118" t="s">
        <v>294</v>
      </c>
      <c r="G347" s="56">
        <v>0</v>
      </c>
      <c r="H347" s="56">
        <v>389046</v>
      </c>
      <c r="I347" s="56">
        <v>389046</v>
      </c>
      <c r="J347" s="53"/>
    </row>
    <row r="348" spans="1:10" x14ac:dyDescent="0.2">
      <c r="A348" s="72">
        <v>2</v>
      </c>
      <c r="B348" s="58">
        <v>6</v>
      </c>
      <c r="C348" s="58">
        <v>2</v>
      </c>
      <c r="D348" s="58">
        <v>1</v>
      </c>
      <c r="E348" s="77"/>
      <c r="F348" s="86" t="s">
        <v>295</v>
      </c>
      <c r="G348" s="59">
        <v>0</v>
      </c>
      <c r="H348" s="59">
        <v>0</v>
      </c>
      <c r="I348" s="59">
        <v>0</v>
      </c>
      <c r="J348" s="60"/>
    </row>
    <row r="349" spans="1:10" x14ac:dyDescent="0.2">
      <c r="A349" s="74">
        <v>2</v>
      </c>
      <c r="B349" s="62">
        <v>6</v>
      </c>
      <c r="C349" s="62">
        <v>2</v>
      </c>
      <c r="D349" s="62">
        <v>1</v>
      </c>
      <c r="E349" s="63" t="s">
        <v>35</v>
      </c>
      <c r="F349" s="69" t="s">
        <v>295</v>
      </c>
      <c r="G349" s="64">
        <v>0</v>
      </c>
      <c r="H349" s="64">
        <v>0</v>
      </c>
      <c r="I349" s="64">
        <v>0</v>
      </c>
      <c r="J349" s="65">
        <v>0</v>
      </c>
    </row>
    <row r="350" spans="1:10" x14ac:dyDescent="0.2">
      <c r="A350" s="72">
        <v>2</v>
      </c>
      <c r="B350" s="58">
        <v>6</v>
      </c>
      <c r="C350" s="58">
        <v>2</v>
      </c>
      <c r="D350" s="58">
        <v>2</v>
      </c>
      <c r="E350" s="77"/>
      <c r="F350" s="86" t="s">
        <v>296</v>
      </c>
      <c r="G350" s="59">
        <v>0</v>
      </c>
      <c r="H350" s="59">
        <v>0</v>
      </c>
      <c r="I350" s="59">
        <v>0</v>
      </c>
      <c r="J350" s="60"/>
    </row>
    <row r="351" spans="1:10" x14ac:dyDescent="0.2">
      <c r="A351" s="74">
        <v>2</v>
      </c>
      <c r="B351" s="62">
        <v>6</v>
      </c>
      <c r="C351" s="62">
        <v>2</v>
      </c>
      <c r="D351" s="62">
        <v>2</v>
      </c>
      <c r="E351" s="63" t="s">
        <v>35</v>
      </c>
      <c r="F351" s="69" t="s">
        <v>296</v>
      </c>
      <c r="G351" s="64">
        <v>0</v>
      </c>
      <c r="H351" s="64">
        <v>0</v>
      </c>
      <c r="I351" s="64">
        <v>0</v>
      </c>
      <c r="J351" s="65">
        <v>0</v>
      </c>
    </row>
    <row r="352" spans="1:10" x14ac:dyDescent="0.2">
      <c r="A352" s="72">
        <v>2</v>
      </c>
      <c r="B352" s="58">
        <v>6</v>
      </c>
      <c r="C352" s="58">
        <v>2</v>
      </c>
      <c r="D352" s="58">
        <v>3</v>
      </c>
      <c r="E352" s="77"/>
      <c r="F352" s="86" t="s">
        <v>297</v>
      </c>
      <c r="G352" s="59">
        <v>0</v>
      </c>
      <c r="H352" s="59">
        <v>389046</v>
      </c>
      <c r="I352" s="59">
        <v>389046</v>
      </c>
      <c r="J352" s="60"/>
    </row>
    <row r="353" spans="1:10" x14ac:dyDescent="0.2">
      <c r="A353" s="74">
        <v>2</v>
      </c>
      <c r="B353" s="62">
        <v>6</v>
      </c>
      <c r="C353" s="62">
        <v>2</v>
      </c>
      <c r="D353" s="62">
        <v>3</v>
      </c>
      <c r="E353" s="63" t="s">
        <v>35</v>
      </c>
      <c r="F353" s="69" t="s">
        <v>297</v>
      </c>
      <c r="G353" s="64">
        <v>0</v>
      </c>
      <c r="H353" s="64">
        <v>389046</v>
      </c>
      <c r="I353" s="64">
        <v>389046</v>
      </c>
      <c r="J353" s="65">
        <v>3.2543339006764265E-3</v>
      </c>
    </row>
    <row r="354" spans="1:10" x14ac:dyDescent="0.2">
      <c r="A354" s="72">
        <v>2</v>
      </c>
      <c r="B354" s="58">
        <v>6</v>
      </c>
      <c r="C354" s="58">
        <v>2</v>
      </c>
      <c r="D354" s="58">
        <v>4</v>
      </c>
      <c r="E354" s="77"/>
      <c r="F354" s="86" t="s">
        <v>298</v>
      </c>
      <c r="G354" s="59">
        <v>0</v>
      </c>
      <c r="H354" s="59">
        <v>0</v>
      </c>
      <c r="I354" s="59">
        <v>0</v>
      </c>
      <c r="J354" s="60"/>
    </row>
    <row r="355" spans="1:10" x14ac:dyDescent="0.2">
      <c r="A355" s="74">
        <v>2</v>
      </c>
      <c r="B355" s="62">
        <v>6</v>
      </c>
      <c r="C355" s="62">
        <v>2</v>
      </c>
      <c r="D355" s="62">
        <v>4</v>
      </c>
      <c r="E355" s="63" t="s">
        <v>35</v>
      </c>
      <c r="F355" s="69" t="s">
        <v>298</v>
      </c>
      <c r="G355" s="64">
        <v>0</v>
      </c>
      <c r="H355" s="64">
        <v>0</v>
      </c>
      <c r="I355" s="64">
        <v>0</v>
      </c>
      <c r="J355" s="65">
        <v>0</v>
      </c>
    </row>
    <row r="356" spans="1:10" x14ac:dyDescent="0.2">
      <c r="A356" s="87">
        <v>2</v>
      </c>
      <c r="B356" s="87">
        <v>6</v>
      </c>
      <c r="C356" s="87">
        <v>3</v>
      </c>
      <c r="D356" s="87"/>
      <c r="E356" s="87"/>
      <c r="F356" s="118" t="s">
        <v>299</v>
      </c>
      <c r="G356" s="56">
        <v>5025506.72</v>
      </c>
      <c r="H356" s="56">
        <v>0</v>
      </c>
      <c r="I356" s="56">
        <v>5025506.72</v>
      </c>
      <c r="J356" s="53"/>
    </row>
    <row r="357" spans="1:10" x14ac:dyDescent="0.2">
      <c r="A357" s="72">
        <v>2</v>
      </c>
      <c r="B357" s="58">
        <v>6</v>
      </c>
      <c r="C357" s="58">
        <v>3</v>
      </c>
      <c r="D357" s="58">
        <v>1</v>
      </c>
      <c r="E357" s="77"/>
      <c r="F357" s="86" t="s">
        <v>300</v>
      </c>
      <c r="G357" s="59">
        <v>4472659.0199999996</v>
      </c>
      <c r="H357" s="59">
        <v>0</v>
      </c>
      <c r="I357" s="59">
        <v>4472659.0199999996</v>
      </c>
      <c r="J357" s="60"/>
    </row>
    <row r="358" spans="1:10" x14ac:dyDescent="0.2">
      <c r="A358" s="74">
        <v>2</v>
      </c>
      <c r="B358" s="62">
        <v>6</v>
      </c>
      <c r="C358" s="62">
        <v>3</v>
      </c>
      <c r="D358" s="62">
        <v>1</v>
      </c>
      <c r="E358" s="63" t="s">
        <v>35</v>
      </c>
      <c r="F358" s="69" t="s">
        <v>300</v>
      </c>
      <c r="G358" s="64">
        <v>4472659.0199999996</v>
      </c>
      <c r="H358" s="64">
        <v>0</v>
      </c>
      <c r="I358" s="64">
        <v>4472659.0199999996</v>
      </c>
      <c r="J358" s="65">
        <v>3.7413380101458955E-2</v>
      </c>
    </row>
    <row r="359" spans="1:10" x14ac:dyDescent="0.2">
      <c r="A359" s="72">
        <v>2</v>
      </c>
      <c r="B359" s="58">
        <v>6</v>
      </c>
      <c r="C359" s="58">
        <v>3</v>
      </c>
      <c r="D359" s="58">
        <v>2</v>
      </c>
      <c r="E359" s="77"/>
      <c r="F359" s="86" t="s">
        <v>301</v>
      </c>
      <c r="G359" s="59">
        <v>515630.5</v>
      </c>
      <c r="H359" s="59">
        <v>0</v>
      </c>
      <c r="I359" s="59">
        <v>515630.5</v>
      </c>
      <c r="J359" s="60"/>
    </row>
    <row r="360" spans="1:10" x14ac:dyDescent="0.2">
      <c r="A360" s="74">
        <v>2</v>
      </c>
      <c r="B360" s="62">
        <v>6</v>
      </c>
      <c r="C360" s="62">
        <v>3</v>
      </c>
      <c r="D360" s="62">
        <v>2</v>
      </c>
      <c r="E360" s="63" t="s">
        <v>35</v>
      </c>
      <c r="F360" s="69" t="s">
        <v>301</v>
      </c>
      <c r="G360" s="64">
        <v>515630.5</v>
      </c>
      <c r="H360" s="64">
        <v>0</v>
      </c>
      <c r="I360" s="64">
        <v>515630.5</v>
      </c>
      <c r="J360" s="65">
        <v>4.3132015658115903E-3</v>
      </c>
    </row>
    <row r="361" spans="1:10" x14ac:dyDescent="0.2">
      <c r="A361" s="72">
        <v>2</v>
      </c>
      <c r="B361" s="58">
        <v>6</v>
      </c>
      <c r="C361" s="58">
        <v>3</v>
      </c>
      <c r="D361" s="58">
        <v>3</v>
      </c>
      <c r="E361" s="77"/>
      <c r="F361" s="86" t="s">
        <v>302</v>
      </c>
      <c r="G361" s="59">
        <v>0</v>
      </c>
      <c r="H361" s="59">
        <v>0</v>
      </c>
      <c r="I361" s="59">
        <v>0</v>
      </c>
      <c r="J361" s="60"/>
    </row>
    <row r="362" spans="1:10" x14ac:dyDescent="0.2">
      <c r="A362" s="74">
        <v>2</v>
      </c>
      <c r="B362" s="62">
        <v>6</v>
      </c>
      <c r="C362" s="62">
        <v>3</v>
      </c>
      <c r="D362" s="62">
        <v>3</v>
      </c>
      <c r="E362" s="63" t="s">
        <v>35</v>
      </c>
      <c r="F362" s="69" t="s">
        <v>302</v>
      </c>
      <c r="G362" s="64">
        <v>0</v>
      </c>
      <c r="H362" s="64">
        <v>0</v>
      </c>
      <c r="I362" s="64">
        <v>0</v>
      </c>
      <c r="J362" s="65">
        <v>0</v>
      </c>
    </row>
    <row r="363" spans="1:10" x14ac:dyDescent="0.2">
      <c r="A363" s="72">
        <v>2</v>
      </c>
      <c r="B363" s="58">
        <v>6</v>
      </c>
      <c r="C363" s="58">
        <v>3</v>
      </c>
      <c r="D363" s="58">
        <v>4</v>
      </c>
      <c r="E363" s="58"/>
      <c r="F363" s="86" t="s">
        <v>303</v>
      </c>
      <c r="G363" s="59">
        <v>37217.199999999997</v>
      </c>
      <c r="H363" s="59">
        <v>0</v>
      </c>
      <c r="I363" s="59">
        <v>37217.199999999997</v>
      </c>
      <c r="J363" s="60"/>
    </row>
    <row r="364" spans="1:10" x14ac:dyDescent="0.2">
      <c r="A364" s="74">
        <v>2</v>
      </c>
      <c r="B364" s="62">
        <v>6</v>
      </c>
      <c r="C364" s="62">
        <v>3</v>
      </c>
      <c r="D364" s="62">
        <v>4</v>
      </c>
      <c r="E364" s="63" t="s">
        <v>35</v>
      </c>
      <c r="F364" s="69" t="s">
        <v>303</v>
      </c>
      <c r="G364" s="64">
        <v>37217.199999999997</v>
      </c>
      <c r="H364" s="64">
        <v>0</v>
      </c>
      <c r="I364" s="64">
        <v>37217.199999999997</v>
      </c>
      <c r="J364" s="65">
        <v>3.1131844472955558E-4</v>
      </c>
    </row>
    <row r="365" spans="1:10" x14ac:dyDescent="0.2">
      <c r="A365" s="54">
        <v>2</v>
      </c>
      <c r="B365" s="55">
        <v>6</v>
      </c>
      <c r="C365" s="55">
        <v>4</v>
      </c>
      <c r="D365" s="55"/>
      <c r="E365" s="78"/>
      <c r="F365" s="85" t="s">
        <v>304</v>
      </c>
      <c r="G365" s="56">
        <v>0</v>
      </c>
      <c r="H365" s="56">
        <v>0</v>
      </c>
      <c r="I365" s="56">
        <v>0</v>
      </c>
      <c r="J365" s="53"/>
    </row>
    <row r="366" spans="1:10" ht="12.75" customHeight="1" x14ac:dyDescent="0.2">
      <c r="A366" s="72">
        <v>2</v>
      </c>
      <c r="B366" s="58">
        <v>6</v>
      </c>
      <c r="C366" s="58">
        <v>4</v>
      </c>
      <c r="D366" s="58">
        <v>1</v>
      </c>
      <c r="E366" s="58"/>
      <c r="F366" s="86" t="s">
        <v>305</v>
      </c>
      <c r="G366" s="59">
        <v>0</v>
      </c>
      <c r="H366" s="59">
        <v>0</v>
      </c>
      <c r="I366" s="59">
        <v>0</v>
      </c>
      <c r="J366" s="60"/>
    </row>
    <row r="367" spans="1:10" x14ac:dyDescent="0.2">
      <c r="A367" s="74">
        <v>2</v>
      </c>
      <c r="B367" s="62">
        <v>6</v>
      </c>
      <c r="C367" s="62">
        <v>4</v>
      </c>
      <c r="D367" s="62">
        <v>1</v>
      </c>
      <c r="E367" s="63" t="s">
        <v>35</v>
      </c>
      <c r="F367" s="69" t="s">
        <v>305</v>
      </c>
      <c r="G367" s="64">
        <v>0</v>
      </c>
      <c r="H367" s="64">
        <v>0</v>
      </c>
      <c r="I367" s="64">
        <v>0</v>
      </c>
      <c r="J367" s="65">
        <v>0</v>
      </c>
    </row>
    <row r="368" spans="1:10" x14ac:dyDescent="0.2">
      <c r="A368" s="72">
        <v>2</v>
      </c>
      <c r="B368" s="58">
        <v>6</v>
      </c>
      <c r="C368" s="58">
        <v>4</v>
      </c>
      <c r="D368" s="58">
        <v>2</v>
      </c>
      <c r="E368" s="58"/>
      <c r="F368" s="86" t="s">
        <v>306</v>
      </c>
      <c r="G368" s="59">
        <v>0</v>
      </c>
      <c r="H368" s="59">
        <v>0</v>
      </c>
      <c r="I368" s="59">
        <v>0</v>
      </c>
      <c r="J368" s="60"/>
    </row>
    <row r="369" spans="1:10" x14ac:dyDescent="0.2">
      <c r="A369" s="74">
        <v>2</v>
      </c>
      <c r="B369" s="62">
        <v>6</v>
      </c>
      <c r="C369" s="62">
        <v>4</v>
      </c>
      <c r="D369" s="62">
        <v>2</v>
      </c>
      <c r="E369" s="63" t="s">
        <v>35</v>
      </c>
      <c r="F369" s="69" t="s">
        <v>306</v>
      </c>
      <c r="G369" s="64">
        <v>0</v>
      </c>
      <c r="H369" s="64">
        <v>0</v>
      </c>
      <c r="I369" s="64">
        <v>0</v>
      </c>
      <c r="J369" s="65">
        <v>0</v>
      </c>
    </row>
    <row r="370" spans="1:10" x14ac:dyDescent="0.2">
      <c r="A370" s="72">
        <v>2</v>
      </c>
      <c r="B370" s="58">
        <v>6</v>
      </c>
      <c r="C370" s="58">
        <v>4</v>
      </c>
      <c r="D370" s="58">
        <v>3</v>
      </c>
      <c r="E370" s="58"/>
      <c r="F370" s="86" t="s">
        <v>307</v>
      </c>
      <c r="G370" s="59">
        <v>0</v>
      </c>
      <c r="H370" s="59">
        <v>0</v>
      </c>
      <c r="I370" s="59">
        <v>0</v>
      </c>
      <c r="J370" s="60"/>
    </row>
    <row r="371" spans="1:10" x14ac:dyDescent="0.2">
      <c r="A371" s="74">
        <v>2</v>
      </c>
      <c r="B371" s="62">
        <v>6</v>
      </c>
      <c r="C371" s="62">
        <v>4</v>
      </c>
      <c r="D371" s="62">
        <v>3</v>
      </c>
      <c r="E371" s="63" t="s">
        <v>35</v>
      </c>
      <c r="F371" s="69" t="s">
        <v>307</v>
      </c>
      <c r="G371" s="64">
        <v>0</v>
      </c>
      <c r="H371" s="64">
        <v>0</v>
      </c>
      <c r="I371" s="64">
        <v>0</v>
      </c>
      <c r="J371" s="65">
        <v>0</v>
      </c>
    </row>
    <row r="372" spans="1:10" x14ac:dyDescent="0.2">
      <c r="A372" s="72">
        <v>2</v>
      </c>
      <c r="B372" s="58">
        <v>6</v>
      </c>
      <c r="C372" s="58">
        <v>4</v>
      </c>
      <c r="D372" s="58">
        <v>4</v>
      </c>
      <c r="E372" s="58"/>
      <c r="F372" s="86" t="s">
        <v>308</v>
      </c>
      <c r="G372" s="59">
        <v>0</v>
      </c>
      <c r="H372" s="59">
        <v>0</v>
      </c>
      <c r="I372" s="59">
        <v>0</v>
      </c>
      <c r="J372" s="60"/>
    </row>
    <row r="373" spans="1:10" x14ac:dyDescent="0.2">
      <c r="A373" s="74">
        <v>2</v>
      </c>
      <c r="B373" s="62">
        <v>6</v>
      </c>
      <c r="C373" s="62">
        <v>4</v>
      </c>
      <c r="D373" s="62">
        <v>4</v>
      </c>
      <c r="E373" s="63" t="s">
        <v>35</v>
      </c>
      <c r="F373" s="69" t="s">
        <v>308</v>
      </c>
      <c r="G373" s="64">
        <v>0</v>
      </c>
      <c r="H373" s="64">
        <v>0</v>
      </c>
      <c r="I373" s="64">
        <v>0</v>
      </c>
      <c r="J373" s="65">
        <v>0</v>
      </c>
    </row>
    <row r="374" spans="1:10" x14ac:dyDescent="0.2">
      <c r="A374" s="72">
        <v>2</v>
      </c>
      <c r="B374" s="58">
        <v>6</v>
      </c>
      <c r="C374" s="58">
        <v>4</v>
      </c>
      <c r="D374" s="58">
        <v>5</v>
      </c>
      <c r="E374" s="58"/>
      <c r="F374" s="86" t="s">
        <v>309</v>
      </c>
      <c r="G374" s="59">
        <v>0</v>
      </c>
      <c r="H374" s="59">
        <v>0</v>
      </c>
      <c r="I374" s="59">
        <v>0</v>
      </c>
      <c r="J374" s="60"/>
    </row>
    <row r="375" spans="1:10" x14ac:dyDescent="0.2">
      <c r="A375" s="74">
        <v>2</v>
      </c>
      <c r="B375" s="62">
        <v>6</v>
      </c>
      <c r="C375" s="62">
        <v>4</v>
      </c>
      <c r="D375" s="62">
        <v>5</v>
      </c>
      <c r="E375" s="63" t="s">
        <v>35</v>
      </c>
      <c r="F375" s="69" t="s">
        <v>309</v>
      </c>
      <c r="G375" s="64">
        <v>0</v>
      </c>
      <c r="H375" s="64">
        <v>0</v>
      </c>
      <c r="I375" s="64">
        <v>0</v>
      </c>
      <c r="J375" s="65">
        <v>0</v>
      </c>
    </row>
    <row r="376" spans="1:10" x14ac:dyDescent="0.2">
      <c r="A376" s="72">
        <v>2</v>
      </c>
      <c r="B376" s="58">
        <v>6</v>
      </c>
      <c r="C376" s="58">
        <v>4</v>
      </c>
      <c r="D376" s="58">
        <v>6</v>
      </c>
      <c r="E376" s="58"/>
      <c r="F376" s="86" t="s">
        <v>310</v>
      </c>
      <c r="G376" s="59">
        <v>0</v>
      </c>
      <c r="H376" s="59">
        <v>0</v>
      </c>
      <c r="I376" s="59">
        <v>0</v>
      </c>
      <c r="J376" s="60"/>
    </row>
    <row r="377" spans="1:10" x14ac:dyDescent="0.2">
      <c r="A377" s="74">
        <v>2</v>
      </c>
      <c r="B377" s="62">
        <v>6</v>
      </c>
      <c r="C377" s="62">
        <v>4</v>
      </c>
      <c r="D377" s="62">
        <v>6</v>
      </c>
      <c r="E377" s="63" t="s">
        <v>35</v>
      </c>
      <c r="F377" s="69" t="s">
        <v>310</v>
      </c>
      <c r="G377" s="64">
        <v>0</v>
      </c>
      <c r="H377" s="64">
        <v>0</v>
      </c>
      <c r="I377" s="64">
        <v>0</v>
      </c>
      <c r="J377" s="65">
        <v>0</v>
      </c>
    </row>
    <row r="378" spans="1:10" x14ac:dyDescent="0.2">
      <c r="A378" s="72">
        <v>2</v>
      </c>
      <c r="B378" s="58">
        <v>6</v>
      </c>
      <c r="C378" s="58">
        <v>4</v>
      </c>
      <c r="D378" s="58">
        <v>7</v>
      </c>
      <c r="E378" s="58"/>
      <c r="F378" s="86" t="s">
        <v>311</v>
      </c>
      <c r="G378" s="59">
        <v>0</v>
      </c>
      <c r="H378" s="59">
        <v>0</v>
      </c>
      <c r="I378" s="59">
        <v>0</v>
      </c>
      <c r="J378" s="60"/>
    </row>
    <row r="379" spans="1:10" x14ac:dyDescent="0.2">
      <c r="A379" s="74">
        <v>2</v>
      </c>
      <c r="B379" s="62">
        <v>6</v>
      </c>
      <c r="C379" s="62">
        <v>4</v>
      </c>
      <c r="D379" s="62">
        <v>7</v>
      </c>
      <c r="E379" s="63" t="s">
        <v>35</v>
      </c>
      <c r="F379" s="69" t="s">
        <v>311</v>
      </c>
      <c r="G379" s="64">
        <v>0</v>
      </c>
      <c r="H379" s="64">
        <v>0</v>
      </c>
      <c r="I379" s="64">
        <v>0</v>
      </c>
      <c r="J379" s="65">
        <v>0</v>
      </c>
    </row>
    <row r="380" spans="1:10" x14ac:dyDescent="0.2">
      <c r="A380" s="72">
        <v>2</v>
      </c>
      <c r="B380" s="58">
        <v>6</v>
      </c>
      <c r="C380" s="58">
        <v>4</v>
      </c>
      <c r="D380" s="58">
        <v>8</v>
      </c>
      <c r="E380" s="58"/>
      <c r="F380" s="86" t="s">
        <v>312</v>
      </c>
      <c r="G380" s="59">
        <v>0</v>
      </c>
      <c r="H380" s="59">
        <v>0</v>
      </c>
      <c r="I380" s="59">
        <v>0</v>
      </c>
      <c r="J380" s="60"/>
    </row>
    <row r="381" spans="1:10" x14ac:dyDescent="0.2">
      <c r="A381" s="74">
        <v>2</v>
      </c>
      <c r="B381" s="62">
        <v>6</v>
      </c>
      <c r="C381" s="62">
        <v>4</v>
      </c>
      <c r="D381" s="62">
        <v>8</v>
      </c>
      <c r="E381" s="63" t="s">
        <v>35</v>
      </c>
      <c r="F381" s="69" t="s">
        <v>312</v>
      </c>
      <c r="G381" s="64">
        <v>0</v>
      </c>
      <c r="H381" s="64">
        <v>0</v>
      </c>
      <c r="I381" s="64">
        <v>0</v>
      </c>
      <c r="J381" s="65">
        <v>0</v>
      </c>
    </row>
    <row r="382" spans="1:10" x14ac:dyDescent="0.2">
      <c r="A382" s="54">
        <v>2</v>
      </c>
      <c r="B382" s="55">
        <v>6</v>
      </c>
      <c r="C382" s="55">
        <v>5</v>
      </c>
      <c r="D382" s="55"/>
      <c r="E382" s="78"/>
      <c r="F382" s="85" t="s">
        <v>313</v>
      </c>
      <c r="G382" s="56">
        <v>2006311.61</v>
      </c>
      <c r="H382" s="56">
        <v>282700.01</v>
      </c>
      <c r="I382" s="56">
        <v>2289011.62</v>
      </c>
      <c r="J382" s="53"/>
    </row>
    <row r="383" spans="1:10" x14ac:dyDescent="0.2">
      <c r="A383" s="57">
        <v>2</v>
      </c>
      <c r="B383" s="58">
        <v>6</v>
      </c>
      <c r="C383" s="58">
        <v>5</v>
      </c>
      <c r="D383" s="58">
        <v>1</v>
      </c>
      <c r="E383" s="58"/>
      <c r="F383" s="86" t="s">
        <v>314</v>
      </c>
      <c r="G383" s="59">
        <v>0</v>
      </c>
      <c r="H383" s="59">
        <v>0</v>
      </c>
      <c r="I383" s="59">
        <v>0</v>
      </c>
      <c r="J383" s="60"/>
    </row>
    <row r="384" spans="1:10" x14ac:dyDescent="0.2">
      <c r="A384" s="61">
        <v>2</v>
      </c>
      <c r="B384" s="62">
        <v>6</v>
      </c>
      <c r="C384" s="62">
        <v>5</v>
      </c>
      <c r="D384" s="62">
        <v>1</v>
      </c>
      <c r="E384" s="63" t="s">
        <v>35</v>
      </c>
      <c r="F384" s="69" t="s">
        <v>314</v>
      </c>
      <c r="G384" s="64">
        <v>0</v>
      </c>
      <c r="H384" s="64">
        <v>0</v>
      </c>
      <c r="I384" s="64">
        <v>0</v>
      </c>
      <c r="J384" s="65">
        <v>0</v>
      </c>
    </row>
    <row r="385" spans="1:10" x14ac:dyDescent="0.2">
      <c r="A385" s="57">
        <v>2</v>
      </c>
      <c r="B385" s="58">
        <v>6</v>
      </c>
      <c r="C385" s="58">
        <v>5</v>
      </c>
      <c r="D385" s="58">
        <v>2</v>
      </c>
      <c r="E385" s="58"/>
      <c r="F385" s="86" t="s">
        <v>315</v>
      </c>
      <c r="G385" s="59">
        <v>0</v>
      </c>
      <c r="H385" s="59">
        <v>272200</v>
      </c>
      <c r="I385" s="59">
        <v>272200</v>
      </c>
      <c r="J385" s="60"/>
    </row>
    <row r="386" spans="1:10" x14ac:dyDescent="0.2">
      <c r="A386" s="61">
        <v>2</v>
      </c>
      <c r="B386" s="62">
        <v>6</v>
      </c>
      <c r="C386" s="62">
        <v>5</v>
      </c>
      <c r="D386" s="62">
        <v>2</v>
      </c>
      <c r="E386" s="63" t="s">
        <v>35</v>
      </c>
      <c r="F386" s="69" t="s">
        <v>315</v>
      </c>
      <c r="G386" s="64">
        <v>0</v>
      </c>
      <c r="H386" s="64">
        <v>272200</v>
      </c>
      <c r="I386" s="64">
        <v>272200</v>
      </c>
      <c r="J386" s="65">
        <v>2.2769278896688908E-3</v>
      </c>
    </row>
    <row r="387" spans="1:10" x14ac:dyDescent="0.2">
      <c r="A387" s="57">
        <v>2</v>
      </c>
      <c r="B387" s="58">
        <v>6</v>
      </c>
      <c r="C387" s="58">
        <v>5</v>
      </c>
      <c r="D387" s="58">
        <v>3</v>
      </c>
      <c r="E387" s="58"/>
      <c r="F387" s="86" t="s">
        <v>316</v>
      </c>
      <c r="G387" s="59">
        <v>0</v>
      </c>
      <c r="H387" s="59">
        <v>0</v>
      </c>
      <c r="I387" s="59">
        <v>0</v>
      </c>
      <c r="J387" s="60"/>
    </row>
    <row r="388" spans="1:10" x14ac:dyDescent="0.2">
      <c r="A388" s="61">
        <v>2</v>
      </c>
      <c r="B388" s="62">
        <v>6</v>
      </c>
      <c r="C388" s="62">
        <v>5</v>
      </c>
      <c r="D388" s="62">
        <v>3</v>
      </c>
      <c r="E388" s="63" t="s">
        <v>35</v>
      </c>
      <c r="F388" s="69" t="s">
        <v>316</v>
      </c>
      <c r="G388" s="64">
        <v>0</v>
      </c>
      <c r="H388" s="64">
        <v>0</v>
      </c>
      <c r="I388" s="64">
        <v>0</v>
      </c>
      <c r="J388" s="65">
        <v>0</v>
      </c>
    </row>
    <row r="389" spans="1:10" x14ac:dyDescent="0.2">
      <c r="A389" s="57">
        <v>2</v>
      </c>
      <c r="B389" s="58">
        <v>6</v>
      </c>
      <c r="C389" s="58">
        <v>5</v>
      </c>
      <c r="D389" s="58">
        <v>4</v>
      </c>
      <c r="E389" s="58"/>
      <c r="F389" s="86" t="s">
        <v>317</v>
      </c>
      <c r="G389" s="59">
        <v>232932</v>
      </c>
      <c r="H389" s="59">
        <v>0</v>
      </c>
      <c r="I389" s="59">
        <v>232932</v>
      </c>
      <c r="J389" s="60"/>
    </row>
    <row r="390" spans="1:10" x14ac:dyDescent="0.2">
      <c r="A390" s="61">
        <v>2</v>
      </c>
      <c r="B390" s="62">
        <v>6</v>
      </c>
      <c r="C390" s="62">
        <v>5</v>
      </c>
      <c r="D390" s="62">
        <v>4</v>
      </c>
      <c r="E390" s="63" t="s">
        <v>35</v>
      </c>
      <c r="F390" s="69" t="s">
        <v>317</v>
      </c>
      <c r="G390" s="64">
        <v>232932</v>
      </c>
      <c r="H390" s="64">
        <v>0</v>
      </c>
      <c r="I390" s="64">
        <v>232932</v>
      </c>
      <c r="J390" s="65">
        <v>1.9484546921247393E-3</v>
      </c>
    </row>
    <row r="391" spans="1:10" ht="25.5" x14ac:dyDescent="0.2">
      <c r="A391" s="57">
        <v>2</v>
      </c>
      <c r="B391" s="58">
        <v>6</v>
      </c>
      <c r="C391" s="58">
        <v>5</v>
      </c>
      <c r="D391" s="58">
        <v>5</v>
      </c>
      <c r="E391" s="58"/>
      <c r="F391" s="86" t="s">
        <v>318</v>
      </c>
      <c r="G391" s="59">
        <v>0</v>
      </c>
      <c r="H391" s="59">
        <v>0</v>
      </c>
      <c r="I391" s="59">
        <v>0</v>
      </c>
      <c r="J391" s="60"/>
    </row>
    <row r="392" spans="1:10" ht="25.5" x14ac:dyDescent="0.2">
      <c r="A392" s="61">
        <v>2</v>
      </c>
      <c r="B392" s="62">
        <v>6</v>
      </c>
      <c r="C392" s="62">
        <v>5</v>
      </c>
      <c r="D392" s="62">
        <v>5</v>
      </c>
      <c r="E392" s="63" t="s">
        <v>35</v>
      </c>
      <c r="F392" s="69" t="s">
        <v>318</v>
      </c>
      <c r="G392" s="64">
        <v>0</v>
      </c>
      <c r="H392" s="64">
        <v>0</v>
      </c>
      <c r="I392" s="64">
        <v>0</v>
      </c>
      <c r="J392" s="65">
        <v>0</v>
      </c>
    </row>
    <row r="393" spans="1:10" x14ac:dyDescent="0.2">
      <c r="A393" s="57">
        <v>2</v>
      </c>
      <c r="B393" s="58">
        <v>6</v>
      </c>
      <c r="C393" s="58">
        <v>5</v>
      </c>
      <c r="D393" s="58">
        <v>6</v>
      </c>
      <c r="E393" s="58"/>
      <c r="F393" s="86" t="s">
        <v>319</v>
      </c>
      <c r="G393" s="59">
        <v>1700000</v>
      </c>
      <c r="H393" s="59">
        <v>0</v>
      </c>
      <c r="I393" s="59">
        <v>1700000</v>
      </c>
      <c r="J393" s="60"/>
    </row>
    <row r="394" spans="1:10" x14ac:dyDescent="0.2">
      <c r="A394" s="61">
        <v>2</v>
      </c>
      <c r="B394" s="62">
        <v>6</v>
      </c>
      <c r="C394" s="62">
        <v>5</v>
      </c>
      <c r="D394" s="62">
        <v>6</v>
      </c>
      <c r="E394" s="63" t="s">
        <v>35</v>
      </c>
      <c r="F394" s="69" t="s">
        <v>319</v>
      </c>
      <c r="G394" s="64">
        <v>1700000</v>
      </c>
      <c r="H394" s="64">
        <v>0</v>
      </c>
      <c r="I394" s="64">
        <v>1700000</v>
      </c>
      <c r="J394" s="65">
        <v>1.4220343175742521E-2</v>
      </c>
    </row>
    <row r="395" spans="1:10" x14ac:dyDescent="0.2">
      <c r="A395" s="57">
        <v>2</v>
      </c>
      <c r="B395" s="58">
        <v>6</v>
      </c>
      <c r="C395" s="58">
        <v>5</v>
      </c>
      <c r="D395" s="58">
        <v>7</v>
      </c>
      <c r="E395" s="58"/>
      <c r="F395" s="86" t="s">
        <v>320</v>
      </c>
      <c r="G395" s="59">
        <v>0</v>
      </c>
      <c r="H395" s="59">
        <v>10500.01</v>
      </c>
      <c r="I395" s="59">
        <v>10500.01</v>
      </c>
      <c r="J395" s="60"/>
    </row>
    <row r="396" spans="1:10" x14ac:dyDescent="0.2">
      <c r="A396" s="61">
        <v>2</v>
      </c>
      <c r="B396" s="62">
        <v>6</v>
      </c>
      <c r="C396" s="62">
        <v>5</v>
      </c>
      <c r="D396" s="62">
        <v>7</v>
      </c>
      <c r="E396" s="63" t="s">
        <v>35</v>
      </c>
      <c r="F396" s="69" t="s">
        <v>320</v>
      </c>
      <c r="G396" s="64">
        <v>0</v>
      </c>
      <c r="H396" s="64">
        <v>10500.01</v>
      </c>
      <c r="I396" s="64">
        <v>10500.01</v>
      </c>
      <c r="J396" s="65">
        <v>8.7831615028663665E-5</v>
      </c>
    </row>
    <row r="397" spans="1:10" x14ac:dyDescent="0.2">
      <c r="A397" s="57">
        <v>2</v>
      </c>
      <c r="B397" s="58">
        <v>6</v>
      </c>
      <c r="C397" s="58">
        <v>5</v>
      </c>
      <c r="D397" s="58">
        <v>8</v>
      </c>
      <c r="E397" s="58"/>
      <c r="F397" s="86" t="s">
        <v>321</v>
      </c>
      <c r="G397" s="59">
        <v>73379.61</v>
      </c>
      <c r="H397" s="59">
        <v>0</v>
      </c>
      <c r="I397" s="59">
        <v>73379.61</v>
      </c>
      <c r="J397" s="60"/>
    </row>
    <row r="398" spans="1:10" x14ac:dyDescent="0.2">
      <c r="A398" s="61">
        <v>2</v>
      </c>
      <c r="B398" s="62">
        <v>6</v>
      </c>
      <c r="C398" s="62">
        <v>5</v>
      </c>
      <c r="D398" s="62">
        <v>8</v>
      </c>
      <c r="E398" s="63" t="s">
        <v>35</v>
      </c>
      <c r="F398" s="69" t="s">
        <v>321</v>
      </c>
      <c r="G398" s="64">
        <v>73379.61</v>
      </c>
      <c r="H398" s="64">
        <v>0</v>
      </c>
      <c r="I398" s="64">
        <v>73379.61</v>
      </c>
      <c r="J398" s="65">
        <v>6.13813668413028E-4</v>
      </c>
    </row>
    <row r="399" spans="1:10" x14ac:dyDescent="0.2">
      <c r="A399" s="70">
        <v>2</v>
      </c>
      <c r="B399" s="55">
        <v>6</v>
      </c>
      <c r="C399" s="55">
        <v>6</v>
      </c>
      <c r="D399" s="55"/>
      <c r="E399" s="55"/>
      <c r="F399" s="85" t="s">
        <v>322</v>
      </c>
      <c r="G399" s="56">
        <v>0</v>
      </c>
      <c r="H399" s="56">
        <v>58764</v>
      </c>
      <c r="I399" s="56">
        <v>58764</v>
      </c>
      <c r="J399" s="53">
        <v>4.9155543904666672E-4</v>
      </c>
    </row>
    <row r="400" spans="1:10" x14ac:dyDescent="0.2">
      <c r="A400" s="72">
        <v>2</v>
      </c>
      <c r="B400" s="58">
        <v>6</v>
      </c>
      <c r="C400" s="58">
        <v>6</v>
      </c>
      <c r="D400" s="58">
        <v>1</v>
      </c>
      <c r="E400" s="77"/>
      <c r="F400" s="86" t="s">
        <v>323</v>
      </c>
      <c r="G400" s="59">
        <v>0</v>
      </c>
      <c r="H400" s="59">
        <v>0</v>
      </c>
      <c r="I400" s="59">
        <v>0</v>
      </c>
      <c r="J400" s="60"/>
    </row>
    <row r="401" spans="1:10" x14ac:dyDescent="0.2">
      <c r="A401" s="74">
        <v>2</v>
      </c>
      <c r="B401" s="62">
        <v>6</v>
      </c>
      <c r="C401" s="62">
        <v>6</v>
      </c>
      <c r="D401" s="62">
        <v>1</v>
      </c>
      <c r="E401" s="62" t="s">
        <v>324</v>
      </c>
      <c r="F401" s="69" t="s">
        <v>323</v>
      </c>
      <c r="G401" s="64">
        <v>0</v>
      </c>
      <c r="H401" s="64">
        <v>0</v>
      </c>
      <c r="I401" s="64">
        <v>0</v>
      </c>
      <c r="J401" s="65">
        <v>0</v>
      </c>
    </row>
    <row r="402" spans="1:10" x14ac:dyDescent="0.2">
      <c r="A402" s="72">
        <v>2</v>
      </c>
      <c r="B402" s="58">
        <v>6</v>
      </c>
      <c r="C402" s="58">
        <v>6</v>
      </c>
      <c r="D402" s="58">
        <v>2</v>
      </c>
      <c r="E402" s="77"/>
      <c r="F402" s="86" t="s">
        <v>325</v>
      </c>
      <c r="G402" s="59">
        <v>0</v>
      </c>
      <c r="H402" s="59">
        <v>58764</v>
      </c>
      <c r="I402" s="59">
        <v>58764</v>
      </c>
      <c r="J402" s="60"/>
    </row>
    <row r="403" spans="1:10" x14ac:dyDescent="0.2">
      <c r="A403" s="74">
        <v>2</v>
      </c>
      <c r="B403" s="62">
        <v>6</v>
      </c>
      <c r="C403" s="62">
        <v>6</v>
      </c>
      <c r="D403" s="62">
        <v>2</v>
      </c>
      <c r="E403" s="62" t="s">
        <v>324</v>
      </c>
      <c r="F403" s="69" t="s">
        <v>325</v>
      </c>
      <c r="G403" s="64">
        <v>0</v>
      </c>
      <c r="H403" s="64">
        <v>58764</v>
      </c>
      <c r="I403" s="64">
        <v>58764</v>
      </c>
      <c r="J403" s="65">
        <v>4.9155543904666672E-4</v>
      </c>
    </row>
    <row r="404" spans="1:10" x14ac:dyDescent="0.2">
      <c r="A404" s="54">
        <v>2</v>
      </c>
      <c r="B404" s="55">
        <v>6</v>
      </c>
      <c r="C404" s="55">
        <v>7</v>
      </c>
      <c r="D404" s="55"/>
      <c r="E404" s="78"/>
      <c r="F404" s="85" t="s">
        <v>326</v>
      </c>
      <c r="G404" s="56">
        <v>0</v>
      </c>
      <c r="H404" s="56">
        <v>0</v>
      </c>
      <c r="I404" s="56">
        <v>0</v>
      </c>
      <c r="J404" s="53"/>
    </row>
    <row r="405" spans="1:10" x14ac:dyDescent="0.2">
      <c r="A405" s="57">
        <v>2</v>
      </c>
      <c r="B405" s="58">
        <v>6</v>
      </c>
      <c r="C405" s="58">
        <v>7</v>
      </c>
      <c r="D405" s="58">
        <v>1</v>
      </c>
      <c r="E405" s="58"/>
      <c r="F405" s="86" t="s">
        <v>327</v>
      </c>
      <c r="G405" s="59">
        <v>0</v>
      </c>
      <c r="H405" s="59">
        <v>0</v>
      </c>
      <c r="I405" s="59">
        <v>0</v>
      </c>
      <c r="J405" s="60"/>
    </row>
    <row r="406" spans="1:10" x14ac:dyDescent="0.2">
      <c r="A406" s="61">
        <v>2</v>
      </c>
      <c r="B406" s="62">
        <v>6</v>
      </c>
      <c r="C406" s="62">
        <v>7</v>
      </c>
      <c r="D406" s="62">
        <v>1</v>
      </c>
      <c r="E406" s="63" t="s">
        <v>35</v>
      </c>
      <c r="F406" s="69" t="s">
        <v>327</v>
      </c>
      <c r="G406" s="64">
        <v>0</v>
      </c>
      <c r="H406" s="64">
        <v>0</v>
      </c>
      <c r="I406" s="64">
        <v>0</v>
      </c>
      <c r="J406" s="65">
        <v>0</v>
      </c>
    </row>
    <row r="407" spans="1:10" x14ac:dyDescent="0.2">
      <c r="A407" s="72">
        <v>2</v>
      </c>
      <c r="B407" s="58">
        <v>6</v>
      </c>
      <c r="C407" s="58">
        <v>7</v>
      </c>
      <c r="D407" s="58">
        <v>2</v>
      </c>
      <c r="E407" s="58"/>
      <c r="F407" s="86" t="s">
        <v>328</v>
      </c>
      <c r="G407" s="59">
        <v>0</v>
      </c>
      <c r="H407" s="59">
        <v>0</v>
      </c>
      <c r="I407" s="59">
        <v>0</v>
      </c>
      <c r="J407" s="60"/>
    </row>
    <row r="408" spans="1:10" x14ac:dyDescent="0.2">
      <c r="A408" s="74">
        <v>2</v>
      </c>
      <c r="B408" s="62">
        <v>6</v>
      </c>
      <c r="C408" s="62">
        <v>7</v>
      </c>
      <c r="D408" s="62">
        <v>2</v>
      </c>
      <c r="E408" s="63" t="s">
        <v>35</v>
      </c>
      <c r="F408" s="69" t="s">
        <v>328</v>
      </c>
      <c r="G408" s="64">
        <v>0</v>
      </c>
      <c r="H408" s="64">
        <v>0</v>
      </c>
      <c r="I408" s="64">
        <v>0</v>
      </c>
      <c r="J408" s="65">
        <v>0</v>
      </c>
    </row>
    <row r="409" spans="1:10" x14ac:dyDescent="0.2">
      <c r="A409" s="72">
        <v>2</v>
      </c>
      <c r="B409" s="58">
        <v>6</v>
      </c>
      <c r="C409" s="58">
        <v>7</v>
      </c>
      <c r="D409" s="58">
        <v>3</v>
      </c>
      <c r="E409" s="58"/>
      <c r="F409" s="86" t="s">
        <v>329</v>
      </c>
      <c r="G409" s="59">
        <v>0</v>
      </c>
      <c r="H409" s="59">
        <v>0</v>
      </c>
      <c r="I409" s="59">
        <v>0</v>
      </c>
      <c r="J409" s="60"/>
    </row>
    <row r="410" spans="1:10" x14ac:dyDescent="0.2">
      <c r="A410" s="74">
        <v>2</v>
      </c>
      <c r="B410" s="62">
        <v>6</v>
      </c>
      <c r="C410" s="62">
        <v>7</v>
      </c>
      <c r="D410" s="62">
        <v>3</v>
      </c>
      <c r="E410" s="63" t="s">
        <v>35</v>
      </c>
      <c r="F410" s="69" t="s">
        <v>329</v>
      </c>
      <c r="G410" s="64">
        <v>0</v>
      </c>
      <c r="H410" s="64">
        <v>0</v>
      </c>
      <c r="I410" s="64">
        <v>0</v>
      </c>
      <c r="J410" s="65">
        <v>0</v>
      </c>
    </row>
    <row r="411" spans="1:10" x14ac:dyDescent="0.2">
      <c r="A411" s="72">
        <v>2</v>
      </c>
      <c r="B411" s="58">
        <v>6</v>
      </c>
      <c r="C411" s="58">
        <v>7</v>
      </c>
      <c r="D411" s="58">
        <v>4</v>
      </c>
      <c r="E411" s="58"/>
      <c r="F411" s="86" t="s">
        <v>330</v>
      </c>
      <c r="G411" s="59">
        <v>0</v>
      </c>
      <c r="H411" s="59">
        <v>0</v>
      </c>
      <c r="I411" s="59">
        <v>0</v>
      </c>
      <c r="J411" s="60"/>
    </row>
    <row r="412" spans="1:10" x14ac:dyDescent="0.2">
      <c r="A412" s="74">
        <v>2</v>
      </c>
      <c r="B412" s="62">
        <v>6</v>
      </c>
      <c r="C412" s="62">
        <v>7</v>
      </c>
      <c r="D412" s="62">
        <v>4</v>
      </c>
      <c r="E412" s="63" t="s">
        <v>35</v>
      </c>
      <c r="F412" s="69" t="s">
        <v>330</v>
      </c>
      <c r="G412" s="64">
        <v>0</v>
      </c>
      <c r="H412" s="64">
        <v>0</v>
      </c>
      <c r="I412" s="64">
        <v>0</v>
      </c>
      <c r="J412" s="65">
        <v>0</v>
      </c>
    </row>
    <row r="413" spans="1:10" x14ac:dyDescent="0.2">
      <c r="A413" s="72">
        <v>2</v>
      </c>
      <c r="B413" s="58">
        <v>6</v>
      </c>
      <c r="C413" s="58">
        <v>7</v>
      </c>
      <c r="D413" s="58">
        <v>5</v>
      </c>
      <c r="E413" s="58"/>
      <c r="F413" s="86" t="s">
        <v>331</v>
      </c>
      <c r="G413" s="59">
        <v>0</v>
      </c>
      <c r="H413" s="59">
        <v>0</v>
      </c>
      <c r="I413" s="59">
        <v>0</v>
      </c>
      <c r="J413" s="60"/>
    </row>
    <row r="414" spans="1:10" x14ac:dyDescent="0.2">
      <c r="A414" s="74">
        <v>2</v>
      </c>
      <c r="B414" s="62">
        <v>6</v>
      </c>
      <c r="C414" s="62">
        <v>7</v>
      </c>
      <c r="D414" s="62">
        <v>5</v>
      </c>
      <c r="E414" s="63" t="s">
        <v>35</v>
      </c>
      <c r="F414" s="69" t="s">
        <v>331</v>
      </c>
      <c r="G414" s="64">
        <v>0</v>
      </c>
      <c r="H414" s="64">
        <v>0</v>
      </c>
      <c r="I414" s="64">
        <v>0</v>
      </c>
      <c r="J414" s="65">
        <v>0</v>
      </c>
    </row>
    <row r="415" spans="1:10" x14ac:dyDescent="0.2">
      <c r="A415" s="72">
        <v>2</v>
      </c>
      <c r="B415" s="58">
        <v>6</v>
      </c>
      <c r="C415" s="58">
        <v>7</v>
      </c>
      <c r="D415" s="58">
        <v>6</v>
      </c>
      <c r="E415" s="58"/>
      <c r="F415" s="86" t="s">
        <v>332</v>
      </c>
      <c r="G415" s="59">
        <v>0</v>
      </c>
      <c r="H415" s="59">
        <v>0</v>
      </c>
      <c r="I415" s="59">
        <v>0</v>
      </c>
      <c r="J415" s="60"/>
    </row>
    <row r="416" spans="1:10" x14ac:dyDescent="0.2">
      <c r="A416" s="74">
        <v>2</v>
      </c>
      <c r="B416" s="62">
        <v>6</v>
      </c>
      <c r="C416" s="62">
        <v>7</v>
      </c>
      <c r="D416" s="62">
        <v>6</v>
      </c>
      <c r="E416" s="63" t="s">
        <v>35</v>
      </c>
      <c r="F416" s="69" t="s">
        <v>332</v>
      </c>
      <c r="G416" s="64">
        <v>0</v>
      </c>
      <c r="H416" s="64">
        <v>0</v>
      </c>
      <c r="I416" s="64">
        <v>0</v>
      </c>
      <c r="J416" s="65">
        <v>0</v>
      </c>
    </row>
    <row r="417" spans="1:10" x14ac:dyDescent="0.2">
      <c r="A417" s="72">
        <v>2</v>
      </c>
      <c r="B417" s="58">
        <v>6</v>
      </c>
      <c r="C417" s="58">
        <v>7</v>
      </c>
      <c r="D417" s="58">
        <v>7</v>
      </c>
      <c r="E417" s="58"/>
      <c r="F417" s="86" t="s">
        <v>333</v>
      </c>
      <c r="G417" s="59">
        <v>0</v>
      </c>
      <c r="H417" s="59">
        <v>0</v>
      </c>
      <c r="I417" s="59">
        <v>0</v>
      </c>
      <c r="J417" s="60"/>
    </row>
    <row r="418" spans="1:10" x14ac:dyDescent="0.2">
      <c r="A418" s="74">
        <v>2</v>
      </c>
      <c r="B418" s="62">
        <v>6</v>
      </c>
      <c r="C418" s="62">
        <v>7</v>
      </c>
      <c r="D418" s="62">
        <v>7</v>
      </c>
      <c r="E418" s="63" t="s">
        <v>35</v>
      </c>
      <c r="F418" s="69" t="s">
        <v>333</v>
      </c>
      <c r="G418" s="64">
        <v>0</v>
      </c>
      <c r="H418" s="64">
        <v>0</v>
      </c>
      <c r="I418" s="64">
        <v>0</v>
      </c>
      <c r="J418" s="65">
        <v>0</v>
      </c>
    </row>
    <row r="419" spans="1:10" x14ac:dyDescent="0.2">
      <c r="A419" s="72">
        <v>2</v>
      </c>
      <c r="B419" s="58">
        <v>6</v>
      </c>
      <c r="C419" s="58">
        <v>7</v>
      </c>
      <c r="D419" s="58">
        <v>8</v>
      </c>
      <c r="E419" s="58"/>
      <c r="F419" s="86" t="s">
        <v>334</v>
      </c>
      <c r="G419" s="59">
        <v>0</v>
      </c>
      <c r="H419" s="59">
        <v>0</v>
      </c>
      <c r="I419" s="59">
        <v>0</v>
      </c>
      <c r="J419" s="60"/>
    </row>
    <row r="420" spans="1:10" x14ac:dyDescent="0.2">
      <c r="A420" s="74">
        <v>2</v>
      </c>
      <c r="B420" s="62">
        <v>6</v>
      </c>
      <c r="C420" s="62">
        <v>7</v>
      </c>
      <c r="D420" s="62">
        <v>8</v>
      </c>
      <c r="E420" s="63" t="s">
        <v>35</v>
      </c>
      <c r="F420" s="69" t="s">
        <v>334</v>
      </c>
      <c r="G420" s="64">
        <v>0</v>
      </c>
      <c r="H420" s="64">
        <v>0</v>
      </c>
      <c r="I420" s="64">
        <v>0</v>
      </c>
      <c r="J420" s="65">
        <v>0</v>
      </c>
    </row>
    <row r="421" spans="1:10" ht="25.5" x14ac:dyDescent="0.2">
      <c r="A421" s="72">
        <v>2</v>
      </c>
      <c r="B421" s="58">
        <v>6</v>
      </c>
      <c r="C421" s="58">
        <v>7</v>
      </c>
      <c r="D421" s="58">
        <v>9</v>
      </c>
      <c r="E421" s="58"/>
      <c r="F421" s="86" t="s">
        <v>335</v>
      </c>
      <c r="G421" s="59">
        <v>0</v>
      </c>
      <c r="H421" s="59">
        <v>0</v>
      </c>
      <c r="I421" s="59">
        <v>0</v>
      </c>
      <c r="J421" s="60"/>
    </row>
    <row r="422" spans="1:10" ht="25.5" x14ac:dyDescent="0.2">
      <c r="A422" s="74">
        <v>2</v>
      </c>
      <c r="B422" s="62">
        <v>6</v>
      </c>
      <c r="C422" s="62">
        <v>7</v>
      </c>
      <c r="D422" s="62">
        <v>9</v>
      </c>
      <c r="E422" s="63" t="s">
        <v>35</v>
      </c>
      <c r="F422" s="69" t="s">
        <v>335</v>
      </c>
      <c r="G422" s="64">
        <v>0</v>
      </c>
      <c r="H422" s="64">
        <v>0</v>
      </c>
      <c r="I422" s="64">
        <v>0</v>
      </c>
      <c r="J422" s="65">
        <v>0</v>
      </c>
    </row>
    <row r="423" spans="1:10" x14ac:dyDescent="0.2">
      <c r="A423" s="70">
        <v>2</v>
      </c>
      <c r="B423" s="55">
        <v>6</v>
      </c>
      <c r="C423" s="55">
        <v>8</v>
      </c>
      <c r="D423" s="55"/>
      <c r="E423" s="55"/>
      <c r="F423" s="85" t="s">
        <v>336</v>
      </c>
      <c r="G423" s="56">
        <v>0</v>
      </c>
      <c r="H423" s="56">
        <v>0</v>
      </c>
      <c r="I423" s="56">
        <v>0</v>
      </c>
      <c r="J423" s="53"/>
    </row>
    <row r="424" spans="1:10" x14ac:dyDescent="0.2">
      <c r="A424" s="72">
        <v>2</v>
      </c>
      <c r="B424" s="58">
        <v>6</v>
      </c>
      <c r="C424" s="58">
        <v>8</v>
      </c>
      <c r="D424" s="58">
        <v>1</v>
      </c>
      <c r="E424" s="58"/>
      <c r="F424" s="86" t="s">
        <v>337</v>
      </c>
      <c r="G424" s="59">
        <v>0</v>
      </c>
      <c r="H424" s="59">
        <v>0</v>
      </c>
      <c r="I424" s="59">
        <v>0</v>
      </c>
      <c r="J424" s="60"/>
    </row>
    <row r="425" spans="1:10" x14ac:dyDescent="0.2">
      <c r="A425" s="74">
        <v>2</v>
      </c>
      <c r="B425" s="62">
        <v>6</v>
      </c>
      <c r="C425" s="62">
        <v>8</v>
      </c>
      <c r="D425" s="62">
        <v>1</v>
      </c>
      <c r="E425" s="63" t="s">
        <v>35</v>
      </c>
      <c r="F425" s="69" t="s">
        <v>337</v>
      </c>
      <c r="G425" s="64">
        <v>0</v>
      </c>
      <c r="H425" s="64">
        <v>0</v>
      </c>
      <c r="I425" s="64">
        <v>0</v>
      </c>
      <c r="J425" s="65">
        <v>0</v>
      </c>
    </row>
    <row r="426" spans="1:10" x14ac:dyDescent="0.2">
      <c r="A426" s="72">
        <v>2</v>
      </c>
      <c r="B426" s="58">
        <v>6</v>
      </c>
      <c r="C426" s="58">
        <v>8</v>
      </c>
      <c r="D426" s="58">
        <v>2</v>
      </c>
      <c r="E426" s="58"/>
      <c r="F426" s="86" t="s">
        <v>338</v>
      </c>
      <c r="G426" s="59">
        <v>0</v>
      </c>
      <c r="H426" s="59">
        <v>0</v>
      </c>
      <c r="I426" s="59">
        <v>0</v>
      </c>
      <c r="J426" s="60"/>
    </row>
    <row r="427" spans="1:10" x14ac:dyDescent="0.2">
      <c r="A427" s="74">
        <v>2</v>
      </c>
      <c r="B427" s="62">
        <v>6</v>
      </c>
      <c r="C427" s="62">
        <v>8</v>
      </c>
      <c r="D427" s="62">
        <v>2</v>
      </c>
      <c r="E427" s="63" t="s">
        <v>35</v>
      </c>
      <c r="F427" s="69" t="s">
        <v>338</v>
      </c>
      <c r="G427" s="64">
        <v>0</v>
      </c>
      <c r="H427" s="64">
        <v>0</v>
      </c>
      <c r="I427" s="64">
        <v>0</v>
      </c>
      <c r="J427" s="65">
        <v>0</v>
      </c>
    </row>
    <row r="428" spans="1:10" x14ac:dyDescent="0.2">
      <c r="A428" s="72">
        <v>2</v>
      </c>
      <c r="B428" s="58">
        <v>6</v>
      </c>
      <c r="C428" s="58">
        <v>8</v>
      </c>
      <c r="D428" s="58">
        <v>3</v>
      </c>
      <c r="E428" s="58"/>
      <c r="F428" s="86" t="s">
        <v>339</v>
      </c>
      <c r="G428" s="59">
        <v>0</v>
      </c>
      <c r="H428" s="59">
        <v>0</v>
      </c>
      <c r="I428" s="59">
        <v>0</v>
      </c>
      <c r="J428" s="60"/>
    </row>
    <row r="429" spans="1:10" x14ac:dyDescent="0.2">
      <c r="A429" s="74">
        <v>2</v>
      </c>
      <c r="B429" s="62">
        <v>6</v>
      </c>
      <c r="C429" s="62">
        <v>8</v>
      </c>
      <c r="D429" s="62">
        <v>3</v>
      </c>
      <c r="E429" s="63" t="s">
        <v>35</v>
      </c>
      <c r="F429" s="69" t="s">
        <v>340</v>
      </c>
      <c r="G429" s="64">
        <v>0</v>
      </c>
      <c r="H429" s="64">
        <v>0</v>
      </c>
      <c r="I429" s="64">
        <v>0</v>
      </c>
      <c r="J429" s="65">
        <v>0</v>
      </c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37</v>
      </c>
      <c r="F430" s="69" t="s">
        <v>341</v>
      </c>
      <c r="G430" s="64">
        <v>0</v>
      </c>
      <c r="H430" s="64">
        <v>0</v>
      </c>
      <c r="I430" s="64">
        <v>0</v>
      </c>
      <c r="J430" s="65">
        <v>0</v>
      </c>
    </row>
    <row r="431" spans="1:10" x14ac:dyDescent="0.2">
      <c r="A431" s="72">
        <v>2</v>
      </c>
      <c r="B431" s="58">
        <v>6</v>
      </c>
      <c r="C431" s="58">
        <v>8</v>
      </c>
      <c r="D431" s="58">
        <v>4</v>
      </c>
      <c r="E431" s="58"/>
      <c r="F431" s="86" t="s">
        <v>342</v>
      </c>
      <c r="G431" s="59">
        <v>0</v>
      </c>
      <c r="H431" s="59">
        <v>0</v>
      </c>
      <c r="I431" s="59">
        <v>0</v>
      </c>
      <c r="J431" s="60"/>
    </row>
    <row r="432" spans="1:10" ht="12.75" customHeight="1" x14ac:dyDescent="0.2">
      <c r="A432" s="74">
        <v>2</v>
      </c>
      <c r="B432" s="62">
        <v>6</v>
      </c>
      <c r="C432" s="62">
        <v>8</v>
      </c>
      <c r="D432" s="62">
        <v>4</v>
      </c>
      <c r="E432" s="63" t="s">
        <v>35</v>
      </c>
      <c r="F432" s="69" t="s">
        <v>342</v>
      </c>
      <c r="G432" s="64">
        <v>0</v>
      </c>
      <c r="H432" s="64">
        <v>0</v>
      </c>
      <c r="I432" s="64">
        <v>0</v>
      </c>
      <c r="J432" s="65">
        <v>0</v>
      </c>
    </row>
    <row r="433" spans="1:10" ht="12.75" customHeight="1" x14ac:dyDescent="0.2">
      <c r="A433" s="72">
        <v>2</v>
      </c>
      <c r="B433" s="58">
        <v>6</v>
      </c>
      <c r="C433" s="58">
        <v>8</v>
      </c>
      <c r="D433" s="58">
        <v>5</v>
      </c>
      <c r="E433" s="58"/>
      <c r="F433" s="86" t="s">
        <v>343</v>
      </c>
      <c r="G433" s="59">
        <v>0</v>
      </c>
      <c r="H433" s="59">
        <v>0</v>
      </c>
      <c r="I433" s="59">
        <v>0</v>
      </c>
      <c r="J433" s="60"/>
    </row>
    <row r="434" spans="1:10" x14ac:dyDescent="0.2">
      <c r="A434" s="74">
        <v>2</v>
      </c>
      <c r="B434" s="62">
        <v>6</v>
      </c>
      <c r="C434" s="62">
        <v>8</v>
      </c>
      <c r="D434" s="62">
        <v>5</v>
      </c>
      <c r="E434" s="63" t="s">
        <v>35</v>
      </c>
      <c r="F434" s="69" t="s">
        <v>343</v>
      </c>
      <c r="G434" s="64">
        <v>0</v>
      </c>
      <c r="H434" s="64">
        <v>0</v>
      </c>
      <c r="I434" s="64">
        <v>0</v>
      </c>
      <c r="J434" s="65">
        <v>0</v>
      </c>
    </row>
    <row r="435" spans="1:10" x14ac:dyDescent="0.2">
      <c r="A435" s="72">
        <v>2</v>
      </c>
      <c r="B435" s="58">
        <v>6</v>
      </c>
      <c r="C435" s="58">
        <v>8</v>
      </c>
      <c r="D435" s="58">
        <v>6</v>
      </c>
      <c r="E435" s="58"/>
      <c r="F435" s="86" t="s">
        <v>344</v>
      </c>
      <c r="G435" s="59">
        <v>0</v>
      </c>
      <c r="H435" s="59">
        <v>0</v>
      </c>
      <c r="I435" s="59">
        <v>0</v>
      </c>
      <c r="J435" s="60"/>
    </row>
    <row r="436" spans="1:10" x14ac:dyDescent="0.2">
      <c r="A436" s="74">
        <v>2</v>
      </c>
      <c r="B436" s="62">
        <v>6</v>
      </c>
      <c r="C436" s="62">
        <v>8</v>
      </c>
      <c r="D436" s="62">
        <v>6</v>
      </c>
      <c r="E436" s="63" t="s">
        <v>35</v>
      </c>
      <c r="F436" s="69" t="s">
        <v>344</v>
      </c>
      <c r="G436" s="64">
        <v>0</v>
      </c>
      <c r="H436" s="64">
        <v>0</v>
      </c>
      <c r="I436" s="64">
        <v>0</v>
      </c>
      <c r="J436" s="65">
        <v>0</v>
      </c>
    </row>
    <row r="437" spans="1:10" x14ac:dyDescent="0.2">
      <c r="A437" s="72">
        <v>2</v>
      </c>
      <c r="B437" s="58">
        <v>6</v>
      </c>
      <c r="C437" s="58">
        <v>8</v>
      </c>
      <c r="D437" s="58">
        <v>7</v>
      </c>
      <c r="E437" s="58"/>
      <c r="F437" s="86" t="s">
        <v>345</v>
      </c>
      <c r="G437" s="59">
        <v>0</v>
      </c>
      <c r="H437" s="59">
        <v>0</v>
      </c>
      <c r="I437" s="59">
        <v>0</v>
      </c>
      <c r="J437" s="60"/>
    </row>
    <row r="438" spans="1:10" x14ac:dyDescent="0.2">
      <c r="A438" s="74">
        <v>2</v>
      </c>
      <c r="B438" s="62">
        <v>6</v>
      </c>
      <c r="C438" s="62">
        <v>8</v>
      </c>
      <c r="D438" s="62">
        <v>7</v>
      </c>
      <c r="E438" s="63" t="s">
        <v>35</v>
      </c>
      <c r="F438" s="69" t="s">
        <v>345</v>
      </c>
      <c r="G438" s="64">
        <v>0</v>
      </c>
      <c r="H438" s="64">
        <v>0</v>
      </c>
      <c r="I438" s="64">
        <v>0</v>
      </c>
      <c r="J438" s="65">
        <v>0</v>
      </c>
    </row>
    <row r="439" spans="1:10" x14ac:dyDescent="0.2">
      <c r="A439" s="57">
        <v>2</v>
      </c>
      <c r="B439" s="58">
        <v>6</v>
      </c>
      <c r="C439" s="58">
        <v>8</v>
      </c>
      <c r="D439" s="58">
        <v>8</v>
      </c>
      <c r="E439" s="58"/>
      <c r="F439" s="86" t="s">
        <v>346</v>
      </c>
      <c r="G439" s="59">
        <v>0</v>
      </c>
      <c r="H439" s="59">
        <v>0</v>
      </c>
      <c r="I439" s="59">
        <v>0</v>
      </c>
      <c r="J439" s="60"/>
    </row>
    <row r="440" spans="1:10" x14ac:dyDescent="0.2">
      <c r="A440" s="74">
        <v>2</v>
      </c>
      <c r="B440" s="62">
        <v>6</v>
      </c>
      <c r="C440" s="62">
        <v>8</v>
      </c>
      <c r="D440" s="62">
        <v>8</v>
      </c>
      <c r="E440" s="62" t="s">
        <v>347</v>
      </c>
      <c r="F440" s="69" t="s">
        <v>348</v>
      </c>
      <c r="G440" s="64">
        <v>0</v>
      </c>
      <c r="H440" s="64">
        <v>0</v>
      </c>
      <c r="I440" s="64">
        <v>0</v>
      </c>
      <c r="J440" s="65">
        <v>0</v>
      </c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349</v>
      </c>
      <c r="F441" s="69" t="s">
        <v>350</v>
      </c>
      <c r="G441" s="64">
        <v>0</v>
      </c>
      <c r="H441" s="64">
        <v>0</v>
      </c>
      <c r="I441" s="64">
        <v>0</v>
      </c>
      <c r="J441" s="65"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351</v>
      </c>
      <c r="F442" s="69" t="s">
        <v>352</v>
      </c>
      <c r="G442" s="64">
        <v>0</v>
      </c>
      <c r="H442" s="64">
        <v>0</v>
      </c>
      <c r="I442" s="64">
        <v>0</v>
      </c>
      <c r="J442" s="65">
        <v>0</v>
      </c>
    </row>
    <row r="443" spans="1:10" x14ac:dyDescent="0.2">
      <c r="A443" s="72">
        <v>2</v>
      </c>
      <c r="B443" s="58">
        <v>6</v>
      </c>
      <c r="C443" s="58">
        <v>8</v>
      </c>
      <c r="D443" s="58">
        <v>9</v>
      </c>
      <c r="E443" s="58"/>
      <c r="F443" s="86" t="s">
        <v>353</v>
      </c>
      <c r="G443" s="59">
        <v>0</v>
      </c>
      <c r="H443" s="59">
        <v>0</v>
      </c>
      <c r="I443" s="59">
        <v>0</v>
      </c>
      <c r="J443" s="60"/>
    </row>
    <row r="444" spans="1:10" x14ac:dyDescent="0.2">
      <c r="A444" s="74">
        <v>2</v>
      </c>
      <c r="B444" s="62">
        <v>6</v>
      </c>
      <c r="C444" s="62">
        <v>8</v>
      </c>
      <c r="D444" s="62">
        <v>9</v>
      </c>
      <c r="E444" s="62" t="s">
        <v>324</v>
      </c>
      <c r="F444" s="69" t="s">
        <v>353</v>
      </c>
      <c r="G444" s="64">
        <v>0</v>
      </c>
      <c r="H444" s="64">
        <v>0</v>
      </c>
      <c r="I444" s="64">
        <v>0</v>
      </c>
      <c r="J444" s="65">
        <v>0</v>
      </c>
    </row>
    <row r="445" spans="1:10" x14ac:dyDescent="0.2">
      <c r="A445" s="54">
        <v>2</v>
      </c>
      <c r="B445" s="55">
        <v>6</v>
      </c>
      <c r="C445" s="55">
        <v>9</v>
      </c>
      <c r="D445" s="55"/>
      <c r="E445" s="78"/>
      <c r="F445" s="85" t="s">
        <v>354</v>
      </c>
      <c r="G445" s="56">
        <v>0</v>
      </c>
      <c r="H445" s="56">
        <v>0</v>
      </c>
      <c r="I445" s="56">
        <v>0</v>
      </c>
      <c r="J445" s="53"/>
    </row>
    <row r="446" spans="1:10" x14ac:dyDescent="0.2">
      <c r="A446" s="72">
        <v>2</v>
      </c>
      <c r="B446" s="58">
        <v>6</v>
      </c>
      <c r="C446" s="58">
        <v>9</v>
      </c>
      <c r="D446" s="58">
        <v>1</v>
      </c>
      <c r="E446" s="58"/>
      <c r="F446" s="86" t="s">
        <v>355</v>
      </c>
      <c r="G446" s="59">
        <v>0</v>
      </c>
      <c r="H446" s="59">
        <v>0</v>
      </c>
      <c r="I446" s="59">
        <v>0</v>
      </c>
      <c r="J446" s="59"/>
    </row>
    <row r="447" spans="1:10" x14ac:dyDescent="0.2">
      <c r="A447" s="89">
        <v>2</v>
      </c>
      <c r="B447" s="90">
        <v>6</v>
      </c>
      <c r="C447" s="90">
        <v>9</v>
      </c>
      <c r="D447" s="90">
        <v>1</v>
      </c>
      <c r="E447" s="90" t="s">
        <v>35</v>
      </c>
      <c r="F447" s="91" t="s">
        <v>355</v>
      </c>
      <c r="G447" s="64">
        <v>0</v>
      </c>
      <c r="H447" s="92">
        <v>0</v>
      </c>
      <c r="I447" s="92">
        <v>0</v>
      </c>
      <c r="J447" s="65">
        <v>0</v>
      </c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37</v>
      </c>
      <c r="F448" s="91" t="s">
        <v>356</v>
      </c>
      <c r="G448" s="64">
        <v>0</v>
      </c>
      <c r="H448" s="92">
        <v>0</v>
      </c>
      <c r="I448" s="92">
        <v>0</v>
      </c>
      <c r="J448" s="65">
        <v>0</v>
      </c>
    </row>
    <row r="449" spans="1:10" x14ac:dyDescent="0.2">
      <c r="A449" s="72">
        <v>2</v>
      </c>
      <c r="B449" s="58">
        <v>6</v>
      </c>
      <c r="C449" s="58">
        <v>9</v>
      </c>
      <c r="D449" s="58">
        <v>2</v>
      </c>
      <c r="E449" s="58"/>
      <c r="F449" s="86" t="s">
        <v>357</v>
      </c>
      <c r="G449" s="59">
        <v>0</v>
      </c>
      <c r="H449" s="59">
        <v>0</v>
      </c>
      <c r="I449" s="59">
        <v>0</v>
      </c>
      <c r="J449" s="60"/>
    </row>
    <row r="450" spans="1:10" x14ac:dyDescent="0.2">
      <c r="A450" s="74">
        <v>2</v>
      </c>
      <c r="B450" s="62">
        <v>6</v>
      </c>
      <c r="C450" s="62">
        <v>9</v>
      </c>
      <c r="D450" s="62">
        <v>2</v>
      </c>
      <c r="E450" s="63" t="s">
        <v>35</v>
      </c>
      <c r="F450" s="69" t="s">
        <v>357</v>
      </c>
      <c r="G450" s="64">
        <v>0</v>
      </c>
      <c r="H450" s="64">
        <v>0</v>
      </c>
      <c r="I450" s="64">
        <v>0</v>
      </c>
      <c r="J450" s="65">
        <v>0</v>
      </c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37</v>
      </c>
      <c r="F451" s="69" t="s">
        <v>358</v>
      </c>
      <c r="G451" s="64">
        <v>0</v>
      </c>
      <c r="H451" s="64">
        <v>0</v>
      </c>
      <c r="I451" s="64">
        <v>0</v>
      </c>
      <c r="J451" s="65">
        <v>0</v>
      </c>
    </row>
    <row r="452" spans="1:10" x14ac:dyDescent="0.2">
      <c r="A452" s="72">
        <v>2</v>
      </c>
      <c r="B452" s="58">
        <v>6</v>
      </c>
      <c r="C452" s="58">
        <v>9</v>
      </c>
      <c r="D452" s="58">
        <v>3</v>
      </c>
      <c r="E452" s="58"/>
      <c r="F452" s="86" t="s">
        <v>359</v>
      </c>
      <c r="G452" s="59">
        <v>0</v>
      </c>
      <c r="H452" s="59">
        <v>0</v>
      </c>
      <c r="I452" s="59">
        <v>0</v>
      </c>
      <c r="J452" s="59"/>
    </row>
    <row r="453" spans="1:10" x14ac:dyDescent="0.2">
      <c r="A453" s="74">
        <v>2</v>
      </c>
      <c r="B453" s="62">
        <v>6</v>
      </c>
      <c r="C453" s="62">
        <v>9</v>
      </c>
      <c r="D453" s="62">
        <v>3</v>
      </c>
      <c r="E453" s="63" t="s">
        <v>35</v>
      </c>
      <c r="F453" s="69" t="s">
        <v>359</v>
      </c>
      <c r="G453" s="64">
        <v>0</v>
      </c>
      <c r="H453" s="64">
        <v>0</v>
      </c>
      <c r="I453" s="64">
        <v>0</v>
      </c>
      <c r="J453" s="65">
        <v>0</v>
      </c>
    </row>
    <row r="454" spans="1:10" x14ac:dyDescent="0.2">
      <c r="A454" s="72">
        <v>2</v>
      </c>
      <c r="B454" s="58">
        <v>6</v>
      </c>
      <c r="C454" s="58">
        <v>9</v>
      </c>
      <c r="D454" s="58">
        <v>4</v>
      </c>
      <c r="E454" s="58"/>
      <c r="F454" s="86" t="s">
        <v>360</v>
      </c>
      <c r="G454" s="59">
        <v>0</v>
      </c>
      <c r="H454" s="59">
        <v>0</v>
      </c>
      <c r="I454" s="59">
        <v>0</v>
      </c>
      <c r="J454" s="60"/>
    </row>
    <row r="455" spans="1:10" x14ac:dyDescent="0.2">
      <c r="A455" s="74">
        <v>2</v>
      </c>
      <c r="B455" s="62">
        <v>6</v>
      </c>
      <c r="C455" s="62">
        <v>9</v>
      </c>
      <c r="D455" s="62">
        <v>4</v>
      </c>
      <c r="E455" s="63" t="s">
        <v>35</v>
      </c>
      <c r="F455" s="69" t="s">
        <v>360</v>
      </c>
      <c r="G455" s="64">
        <v>0</v>
      </c>
      <c r="H455" s="64">
        <v>0</v>
      </c>
      <c r="I455" s="64">
        <v>0</v>
      </c>
      <c r="J455" s="65">
        <v>0</v>
      </c>
    </row>
    <row r="456" spans="1:10" x14ac:dyDescent="0.2">
      <c r="A456" s="72">
        <v>2</v>
      </c>
      <c r="B456" s="58">
        <v>6</v>
      </c>
      <c r="C456" s="58">
        <v>9</v>
      </c>
      <c r="D456" s="58">
        <v>5</v>
      </c>
      <c r="E456" s="58"/>
      <c r="F456" s="86" t="s">
        <v>361</v>
      </c>
      <c r="G456" s="59">
        <v>0</v>
      </c>
      <c r="H456" s="59">
        <v>0</v>
      </c>
      <c r="I456" s="59">
        <v>0</v>
      </c>
      <c r="J456" s="60"/>
    </row>
    <row r="457" spans="1:10" x14ac:dyDescent="0.2">
      <c r="A457" s="74">
        <v>2</v>
      </c>
      <c r="B457" s="62">
        <v>6</v>
      </c>
      <c r="C457" s="62">
        <v>9</v>
      </c>
      <c r="D457" s="62">
        <v>5</v>
      </c>
      <c r="E457" s="63" t="s">
        <v>35</v>
      </c>
      <c r="F457" s="69" t="s">
        <v>362</v>
      </c>
      <c r="G457" s="64">
        <v>0</v>
      </c>
      <c r="H457" s="64">
        <v>0</v>
      </c>
      <c r="I457" s="64">
        <v>0</v>
      </c>
      <c r="J457" s="65">
        <v>0</v>
      </c>
    </row>
    <row r="458" spans="1:10" ht="25.5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37</v>
      </c>
      <c r="F458" s="69" t="s">
        <v>363</v>
      </c>
      <c r="G458" s="64">
        <v>0</v>
      </c>
      <c r="H458" s="64">
        <v>0</v>
      </c>
      <c r="I458" s="64">
        <v>0</v>
      </c>
      <c r="J458" s="65"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39</v>
      </c>
      <c r="F459" s="69" t="s">
        <v>364</v>
      </c>
      <c r="G459" s="64">
        <v>0</v>
      </c>
      <c r="H459" s="64">
        <v>0</v>
      </c>
      <c r="I459" s="64">
        <v>0</v>
      </c>
      <c r="J459" s="65">
        <v>0</v>
      </c>
    </row>
    <row r="460" spans="1:10" x14ac:dyDescent="0.2">
      <c r="A460" s="72">
        <v>2</v>
      </c>
      <c r="B460" s="58">
        <v>6</v>
      </c>
      <c r="C460" s="58">
        <v>9</v>
      </c>
      <c r="D460" s="58">
        <v>9</v>
      </c>
      <c r="E460" s="58"/>
      <c r="F460" s="86" t="s">
        <v>365</v>
      </c>
      <c r="G460" s="59">
        <v>0</v>
      </c>
      <c r="H460" s="59">
        <v>0</v>
      </c>
      <c r="I460" s="59">
        <v>0</v>
      </c>
      <c r="J460" s="60"/>
    </row>
    <row r="461" spans="1:10" x14ac:dyDescent="0.2">
      <c r="A461" s="74">
        <v>2</v>
      </c>
      <c r="B461" s="62">
        <v>6</v>
      </c>
      <c r="C461" s="62">
        <v>9</v>
      </c>
      <c r="D461" s="62">
        <v>9</v>
      </c>
      <c r="E461" s="63" t="s">
        <v>35</v>
      </c>
      <c r="F461" s="69" t="s">
        <v>365</v>
      </c>
      <c r="G461" s="64">
        <v>0</v>
      </c>
      <c r="H461" s="64">
        <v>0</v>
      </c>
      <c r="I461" s="64">
        <v>0</v>
      </c>
      <c r="J461" s="65">
        <v>0</v>
      </c>
    </row>
    <row r="462" spans="1:10" x14ac:dyDescent="0.2">
      <c r="A462" s="70">
        <v>2</v>
      </c>
      <c r="B462" s="55">
        <v>7</v>
      </c>
      <c r="C462" s="55"/>
      <c r="D462" s="55"/>
      <c r="E462" s="55"/>
      <c r="F462" s="85" t="s">
        <v>366</v>
      </c>
      <c r="G462" s="56">
        <v>0</v>
      </c>
      <c r="H462" s="56">
        <v>0</v>
      </c>
      <c r="I462" s="56">
        <v>0</v>
      </c>
      <c r="J462" s="53">
        <v>0</v>
      </c>
    </row>
    <row r="463" spans="1:10" x14ac:dyDescent="0.2">
      <c r="A463" s="70">
        <v>2</v>
      </c>
      <c r="B463" s="55">
        <v>7</v>
      </c>
      <c r="C463" s="55">
        <v>1</v>
      </c>
      <c r="D463" s="55"/>
      <c r="E463" s="55"/>
      <c r="F463" s="85" t="s">
        <v>367</v>
      </c>
      <c r="G463" s="56">
        <v>0</v>
      </c>
      <c r="H463" s="56">
        <v>0</v>
      </c>
      <c r="I463" s="56">
        <v>0</v>
      </c>
      <c r="J463" s="53"/>
    </row>
    <row r="464" spans="1:10" x14ac:dyDescent="0.2">
      <c r="A464" s="72">
        <v>2</v>
      </c>
      <c r="B464" s="58">
        <v>7</v>
      </c>
      <c r="C464" s="58">
        <v>1</v>
      </c>
      <c r="D464" s="58">
        <v>1</v>
      </c>
      <c r="E464" s="77"/>
      <c r="F464" s="86" t="s">
        <v>368</v>
      </c>
      <c r="G464" s="59">
        <v>0</v>
      </c>
      <c r="H464" s="59">
        <v>0</v>
      </c>
      <c r="I464" s="59">
        <v>0</v>
      </c>
      <c r="J464" s="60"/>
    </row>
    <row r="465" spans="1:10" x14ac:dyDescent="0.2">
      <c r="A465" s="74">
        <v>2</v>
      </c>
      <c r="B465" s="62">
        <v>7</v>
      </c>
      <c r="C465" s="62">
        <v>1</v>
      </c>
      <c r="D465" s="62">
        <v>1</v>
      </c>
      <c r="E465" s="62" t="s">
        <v>324</v>
      </c>
      <c r="F465" s="69" t="s">
        <v>368</v>
      </c>
      <c r="G465" s="64">
        <v>0</v>
      </c>
      <c r="H465" s="64">
        <v>0</v>
      </c>
      <c r="I465" s="64">
        <v>0</v>
      </c>
      <c r="J465" s="65">
        <v>0</v>
      </c>
    </row>
    <row r="466" spans="1:10" x14ac:dyDescent="0.2">
      <c r="A466" s="72">
        <v>2</v>
      </c>
      <c r="B466" s="58">
        <v>7</v>
      </c>
      <c r="C466" s="58">
        <v>1</v>
      </c>
      <c r="D466" s="58">
        <v>2</v>
      </c>
      <c r="E466" s="77"/>
      <c r="F466" s="86" t="s">
        <v>369</v>
      </c>
      <c r="G466" s="59">
        <v>0</v>
      </c>
      <c r="H466" s="59">
        <v>0</v>
      </c>
      <c r="I466" s="59">
        <v>0</v>
      </c>
      <c r="J466" s="60"/>
    </row>
    <row r="467" spans="1:10" x14ac:dyDescent="0.2">
      <c r="A467" s="74">
        <v>2</v>
      </c>
      <c r="B467" s="62">
        <v>7</v>
      </c>
      <c r="C467" s="62">
        <v>1</v>
      </c>
      <c r="D467" s="62">
        <v>2</v>
      </c>
      <c r="E467" s="62" t="s">
        <v>324</v>
      </c>
      <c r="F467" s="69" t="s">
        <v>369</v>
      </c>
      <c r="G467" s="64">
        <v>0</v>
      </c>
      <c r="H467" s="64">
        <v>0</v>
      </c>
      <c r="I467" s="64">
        <v>0</v>
      </c>
      <c r="J467" s="65">
        <v>0</v>
      </c>
    </row>
    <row r="468" spans="1:10" x14ac:dyDescent="0.2">
      <c r="A468" s="72">
        <v>2</v>
      </c>
      <c r="B468" s="58">
        <v>7</v>
      </c>
      <c r="C468" s="58">
        <v>1</v>
      </c>
      <c r="D468" s="58">
        <v>3</v>
      </c>
      <c r="E468" s="77"/>
      <c r="F468" s="86" t="s">
        <v>370</v>
      </c>
      <c r="G468" s="59">
        <v>0</v>
      </c>
      <c r="H468" s="59">
        <v>0</v>
      </c>
      <c r="I468" s="59">
        <v>0</v>
      </c>
      <c r="J468" s="60"/>
    </row>
    <row r="469" spans="1:10" x14ac:dyDescent="0.2">
      <c r="A469" s="74">
        <v>2</v>
      </c>
      <c r="B469" s="62">
        <v>7</v>
      </c>
      <c r="C469" s="62">
        <v>1</v>
      </c>
      <c r="D469" s="62">
        <v>3</v>
      </c>
      <c r="E469" s="62" t="s">
        <v>324</v>
      </c>
      <c r="F469" s="69" t="s">
        <v>370</v>
      </c>
      <c r="G469" s="64">
        <v>0</v>
      </c>
      <c r="H469" s="64">
        <v>0</v>
      </c>
      <c r="I469" s="64">
        <v>0</v>
      </c>
      <c r="J469" s="65">
        <v>0</v>
      </c>
    </row>
    <row r="470" spans="1:10" x14ac:dyDescent="0.2">
      <c r="A470" s="72">
        <v>2</v>
      </c>
      <c r="B470" s="58">
        <v>7</v>
      </c>
      <c r="C470" s="58">
        <v>1</v>
      </c>
      <c r="D470" s="58">
        <v>4</v>
      </c>
      <c r="E470" s="77"/>
      <c r="F470" s="86" t="s">
        <v>371</v>
      </c>
      <c r="G470" s="59">
        <v>0</v>
      </c>
      <c r="H470" s="59">
        <v>0</v>
      </c>
      <c r="I470" s="59">
        <v>0</v>
      </c>
      <c r="J470" s="60"/>
    </row>
    <row r="471" spans="1:10" x14ac:dyDescent="0.2">
      <c r="A471" s="74">
        <v>2</v>
      </c>
      <c r="B471" s="62">
        <v>7</v>
      </c>
      <c r="C471" s="62">
        <v>1</v>
      </c>
      <c r="D471" s="62">
        <v>4</v>
      </c>
      <c r="E471" s="62" t="s">
        <v>324</v>
      </c>
      <c r="F471" s="69" t="s">
        <v>371</v>
      </c>
      <c r="G471" s="64">
        <v>0</v>
      </c>
      <c r="H471" s="64">
        <v>0</v>
      </c>
      <c r="I471" s="64">
        <v>0</v>
      </c>
      <c r="J471" s="65">
        <v>0</v>
      </c>
    </row>
    <row r="472" spans="1:10" x14ac:dyDescent="0.2">
      <c r="A472" s="70">
        <v>2</v>
      </c>
      <c r="B472" s="55">
        <v>7</v>
      </c>
      <c r="C472" s="55">
        <v>2</v>
      </c>
      <c r="D472" s="55"/>
      <c r="E472" s="55"/>
      <c r="F472" s="85" t="s">
        <v>372</v>
      </c>
      <c r="G472" s="56">
        <v>0</v>
      </c>
      <c r="H472" s="56">
        <v>0</v>
      </c>
      <c r="I472" s="56">
        <v>0</v>
      </c>
      <c r="J472" s="53"/>
    </row>
    <row r="473" spans="1:10" x14ac:dyDescent="0.2">
      <c r="A473" s="72">
        <v>2</v>
      </c>
      <c r="B473" s="58">
        <v>7</v>
      </c>
      <c r="C473" s="58">
        <v>2</v>
      </c>
      <c r="D473" s="58">
        <v>1</v>
      </c>
      <c r="E473" s="77"/>
      <c r="F473" s="86" t="s">
        <v>373</v>
      </c>
      <c r="G473" s="59">
        <v>0</v>
      </c>
      <c r="H473" s="59">
        <v>0</v>
      </c>
      <c r="I473" s="59">
        <v>0</v>
      </c>
      <c r="J473" s="60"/>
    </row>
    <row r="474" spans="1:10" x14ac:dyDescent="0.2">
      <c r="A474" s="74">
        <v>2</v>
      </c>
      <c r="B474" s="62">
        <v>7</v>
      </c>
      <c r="C474" s="62">
        <v>2</v>
      </c>
      <c r="D474" s="62">
        <v>1</v>
      </c>
      <c r="E474" s="62" t="s">
        <v>324</v>
      </c>
      <c r="F474" s="69" t="s">
        <v>373</v>
      </c>
      <c r="G474" s="64">
        <v>0</v>
      </c>
      <c r="H474" s="64">
        <v>0</v>
      </c>
      <c r="I474" s="64">
        <v>0</v>
      </c>
      <c r="J474" s="65">
        <v>0</v>
      </c>
    </row>
    <row r="475" spans="1:10" x14ac:dyDescent="0.2">
      <c r="A475" s="72">
        <v>2</v>
      </c>
      <c r="B475" s="58">
        <v>7</v>
      </c>
      <c r="C475" s="58">
        <v>2</v>
      </c>
      <c r="D475" s="58">
        <v>2</v>
      </c>
      <c r="E475" s="77"/>
      <c r="F475" s="86" t="s">
        <v>374</v>
      </c>
      <c r="G475" s="59">
        <v>0</v>
      </c>
      <c r="H475" s="59">
        <v>0</v>
      </c>
      <c r="I475" s="59">
        <v>0</v>
      </c>
      <c r="J475" s="60"/>
    </row>
    <row r="476" spans="1:10" x14ac:dyDescent="0.2">
      <c r="A476" s="74">
        <v>2</v>
      </c>
      <c r="B476" s="62">
        <v>7</v>
      </c>
      <c r="C476" s="62">
        <v>2</v>
      </c>
      <c r="D476" s="62">
        <v>2</v>
      </c>
      <c r="E476" s="62" t="s">
        <v>324</v>
      </c>
      <c r="F476" s="69" t="s">
        <v>374</v>
      </c>
      <c r="G476" s="64">
        <v>0</v>
      </c>
      <c r="H476" s="64">
        <v>0</v>
      </c>
      <c r="I476" s="64">
        <v>0</v>
      </c>
      <c r="J476" s="65">
        <v>0</v>
      </c>
    </row>
    <row r="477" spans="1:10" x14ac:dyDescent="0.2">
      <c r="A477" s="72">
        <v>2</v>
      </c>
      <c r="B477" s="58">
        <v>7</v>
      </c>
      <c r="C477" s="58">
        <v>2</v>
      </c>
      <c r="D477" s="58">
        <v>3</v>
      </c>
      <c r="E477" s="77"/>
      <c r="F477" s="86" t="s">
        <v>375</v>
      </c>
      <c r="G477" s="59">
        <v>0</v>
      </c>
      <c r="H477" s="59">
        <v>0</v>
      </c>
      <c r="I477" s="59">
        <v>0</v>
      </c>
      <c r="J477" s="60"/>
    </row>
    <row r="478" spans="1:10" x14ac:dyDescent="0.2">
      <c r="A478" s="74">
        <v>2</v>
      </c>
      <c r="B478" s="62">
        <v>7</v>
      </c>
      <c r="C478" s="62">
        <v>2</v>
      </c>
      <c r="D478" s="62">
        <v>3</v>
      </c>
      <c r="E478" s="62" t="s">
        <v>324</v>
      </c>
      <c r="F478" s="69" t="s">
        <v>375</v>
      </c>
      <c r="G478" s="64">
        <v>0</v>
      </c>
      <c r="H478" s="64">
        <v>0</v>
      </c>
      <c r="I478" s="64">
        <v>0</v>
      </c>
      <c r="J478" s="65">
        <v>0</v>
      </c>
    </row>
    <row r="479" spans="1:10" x14ac:dyDescent="0.2">
      <c r="A479" s="72">
        <v>2</v>
      </c>
      <c r="B479" s="58">
        <v>7</v>
      </c>
      <c r="C479" s="58">
        <v>2</v>
      </c>
      <c r="D479" s="58">
        <v>4</v>
      </c>
      <c r="E479" s="77"/>
      <c r="F479" s="86" t="s">
        <v>376</v>
      </c>
      <c r="G479" s="59">
        <v>0</v>
      </c>
      <c r="H479" s="59">
        <v>0</v>
      </c>
      <c r="I479" s="59">
        <v>0</v>
      </c>
      <c r="J479" s="60"/>
    </row>
    <row r="480" spans="1:10" x14ac:dyDescent="0.2">
      <c r="A480" s="74">
        <v>2</v>
      </c>
      <c r="B480" s="62">
        <v>7</v>
      </c>
      <c r="C480" s="62">
        <v>2</v>
      </c>
      <c r="D480" s="62">
        <v>4</v>
      </c>
      <c r="E480" s="62" t="s">
        <v>324</v>
      </c>
      <c r="F480" s="69" t="s">
        <v>376</v>
      </c>
      <c r="G480" s="64">
        <v>0</v>
      </c>
      <c r="H480" s="64">
        <v>0</v>
      </c>
      <c r="I480" s="64">
        <v>0</v>
      </c>
      <c r="J480" s="65">
        <v>0</v>
      </c>
    </row>
    <row r="481" spans="1:10" x14ac:dyDescent="0.2">
      <c r="A481" s="72">
        <v>2</v>
      </c>
      <c r="B481" s="58">
        <v>7</v>
      </c>
      <c r="C481" s="58">
        <v>2</v>
      </c>
      <c r="D481" s="58">
        <v>5</v>
      </c>
      <c r="E481" s="77"/>
      <c r="F481" s="86" t="s">
        <v>377</v>
      </c>
      <c r="G481" s="59">
        <v>0</v>
      </c>
      <c r="H481" s="59">
        <v>0</v>
      </c>
      <c r="I481" s="59">
        <v>0</v>
      </c>
      <c r="J481" s="60"/>
    </row>
    <row r="482" spans="1:10" x14ac:dyDescent="0.2">
      <c r="A482" s="74">
        <v>2</v>
      </c>
      <c r="B482" s="62">
        <v>7</v>
      </c>
      <c r="C482" s="62">
        <v>2</v>
      </c>
      <c r="D482" s="62">
        <v>5</v>
      </c>
      <c r="E482" s="62" t="s">
        <v>324</v>
      </c>
      <c r="F482" s="69" t="s">
        <v>377</v>
      </c>
      <c r="G482" s="64">
        <v>0</v>
      </c>
      <c r="H482" s="64">
        <v>0</v>
      </c>
      <c r="I482" s="64">
        <v>0</v>
      </c>
      <c r="J482" s="65">
        <v>0</v>
      </c>
    </row>
    <row r="483" spans="1:10" x14ac:dyDescent="0.2">
      <c r="A483" s="72">
        <v>2</v>
      </c>
      <c r="B483" s="58">
        <v>7</v>
      </c>
      <c r="C483" s="58">
        <v>2</v>
      </c>
      <c r="D483" s="58">
        <v>6</v>
      </c>
      <c r="E483" s="77"/>
      <c r="F483" s="86" t="s">
        <v>378</v>
      </c>
      <c r="G483" s="59">
        <v>0</v>
      </c>
      <c r="H483" s="59">
        <v>0</v>
      </c>
      <c r="I483" s="59">
        <v>0</v>
      </c>
      <c r="J483" s="60"/>
    </row>
    <row r="484" spans="1:10" x14ac:dyDescent="0.2">
      <c r="A484" s="74">
        <v>2</v>
      </c>
      <c r="B484" s="62">
        <v>7</v>
      </c>
      <c r="C484" s="62">
        <v>2</v>
      </c>
      <c r="D484" s="62">
        <v>6</v>
      </c>
      <c r="E484" s="62" t="s">
        <v>324</v>
      </c>
      <c r="F484" s="69" t="s">
        <v>378</v>
      </c>
      <c r="G484" s="64">
        <v>0</v>
      </c>
      <c r="H484" s="64">
        <v>0</v>
      </c>
      <c r="I484" s="64">
        <v>0</v>
      </c>
      <c r="J484" s="65">
        <v>0</v>
      </c>
    </row>
    <row r="485" spans="1:10" x14ac:dyDescent="0.2">
      <c r="A485" s="72">
        <v>2</v>
      </c>
      <c r="B485" s="58">
        <v>7</v>
      </c>
      <c r="C485" s="58">
        <v>2</v>
      </c>
      <c r="D485" s="58">
        <v>7</v>
      </c>
      <c r="E485" s="77"/>
      <c r="F485" s="86" t="s">
        <v>379</v>
      </c>
      <c r="G485" s="59">
        <v>0</v>
      </c>
      <c r="H485" s="59">
        <v>0</v>
      </c>
      <c r="I485" s="59">
        <v>0</v>
      </c>
      <c r="J485" s="60"/>
    </row>
    <row r="486" spans="1:10" x14ac:dyDescent="0.2">
      <c r="A486" s="74">
        <v>2</v>
      </c>
      <c r="B486" s="62">
        <v>7</v>
      </c>
      <c r="C486" s="62">
        <v>2</v>
      </c>
      <c r="D486" s="62">
        <v>7</v>
      </c>
      <c r="E486" s="62" t="s">
        <v>324</v>
      </c>
      <c r="F486" s="69" t="s">
        <v>379</v>
      </c>
      <c r="G486" s="64">
        <v>0</v>
      </c>
      <c r="H486" s="64">
        <v>0</v>
      </c>
      <c r="I486" s="64">
        <v>0</v>
      </c>
      <c r="J486" s="65">
        <v>0</v>
      </c>
    </row>
    <row r="487" spans="1:10" x14ac:dyDescent="0.2">
      <c r="A487" s="72">
        <v>2</v>
      </c>
      <c r="B487" s="58">
        <v>7</v>
      </c>
      <c r="C487" s="58">
        <v>2</v>
      </c>
      <c r="D487" s="58">
        <v>8</v>
      </c>
      <c r="E487" s="77"/>
      <c r="F487" s="86" t="s">
        <v>380</v>
      </c>
      <c r="G487" s="59">
        <v>0</v>
      </c>
      <c r="H487" s="59">
        <v>0</v>
      </c>
      <c r="I487" s="59">
        <v>0</v>
      </c>
      <c r="J487" s="60"/>
    </row>
    <row r="488" spans="1:10" x14ac:dyDescent="0.2">
      <c r="A488" s="74">
        <v>2</v>
      </c>
      <c r="B488" s="62">
        <v>7</v>
      </c>
      <c r="C488" s="62">
        <v>2</v>
      </c>
      <c r="D488" s="62">
        <v>8</v>
      </c>
      <c r="E488" s="62" t="s">
        <v>324</v>
      </c>
      <c r="F488" s="69" t="s">
        <v>380</v>
      </c>
      <c r="G488" s="64">
        <v>0</v>
      </c>
      <c r="H488" s="64">
        <v>0</v>
      </c>
      <c r="I488" s="64">
        <v>0</v>
      </c>
      <c r="J488" s="65">
        <v>0</v>
      </c>
    </row>
    <row r="489" spans="1:10" ht="25.5" x14ac:dyDescent="0.2">
      <c r="A489" s="72">
        <v>2</v>
      </c>
      <c r="B489" s="58">
        <v>7</v>
      </c>
      <c r="C489" s="58">
        <v>2</v>
      </c>
      <c r="D489" s="58">
        <v>9</v>
      </c>
      <c r="E489" s="77"/>
      <c r="F489" s="86" t="s">
        <v>381</v>
      </c>
      <c r="G489" s="59">
        <v>0</v>
      </c>
      <c r="H489" s="59">
        <v>0</v>
      </c>
      <c r="I489" s="59">
        <v>0</v>
      </c>
      <c r="J489" s="60"/>
    </row>
    <row r="490" spans="1:10" ht="25.5" x14ac:dyDescent="0.2">
      <c r="A490" s="74">
        <v>2</v>
      </c>
      <c r="B490" s="62">
        <v>7</v>
      </c>
      <c r="C490" s="62">
        <v>2</v>
      </c>
      <c r="D490" s="62">
        <v>9</v>
      </c>
      <c r="E490" s="62" t="s">
        <v>324</v>
      </c>
      <c r="F490" s="69" t="s">
        <v>381</v>
      </c>
      <c r="G490" s="64">
        <v>0</v>
      </c>
      <c r="H490" s="64">
        <v>0</v>
      </c>
      <c r="I490" s="64">
        <v>0</v>
      </c>
      <c r="J490" s="65">
        <v>0</v>
      </c>
    </row>
    <row r="491" spans="1:10" x14ac:dyDescent="0.2">
      <c r="A491" s="70">
        <v>2</v>
      </c>
      <c r="B491" s="55">
        <v>7</v>
      </c>
      <c r="C491" s="55">
        <v>3</v>
      </c>
      <c r="D491" s="55"/>
      <c r="E491" s="55"/>
      <c r="F491" s="85" t="s">
        <v>382</v>
      </c>
      <c r="G491" s="56">
        <v>0</v>
      </c>
      <c r="H491" s="56">
        <v>0</v>
      </c>
      <c r="I491" s="56">
        <v>0</v>
      </c>
      <c r="J491" s="53"/>
    </row>
    <row r="492" spans="1:10" ht="25.5" x14ac:dyDescent="0.2">
      <c r="A492" s="72">
        <v>2</v>
      </c>
      <c r="B492" s="58">
        <v>7</v>
      </c>
      <c r="C492" s="58">
        <v>3</v>
      </c>
      <c r="D492" s="58">
        <v>1</v>
      </c>
      <c r="E492" s="77"/>
      <c r="F492" s="86" t="s">
        <v>383</v>
      </c>
      <c r="G492" s="59">
        <v>0</v>
      </c>
      <c r="H492" s="59">
        <v>0</v>
      </c>
      <c r="I492" s="59">
        <v>0</v>
      </c>
      <c r="J492" s="60"/>
    </row>
    <row r="493" spans="1:10" ht="25.5" x14ac:dyDescent="0.2">
      <c r="A493" s="74">
        <v>2</v>
      </c>
      <c r="B493" s="62">
        <v>7</v>
      </c>
      <c r="C493" s="62">
        <v>3</v>
      </c>
      <c r="D493" s="62">
        <v>1</v>
      </c>
      <c r="E493" s="62" t="s">
        <v>324</v>
      </c>
      <c r="F493" s="69" t="s">
        <v>383</v>
      </c>
      <c r="G493" s="64">
        <v>0</v>
      </c>
      <c r="H493" s="64">
        <v>0</v>
      </c>
      <c r="I493" s="64">
        <v>0</v>
      </c>
      <c r="J493" s="65">
        <v>0</v>
      </c>
    </row>
    <row r="494" spans="1:10" ht="25.5" x14ac:dyDescent="0.2">
      <c r="A494" s="72">
        <v>2</v>
      </c>
      <c r="B494" s="58">
        <v>7</v>
      </c>
      <c r="C494" s="58">
        <v>3</v>
      </c>
      <c r="D494" s="58">
        <v>2</v>
      </c>
      <c r="E494" s="77"/>
      <c r="F494" s="86" t="s">
        <v>384</v>
      </c>
      <c r="G494" s="59">
        <v>0</v>
      </c>
      <c r="H494" s="59">
        <v>0</v>
      </c>
      <c r="I494" s="59">
        <v>0</v>
      </c>
      <c r="J494" s="60"/>
    </row>
    <row r="495" spans="1:10" ht="25.5" x14ac:dyDescent="0.2">
      <c r="A495" s="74">
        <v>2</v>
      </c>
      <c r="B495" s="62">
        <v>7</v>
      </c>
      <c r="C495" s="62">
        <v>3</v>
      </c>
      <c r="D495" s="62">
        <v>2</v>
      </c>
      <c r="E495" s="62" t="s">
        <v>324</v>
      </c>
      <c r="F495" s="69" t="s">
        <v>384</v>
      </c>
      <c r="G495" s="64">
        <v>0</v>
      </c>
      <c r="H495" s="64">
        <v>0</v>
      </c>
      <c r="I495" s="64">
        <v>0</v>
      </c>
      <c r="J495" s="65">
        <v>0</v>
      </c>
    </row>
    <row r="496" spans="1:10" ht="25.5" x14ac:dyDescent="0.2">
      <c r="A496" s="70">
        <v>2</v>
      </c>
      <c r="B496" s="55">
        <v>7</v>
      </c>
      <c r="C496" s="55">
        <v>4</v>
      </c>
      <c r="D496" s="55"/>
      <c r="E496" s="55"/>
      <c r="F496" s="85" t="s">
        <v>385</v>
      </c>
      <c r="G496" s="56">
        <v>0</v>
      </c>
      <c r="H496" s="56">
        <v>0</v>
      </c>
      <c r="I496" s="56">
        <v>0</v>
      </c>
      <c r="J496" s="53"/>
    </row>
    <row r="497" spans="1:10" ht="25.5" x14ac:dyDescent="0.2">
      <c r="A497" s="72">
        <v>2</v>
      </c>
      <c r="B497" s="58">
        <v>7</v>
      </c>
      <c r="C497" s="58">
        <v>4</v>
      </c>
      <c r="D497" s="58">
        <v>1</v>
      </c>
      <c r="E497" s="77"/>
      <c r="F497" s="86" t="s">
        <v>386</v>
      </c>
      <c r="G497" s="59">
        <v>0</v>
      </c>
      <c r="H497" s="59">
        <v>0</v>
      </c>
      <c r="I497" s="59">
        <v>0</v>
      </c>
      <c r="J497" s="60"/>
    </row>
    <row r="498" spans="1:10" ht="25.5" x14ac:dyDescent="0.2">
      <c r="A498" s="74">
        <v>2</v>
      </c>
      <c r="B498" s="62">
        <v>7</v>
      </c>
      <c r="C498" s="62">
        <v>4</v>
      </c>
      <c r="D498" s="62">
        <v>1</v>
      </c>
      <c r="E498" s="62" t="s">
        <v>324</v>
      </c>
      <c r="F498" s="69" t="s">
        <v>386</v>
      </c>
      <c r="G498" s="64">
        <v>0</v>
      </c>
      <c r="H498" s="64">
        <v>0</v>
      </c>
      <c r="I498" s="64">
        <v>0</v>
      </c>
      <c r="J498" s="65">
        <v>0</v>
      </c>
    </row>
    <row r="499" spans="1:10" ht="25.5" x14ac:dyDescent="0.2">
      <c r="A499" s="57">
        <v>2</v>
      </c>
      <c r="B499" s="58">
        <v>7</v>
      </c>
      <c r="C499" s="58">
        <v>4</v>
      </c>
      <c r="D499" s="58">
        <v>2</v>
      </c>
      <c r="E499" s="77"/>
      <c r="F499" s="86" t="s">
        <v>387</v>
      </c>
      <c r="G499" s="59">
        <v>0</v>
      </c>
      <c r="H499" s="59">
        <v>0</v>
      </c>
      <c r="I499" s="59">
        <v>0</v>
      </c>
      <c r="J499" s="60"/>
    </row>
    <row r="500" spans="1:10" ht="25.5" x14ac:dyDescent="0.2">
      <c r="A500" s="61">
        <v>2</v>
      </c>
      <c r="B500" s="62">
        <v>7</v>
      </c>
      <c r="C500" s="62">
        <v>4</v>
      </c>
      <c r="D500" s="62">
        <v>2</v>
      </c>
      <c r="E500" s="62" t="s">
        <v>324</v>
      </c>
      <c r="F500" s="69" t="s">
        <v>387</v>
      </c>
      <c r="G500" s="64">
        <v>0</v>
      </c>
      <c r="H500" s="64">
        <v>0</v>
      </c>
      <c r="I500" s="64">
        <v>0</v>
      </c>
      <c r="J500" s="65">
        <v>0</v>
      </c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'[1]CUENTA T FONDO 100'!JH198</f>
        <v>0</v>
      </c>
      <c r="H501" s="64">
        <f>'[1]CUENTA T VS'!JH106</f>
        <v>0</v>
      </c>
      <c r="I501" s="64">
        <f t="shared" ref="I501" si="0">SUM(G501:H501)</f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19">
    <mergeCell ref="G22:G23"/>
    <mergeCell ref="H22:H23"/>
    <mergeCell ref="L23:P23"/>
    <mergeCell ref="A21:E21"/>
    <mergeCell ref="F21:F23"/>
    <mergeCell ref="G21:H21"/>
    <mergeCell ref="I21:I23"/>
    <mergeCell ref="J21:J23"/>
    <mergeCell ref="A22:A23"/>
    <mergeCell ref="B22:B23"/>
    <mergeCell ref="C22:C23"/>
    <mergeCell ref="D22:D23"/>
    <mergeCell ref="E22:E23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D7E3-499C-43CC-8908-A023B7049A89}">
  <dimension ref="A1:J501"/>
  <sheetViews>
    <sheetView topLeftCell="A7" workbookViewId="0">
      <selection sqref="A1:J501"/>
    </sheetView>
  </sheetViews>
  <sheetFormatPr baseColWidth="10" defaultRowHeight="15" x14ac:dyDescent="0.25"/>
  <cols>
    <col min="7" max="7" width="13.7109375" bestFit="1" customWidth="1"/>
    <col min="8" max="8" width="20" bestFit="1" customWidth="1"/>
    <col min="9" max="9" width="13.71093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0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0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0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0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0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0" ht="15.75" x14ac:dyDescent="0.25">
      <c r="A7" s="175" t="s">
        <v>391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0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0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0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</row>
    <row r="11" spans="1:10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0" ht="15.75" x14ac:dyDescent="0.25">
      <c r="A12" s="12"/>
      <c r="B12" s="13"/>
      <c r="C12" s="13"/>
      <c r="D12" s="13"/>
      <c r="E12" s="18" t="s">
        <v>12</v>
      </c>
      <c r="F12" s="15"/>
      <c r="G12" s="24">
        <v>209079.80999999307</v>
      </c>
      <c r="H12" s="25"/>
      <c r="I12" s="23"/>
      <c r="J12" s="17"/>
    </row>
    <row r="13" spans="1:10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0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</row>
    <row r="15" spans="1:10" ht="15.75" x14ac:dyDescent="0.25">
      <c r="A15" s="12"/>
      <c r="B15" s="13"/>
      <c r="C15" s="13"/>
      <c r="D15" s="13"/>
      <c r="E15" s="18" t="s">
        <v>11</v>
      </c>
      <c r="F15" s="15"/>
      <c r="G15" s="24">
        <f>+'[4]INGR SEGUN ORIGEN'!E12</f>
        <v>106070561.59999999</v>
      </c>
      <c r="H15" s="25" t="s">
        <v>17</v>
      </c>
      <c r="I15" s="19"/>
      <c r="J15" s="17"/>
    </row>
    <row r="16" spans="1:10" ht="15.75" x14ac:dyDescent="0.25">
      <c r="A16" s="12"/>
      <c r="B16" s="13"/>
      <c r="C16" s="13"/>
      <c r="D16" s="13"/>
      <c r="E16" s="18" t="s">
        <v>12</v>
      </c>
      <c r="F16" s="15"/>
      <c r="G16" s="24">
        <f>+'[4]INGR SEGUN ORIGEN'!E27+'[4]INGR SEGUN ORIGEN'!E34</f>
        <v>8172161.2500000019</v>
      </c>
      <c r="H16" s="25"/>
      <c r="I16" s="23"/>
      <c r="J16" s="17"/>
    </row>
    <row r="17" spans="1:10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114451802.65999998</v>
      </c>
      <c r="J17" s="17"/>
    </row>
    <row r="18" spans="1:10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</row>
    <row r="19" spans="1:10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</row>
    <row r="20" spans="1:10" x14ac:dyDescent="0.25">
      <c r="A20" s="40"/>
      <c r="B20" s="15"/>
      <c r="C20" s="15"/>
      <c r="D20" s="15"/>
      <c r="E20" s="15"/>
      <c r="F20" s="15"/>
      <c r="G20" s="15"/>
      <c r="H20" s="15"/>
      <c r="I20" s="15"/>
      <c r="J20" s="17"/>
    </row>
    <row r="21" spans="1:10" x14ac:dyDescent="0.25">
      <c r="A21" s="209">
        <v>1</v>
      </c>
      <c r="B21" s="209"/>
      <c r="C21" s="209"/>
      <c r="D21" s="209"/>
      <c r="E21" s="209"/>
      <c r="F21" s="130">
        <v>2</v>
      </c>
      <c r="G21" s="210">
        <v>3</v>
      </c>
      <c r="H21" s="211"/>
      <c r="I21" s="42">
        <v>4</v>
      </c>
      <c r="J21" s="42">
        <v>5</v>
      </c>
    </row>
    <row r="22" spans="1:10" x14ac:dyDescent="0.25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0" x14ac:dyDescent="0.25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</row>
    <row r="24" spans="1:10" x14ac:dyDescent="0.25">
      <c r="A24" s="208"/>
      <c r="B24" s="208"/>
      <c r="C24" s="208"/>
      <c r="D24" s="208"/>
      <c r="E24" s="208"/>
      <c r="F24" s="214"/>
      <c r="G24" s="193"/>
      <c r="H24" s="193"/>
      <c r="I24" s="203"/>
      <c r="J24" s="206"/>
    </row>
    <row r="25" spans="1:10" ht="15.75" thickBot="1" x14ac:dyDescent="0.3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109113446.76000001</v>
      </c>
      <c r="H25" s="47">
        <f>+H26+H87+H212+H330+H336+H463</f>
        <v>8161061</v>
      </c>
      <c r="I25" s="47">
        <f t="shared" ref="I25:I88" si="0">SUM(G25:H25)</f>
        <v>117274507.76000001</v>
      </c>
      <c r="J25" s="48">
        <f>+J26+J87+J212+J330+J336+J463</f>
        <v>1</v>
      </c>
    </row>
    <row r="26" spans="1:10" ht="15.75" thickTop="1" x14ac:dyDescent="0.25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72986847.329999998</v>
      </c>
      <c r="H26" s="52">
        <f>+H27+H51+H64+H71+H78</f>
        <v>0</v>
      </c>
      <c r="I26" s="52">
        <f t="shared" si="0"/>
        <v>72986847.329999998</v>
      </c>
      <c r="J26" s="53">
        <f>I26/$I$25</f>
        <v>0.62235901667023974</v>
      </c>
    </row>
    <row r="27" spans="1:10" x14ac:dyDescent="0.25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60398098.329999998</v>
      </c>
      <c r="H27" s="56">
        <f>+H28+H35+H42+H44+H46</f>
        <v>0</v>
      </c>
      <c r="I27" s="56">
        <f t="shared" si="0"/>
        <v>60398098.329999998</v>
      </c>
      <c r="J27" s="53"/>
    </row>
    <row r="28" spans="1:10" x14ac:dyDescent="0.25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59105567.299999997</v>
      </c>
      <c r="H28" s="59">
        <f>SUM(H29:H34)</f>
        <v>0</v>
      </c>
      <c r="I28" s="59">
        <f t="shared" si="0"/>
        <v>59105567.299999997</v>
      </c>
      <c r="J28" s="60"/>
    </row>
    <row r="29" spans="1:10" x14ac:dyDescent="0.25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'[4]CUENTA T FONDO 100'!A126</f>
        <v>59105567.299999997</v>
      </c>
      <c r="H29" s="64">
        <f>'[4]CUENTA T VS'!A75</f>
        <v>0</v>
      </c>
      <c r="I29" s="64">
        <f t="shared" si="0"/>
        <v>59105567.299999997</v>
      </c>
      <c r="J29" s="65">
        <f t="shared" ref="J29:J34" si="1">I29/$I$25</f>
        <v>0.5039933096198399</v>
      </c>
    </row>
    <row r="30" spans="1:10" x14ac:dyDescent="0.25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'[4]CUENTA T FONDO 100'!B126</f>
        <v>0</v>
      </c>
      <c r="H30" s="64">
        <f>'[4]CUENTA T VS'!B75</f>
        <v>0</v>
      </c>
      <c r="I30" s="64">
        <f t="shared" si="0"/>
        <v>0</v>
      </c>
      <c r="J30" s="65">
        <f t="shared" si="1"/>
        <v>0</v>
      </c>
    </row>
    <row r="31" spans="1:10" x14ac:dyDescent="0.25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'[4]CUENTA T FONDO 100'!C126</f>
        <v>0</v>
      </c>
      <c r="H31" s="64">
        <f>'[4]CUENTA T VS'!C75</f>
        <v>0</v>
      </c>
      <c r="I31" s="64">
        <f t="shared" si="0"/>
        <v>0</v>
      </c>
      <c r="J31" s="65">
        <f t="shared" si="1"/>
        <v>0</v>
      </c>
    </row>
    <row r="32" spans="1:10" x14ac:dyDescent="0.25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'[4]CUENTA T FONDO 100'!D126</f>
        <v>0</v>
      </c>
      <c r="H32" s="64">
        <f>'[4]CUENTA T VS'!D75</f>
        <v>0</v>
      </c>
      <c r="I32" s="64">
        <f t="shared" si="0"/>
        <v>0</v>
      </c>
      <c r="J32" s="65">
        <f t="shared" si="1"/>
        <v>0</v>
      </c>
    </row>
    <row r="33" spans="1:10" x14ac:dyDescent="0.25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'[4]CUENTA T FONDO 100'!E126</f>
        <v>0</v>
      </c>
      <c r="H33" s="64">
        <f>'[4]CUENTA T VS'!E75</f>
        <v>0</v>
      </c>
      <c r="I33" s="64">
        <f t="shared" si="0"/>
        <v>0</v>
      </c>
      <c r="J33" s="65">
        <f t="shared" si="1"/>
        <v>0</v>
      </c>
    </row>
    <row r="34" spans="1:10" x14ac:dyDescent="0.25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'[4]CUENTA T FONDO 100'!F126</f>
        <v>0</v>
      </c>
      <c r="H34" s="64">
        <f>'[4]CUENTA T VS'!F75</f>
        <v>0</v>
      </c>
      <c r="I34" s="64">
        <f t="shared" si="0"/>
        <v>0</v>
      </c>
      <c r="J34" s="65">
        <f t="shared" si="1"/>
        <v>0</v>
      </c>
    </row>
    <row r="35" spans="1:10" x14ac:dyDescent="0.25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1292531.03</v>
      </c>
      <c r="H35" s="59">
        <f>SUM(H36:H41)</f>
        <v>0</v>
      </c>
      <c r="I35" s="59">
        <f t="shared" si="0"/>
        <v>1292531.03</v>
      </c>
      <c r="J35" s="60"/>
    </row>
    <row r="36" spans="1:10" x14ac:dyDescent="0.25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'[4]CUENTA T FONDO 100'!G126</f>
        <v>0</v>
      </c>
      <c r="H36" s="64">
        <f>'[4]CUENTA T VS'!G75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5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'[4]CUENTA T FONDO 100'!H126</f>
        <v>0</v>
      </c>
      <c r="H37" s="64">
        <f>'[4]CUENTA T VS'!H75</f>
        <v>0</v>
      </c>
      <c r="I37" s="64">
        <f t="shared" si="0"/>
        <v>0</v>
      </c>
      <c r="J37" s="65">
        <f t="shared" si="2"/>
        <v>0</v>
      </c>
    </row>
    <row r="38" spans="1:10" x14ac:dyDescent="0.25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'[4]CUENTA T FONDO 100'!I126</f>
        <v>0</v>
      </c>
      <c r="H38" s="64">
        <f>'[4]CUENTA T VS'!I75</f>
        <v>0</v>
      </c>
      <c r="I38" s="64">
        <f t="shared" si="0"/>
        <v>0</v>
      </c>
      <c r="J38" s="65">
        <f t="shared" si="2"/>
        <v>0</v>
      </c>
    </row>
    <row r="39" spans="1:10" x14ac:dyDescent="0.25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'[4]CUENTA T FONDO 100'!J126</f>
        <v>1292531.03</v>
      </c>
      <c r="H39" s="64">
        <f>'[4]CUENTA T VS'!J75</f>
        <v>0</v>
      </c>
      <c r="I39" s="64">
        <f t="shared" si="0"/>
        <v>1292531.03</v>
      </c>
      <c r="J39" s="65">
        <f t="shared" si="2"/>
        <v>1.1021415094277263E-2</v>
      </c>
    </row>
    <row r="40" spans="1:10" x14ac:dyDescent="0.25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'[4]CUENTA T FONDO 100'!K126</f>
        <v>0</v>
      </c>
      <c r="H40" s="64">
        <f>'[4]CUENTA T VS'!K75</f>
        <v>0</v>
      </c>
      <c r="I40" s="64">
        <f t="shared" si="0"/>
        <v>0</v>
      </c>
      <c r="J40" s="65">
        <f t="shared" si="2"/>
        <v>0</v>
      </c>
    </row>
    <row r="41" spans="1:10" x14ac:dyDescent="0.25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'[4]CUENTA T FONDO 100'!L126</f>
        <v>0</v>
      </c>
      <c r="H41" s="64">
        <f>'[4]CUENTA T VS'!L75</f>
        <v>0</v>
      </c>
      <c r="I41" s="64">
        <f t="shared" si="0"/>
        <v>0</v>
      </c>
      <c r="J41" s="65">
        <f t="shared" si="2"/>
        <v>0</v>
      </c>
    </row>
    <row r="42" spans="1:10" x14ac:dyDescent="0.25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5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'[4]CUENTA T FONDO 100'!M126</f>
        <v>0</v>
      </c>
      <c r="H43" s="64">
        <f>'[4]CUENTA T VS'!M75</f>
        <v>0</v>
      </c>
      <c r="I43" s="64">
        <f t="shared" si="0"/>
        <v>0</v>
      </c>
      <c r="J43" s="65">
        <f>I43/$I$25</f>
        <v>0</v>
      </c>
    </row>
    <row r="44" spans="1:10" x14ac:dyDescent="0.25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5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'[4]CUENTA T FONDO 100'!N126</f>
        <v>0</v>
      </c>
      <c r="H45" s="64">
        <f>'[4]CUENTA T VS'!N75</f>
        <v>0</v>
      </c>
      <c r="I45" s="64">
        <f t="shared" si="0"/>
        <v>0</v>
      </c>
      <c r="J45" s="65">
        <f>I45/$I$25</f>
        <v>0</v>
      </c>
    </row>
    <row r="46" spans="1:10" x14ac:dyDescent="0.25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0</v>
      </c>
      <c r="H46" s="59">
        <f>SUM(H47:H50)</f>
        <v>0</v>
      </c>
      <c r="I46" s="59">
        <f t="shared" si="0"/>
        <v>0</v>
      </c>
      <c r="J46" s="60"/>
    </row>
    <row r="47" spans="1:10" x14ac:dyDescent="0.25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'[4]CUENTA T FONDO 100'!O126</f>
        <v>0</v>
      </c>
      <c r="H47" s="64">
        <f>'[4]CUENTA T VS'!O75</f>
        <v>0</v>
      </c>
      <c r="I47" s="64">
        <f t="shared" si="0"/>
        <v>0</v>
      </c>
      <c r="J47" s="65">
        <f>I47/$I$25</f>
        <v>0</v>
      </c>
    </row>
    <row r="48" spans="1:10" x14ac:dyDescent="0.25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'[4]CUENTA T FONDO 100'!P126</f>
        <v>0</v>
      </c>
      <c r="H48" s="64">
        <f>'[4]CUENTA T VS'!P75</f>
        <v>0</v>
      </c>
      <c r="I48" s="64">
        <f t="shared" si="0"/>
        <v>0</v>
      </c>
      <c r="J48" s="65">
        <f>I48/$I$25</f>
        <v>0</v>
      </c>
    </row>
    <row r="49" spans="1:10" x14ac:dyDescent="0.25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'[4]CUENTA T FONDO 100'!Q126</f>
        <v>0</v>
      </c>
      <c r="H49" s="64">
        <f>'[4]CUENTA T VS'!Q75</f>
        <v>0</v>
      </c>
      <c r="I49" s="64">
        <f t="shared" si="0"/>
        <v>0</v>
      </c>
      <c r="J49" s="65">
        <f>I49/$I$25</f>
        <v>0</v>
      </c>
    </row>
    <row r="50" spans="1:10" x14ac:dyDescent="0.25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'[4]CUENTA T FONDO 100'!R126</f>
        <v>0</v>
      </c>
      <c r="H50" s="64">
        <f>'[4]CUENTA T VS'!R75</f>
        <v>0</v>
      </c>
      <c r="I50" s="64">
        <f t="shared" si="0"/>
        <v>0</v>
      </c>
      <c r="J50" s="65">
        <f>I50/$I$25</f>
        <v>0</v>
      </c>
    </row>
    <row r="51" spans="1:10" x14ac:dyDescent="0.25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3295047.14</v>
      </c>
      <c r="H51" s="56">
        <f>+H52+H54</f>
        <v>0</v>
      </c>
      <c r="I51" s="56">
        <f t="shared" si="0"/>
        <v>3295047.14</v>
      </c>
      <c r="J51" s="53"/>
    </row>
    <row r="52" spans="1:10" x14ac:dyDescent="0.25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2702311.62</v>
      </c>
      <c r="H52" s="59">
        <f>SUM(H53)</f>
        <v>0</v>
      </c>
      <c r="I52" s="59">
        <f t="shared" si="0"/>
        <v>2702311.62</v>
      </c>
      <c r="J52" s="60"/>
    </row>
    <row r="53" spans="1:10" x14ac:dyDescent="0.25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'[4]CUENTA T FONDO 100'!S126</f>
        <v>2702311.62</v>
      </c>
      <c r="H53" s="64">
        <f>'[4]CUENTA T VS'!S75</f>
        <v>0</v>
      </c>
      <c r="I53" s="64">
        <f t="shared" si="0"/>
        <v>2702311.62</v>
      </c>
      <c r="J53" s="65">
        <f>I53/$I$25</f>
        <v>2.3042617458947073E-2</v>
      </c>
    </row>
    <row r="54" spans="1:10" x14ac:dyDescent="0.25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592735.52</v>
      </c>
      <c r="H54" s="59">
        <f>SUM(H55:H63)</f>
        <v>0</v>
      </c>
      <c r="I54" s="59">
        <f t="shared" si="0"/>
        <v>592735.52</v>
      </c>
      <c r="J54" s="60"/>
    </row>
    <row r="55" spans="1:10" x14ac:dyDescent="0.25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'[4]CUENTA T FONDO 100'!T126</f>
        <v>0</v>
      </c>
      <c r="H55" s="64">
        <f>'[4]CUENTA T VS'!T75</f>
        <v>0</v>
      </c>
      <c r="I55" s="64">
        <f t="shared" si="0"/>
        <v>0</v>
      </c>
      <c r="J55" s="65">
        <f t="shared" ref="J55:J63" si="3">I55/$I$25</f>
        <v>0</v>
      </c>
    </row>
    <row r="56" spans="1:10" ht="51" x14ac:dyDescent="0.25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'[4]CUENTA T FONDO 100'!U126</f>
        <v>0</v>
      </c>
      <c r="H56" s="64">
        <f>'[4]CUENTA T VS'!U75</f>
        <v>0</v>
      </c>
      <c r="I56" s="64">
        <f t="shared" si="0"/>
        <v>0</v>
      </c>
      <c r="J56" s="65">
        <f t="shared" si="3"/>
        <v>0</v>
      </c>
    </row>
    <row r="57" spans="1:10" x14ac:dyDescent="0.25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'[4]CUENTA T FONDO 100'!V126</f>
        <v>0</v>
      </c>
      <c r="H57" s="64">
        <f>'[4]CUENTA T VS'!V75</f>
        <v>0</v>
      </c>
      <c r="I57" s="64">
        <f t="shared" si="0"/>
        <v>0</v>
      </c>
      <c r="J57" s="65">
        <f t="shared" si="3"/>
        <v>0</v>
      </c>
    </row>
    <row r="58" spans="1:10" x14ac:dyDescent="0.25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'[4]CUENTA T FONDO 100'!W126</f>
        <v>45000</v>
      </c>
      <c r="H58" s="64">
        <f>'[4]CUENTA T VS'!W75</f>
        <v>0</v>
      </c>
      <c r="I58" s="64">
        <f t="shared" si="0"/>
        <v>45000</v>
      </c>
      <c r="J58" s="65">
        <f t="shared" si="3"/>
        <v>3.8371510449731859E-4</v>
      </c>
    </row>
    <row r="59" spans="1:10" x14ac:dyDescent="0.25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'[4]CUENTA T FONDO 100'!X126</f>
        <v>0</v>
      </c>
      <c r="H59" s="64">
        <f>'[4]CUENTA T VS'!X75</f>
        <v>0</v>
      </c>
      <c r="I59" s="64">
        <f t="shared" si="0"/>
        <v>0</v>
      </c>
      <c r="J59" s="65">
        <f t="shared" si="3"/>
        <v>0</v>
      </c>
    </row>
    <row r="60" spans="1:10" x14ac:dyDescent="0.25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'[4]CUENTA T FONDO 100'!Y126</f>
        <v>0</v>
      </c>
      <c r="H60" s="64">
        <f>'[4]CUENTA T VS'!Y75</f>
        <v>0</v>
      </c>
      <c r="I60" s="64">
        <f t="shared" si="0"/>
        <v>0</v>
      </c>
      <c r="J60" s="65">
        <f t="shared" si="3"/>
        <v>0</v>
      </c>
    </row>
    <row r="61" spans="1:10" x14ac:dyDescent="0.25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'[4]CUENTA T FONDO 100'!Z126</f>
        <v>278000</v>
      </c>
      <c r="H61" s="64">
        <f>'[4]CUENTA T VS'!Z75</f>
        <v>0</v>
      </c>
      <c r="I61" s="64">
        <f t="shared" si="0"/>
        <v>278000</v>
      </c>
      <c r="J61" s="65">
        <f t="shared" si="3"/>
        <v>2.3705066455612126E-3</v>
      </c>
    </row>
    <row r="62" spans="1:10" x14ac:dyDescent="0.25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'[4]CUENTA T FONDO 100'!AA126</f>
        <v>0</v>
      </c>
      <c r="H62" s="64">
        <f>'[4]CUENTA T VS'!AA75</f>
        <v>0</v>
      </c>
      <c r="I62" s="64">
        <f t="shared" si="0"/>
        <v>0</v>
      </c>
      <c r="J62" s="65">
        <f t="shared" si="3"/>
        <v>0</v>
      </c>
    </row>
    <row r="63" spans="1:10" ht="63.75" x14ac:dyDescent="0.25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'[4]CUENTA T FONDO 100'!AB126</f>
        <v>269735.52</v>
      </c>
      <c r="H63" s="64">
        <f>'[4]CUENTA T VS'!AB75</f>
        <v>0</v>
      </c>
      <c r="I63" s="64">
        <f t="shared" si="0"/>
        <v>269735.52</v>
      </c>
      <c r="J63" s="65">
        <f t="shared" si="3"/>
        <v>2.3000354054097459E-3</v>
      </c>
    </row>
    <row r="64" spans="1:10" x14ac:dyDescent="0.25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5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5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'[4]CUENTA T FONDO 100'!AC126</f>
        <v>0</v>
      </c>
      <c r="H66" s="64">
        <f>'[4]CUENTA T VS'!AC75</f>
        <v>0</v>
      </c>
      <c r="I66" s="64">
        <f t="shared" si="0"/>
        <v>0</v>
      </c>
      <c r="J66" s="65">
        <f>I66/$I$25</f>
        <v>0</v>
      </c>
    </row>
    <row r="67" spans="1:10" x14ac:dyDescent="0.25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'[4]CUENTA T FONDO 100'!AD126</f>
        <v>0</v>
      </c>
      <c r="H67" s="64">
        <f>'[4]CUENTA T VS'!AD75</f>
        <v>0</v>
      </c>
      <c r="I67" s="64">
        <f t="shared" si="0"/>
        <v>0</v>
      </c>
      <c r="J67" s="65">
        <f>I67/$I$25</f>
        <v>0</v>
      </c>
    </row>
    <row r="68" spans="1:10" x14ac:dyDescent="0.25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5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'[4]CUENTA T FONDO 100'!AE126</f>
        <v>0</v>
      </c>
      <c r="H69" s="64">
        <f>'[4]CUENTA T VS'!AE75</f>
        <v>0</v>
      </c>
      <c r="I69" s="64">
        <f t="shared" si="0"/>
        <v>0</v>
      </c>
      <c r="J69" s="65">
        <f>I69/$I$25</f>
        <v>0</v>
      </c>
    </row>
    <row r="70" spans="1:10" x14ac:dyDescent="0.25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'[4]CUENTA T FONDO 100'!AF126</f>
        <v>0</v>
      </c>
      <c r="H70" s="64">
        <f>'[4]CUENTA T VS'!AF75</f>
        <v>0</v>
      </c>
      <c r="I70" s="64">
        <f t="shared" si="0"/>
        <v>0</v>
      </c>
      <c r="J70" s="65">
        <f>I70/$I$25</f>
        <v>0</v>
      </c>
    </row>
    <row r="71" spans="1:10" x14ac:dyDescent="0.25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5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5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'[4]CUENTA T FONDO 100'!AG126</f>
        <v>0</v>
      </c>
      <c r="H73" s="64">
        <f>'[4]CUENTA T VS'!AG75</f>
        <v>0</v>
      </c>
      <c r="I73" s="64">
        <f t="shared" si="0"/>
        <v>0</v>
      </c>
      <c r="J73" s="65">
        <f>I73/$I$25</f>
        <v>0</v>
      </c>
    </row>
    <row r="74" spans="1:10" x14ac:dyDescent="0.25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5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'[4]CUENTA T FONDO 100'!AH126</f>
        <v>0</v>
      </c>
      <c r="H75" s="64">
        <f>'[4]CUENTA T VS'!AH75</f>
        <v>0</v>
      </c>
      <c r="I75" s="64">
        <f t="shared" si="0"/>
        <v>0</v>
      </c>
      <c r="J75" s="65">
        <f>I75/$I$25</f>
        <v>0</v>
      </c>
    </row>
    <row r="76" spans="1:10" x14ac:dyDescent="0.25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'[4]CUENTA T FONDO 100'!AI126</f>
        <v>0</v>
      </c>
      <c r="H76" s="64">
        <f>'[4]CUENTA T VS'!AI75</f>
        <v>0</v>
      </c>
      <c r="I76" s="64">
        <f t="shared" si="0"/>
        <v>0</v>
      </c>
      <c r="J76" s="65">
        <f>I76/$I$25</f>
        <v>0</v>
      </c>
    </row>
    <row r="77" spans="1:10" x14ac:dyDescent="0.25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'[4]CUENTA T FONDO 100'!AJ126</f>
        <v>0</v>
      </c>
      <c r="H77" s="64">
        <f>'[4]CUENTA T VS'!AJ75</f>
        <v>0</v>
      </c>
      <c r="I77" s="64">
        <f t="shared" si="0"/>
        <v>0</v>
      </c>
      <c r="J77" s="65">
        <f>I77/$I$25</f>
        <v>0</v>
      </c>
    </row>
    <row r="78" spans="1:10" x14ac:dyDescent="0.25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9293701.8599999994</v>
      </c>
      <c r="H78" s="56">
        <f>+H79+H81+H83+H85</f>
        <v>0</v>
      </c>
      <c r="I78" s="56">
        <f t="shared" si="0"/>
        <v>9293701.8599999994</v>
      </c>
      <c r="J78" s="53"/>
    </row>
    <row r="79" spans="1:10" x14ac:dyDescent="0.25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4282225.93</v>
      </c>
      <c r="H79" s="59">
        <f>SUM(H80)</f>
        <v>0</v>
      </c>
      <c r="I79" s="59">
        <f t="shared" si="0"/>
        <v>4282225.93</v>
      </c>
      <c r="J79" s="60"/>
    </row>
    <row r="80" spans="1:10" x14ac:dyDescent="0.25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'[4]CUENTA T FONDO 100'!AK126</f>
        <v>4282225.93</v>
      </c>
      <c r="H80" s="64">
        <f>'[4]CUENTA T VS'!AK75</f>
        <v>0</v>
      </c>
      <c r="I80" s="64">
        <f t="shared" si="0"/>
        <v>4282225.93</v>
      </c>
      <c r="J80" s="65">
        <f>I80/$I$25</f>
        <v>3.6514550449135048E-2</v>
      </c>
    </row>
    <row r="81" spans="1:10" x14ac:dyDescent="0.25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4288266.66</v>
      </c>
      <c r="H81" s="59">
        <f>SUM(H82)</f>
        <v>0</v>
      </c>
      <c r="I81" s="59">
        <f t="shared" si="0"/>
        <v>4288266.66</v>
      </c>
      <c r="J81" s="60"/>
    </row>
    <row r="82" spans="1:10" x14ac:dyDescent="0.25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'[4]CUENTA T FONDO 100'!AL126</f>
        <v>4288266.66</v>
      </c>
      <c r="H82" s="64">
        <f>'[4]CUENTA T VS'!AL75</f>
        <v>0</v>
      </c>
      <c r="I82" s="64">
        <f t="shared" si="0"/>
        <v>4288266.66</v>
      </c>
      <c r="J82" s="65">
        <f>I82/$I$25</f>
        <v>3.6566059767872611E-2</v>
      </c>
    </row>
    <row r="83" spans="1:10" x14ac:dyDescent="0.25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723209.27</v>
      </c>
      <c r="H83" s="59">
        <f>SUM(H84)</f>
        <v>0</v>
      </c>
      <c r="I83" s="59">
        <f t="shared" si="0"/>
        <v>723209.27</v>
      </c>
      <c r="J83" s="60"/>
    </row>
    <row r="84" spans="1:10" x14ac:dyDescent="0.25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'[4]CUENTA T FONDO 100'!AM126</f>
        <v>723209.27</v>
      </c>
      <c r="H84" s="64">
        <f>'[4]CUENTA T VS'!AM75</f>
        <v>0</v>
      </c>
      <c r="I84" s="64">
        <f t="shared" si="0"/>
        <v>723209.27</v>
      </c>
      <c r="J84" s="65">
        <f>I84/$I$25</f>
        <v>6.1668071246995439E-3</v>
      </c>
    </row>
    <row r="85" spans="1:10" x14ac:dyDescent="0.25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5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'[4]CUENTA T FONDO 100'!AN126</f>
        <v>0</v>
      </c>
      <c r="H86" s="64">
        <f>'[4]CUENTA T VS'!AN75</f>
        <v>0</v>
      </c>
      <c r="I86" s="64">
        <f t="shared" si="0"/>
        <v>0</v>
      </c>
      <c r="J86" s="65">
        <f>I86/$I$25</f>
        <v>0</v>
      </c>
    </row>
    <row r="87" spans="1:10" x14ac:dyDescent="0.25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792898.06</v>
      </c>
      <c r="H87" s="56">
        <f>H88+H106+H111+H116+H125+H148+H157+H179+H208</f>
        <v>1964841.3900000001</v>
      </c>
      <c r="I87" s="56">
        <f t="shared" si="0"/>
        <v>2757739.45</v>
      </c>
      <c r="J87" s="53">
        <f>I87/$I$25</f>
        <v>2.3515250694069508E-2</v>
      </c>
    </row>
    <row r="88" spans="1:10" x14ac:dyDescent="0.25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1168099.93</v>
      </c>
      <c r="I88" s="56">
        <f t="shared" si="0"/>
        <v>1228634.93</v>
      </c>
      <c r="J88" s="53"/>
    </row>
    <row r="89" spans="1:10" x14ac:dyDescent="0.25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5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'[4]CUENTA T FONDO 100'!AO126</f>
        <v>0</v>
      </c>
      <c r="H90" s="64">
        <f>'[4]CUENTA T VS'!AO75</f>
        <v>0</v>
      </c>
      <c r="I90" s="64">
        <f t="shared" si="4"/>
        <v>0</v>
      </c>
      <c r="J90" s="65">
        <f>I90/$I$25</f>
        <v>0</v>
      </c>
    </row>
    <row r="91" spans="1:10" x14ac:dyDescent="0.25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5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'[4]CUENTA T FONDO 100'!AP126</f>
        <v>0</v>
      </c>
      <c r="H92" s="64">
        <f>'[4]CUENTA T VS'!AP75</f>
        <v>0</v>
      </c>
      <c r="I92" s="64">
        <f t="shared" si="4"/>
        <v>0</v>
      </c>
      <c r="J92" s="65">
        <f>I92/$I$25</f>
        <v>0</v>
      </c>
    </row>
    <row r="93" spans="1:10" x14ac:dyDescent="0.25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423099.93</v>
      </c>
      <c r="I93" s="59">
        <f t="shared" si="4"/>
        <v>423099.93</v>
      </c>
      <c r="J93" s="60"/>
    </row>
    <row r="94" spans="1:10" x14ac:dyDescent="0.25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'[4]CUENTA T FONDO 100'!AQ126</f>
        <v>0</v>
      </c>
      <c r="H94" s="64">
        <f>'[4]CUENTA T VS'!AQ75</f>
        <v>423099.93</v>
      </c>
      <c r="I94" s="64">
        <f t="shared" si="4"/>
        <v>423099.93</v>
      </c>
      <c r="J94" s="65">
        <f>I94/$I$25</f>
        <v>3.607774085616848E-3</v>
      </c>
    </row>
    <row r="95" spans="1:10" x14ac:dyDescent="0.25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5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'[4]CUENTA T FONDO 100'!AR126</f>
        <v>0</v>
      </c>
      <c r="H96" s="64">
        <f>'[4]CUENTA T VS'!AR75</f>
        <v>0</v>
      </c>
      <c r="I96" s="64">
        <f t="shared" si="4"/>
        <v>0</v>
      </c>
      <c r="J96" s="65">
        <f>I96/$I$25</f>
        <v>0</v>
      </c>
    </row>
    <row r="97" spans="1:10" x14ac:dyDescent="0.25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5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'[4]CUENTA T FONDO 100'!AS126</f>
        <v>0</v>
      </c>
      <c r="H98" s="64">
        <f>'[4]CUENTA T VS'!AS75</f>
        <v>0</v>
      </c>
      <c r="I98" s="64">
        <f t="shared" si="4"/>
        <v>0</v>
      </c>
      <c r="J98" s="65">
        <f>I98/$I$25</f>
        <v>0</v>
      </c>
    </row>
    <row r="99" spans="1:10" x14ac:dyDescent="0.25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5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'[4]CUENTA T FONDO 100'!AT126</f>
        <v>0</v>
      </c>
      <c r="H100" s="64">
        <f>'[4]CUENTA T VS'!AT75</f>
        <v>0</v>
      </c>
      <c r="I100" s="64">
        <f t="shared" si="4"/>
        <v>0</v>
      </c>
      <c r="J100" s="65">
        <f>I100/$I$25</f>
        <v>0</v>
      </c>
    </row>
    <row r="101" spans="1:10" x14ac:dyDescent="0.25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'[4]CUENTA T FONDO 100'!AU126</f>
        <v>0</v>
      </c>
      <c r="H101" s="64">
        <f>'[4]CUENTA T VS'!AU75</f>
        <v>0</v>
      </c>
      <c r="I101" s="64">
        <f t="shared" si="4"/>
        <v>0</v>
      </c>
      <c r="J101" s="65">
        <f>I101/$I$25</f>
        <v>0</v>
      </c>
    </row>
    <row r="102" spans="1:10" x14ac:dyDescent="0.25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5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'[4]CUENTA T FONDO 100'!AV126</f>
        <v>60535</v>
      </c>
      <c r="H103" s="64">
        <f>'[4]CUENTA T VS'!AV75</f>
        <v>0</v>
      </c>
      <c r="I103" s="64">
        <f t="shared" si="4"/>
        <v>60535</v>
      </c>
      <c r="J103" s="65">
        <f>I103/$I$25</f>
        <v>5.1618208557211516E-4</v>
      </c>
    </row>
    <row r="104" spans="1:10" x14ac:dyDescent="0.25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745000</v>
      </c>
      <c r="I104" s="59">
        <f t="shared" si="4"/>
        <v>745000</v>
      </c>
      <c r="J104" s="60"/>
    </row>
    <row r="105" spans="1:10" x14ac:dyDescent="0.25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'[4]CUENTA T FONDO 100'!AW126</f>
        <v>0</v>
      </c>
      <c r="H105" s="64">
        <f>'[4]CUENTA T VS'!AW75</f>
        <v>745000</v>
      </c>
      <c r="I105" s="64">
        <f t="shared" si="4"/>
        <v>745000</v>
      </c>
      <c r="J105" s="65">
        <f>I105/$I$25</f>
        <v>6.3526167300111628E-3</v>
      </c>
    </row>
    <row r="106" spans="1:10" x14ac:dyDescent="0.25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54044</v>
      </c>
      <c r="H106" s="56">
        <f>+H107+H109</f>
        <v>0</v>
      </c>
      <c r="I106" s="56">
        <f t="shared" si="4"/>
        <v>54044</v>
      </c>
      <c r="J106" s="53"/>
    </row>
    <row r="107" spans="1:10" x14ac:dyDescent="0.25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5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'[4]CUENTA T FONDO 100'!AX126</f>
        <v>0</v>
      </c>
      <c r="H108" s="64">
        <f>'[4]CUENTA T VS'!AX75</f>
        <v>0</v>
      </c>
      <c r="I108" s="64">
        <f t="shared" si="4"/>
        <v>0</v>
      </c>
      <c r="J108" s="65">
        <f>I108/$I$25</f>
        <v>0</v>
      </c>
    </row>
    <row r="109" spans="1:10" x14ac:dyDescent="0.25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54044</v>
      </c>
      <c r="H109" s="59">
        <f>SUM(H110)</f>
        <v>0</v>
      </c>
      <c r="I109" s="59">
        <f t="shared" si="4"/>
        <v>54044</v>
      </c>
      <c r="J109" s="60"/>
    </row>
    <row r="110" spans="1:10" x14ac:dyDescent="0.25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'[4]CUENTA T FONDO 100'!AY126</f>
        <v>54044</v>
      </c>
      <c r="H110" s="64">
        <f>'[4]CUENTA T VS'!AY75</f>
        <v>0</v>
      </c>
      <c r="I110" s="64">
        <f t="shared" si="4"/>
        <v>54044</v>
      </c>
      <c r="J110" s="65">
        <f>I110/$I$25</f>
        <v>4.6083331349895744E-4</v>
      </c>
    </row>
    <row r="111" spans="1:10" x14ac:dyDescent="0.25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5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5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'[4]CUENTA T FONDO 100'!AZ126</f>
        <v>0</v>
      </c>
      <c r="H113" s="64">
        <f>'[4]CUENTA T VS'!AZ75</f>
        <v>0</v>
      </c>
      <c r="I113" s="64">
        <f t="shared" si="4"/>
        <v>0</v>
      </c>
      <c r="J113" s="65">
        <f>I113/$I$25</f>
        <v>0</v>
      </c>
    </row>
    <row r="114" spans="1:10" x14ac:dyDescent="0.25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5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'[4]CUENTA T FONDO 100'!BA126</f>
        <v>0</v>
      </c>
      <c r="H115" s="64">
        <f>'[4]CUENTA T VS'!BA75</f>
        <v>0</v>
      </c>
      <c r="I115" s="64">
        <f t="shared" si="4"/>
        <v>0</v>
      </c>
      <c r="J115" s="65">
        <f>I115/$I$25</f>
        <v>0</v>
      </c>
    </row>
    <row r="116" spans="1:10" x14ac:dyDescent="0.25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40000</v>
      </c>
      <c r="I116" s="56">
        <f t="shared" si="4"/>
        <v>40000</v>
      </c>
      <c r="J116" s="53"/>
    </row>
    <row r="117" spans="1:10" x14ac:dyDescent="0.25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0</v>
      </c>
      <c r="I117" s="59">
        <f t="shared" si="4"/>
        <v>0</v>
      </c>
      <c r="J117" s="60"/>
    </row>
    <row r="118" spans="1:10" x14ac:dyDescent="0.25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'[4]CUENTA T FONDO 100'!BB126</f>
        <v>0</v>
      </c>
      <c r="H118" s="64">
        <f>'[4]CUENTA T VS'!BB75</f>
        <v>0</v>
      </c>
      <c r="I118" s="64">
        <f t="shared" si="4"/>
        <v>0</v>
      </c>
      <c r="J118" s="65">
        <f>I118/$I$25</f>
        <v>0</v>
      </c>
    </row>
    <row r="119" spans="1:10" x14ac:dyDescent="0.25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40000</v>
      </c>
      <c r="I119" s="59">
        <f t="shared" si="4"/>
        <v>40000</v>
      </c>
      <c r="J119" s="60"/>
    </row>
    <row r="120" spans="1:10" x14ac:dyDescent="0.25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'[4]CUENTA T FONDO 100'!BC126</f>
        <v>0</v>
      </c>
      <c r="H120" s="64">
        <f>'[4]CUENTA T VS'!BC75</f>
        <v>40000</v>
      </c>
      <c r="I120" s="64">
        <f t="shared" si="4"/>
        <v>40000</v>
      </c>
      <c r="J120" s="65">
        <f>I120/$I$25</f>
        <v>3.4108009288650541E-4</v>
      </c>
    </row>
    <row r="121" spans="1:10" x14ac:dyDescent="0.25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5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'[4]CUENTA T FONDO 100'!BD126</f>
        <v>0</v>
      </c>
      <c r="H122" s="64">
        <f>'[4]CUENTA T VS'!BD75</f>
        <v>0</v>
      </c>
      <c r="I122" s="64">
        <f t="shared" si="4"/>
        <v>0</v>
      </c>
      <c r="J122" s="65">
        <f>I122/$I$25</f>
        <v>0</v>
      </c>
    </row>
    <row r="123" spans="1:10" x14ac:dyDescent="0.25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5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'[4]CUENTA T FONDO 100'!BE126</f>
        <v>0</v>
      </c>
      <c r="H124" s="64">
        <f>'[4]CUENTA T VS'!BE75</f>
        <v>0</v>
      </c>
      <c r="I124" s="64">
        <f t="shared" si="4"/>
        <v>0</v>
      </c>
      <c r="J124" s="65">
        <f>I124/$I$25</f>
        <v>0</v>
      </c>
    </row>
    <row r="125" spans="1:10" x14ac:dyDescent="0.25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298561.91999999998</v>
      </c>
      <c r="H125" s="56">
        <f t="shared" ref="H125" si="5">+H126+H128+H130+H136+H138+H140+H142+H144+H146</f>
        <v>298143.38</v>
      </c>
      <c r="I125" s="56">
        <f t="shared" si="4"/>
        <v>596705.30000000005</v>
      </c>
      <c r="J125" s="53"/>
    </row>
    <row r="126" spans="1:10" x14ac:dyDescent="0.25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5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'[4]CUENTA T FONDO 100'!BF126</f>
        <v>0</v>
      </c>
      <c r="H127" s="64">
        <f>'[4]CUENTA T VS'!BF75</f>
        <v>0</v>
      </c>
      <c r="I127" s="64">
        <f t="shared" si="4"/>
        <v>0</v>
      </c>
      <c r="J127" s="65">
        <f>I127/$I$25</f>
        <v>0</v>
      </c>
    </row>
    <row r="128" spans="1:10" x14ac:dyDescent="0.25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5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'[4]CUENTA T FONDO 100'!BG126</f>
        <v>0</v>
      </c>
      <c r="H129" s="64">
        <f>'[4]CUENTA T VS'!BG75</f>
        <v>0</v>
      </c>
      <c r="I129" s="64">
        <f t="shared" si="4"/>
        <v>0</v>
      </c>
      <c r="J129" s="65">
        <f>I129/$I$25</f>
        <v>0</v>
      </c>
    </row>
    <row r="130" spans="1:10" x14ac:dyDescent="0.25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298561.91999999998</v>
      </c>
      <c r="H130" s="59">
        <f>SUM(H131:H135)</f>
        <v>298143.38</v>
      </c>
      <c r="I130" s="59">
        <f t="shared" si="4"/>
        <v>596705.30000000005</v>
      </c>
      <c r="J130" s="60"/>
    </row>
    <row r="131" spans="1:10" x14ac:dyDescent="0.25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'[4]CUENTA T FONDO 100'!BH126</f>
        <v>0</v>
      </c>
      <c r="H131" s="64">
        <f>'[4]CUENTA T VS'!BH75</f>
        <v>0</v>
      </c>
      <c r="I131" s="64">
        <f t="shared" si="4"/>
        <v>0</v>
      </c>
      <c r="J131" s="65">
        <f>I131/$I$25</f>
        <v>0</v>
      </c>
    </row>
    <row r="132" spans="1:10" x14ac:dyDescent="0.25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'[4]CUENTA T FONDO 100'!BI126</f>
        <v>298561.91999999998</v>
      </c>
      <c r="H132" s="64">
        <f>'[4]CUENTA T VS'!BI75</f>
        <v>298143.38</v>
      </c>
      <c r="I132" s="64">
        <f t="shared" si="4"/>
        <v>596705.30000000005</v>
      </c>
      <c r="J132" s="65">
        <f>I132/$I$25</f>
        <v>5.088107478746752E-3</v>
      </c>
    </row>
    <row r="133" spans="1:10" x14ac:dyDescent="0.25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'[4]CUENTA T FONDO 100'!BJ126</f>
        <v>0</v>
      </c>
      <c r="H133" s="64">
        <f>'[4]CUENTA T VS'!BJ75</f>
        <v>0</v>
      </c>
      <c r="I133" s="64">
        <f t="shared" si="4"/>
        <v>0</v>
      </c>
      <c r="J133" s="65">
        <f>I133/$I$25</f>
        <v>0</v>
      </c>
    </row>
    <row r="134" spans="1:10" x14ac:dyDescent="0.25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'[4]CUENTA T FONDO 100'!BK126</f>
        <v>0</v>
      </c>
      <c r="H134" s="64">
        <f>'[4]CUENTA T VS'!BK75</f>
        <v>0</v>
      </c>
      <c r="I134" s="64">
        <f t="shared" si="4"/>
        <v>0</v>
      </c>
      <c r="J134" s="65">
        <f>I134/$I$25</f>
        <v>0</v>
      </c>
    </row>
    <row r="135" spans="1:10" x14ac:dyDescent="0.25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'[4]CUENTA T FONDO 100'!BL126</f>
        <v>0</v>
      </c>
      <c r="H135" s="64">
        <f>'[4]CUENTA T VS'!BL75</f>
        <v>0</v>
      </c>
      <c r="I135" s="64">
        <f t="shared" si="4"/>
        <v>0</v>
      </c>
      <c r="J135" s="65">
        <f>I135/$I$25</f>
        <v>0</v>
      </c>
    </row>
    <row r="136" spans="1:10" x14ac:dyDescent="0.25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5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'[4]CUENTA T FONDO 100'!BM126</f>
        <v>0</v>
      </c>
      <c r="H137" s="64">
        <f>'[4]CUENTA T VS'!BM75</f>
        <v>0</v>
      </c>
      <c r="I137" s="64">
        <f t="shared" si="4"/>
        <v>0</v>
      </c>
      <c r="J137" s="65">
        <f>I137/$I$25</f>
        <v>0</v>
      </c>
    </row>
    <row r="138" spans="1:10" x14ac:dyDescent="0.25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5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'[4]CUENTA T FONDO 100'!BN126</f>
        <v>0</v>
      </c>
      <c r="H139" s="64">
        <f>'[4]CUENTA T VS'!BN75</f>
        <v>0</v>
      </c>
      <c r="I139" s="64">
        <f t="shared" si="4"/>
        <v>0</v>
      </c>
      <c r="J139" s="65">
        <f>I139/$I$25</f>
        <v>0</v>
      </c>
    </row>
    <row r="140" spans="1:10" x14ac:dyDescent="0.25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5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'[4]CUENTA T FONDO 100'!BO126</f>
        <v>0</v>
      </c>
      <c r="H141" s="64">
        <f>'[4]CUENTA T VS'!BO75</f>
        <v>0</v>
      </c>
      <c r="I141" s="64">
        <f t="shared" si="4"/>
        <v>0</v>
      </c>
      <c r="J141" s="65">
        <f>I141/$I$25</f>
        <v>0</v>
      </c>
    </row>
    <row r="142" spans="1:10" x14ac:dyDescent="0.25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5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'[4]CUENTA T FONDO 100'!BP126</f>
        <v>0</v>
      </c>
      <c r="H143" s="64">
        <f>'[4]CUENTA T VS'!BP75</f>
        <v>0</v>
      </c>
      <c r="I143" s="64">
        <f t="shared" si="4"/>
        <v>0</v>
      </c>
      <c r="J143" s="65">
        <f>I143/$I$25</f>
        <v>0</v>
      </c>
    </row>
    <row r="144" spans="1:10" x14ac:dyDescent="0.25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5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'[4]CUENTA T FONDO 100'!BQ126</f>
        <v>0</v>
      </c>
      <c r="H145" s="64">
        <f>'[4]CUENTA T VS'!BQ75</f>
        <v>0</v>
      </c>
      <c r="I145" s="64">
        <f t="shared" si="4"/>
        <v>0</v>
      </c>
      <c r="J145" s="65">
        <f>I145/$I$25</f>
        <v>0</v>
      </c>
    </row>
    <row r="146" spans="1:10" x14ac:dyDescent="0.25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5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'[4]CUENTA T FONDO 100'!BR126</f>
        <v>0</v>
      </c>
      <c r="H147" s="64">
        <f>'[4]CUENTA T VS'!BR75</f>
        <v>0</v>
      </c>
      <c r="I147" s="64">
        <f t="shared" si="4"/>
        <v>0</v>
      </c>
      <c r="J147" s="65">
        <f>I147/$I$25</f>
        <v>0</v>
      </c>
    </row>
    <row r="148" spans="1:10" x14ac:dyDescent="0.25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3449.08</v>
      </c>
      <c r="I148" s="56">
        <f t="shared" si="4"/>
        <v>3449.08</v>
      </c>
      <c r="J148" s="53"/>
    </row>
    <row r="149" spans="1:10" x14ac:dyDescent="0.25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5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'[4]CUENTA T FONDO 100'!BS126</f>
        <v>0</v>
      </c>
      <c r="H150" s="64">
        <f>'[4]CUENTA T VS'!BS75</f>
        <v>0</v>
      </c>
      <c r="I150" s="64">
        <f t="shared" si="4"/>
        <v>0</v>
      </c>
      <c r="J150" s="65">
        <f>I150/$I$25</f>
        <v>0</v>
      </c>
    </row>
    <row r="151" spans="1:10" x14ac:dyDescent="0.25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5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'[4]CUENTA T FONDO 100'!BT126</f>
        <v>0</v>
      </c>
      <c r="H152" s="64">
        <f>'[4]CUENTA T VS'!BT75</f>
        <v>0</v>
      </c>
      <c r="I152" s="64">
        <f t="shared" si="4"/>
        <v>0</v>
      </c>
      <c r="J152" s="65">
        <f>I152/$I$25</f>
        <v>0</v>
      </c>
    </row>
    <row r="153" spans="1:10" x14ac:dyDescent="0.25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3449.08</v>
      </c>
      <c r="I153" s="59">
        <f t="shared" ref="I153:I216" si="6">SUM(G153:H153)</f>
        <v>3449.08</v>
      </c>
      <c r="J153" s="60"/>
    </row>
    <row r="154" spans="1:10" x14ac:dyDescent="0.25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'[4]CUENTA T FONDO 100'!BU126</f>
        <v>0</v>
      </c>
      <c r="H154" s="64">
        <f>'[4]CUENTA T VS'!BU75</f>
        <v>3449.08</v>
      </c>
      <c r="I154" s="64">
        <f t="shared" si="6"/>
        <v>3449.08</v>
      </c>
      <c r="J154" s="65">
        <f>I154/$I$25</f>
        <v>2.9410313169324699E-5</v>
      </c>
    </row>
    <row r="155" spans="1:10" x14ac:dyDescent="0.25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6"/>
        <v>0</v>
      </c>
      <c r="J155" s="60"/>
    </row>
    <row r="156" spans="1:10" x14ac:dyDescent="0.25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'[4]CUENTA T FONDO 100'!BV126</f>
        <v>0</v>
      </c>
      <c r="H156" s="64">
        <f>'[4]CUENTA T VS'!BV75</f>
        <v>0</v>
      </c>
      <c r="I156" s="64">
        <f t="shared" si="6"/>
        <v>0</v>
      </c>
      <c r="J156" s="65">
        <f>I156/$I$25</f>
        <v>0</v>
      </c>
    </row>
    <row r="157" spans="1:10" ht="90" x14ac:dyDescent="0.25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57257.14</v>
      </c>
      <c r="H157" s="56">
        <f>+H158+H167+H177</f>
        <v>6500</v>
      </c>
      <c r="I157" s="56">
        <f t="shared" si="6"/>
        <v>63757.14</v>
      </c>
      <c r="J157" s="53"/>
    </row>
    <row r="158" spans="1:10" x14ac:dyDescent="0.25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22656</v>
      </c>
      <c r="H158" s="59">
        <f>SUM(H159:H166)</f>
        <v>6500</v>
      </c>
      <c r="I158" s="59">
        <f t="shared" si="6"/>
        <v>29156</v>
      </c>
      <c r="J158" s="60"/>
    </row>
    <row r="159" spans="1:10" ht="51.75" x14ac:dyDescent="0.25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'[4]CUENTA T FONDO 100'!BW126</f>
        <v>22656</v>
      </c>
      <c r="H159" s="64">
        <f>'[4]CUENTA T VS'!BW75</f>
        <v>0</v>
      </c>
      <c r="I159" s="64">
        <f t="shared" si="6"/>
        <v>22656</v>
      </c>
      <c r="J159" s="65">
        <f t="shared" ref="J159:J166" si="7">I159/$I$25</f>
        <v>1.9318776461091665E-4</v>
      </c>
    </row>
    <row r="160" spans="1:10" ht="77.25" x14ac:dyDescent="0.25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'[4]CUENTA T FONDO 100'!BX126</f>
        <v>0</v>
      </c>
      <c r="H160" s="64">
        <f>'[4]CUENTA T VS'!BX75</f>
        <v>0</v>
      </c>
      <c r="I160" s="64">
        <f t="shared" si="6"/>
        <v>0</v>
      </c>
      <c r="J160" s="65">
        <f t="shared" si="7"/>
        <v>0</v>
      </c>
    </row>
    <row r="161" spans="1:10" ht="64.5" x14ac:dyDescent="0.25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'[4]CUENTA T FONDO 100'!BY126</f>
        <v>0</v>
      </c>
      <c r="H161" s="64">
        <f>'[4]CUENTA T VS'!BY75</f>
        <v>0</v>
      </c>
      <c r="I161" s="64">
        <f t="shared" si="6"/>
        <v>0</v>
      </c>
      <c r="J161" s="65">
        <f t="shared" si="7"/>
        <v>0</v>
      </c>
    </row>
    <row r="162" spans="1:10" ht="90" x14ac:dyDescent="0.25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'[4]CUENTA T FONDO 100'!BZ126</f>
        <v>0</v>
      </c>
      <c r="H162" s="64">
        <f>'[4]CUENTA T VS'!BZ75</f>
        <v>0</v>
      </c>
      <c r="I162" s="64">
        <f t="shared" si="6"/>
        <v>0</v>
      </c>
      <c r="J162" s="65">
        <f t="shared" si="7"/>
        <v>0</v>
      </c>
    </row>
    <row r="163" spans="1:10" ht="51.75" x14ac:dyDescent="0.25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'[4]CUENTA T FONDO 100'!CA126</f>
        <v>0</v>
      </c>
      <c r="H163" s="64">
        <f>'[4]CUENTA T VS'!CA75</f>
        <v>0</v>
      </c>
      <c r="I163" s="64">
        <f t="shared" si="6"/>
        <v>0</v>
      </c>
      <c r="J163" s="65">
        <f t="shared" si="7"/>
        <v>0</v>
      </c>
    </row>
    <row r="164" spans="1:10" ht="26.25" x14ac:dyDescent="0.25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'[4]CUENTA T FONDO 100'!CB126</f>
        <v>0</v>
      </c>
      <c r="H164" s="64">
        <f>'[4]CUENTA T VS'!CB75</f>
        <v>6500</v>
      </c>
      <c r="I164" s="64">
        <f t="shared" si="6"/>
        <v>6500</v>
      </c>
      <c r="J164" s="65">
        <f t="shared" si="7"/>
        <v>5.5425515094057128E-5</v>
      </c>
    </row>
    <row r="165" spans="1:10" ht="77.25" x14ac:dyDescent="0.25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'[4]CUENTA T FONDO 100'!CC126</f>
        <v>0</v>
      </c>
      <c r="H165" s="64">
        <f>'[4]CUENTA T VS'!CC75</f>
        <v>0</v>
      </c>
      <c r="I165" s="64">
        <f t="shared" si="6"/>
        <v>0</v>
      </c>
      <c r="J165" s="65">
        <f t="shared" si="7"/>
        <v>0</v>
      </c>
    </row>
    <row r="166" spans="1:10" ht="128.25" x14ac:dyDescent="0.25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'[4]CUENTA T FONDO 100'!CD126</f>
        <v>0</v>
      </c>
      <c r="H166" s="64">
        <f>'[4]CUENTA T VS'!CD75</f>
        <v>0</v>
      </c>
      <c r="I166" s="64">
        <f t="shared" si="6"/>
        <v>0</v>
      </c>
      <c r="J166" s="65">
        <f t="shared" si="7"/>
        <v>0</v>
      </c>
    </row>
    <row r="167" spans="1:10" x14ac:dyDescent="0.25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34601.14</v>
      </c>
      <c r="H167" s="59">
        <f>SUM(H168:H176)</f>
        <v>0</v>
      </c>
      <c r="I167" s="59">
        <f t="shared" si="6"/>
        <v>34601.14</v>
      </c>
      <c r="J167" s="60"/>
    </row>
    <row r="168" spans="1:10" ht="77.25" x14ac:dyDescent="0.25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'[4]CUENTA T FONDO 100'!CE126</f>
        <v>0</v>
      </c>
      <c r="H168" s="64">
        <f>'[4]CUENTA T VS'!CE75</f>
        <v>0</v>
      </c>
      <c r="I168" s="64">
        <f t="shared" si="6"/>
        <v>0</v>
      </c>
      <c r="J168" s="65">
        <f t="shared" ref="J168:J176" si="8">I168/$I$25</f>
        <v>0</v>
      </c>
    </row>
    <row r="169" spans="1:10" ht="64.5" x14ac:dyDescent="0.25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'[4]CUENTA T FONDO 100'!CF126</f>
        <v>0</v>
      </c>
      <c r="H169" s="64">
        <f>'[4]CUENTA T VS'!CF75</f>
        <v>0</v>
      </c>
      <c r="I169" s="64">
        <f t="shared" si="6"/>
        <v>0</v>
      </c>
      <c r="J169" s="65">
        <f t="shared" si="8"/>
        <v>0</v>
      </c>
    </row>
    <row r="170" spans="1:10" ht="64.5" x14ac:dyDescent="0.25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'[4]CUENTA T FONDO 100'!CG126</f>
        <v>0</v>
      </c>
      <c r="H170" s="64">
        <f>'[4]CUENTA T VS'!CG75</f>
        <v>0</v>
      </c>
      <c r="I170" s="64">
        <f t="shared" si="6"/>
        <v>0</v>
      </c>
      <c r="J170" s="65">
        <f t="shared" si="8"/>
        <v>0</v>
      </c>
    </row>
    <row r="171" spans="1:10" ht="90" x14ac:dyDescent="0.25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'[4]CUENTA T FONDO 100'!CH126</f>
        <v>34601.14</v>
      </c>
      <c r="H171" s="64">
        <f>'[4]CUENTA T VS'!CH75</f>
        <v>0</v>
      </c>
      <c r="I171" s="64">
        <f t="shared" si="6"/>
        <v>34601.14</v>
      </c>
      <c r="J171" s="65">
        <f t="shared" si="8"/>
        <v>2.9504400112947445E-4</v>
      </c>
    </row>
    <row r="172" spans="1:10" ht="77.25" x14ac:dyDescent="0.25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'[4]CUENTA T FONDO 100'!CI126</f>
        <v>0</v>
      </c>
      <c r="H172" s="64">
        <f>'[4]CUENTA T VS'!CI75</f>
        <v>0</v>
      </c>
      <c r="I172" s="64">
        <f t="shared" si="6"/>
        <v>0</v>
      </c>
      <c r="J172" s="65">
        <f t="shared" si="8"/>
        <v>0</v>
      </c>
    </row>
    <row r="173" spans="1:10" ht="102" x14ac:dyDescent="0.25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'[4]CUENTA T FONDO 100'!CJ126</f>
        <v>0</v>
      </c>
      <c r="H173" s="64">
        <f>'[4]CUENTA T VS'!CJ75</f>
        <v>0</v>
      </c>
      <c r="I173" s="64">
        <f t="shared" si="6"/>
        <v>0</v>
      </c>
      <c r="J173" s="65">
        <f t="shared" si="8"/>
        <v>0</v>
      </c>
    </row>
    <row r="174" spans="1:10" ht="63.75" x14ac:dyDescent="0.25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'[4]CUENTA T FONDO 100'!CK126</f>
        <v>0</v>
      </c>
      <c r="H174" s="64">
        <f>'[4]CUENTA T VS'!CK75</f>
        <v>0</v>
      </c>
      <c r="I174" s="64">
        <f t="shared" si="6"/>
        <v>0</v>
      </c>
      <c r="J174" s="65">
        <f t="shared" si="8"/>
        <v>0</v>
      </c>
    </row>
    <row r="175" spans="1:10" ht="63.75" x14ac:dyDescent="0.25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'[4]CUENTA T FONDO 100'!CL126</f>
        <v>0</v>
      </c>
      <c r="H175" s="64">
        <f>'[4]CUENTA T VS'!CL75</f>
        <v>0</v>
      </c>
      <c r="I175" s="64">
        <f t="shared" si="6"/>
        <v>0</v>
      </c>
      <c r="J175" s="65">
        <f t="shared" si="8"/>
        <v>0</v>
      </c>
    </row>
    <row r="176" spans="1:10" ht="140.25" x14ac:dyDescent="0.25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'[4]CUENTA T FONDO 100'!CM126</f>
        <v>0</v>
      </c>
      <c r="H176" s="64">
        <f>'[4]CUENTA T VS'!CM75</f>
        <v>0</v>
      </c>
      <c r="I176" s="64">
        <f t="shared" si="6"/>
        <v>0</v>
      </c>
      <c r="J176" s="65">
        <f t="shared" si="8"/>
        <v>0</v>
      </c>
    </row>
    <row r="177" spans="1:10" x14ac:dyDescent="0.25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6"/>
        <v>0</v>
      </c>
      <c r="J177" s="60"/>
    </row>
    <row r="178" spans="1:10" x14ac:dyDescent="0.25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'[4]CUENTA T FONDO 100'!CN126</f>
        <v>0</v>
      </c>
      <c r="H178" s="64">
        <f>'[4]CUENTA T VS'!CN75</f>
        <v>0</v>
      </c>
      <c r="I178" s="64">
        <f t="shared" si="6"/>
        <v>0</v>
      </c>
      <c r="J178" s="65">
        <f>I178/$I$25</f>
        <v>0</v>
      </c>
    </row>
    <row r="179" spans="1:10" x14ac:dyDescent="0.25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322500</v>
      </c>
      <c r="H179" s="56">
        <f>+H180+H182+H184+H186+H188+H192+H197+H204</f>
        <v>448649</v>
      </c>
      <c r="I179" s="56">
        <f t="shared" si="6"/>
        <v>771149</v>
      </c>
      <c r="J179" s="53"/>
    </row>
    <row r="180" spans="1:10" x14ac:dyDescent="0.25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6"/>
        <v>0</v>
      </c>
      <c r="J180" s="60"/>
    </row>
    <row r="181" spans="1:10" x14ac:dyDescent="0.25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'[4]CUENTA T FONDO 100'!CO126</f>
        <v>0</v>
      </c>
      <c r="H181" s="64">
        <f>'[4]CUENTA T VS'!CO75</f>
        <v>0</v>
      </c>
      <c r="I181" s="64">
        <f t="shared" si="6"/>
        <v>0</v>
      </c>
      <c r="J181" s="65">
        <f>I181/$I$25</f>
        <v>0</v>
      </c>
    </row>
    <row r="182" spans="1:10" x14ac:dyDescent="0.25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0</v>
      </c>
      <c r="I182" s="59">
        <f t="shared" si="6"/>
        <v>0</v>
      </c>
      <c r="J182" s="60"/>
    </row>
    <row r="183" spans="1:10" x14ac:dyDescent="0.25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'[4]CUENTA T FONDO 100'!CP126</f>
        <v>0</v>
      </c>
      <c r="H183" s="64">
        <f>'[4]CUENTA T VS'!CP75</f>
        <v>0</v>
      </c>
      <c r="I183" s="64">
        <f t="shared" si="6"/>
        <v>0</v>
      </c>
      <c r="J183" s="65">
        <f>I183/$I$25</f>
        <v>0</v>
      </c>
    </row>
    <row r="184" spans="1:10" x14ac:dyDescent="0.25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15000</v>
      </c>
      <c r="I184" s="59">
        <f t="shared" si="6"/>
        <v>15000</v>
      </c>
      <c r="J184" s="60"/>
    </row>
    <row r="185" spans="1:10" x14ac:dyDescent="0.25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'[4]CUENTA T FONDO 100'!CQ126</f>
        <v>0</v>
      </c>
      <c r="H185" s="64">
        <f>'[4]CUENTA T VS'!CQ75</f>
        <v>15000</v>
      </c>
      <c r="I185" s="64">
        <f t="shared" si="6"/>
        <v>15000</v>
      </c>
      <c r="J185" s="65">
        <f>I185/$I$25</f>
        <v>1.2790503483243952E-4</v>
      </c>
    </row>
    <row r="186" spans="1:10" x14ac:dyDescent="0.25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6"/>
        <v>0</v>
      </c>
      <c r="J186" s="60"/>
    </row>
    <row r="187" spans="1:10" x14ac:dyDescent="0.25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'[4]CUENTA T FONDO 100'!CR126</f>
        <v>0</v>
      </c>
      <c r="H187" s="64">
        <f>'[4]CUENTA T VS'!CR75</f>
        <v>0</v>
      </c>
      <c r="I187" s="64">
        <f t="shared" si="6"/>
        <v>0</v>
      </c>
      <c r="J187" s="65">
        <f>I187/$I$25</f>
        <v>0</v>
      </c>
    </row>
    <row r="188" spans="1:10" x14ac:dyDescent="0.25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216648</v>
      </c>
      <c r="I188" s="59">
        <f t="shared" si="6"/>
        <v>216648</v>
      </c>
      <c r="J188" s="60"/>
    </row>
    <row r="189" spans="1:10" x14ac:dyDescent="0.25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'[4]CUENTA T FONDO 100'!CS126</f>
        <v>0</v>
      </c>
      <c r="H189" s="64">
        <f>'[4]CUENTA T VS'!CS75</f>
        <v>0</v>
      </c>
      <c r="I189" s="64">
        <f t="shared" si="6"/>
        <v>0</v>
      </c>
      <c r="J189" s="65">
        <f>I189/$I$25</f>
        <v>0</v>
      </c>
    </row>
    <row r="190" spans="1:10" x14ac:dyDescent="0.25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'[4]CUENTA T FONDO 100'!CT126</f>
        <v>0</v>
      </c>
      <c r="H190" s="64">
        <f>'[4]CUENTA T VS'!CT75</f>
        <v>0</v>
      </c>
      <c r="I190" s="64">
        <f t="shared" si="6"/>
        <v>0</v>
      </c>
      <c r="J190" s="65">
        <f>I190/$I$25</f>
        <v>0</v>
      </c>
    </row>
    <row r="191" spans="1:10" x14ac:dyDescent="0.25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'[4]CUENTA T FONDO 100'!CU126</f>
        <v>0</v>
      </c>
      <c r="H191" s="64">
        <f>'[4]CUENTA T VS'!CU75</f>
        <v>216648</v>
      </c>
      <c r="I191" s="64">
        <f t="shared" si="6"/>
        <v>216648</v>
      </c>
      <c r="J191" s="65">
        <f>I191/$I$25</f>
        <v>1.8473579990918906E-3</v>
      </c>
    </row>
    <row r="192" spans="1:10" x14ac:dyDescent="0.25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6"/>
        <v>0</v>
      </c>
      <c r="J192" s="60"/>
    </row>
    <row r="193" spans="1:10" x14ac:dyDescent="0.25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'[4]CUENTA T FONDO 100'!CV126</f>
        <v>0</v>
      </c>
      <c r="H193" s="64">
        <f>'[4]CUENTA T VS'!CV75</f>
        <v>0</v>
      </c>
      <c r="I193" s="64">
        <f t="shared" si="6"/>
        <v>0</v>
      </c>
      <c r="J193" s="65">
        <f>I193/$I$25</f>
        <v>0</v>
      </c>
    </row>
    <row r="194" spans="1:10" x14ac:dyDescent="0.25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'[4]CUENTA T FONDO 100'!CW126</f>
        <v>0</v>
      </c>
      <c r="H194" s="64">
        <f>'[4]CUENTA T VS'!CW75</f>
        <v>0</v>
      </c>
      <c r="I194" s="64">
        <f t="shared" si="6"/>
        <v>0</v>
      </c>
      <c r="J194" s="65">
        <f>I194/$I$25</f>
        <v>0</v>
      </c>
    </row>
    <row r="195" spans="1:10" x14ac:dyDescent="0.25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'[4]CUENTA T FONDO 100'!CX126</f>
        <v>0</v>
      </c>
      <c r="H195" s="64">
        <f>'[4]CUENTA T VS'!CX75</f>
        <v>0</v>
      </c>
      <c r="I195" s="64">
        <f t="shared" si="6"/>
        <v>0</v>
      </c>
      <c r="J195" s="65">
        <f>I195/$I$25</f>
        <v>0</v>
      </c>
    </row>
    <row r="196" spans="1:10" x14ac:dyDescent="0.25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'[4]CUENTA T FONDO 100'!CY126</f>
        <v>0</v>
      </c>
      <c r="H196" s="64">
        <f>'[4]CUENTA T VS'!CY75</f>
        <v>0</v>
      </c>
      <c r="I196" s="64">
        <f t="shared" si="6"/>
        <v>0</v>
      </c>
      <c r="J196" s="65">
        <f>I196/$I$25</f>
        <v>0</v>
      </c>
    </row>
    <row r="197" spans="1:10" x14ac:dyDescent="0.25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322500</v>
      </c>
      <c r="H197" s="59">
        <f>SUM(H198:H203)</f>
        <v>217001</v>
      </c>
      <c r="I197" s="59">
        <f t="shared" si="6"/>
        <v>539501</v>
      </c>
      <c r="J197" s="60"/>
    </row>
    <row r="198" spans="1:10" ht="63.75" x14ac:dyDescent="0.25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'[4]CUENTA T FONDO 100'!CZ126</f>
        <v>0</v>
      </c>
      <c r="H198" s="64">
        <f>'[4]CUENTA T VS'!CZ75</f>
        <v>0</v>
      </c>
      <c r="I198" s="64">
        <f t="shared" si="6"/>
        <v>0</v>
      </c>
      <c r="J198" s="65">
        <f t="shared" ref="J198:J203" si="9">I198/$I$25</f>
        <v>0</v>
      </c>
    </row>
    <row r="199" spans="1:10" ht="25.5" x14ac:dyDescent="0.25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'[4]CUENTA T FONDO 100'!DA126</f>
        <v>0</v>
      </c>
      <c r="H199" s="64">
        <f>'[4]CUENTA T VS'!DA75</f>
        <v>17700</v>
      </c>
      <c r="I199" s="64">
        <f t="shared" si="6"/>
        <v>17700</v>
      </c>
      <c r="J199" s="65">
        <f t="shared" si="9"/>
        <v>1.5092794110227863E-4</v>
      </c>
    </row>
    <row r="200" spans="1:10" ht="38.25" x14ac:dyDescent="0.25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'[4]CUENTA T FONDO 100'!DB126</f>
        <v>0</v>
      </c>
      <c r="H200" s="64">
        <f>'[4]CUENTA T VS'!DB75</f>
        <v>0</v>
      </c>
      <c r="I200" s="64">
        <f t="shared" si="6"/>
        <v>0</v>
      </c>
      <c r="J200" s="65">
        <f t="shared" si="9"/>
        <v>0</v>
      </c>
    </row>
    <row r="201" spans="1:10" ht="25.5" x14ac:dyDescent="0.25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'[4]CUENTA T FONDO 100'!DC126</f>
        <v>0</v>
      </c>
      <c r="H201" s="64">
        <f>'[4]CUENTA T VS'!DC75</f>
        <v>0</v>
      </c>
      <c r="I201" s="64">
        <f t="shared" si="6"/>
        <v>0</v>
      </c>
      <c r="J201" s="65">
        <f t="shared" si="9"/>
        <v>0</v>
      </c>
    </row>
    <row r="202" spans="1:10" ht="63.75" x14ac:dyDescent="0.25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'[4]CUENTA T FONDO 100'!DD126</f>
        <v>0</v>
      </c>
      <c r="H202" s="64">
        <f>'[4]CUENTA T VS'!DD75</f>
        <v>146556</v>
      </c>
      <c r="I202" s="64">
        <f t="shared" si="6"/>
        <v>146556</v>
      </c>
      <c r="J202" s="65">
        <f t="shared" si="9"/>
        <v>1.249683352326867E-3</v>
      </c>
    </row>
    <row r="203" spans="1:10" ht="63.75" x14ac:dyDescent="0.25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'[4]CUENTA T FONDO 100'!DE126</f>
        <v>322500</v>
      </c>
      <c r="H203" s="64">
        <f>'[4]CUENTA T VS'!DE75</f>
        <v>52745</v>
      </c>
      <c r="I203" s="64">
        <f t="shared" si="6"/>
        <v>375245</v>
      </c>
      <c r="J203" s="65">
        <f t="shared" si="9"/>
        <v>3.1997149863799181E-3</v>
      </c>
    </row>
    <row r="204" spans="1:10" ht="38.25" x14ac:dyDescent="0.25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0</v>
      </c>
      <c r="I204" s="59">
        <f t="shared" si="6"/>
        <v>0</v>
      </c>
      <c r="J204" s="60"/>
    </row>
    <row r="205" spans="1:10" x14ac:dyDescent="0.25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'[4]CUENTA T FONDO 100'!DF126</f>
        <v>0</v>
      </c>
      <c r="H205" s="64">
        <f>'[4]CUENTA T VS'!DF75</f>
        <v>0</v>
      </c>
      <c r="I205" s="64">
        <f t="shared" si="6"/>
        <v>0</v>
      </c>
      <c r="J205" s="65">
        <f>I205/$I$25</f>
        <v>0</v>
      </c>
    </row>
    <row r="206" spans="1:10" x14ac:dyDescent="0.25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'[4]CUENTA T FONDO 100'!DG126</f>
        <v>0</v>
      </c>
      <c r="H206" s="64">
        <f>'[4]CUENTA T VS'!DG75</f>
        <v>0</v>
      </c>
      <c r="I206" s="64">
        <f t="shared" si="6"/>
        <v>0</v>
      </c>
      <c r="J206" s="65">
        <f>I206/$I$25</f>
        <v>0</v>
      </c>
    </row>
    <row r="207" spans="1:10" x14ac:dyDescent="0.25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'[4]CUENTA T FONDO 100'!DH126</f>
        <v>0</v>
      </c>
      <c r="H207" s="64">
        <f>'[4]CUENTA T VS'!DH75</f>
        <v>0</v>
      </c>
      <c r="I207" s="64">
        <f t="shared" si="6"/>
        <v>0</v>
      </c>
      <c r="J207" s="65">
        <f>I207/$I$25</f>
        <v>0</v>
      </c>
    </row>
    <row r="208" spans="1:10" x14ac:dyDescent="0.25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 t="shared" ref="G208:H208" si="10">+G209</f>
        <v>0</v>
      </c>
      <c r="H208" s="56">
        <f t="shared" si="10"/>
        <v>0</v>
      </c>
      <c r="I208" s="56">
        <f t="shared" si="6"/>
        <v>0</v>
      </c>
      <c r="J208" s="53"/>
    </row>
    <row r="209" spans="1:10" x14ac:dyDescent="0.25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 t="shared" ref="H209" si="11">H210+H211</f>
        <v>0</v>
      </c>
      <c r="I209" s="59">
        <f t="shared" si="6"/>
        <v>0</v>
      </c>
      <c r="J209" s="60"/>
    </row>
    <row r="210" spans="1:10" ht="25.5" x14ac:dyDescent="0.25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'[4]CUENTA T FONDO 100'!DI126</f>
        <v>0</v>
      </c>
      <c r="H210" s="64">
        <f>'[4]CUENTA T VS'!DI75</f>
        <v>0</v>
      </c>
      <c r="I210" s="64">
        <f t="shared" si="6"/>
        <v>0</v>
      </c>
      <c r="J210" s="65">
        <f>I210/$I$25</f>
        <v>0</v>
      </c>
    </row>
    <row r="211" spans="1:10" ht="25.5" x14ac:dyDescent="0.25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'[4]CUENTA T FONDO 100'!DJ126</f>
        <v>0</v>
      </c>
      <c r="H211" s="64">
        <f>'[4]CUENTA T VS'!DJ75</f>
        <v>0</v>
      </c>
      <c r="I211" s="64">
        <f t="shared" si="6"/>
        <v>0</v>
      </c>
      <c r="J211" s="65">
        <f>I211/$I$25</f>
        <v>0</v>
      </c>
    </row>
    <row r="212" spans="1:10" x14ac:dyDescent="0.25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31896436.810000002</v>
      </c>
      <c r="H212" s="56">
        <f>H213+H225+H232+H245+H250+H261+H286+H303+H308</f>
        <v>5885512.2599999998</v>
      </c>
      <c r="I212" s="56">
        <f t="shared" si="6"/>
        <v>37781949.07</v>
      </c>
      <c r="J212" s="53">
        <f>I212/$I$25</f>
        <v>0.32216676745572043</v>
      </c>
    </row>
    <row r="213" spans="1:10" x14ac:dyDescent="0.25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1611805</v>
      </c>
      <c r="H213" s="56">
        <f>+H214+H217+H219+H223</f>
        <v>285227</v>
      </c>
      <c r="I213" s="56">
        <f t="shared" si="6"/>
        <v>1897032</v>
      </c>
      <c r="J213" s="53"/>
    </row>
    <row r="214" spans="1:10" x14ac:dyDescent="0.25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1611805</v>
      </c>
      <c r="H214" s="59">
        <f>SUM(H215:H216)</f>
        <v>285227</v>
      </c>
      <c r="I214" s="59">
        <f t="shared" si="6"/>
        <v>1897032</v>
      </c>
      <c r="J214" s="60"/>
    </row>
    <row r="215" spans="1:10" x14ac:dyDescent="0.25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'[4]CUENTA T FONDO 100'!DK126</f>
        <v>1611805</v>
      </c>
      <c r="H215" s="64">
        <f>'[4]CUENTA T VS'!DK75</f>
        <v>285227</v>
      </c>
      <c r="I215" s="64">
        <f t="shared" si="6"/>
        <v>1897032</v>
      </c>
      <c r="J215" s="65">
        <f>I215/$I$25</f>
        <v>1.6175996269216827E-2</v>
      </c>
    </row>
    <row r="216" spans="1:10" x14ac:dyDescent="0.25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'[4]CUENTA T FONDO 100'!DL126</f>
        <v>0</v>
      </c>
      <c r="H216" s="64">
        <f>'[4]CUENTA T VS'!DL75</f>
        <v>0</v>
      </c>
      <c r="I216" s="64">
        <f t="shared" si="6"/>
        <v>0</v>
      </c>
      <c r="J216" s="65">
        <f>I216/$I$25</f>
        <v>0</v>
      </c>
    </row>
    <row r="217" spans="1:10" x14ac:dyDescent="0.25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12">SUM(G217:H217)</f>
        <v>0</v>
      </c>
      <c r="J217" s="60"/>
    </row>
    <row r="218" spans="1:10" x14ac:dyDescent="0.25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'[4]CUENTA T FONDO 100'!DM126</f>
        <v>0</v>
      </c>
      <c r="H218" s="64">
        <f>'[4]CUENTA T VS'!DM75</f>
        <v>0</v>
      </c>
      <c r="I218" s="64">
        <f t="shared" si="12"/>
        <v>0</v>
      </c>
      <c r="J218" s="65">
        <f>I218/$I$25</f>
        <v>0</v>
      </c>
    </row>
    <row r="219" spans="1:10" x14ac:dyDescent="0.25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12"/>
        <v>0</v>
      </c>
      <c r="J219" s="60"/>
    </row>
    <row r="220" spans="1:10" x14ac:dyDescent="0.25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'[4]CUENTA T FONDO 100'!DN126</f>
        <v>0</v>
      </c>
      <c r="H220" s="64">
        <f>'[4]CUENTA T VS'!DN75</f>
        <v>0</v>
      </c>
      <c r="I220" s="64">
        <f t="shared" si="12"/>
        <v>0</v>
      </c>
      <c r="J220" s="65">
        <f>I220/$I$25</f>
        <v>0</v>
      </c>
    </row>
    <row r="221" spans="1:10" x14ac:dyDescent="0.25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'[4]CUENTA T FONDO 100'!DO126</f>
        <v>0</v>
      </c>
      <c r="H221" s="64">
        <f>'[4]CUENTA T VS'!DO75</f>
        <v>0</v>
      </c>
      <c r="I221" s="64">
        <f t="shared" si="12"/>
        <v>0</v>
      </c>
      <c r="J221" s="65">
        <f>I221/$I$25</f>
        <v>0</v>
      </c>
    </row>
    <row r="222" spans="1:10" x14ac:dyDescent="0.25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'[4]CUENTA T FONDO 100'!DP126</f>
        <v>0</v>
      </c>
      <c r="H222" s="64">
        <f>'[4]CUENTA T VS'!DP75</f>
        <v>0</v>
      </c>
      <c r="I222" s="64">
        <f t="shared" si="12"/>
        <v>0</v>
      </c>
      <c r="J222" s="65">
        <f>I222/$I$25</f>
        <v>0</v>
      </c>
    </row>
    <row r="223" spans="1:10" x14ac:dyDescent="0.25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12"/>
        <v>0</v>
      </c>
      <c r="J223" s="60"/>
    </row>
    <row r="224" spans="1:10" x14ac:dyDescent="0.25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'[4]CUENTA T FONDO 100'!DQ126</f>
        <v>0</v>
      </c>
      <c r="H224" s="64">
        <f>'[4]CUENTA T VS'!DQ75</f>
        <v>0</v>
      </c>
      <c r="I224" s="64">
        <f t="shared" si="12"/>
        <v>0</v>
      </c>
      <c r="J224" s="65">
        <f>I224/$I$25</f>
        <v>0</v>
      </c>
    </row>
    <row r="225" spans="1:10" x14ac:dyDescent="0.25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67260</v>
      </c>
      <c r="H225" s="56">
        <f>+H226+H228+H230</f>
        <v>0</v>
      </c>
      <c r="I225" s="56">
        <f t="shared" si="12"/>
        <v>67260</v>
      </c>
      <c r="J225" s="53"/>
    </row>
    <row r="226" spans="1:10" x14ac:dyDescent="0.25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12"/>
        <v>0</v>
      </c>
      <c r="J226" s="60"/>
    </row>
    <row r="227" spans="1:10" x14ac:dyDescent="0.25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'[4]CUENTA T FONDO 100'!DR126</f>
        <v>0</v>
      </c>
      <c r="H227" s="64">
        <f>'[4]CUENTA T VS'!DR75</f>
        <v>0</v>
      </c>
      <c r="I227" s="64">
        <f t="shared" si="12"/>
        <v>0</v>
      </c>
      <c r="J227" s="65">
        <f>I227/$I$25</f>
        <v>0</v>
      </c>
    </row>
    <row r="228" spans="1:10" x14ac:dyDescent="0.25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0</v>
      </c>
      <c r="H228" s="59">
        <f>SUM(H229)</f>
        <v>0</v>
      </c>
      <c r="I228" s="59">
        <f t="shared" si="12"/>
        <v>0</v>
      </c>
      <c r="J228" s="60"/>
    </row>
    <row r="229" spans="1:10" x14ac:dyDescent="0.25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'[4]CUENTA T FONDO 100'!DS126</f>
        <v>0</v>
      </c>
      <c r="H229" s="64">
        <f>'[4]CUENTA T VS'!DS75</f>
        <v>0</v>
      </c>
      <c r="I229" s="64">
        <f t="shared" si="12"/>
        <v>0</v>
      </c>
      <c r="J229" s="65">
        <f>I229/$I$25</f>
        <v>0</v>
      </c>
    </row>
    <row r="230" spans="1:10" x14ac:dyDescent="0.25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67260</v>
      </c>
      <c r="H230" s="59">
        <f>SUM(H231)</f>
        <v>0</v>
      </c>
      <c r="I230" s="59">
        <f t="shared" si="12"/>
        <v>67260</v>
      </c>
      <c r="J230" s="60"/>
    </row>
    <row r="231" spans="1:10" x14ac:dyDescent="0.25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'[4]CUENTA T FONDO 100'!DT126</f>
        <v>67260</v>
      </c>
      <c r="H231" s="64">
        <f>'[4]CUENTA T VS'!DT75</f>
        <v>0</v>
      </c>
      <c r="I231" s="64">
        <f t="shared" si="12"/>
        <v>67260</v>
      </c>
      <c r="J231" s="65">
        <f>I231/$I$25</f>
        <v>5.7352617618865881E-4</v>
      </c>
    </row>
    <row r="232" spans="1:10" x14ac:dyDescent="0.25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884486</v>
      </c>
      <c r="H232" s="56">
        <f>+H233+H235+H237+H239+H241+H243</f>
        <v>0</v>
      </c>
      <c r="I232" s="56">
        <f t="shared" si="12"/>
        <v>884486</v>
      </c>
      <c r="J232" s="53"/>
    </row>
    <row r="233" spans="1:10" x14ac:dyDescent="0.25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14868</v>
      </c>
      <c r="H233" s="59">
        <f>SUM(H234)</f>
        <v>0</v>
      </c>
      <c r="I233" s="59">
        <f t="shared" si="12"/>
        <v>14868</v>
      </c>
      <c r="J233" s="60"/>
    </row>
    <row r="234" spans="1:10" x14ac:dyDescent="0.25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'[4]CUENTA T FONDO 100'!DU126</f>
        <v>14868</v>
      </c>
      <c r="H234" s="64">
        <f>'[4]CUENTA T VS'!DU75</f>
        <v>0</v>
      </c>
      <c r="I234" s="64">
        <f t="shared" si="12"/>
        <v>14868</v>
      </c>
      <c r="J234" s="65">
        <f>I234/$I$25</f>
        <v>1.2677947052591406E-4</v>
      </c>
    </row>
    <row r="235" spans="1:10" x14ac:dyDescent="0.25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781118</v>
      </c>
      <c r="H235" s="59">
        <f>SUM(H236)</f>
        <v>0</v>
      </c>
      <c r="I235" s="59">
        <f t="shared" si="12"/>
        <v>781118</v>
      </c>
      <c r="J235" s="60"/>
    </row>
    <row r="236" spans="1:10" x14ac:dyDescent="0.25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'[4]CUENTA T FONDO 100'!DV126</f>
        <v>781118</v>
      </c>
      <c r="H236" s="64">
        <f>'[4]CUENTA T VS'!DV75</f>
        <v>0</v>
      </c>
      <c r="I236" s="64">
        <f t="shared" si="12"/>
        <v>781118</v>
      </c>
      <c r="J236" s="65">
        <f>I236/$I$25</f>
        <v>6.6605949998830329E-3</v>
      </c>
    </row>
    <row r="237" spans="1:10" x14ac:dyDescent="0.25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88500</v>
      </c>
      <c r="H237" s="59">
        <f>SUM(H238)</f>
        <v>0</v>
      </c>
      <c r="I237" s="59">
        <f t="shared" si="12"/>
        <v>88500</v>
      </c>
      <c r="J237" s="60"/>
    </row>
    <row r="238" spans="1:10" x14ac:dyDescent="0.25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'[4]CUENTA T FONDO 100'!DW126</f>
        <v>88500</v>
      </c>
      <c r="H238" s="64">
        <f>'[4]CUENTA T VS'!DW75</f>
        <v>0</v>
      </c>
      <c r="I238" s="64">
        <f t="shared" si="12"/>
        <v>88500</v>
      </c>
      <c r="J238" s="65">
        <f>I238/$I$25</f>
        <v>7.5463970551139321E-4</v>
      </c>
    </row>
    <row r="239" spans="1:10" x14ac:dyDescent="0.25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12"/>
        <v>0</v>
      </c>
      <c r="J239" s="60"/>
    </row>
    <row r="240" spans="1:10" x14ac:dyDescent="0.25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'[4]CUENTA T FONDO 100'!DX126</f>
        <v>0</v>
      </c>
      <c r="H240" s="64">
        <f>'[4]CUENTA T VS'!DX75</f>
        <v>0</v>
      </c>
      <c r="I240" s="64">
        <f t="shared" si="12"/>
        <v>0</v>
      </c>
      <c r="J240" s="65">
        <f>I240/$I$25</f>
        <v>0</v>
      </c>
    </row>
    <row r="241" spans="1:10" x14ac:dyDescent="0.25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12"/>
        <v>0</v>
      </c>
      <c r="J241" s="60"/>
    </row>
    <row r="242" spans="1:10" x14ac:dyDescent="0.25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'[4]CUENTA T FONDO 100'!DY126</f>
        <v>0</v>
      </c>
      <c r="H242" s="64">
        <f>'[4]CUENTA T VS'!DY75</f>
        <v>0</v>
      </c>
      <c r="I242" s="64">
        <f t="shared" si="12"/>
        <v>0</v>
      </c>
      <c r="J242" s="65">
        <f>I242/$I$25</f>
        <v>0</v>
      </c>
    </row>
    <row r="243" spans="1:10" x14ac:dyDescent="0.25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12"/>
        <v>0</v>
      </c>
      <c r="J243" s="60"/>
    </row>
    <row r="244" spans="1:10" x14ac:dyDescent="0.25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'[4]CUENTA T FONDO 100'!DZ126</f>
        <v>0</v>
      </c>
      <c r="H244" s="64">
        <f>'[4]CUENTA T VS'!DZ75</f>
        <v>0</v>
      </c>
      <c r="I244" s="64">
        <f t="shared" si="12"/>
        <v>0</v>
      </c>
      <c r="J244" s="65">
        <f>I244/$I$25</f>
        <v>0</v>
      </c>
    </row>
    <row r="245" spans="1:10" x14ac:dyDescent="0.25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2958714.3</v>
      </c>
      <c r="H245" s="56">
        <f>+H246+H248</f>
        <v>2183260</v>
      </c>
      <c r="I245" s="56">
        <f t="shared" si="12"/>
        <v>5141974.3</v>
      </c>
      <c r="J245" s="53"/>
    </row>
    <row r="246" spans="1:10" x14ac:dyDescent="0.25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2958714.3</v>
      </c>
      <c r="H246" s="59">
        <f>SUM(H247)</f>
        <v>2183260</v>
      </c>
      <c r="I246" s="59">
        <f t="shared" si="12"/>
        <v>5141974.3</v>
      </c>
      <c r="J246" s="60"/>
    </row>
    <row r="247" spans="1:10" x14ac:dyDescent="0.25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'[4]CUENTA T FONDO 100'!EA126</f>
        <v>2958714.3</v>
      </c>
      <c r="H247" s="64">
        <f>'[4]CUENTA T VS'!EA75</f>
        <v>2183260</v>
      </c>
      <c r="I247" s="64">
        <f t="shared" si="12"/>
        <v>5141974.3</v>
      </c>
      <c r="J247" s="65">
        <f>I247/$I$25</f>
        <v>4.384562679660059E-2</v>
      </c>
    </row>
    <row r="248" spans="1:10" x14ac:dyDescent="0.25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12"/>
        <v>0</v>
      </c>
      <c r="J248" s="60"/>
    </row>
    <row r="249" spans="1:10" x14ac:dyDescent="0.25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'[4]CUENTA T FONDO 100'!EB126</f>
        <v>0</v>
      </c>
      <c r="H249" s="64">
        <f>'[4]CUENTA T VS'!EB75</f>
        <v>0</v>
      </c>
      <c r="I249" s="64">
        <f t="shared" si="12"/>
        <v>0</v>
      </c>
      <c r="J249" s="65">
        <f>I249/$I$25</f>
        <v>0</v>
      </c>
    </row>
    <row r="250" spans="1:10" x14ac:dyDescent="0.25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623201.43000000005</v>
      </c>
      <c r="H250" s="56">
        <f>+H251+H253+H255+H257+H259</f>
        <v>0</v>
      </c>
      <c r="I250" s="56">
        <f t="shared" si="12"/>
        <v>623201.43000000005</v>
      </c>
      <c r="J250" s="53"/>
    </row>
    <row r="251" spans="1:10" x14ac:dyDescent="0.25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12"/>
        <v>0</v>
      </c>
      <c r="J251" s="60"/>
    </row>
    <row r="252" spans="1:10" x14ac:dyDescent="0.25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'[4]CUENTA T FONDO 100'!EC126</f>
        <v>0</v>
      </c>
      <c r="H252" s="64">
        <f>'[4]CUENTA T VS'!EC75</f>
        <v>0</v>
      </c>
      <c r="I252" s="64">
        <f t="shared" si="12"/>
        <v>0</v>
      </c>
      <c r="J252" s="65">
        <f>I252/$I$25</f>
        <v>0</v>
      </c>
    </row>
    <row r="253" spans="1:10" x14ac:dyDescent="0.25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12"/>
        <v>0</v>
      </c>
      <c r="J253" s="60"/>
    </row>
    <row r="254" spans="1:10" x14ac:dyDescent="0.25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'[4]CUENTA T FONDO 100'!ED126</f>
        <v>0</v>
      </c>
      <c r="H254" s="64">
        <f>'[4]CUENTA T VS'!ED75</f>
        <v>0</v>
      </c>
      <c r="I254" s="64">
        <f t="shared" si="12"/>
        <v>0</v>
      </c>
      <c r="J254" s="65">
        <f>I254/$I$25</f>
        <v>0</v>
      </c>
    </row>
    <row r="255" spans="1:10" x14ac:dyDescent="0.25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12"/>
        <v>0</v>
      </c>
      <c r="J255" s="60"/>
    </row>
    <row r="256" spans="1:10" x14ac:dyDescent="0.25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'[4]CUENTA T FONDO 100'!EE126</f>
        <v>0</v>
      </c>
      <c r="H256" s="64">
        <f>'[4]CUENTA T VS'!EE75</f>
        <v>0</v>
      </c>
      <c r="I256" s="64">
        <f t="shared" si="12"/>
        <v>0</v>
      </c>
      <c r="J256" s="65">
        <f>I256/$I$25</f>
        <v>0</v>
      </c>
    </row>
    <row r="257" spans="1:10" x14ac:dyDescent="0.25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10400.030000000001</v>
      </c>
      <c r="H257" s="59">
        <f>SUM(H258)</f>
        <v>0</v>
      </c>
      <c r="I257" s="59">
        <f t="shared" si="12"/>
        <v>10400.030000000001</v>
      </c>
      <c r="J257" s="60"/>
    </row>
    <row r="258" spans="1:10" x14ac:dyDescent="0.25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'[4]CUENTA T FONDO 100'!EF126</f>
        <v>10400.030000000001</v>
      </c>
      <c r="H258" s="64">
        <f>'[4]CUENTA T VS'!EF75</f>
        <v>0</v>
      </c>
      <c r="I258" s="64">
        <f t="shared" si="12"/>
        <v>10400.030000000001</v>
      </c>
      <c r="J258" s="65">
        <f>I258/$I$25</f>
        <v>8.8681079960561068E-5</v>
      </c>
    </row>
    <row r="259" spans="1:10" x14ac:dyDescent="0.25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612801.4</v>
      </c>
      <c r="H259" s="59">
        <f>SUM(H260)</f>
        <v>0</v>
      </c>
      <c r="I259" s="59">
        <f t="shared" si="12"/>
        <v>612801.4</v>
      </c>
      <c r="J259" s="60"/>
    </row>
    <row r="260" spans="1:10" x14ac:dyDescent="0.25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'[4]CUENTA T FONDO 100'!EG126</f>
        <v>612801.4</v>
      </c>
      <c r="H260" s="64">
        <f>'[4]CUENTA T VS'!EG75</f>
        <v>0</v>
      </c>
      <c r="I260" s="64">
        <f t="shared" si="12"/>
        <v>612801.4</v>
      </c>
      <c r="J260" s="65">
        <f>I260/$I$25</f>
        <v>5.225358960824514E-3</v>
      </c>
    </row>
    <row r="261" spans="1:10" x14ac:dyDescent="0.25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236465.7</v>
      </c>
      <c r="H261" s="56">
        <f>+H262+H268+H272+H276+H284</f>
        <v>875.01</v>
      </c>
      <c r="I261" s="56">
        <f t="shared" si="12"/>
        <v>237340.71000000002</v>
      </c>
      <c r="J261" s="53"/>
    </row>
    <row r="262" spans="1:10" x14ac:dyDescent="0.25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1800.09</v>
      </c>
      <c r="H262" s="59">
        <f>SUM(H263:H267)</f>
        <v>0</v>
      </c>
      <c r="I262" s="59">
        <f t="shared" si="12"/>
        <v>1800.09</v>
      </c>
      <c r="J262" s="60"/>
    </row>
    <row r="263" spans="1:10" x14ac:dyDescent="0.25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'[4]CUENTA T FONDO 100'!EH126</f>
        <v>1800.09</v>
      </c>
      <c r="H263" s="64">
        <f>'[4]CUENTA T VS'!EH75</f>
        <v>0</v>
      </c>
      <c r="I263" s="64">
        <f t="shared" si="12"/>
        <v>1800.09</v>
      </c>
      <c r="J263" s="65">
        <f>I263/$I$25</f>
        <v>1.5349371610101738E-5</v>
      </c>
    </row>
    <row r="264" spans="1:10" x14ac:dyDescent="0.25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'[4]CUENTA T FONDO 100'!EI126</f>
        <v>0</v>
      </c>
      <c r="H264" s="64">
        <f>'[4]CUENTA T VS'!EI75</f>
        <v>0</v>
      </c>
      <c r="I264" s="64">
        <f t="shared" si="12"/>
        <v>0</v>
      </c>
      <c r="J264" s="65">
        <f>I264/$I$25</f>
        <v>0</v>
      </c>
    </row>
    <row r="265" spans="1:10" x14ac:dyDescent="0.25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'[4]CUENTA T FONDO 100'!EJ126</f>
        <v>0</v>
      </c>
      <c r="H265" s="64">
        <f>'[4]CUENTA T VS'!EJ75</f>
        <v>0</v>
      </c>
      <c r="I265" s="64">
        <f t="shared" si="12"/>
        <v>0</v>
      </c>
      <c r="J265" s="65">
        <f>I265/$I$25</f>
        <v>0</v>
      </c>
    </row>
    <row r="266" spans="1:10" x14ac:dyDescent="0.25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'[4]CUENTA T FONDO 100'!EK126</f>
        <v>0</v>
      </c>
      <c r="H266" s="64">
        <f>'[4]CUENTA T VS'!EK75</f>
        <v>0</v>
      </c>
      <c r="I266" s="64">
        <f t="shared" si="12"/>
        <v>0</v>
      </c>
      <c r="J266" s="65">
        <f>I266/$I$25</f>
        <v>0</v>
      </c>
    </row>
    <row r="267" spans="1:10" x14ac:dyDescent="0.25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'[4]CUENTA T FONDO 100'!EL126</f>
        <v>0</v>
      </c>
      <c r="H267" s="64">
        <f>'[4]CUENTA T VS'!EL75</f>
        <v>0</v>
      </c>
      <c r="I267" s="64">
        <f t="shared" si="12"/>
        <v>0</v>
      </c>
      <c r="J267" s="65">
        <f>I267/$I$25</f>
        <v>0</v>
      </c>
    </row>
    <row r="268" spans="1:10" x14ac:dyDescent="0.25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126210.64000000001</v>
      </c>
      <c r="H268" s="59">
        <f>SUM(H269:H271)</f>
        <v>0</v>
      </c>
      <c r="I268" s="59">
        <f t="shared" si="12"/>
        <v>126210.64000000001</v>
      </c>
      <c r="J268" s="60"/>
    </row>
    <row r="269" spans="1:10" x14ac:dyDescent="0.25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'[4]CUENTA T FONDO 100'!EM126</f>
        <v>81590.63</v>
      </c>
      <c r="H269" s="64">
        <f>'[4]CUENTA T VS'!EM75</f>
        <v>0</v>
      </c>
      <c r="I269" s="64">
        <f t="shared" si="12"/>
        <v>81590.63</v>
      </c>
      <c r="J269" s="65">
        <f>I269/$I$25</f>
        <v>6.9572349147671239E-4</v>
      </c>
    </row>
    <row r="270" spans="1:10" x14ac:dyDescent="0.25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'[4]CUENTA T FONDO 100'!EN126</f>
        <v>0</v>
      </c>
      <c r="H270" s="64">
        <f>'[4]CUENTA T VS'!EN75</f>
        <v>0</v>
      </c>
      <c r="I270" s="64">
        <f t="shared" si="12"/>
        <v>0</v>
      </c>
      <c r="J270" s="65">
        <f>I270/$I$25</f>
        <v>0</v>
      </c>
    </row>
    <row r="271" spans="1:10" x14ac:dyDescent="0.25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'[4]CUENTA T FONDO 100'!EO126</f>
        <v>44620.01</v>
      </c>
      <c r="H271" s="64">
        <f>'[4]CUENTA T VS'!EO75</f>
        <v>0</v>
      </c>
      <c r="I271" s="64">
        <f t="shared" si="12"/>
        <v>44620.01</v>
      </c>
      <c r="J271" s="65">
        <f>I271/$I$25</f>
        <v>3.8047492888491999E-4</v>
      </c>
    </row>
    <row r="272" spans="1:10" x14ac:dyDescent="0.25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108454.97</v>
      </c>
      <c r="H272" s="59">
        <f>SUM(H273:H275)</f>
        <v>875.01</v>
      </c>
      <c r="I272" s="59">
        <f t="shared" si="12"/>
        <v>109329.98</v>
      </c>
      <c r="J272" s="60"/>
    </row>
    <row r="273" spans="1:10" ht="25.5" x14ac:dyDescent="0.25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'[4]CUENTA T FONDO 100'!EP126</f>
        <v>7379.96</v>
      </c>
      <c r="H273" s="64">
        <f>'[4]CUENTA T VS'!EP75</f>
        <v>0</v>
      </c>
      <c r="I273" s="64">
        <f t="shared" si="12"/>
        <v>7379.96</v>
      </c>
      <c r="J273" s="65">
        <f>I273/$I$25</f>
        <v>6.2928936057467355E-5</v>
      </c>
    </row>
    <row r="274" spans="1:10" x14ac:dyDescent="0.25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'[4]CUENTA T FONDO 100'!EQ126</f>
        <v>0</v>
      </c>
      <c r="H274" s="64">
        <f>'[4]CUENTA T VS'!EQ75</f>
        <v>0</v>
      </c>
      <c r="I274" s="64">
        <f t="shared" si="12"/>
        <v>0</v>
      </c>
      <c r="J274" s="65">
        <f>I274/$I$25</f>
        <v>0</v>
      </c>
    </row>
    <row r="275" spans="1:10" x14ac:dyDescent="0.25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'[4]CUENTA T FONDO 100'!ER126</f>
        <v>101075.01</v>
      </c>
      <c r="H275" s="64">
        <f>'[4]CUENTA T VS'!ER75</f>
        <v>875.01</v>
      </c>
      <c r="I275" s="64">
        <f t="shared" si="12"/>
        <v>101950.01999999999</v>
      </c>
      <c r="J275" s="65">
        <f>I275/$I$25</f>
        <v>8.69328057284527E-4</v>
      </c>
    </row>
    <row r="276" spans="1:10" x14ac:dyDescent="0.25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12"/>
        <v>0</v>
      </c>
      <c r="J276" s="60"/>
    </row>
    <row r="277" spans="1:10" x14ac:dyDescent="0.25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'[4]CUENTA T FONDO 100'!ES126</f>
        <v>0</v>
      </c>
      <c r="H277" s="64">
        <f>'[4]CUENTA T VS'!ES75</f>
        <v>0</v>
      </c>
      <c r="I277" s="64">
        <f t="shared" si="12"/>
        <v>0</v>
      </c>
      <c r="J277" s="65">
        <f t="shared" ref="J277:J283" si="13">I277/$I$25</f>
        <v>0</v>
      </c>
    </row>
    <row r="278" spans="1:10" x14ac:dyDescent="0.25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'[4]CUENTA T FONDO 100'!ET126</f>
        <v>0</v>
      </c>
      <c r="H278" s="64">
        <f>'[4]CUENTA T VS'!ET75</f>
        <v>0</v>
      </c>
      <c r="I278" s="64">
        <f t="shared" si="12"/>
        <v>0</v>
      </c>
      <c r="J278" s="65">
        <f t="shared" si="13"/>
        <v>0</v>
      </c>
    </row>
    <row r="279" spans="1:10" x14ac:dyDescent="0.25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'[4]CUENTA T FONDO 100'!EU126</f>
        <v>0</v>
      </c>
      <c r="H279" s="64">
        <f>'[4]CUENTA T VS'!EU75</f>
        <v>0</v>
      </c>
      <c r="I279" s="64">
        <f t="shared" si="12"/>
        <v>0</v>
      </c>
      <c r="J279" s="65">
        <f t="shared" si="13"/>
        <v>0</v>
      </c>
    </row>
    <row r="280" spans="1:10" x14ac:dyDescent="0.25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'[4]CUENTA T FONDO 100'!EV126</f>
        <v>0</v>
      </c>
      <c r="H280" s="64">
        <f>'[4]CUENTA T VS'!EV75</f>
        <v>0</v>
      </c>
      <c r="I280" s="64">
        <f t="shared" si="12"/>
        <v>0</v>
      </c>
      <c r="J280" s="65">
        <f t="shared" si="13"/>
        <v>0</v>
      </c>
    </row>
    <row r="281" spans="1:10" x14ac:dyDescent="0.25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'[4]CUENTA T FONDO 100'!EW126</f>
        <v>0</v>
      </c>
      <c r="H281" s="64">
        <f>'[4]CUENTA T VS'!EW75</f>
        <v>0</v>
      </c>
      <c r="I281" s="64">
        <f t="shared" ref="I281:I344" si="14">SUM(G281:H281)</f>
        <v>0</v>
      </c>
      <c r="J281" s="65">
        <f t="shared" si="13"/>
        <v>0</v>
      </c>
    </row>
    <row r="282" spans="1:10" x14ac:dyDescent="0.25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'[4]CUENTA T FONDO 100'!EX126</f>
        <v>0</v>
      </c>
      <c r="H282" s="64">
        <f>'[4]CUENTA T VS'!EX75</f>
        <v>0</v>
      </c>
      <c r="I282" s="64">
        <f t="shared" si="14"/>
        <v>0</v>
      </c>
      <c r="J282" s="65">
        <f t="shared" si="13"/>
        <v>0</v>
      </c>
    </row>
    <row r="283" spans="1:10" x14ac:dyDescent="0.25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'[4]CUENTA T FONDO 100'!EY126</f>
        <v>0</v>
      </c>
      <c r="H283" s="64">
        <f>'[4]CUENTA T VS'!EY75</f>
        <v>0</v>
      </c>
      <c r="I283" s="64">
        <f t="shared" si="14"/>
        <v>0</v>
      </c>
      <c r="J283" s="65">
        <f t="shared" si="13"/>
        <v>0</v>
      </c>
    </row>
    <row r="284" spans="1:10" x14ac:dyDescent="0.25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4"/>
        <v>0</v>
      </c>
      <c r="J284" s="60"/>
    </row>
    <row r="285" spans="1:10" x14ac:dyDescent="0.25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'[4]CUENTA T FONDO 100'!EZ126</f>
        <v>0</v>
      </c>
      <c r="H285" s="64">
        <f>'[4]CUENTA T VS'!EZ75</f>
        <v>0</v>
      </c>
      <c r="I285" s="64">
        <f t="shared" si="14"/>
        <v>0</v>
      </c>
      <c r="J285" s="65">
        <f>I285/$I$25</f>
        <v>0</v>
      </c>
    </row>
    <row r="286" spans="1:10" ht="76.5" x14ac:dyDescent="0.25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19442217.100000001</v>
      </c>
      <c r="H286" s="56">
        <f>H287+H295</f>
        <v>778905.4</v>
      </c>
      <c r="I286" s="56">
        <f t="shared" si="14"/>
        <v>20221122.5</v>
      </c>
      <c r="J286" s="53"/>
    </row>
    <row r="287" spans="1:10" x14ac:dyDescent="0.25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664800</v>
      </c>
      <c r="H287" s="59">
        <f>SUM(H288:H294)</f>
        <v>44590</v>
      </c>
      <c r="I287" s="59">
        <f t="shared" si="14"/>
        <v>709390</v>
      </c>
      <c r="J287" s="60"/>
    </row>
    <row r="288" spans="1:10" x14ac:dyDescent="0.25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'[4]CUENTA T FONDO 100'!FA126</f>
        <v>0</v>
      </c>
      <c r="H288" s="64">
        <f>'[4]CUENTA T VS'!FA75</f>
        <v>0</v>
      </c>
      <c r="I288" s="64">
        <f t="shared" si="14"/>
        <v>0</v>
      </c>
      <c r="J288" s="65">
        <f t="shared" ref="J288:J294" si="15">I288/$I$25</f>
        <v>0</v>
      </c>
    </row>
    <row r="289" spans="1:10" x14ac:dyDescent="0.25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'[4]CUENTA T FONDO 100'!FB126</f>
        <v>664800</v>
      </c>
      <c r="H289" s="64">
        <f>'[4]CUENTA T VS'!FB75</f>
        <v>0</v>
      </c>
      <c r="I289" s="64">
        <f t="shared" si="14"/>
        <v>664800</v>
      </c>
      <c r="J289" s="65">
        <f t="shared" si="15"/>
        <v>5.66875114377372E-3</v>
      </c>
    </row>
    <row r="290" spans="1:10" x14ac:dyDescent="0.25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'[4]CUENTA T FONDO 100'!FC126</f>
        <v>0</v>
      </c>
      <c r="H290" s="64">
        <f>'[4]CUENTA T VS'!FC75</f>
        <v>0</v>
      </c>
      <c r="I290" s="64">
        <f t="shared" si="14"/>
        <v>0</v>
      </c>
      <c r="J290" s="65">
        <f t="shared" si="15"/>
        <v>0</v>
      </c>
    </row>
    <row r="291" spans="1:10" x14ac:dyDescent="0.25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'[4]CUENTA T FONDO 100'!FD126</f>
        <v>0</v>
      </c>
      <c r="H291" s="64">
        <f>'[4]CUENTA T VS'!FD75</f>
        <v>44590</v>
      </c>
      <c r="I291" s="64">
        <f t="shared" si="14"/>
        <v>44590</v>
      </c>
      <c r="J291" s="65">
        <f t="shared" si="15"/>
        <v>3.8021903354523191E-4</v>
      </c>
    </row>
    <row r="292" spans="1:10" x14ac:dyDescent="0.25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'[4]CUENTA T FONDO 100'!FE126</f>
        <v>0</v>
      </c>
      <c r="H292" s="64">
        <f>'[4]CUENTA T VS'!FE75</f>
        <v>0</v>
      </c>
      <c r="I292" s="64">
        <f t="shared" si="14"/>
        <v>0</v>
      </c>
      <c r="J292" s="65">
        <f t="shared" si="15"/>
        <v>0</v>
      </c>
    </row>
    <row r="293" spans="1:10" x14ac:dyDescent="0.25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'[4]CUENTA T FONDO 100'!FF126</f>
        <v>0</v>
      </c>
      <c r="H293" s="64">
        <f>'[4]CUENTA T VS'!FF75</f>
        <v>0</v>
      </c>
      <c r="I293" s="64">
        <f t="shared" si="14"/>
        <v>0</v>
      </c>
      <c r="J293" s="65">
        <f t="shared" si="15"/>
        <v>0</v>
      </c>
    </row>
    <row r="294" spans="1:10" x14ac:dyDescent="0.25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'[4]CUENTA T FONDO 100'!FG126</f>
        <v>0</v>
      </c>
      <c r="H294" s="64">
        <f>'[4]CUENTA T VS'!FG75</f>
        <v>0</v>
      </c>
      <c r="I294" s="64">
        <f t="shared" si="14"/>
        <v>0</v>
      </c>
      <c r="J294" s="65">
        <f t="shared" si="15"/>
        <v>0</v>
      </c>
    </row>
    <row r="295" spans="1:10" x14ac:dyDescent="0.25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18777417.100000001</v>
      </c>
      <c r="H295" s="59">
        <f>SUM(H296:H302)</f>
        <v>734315.4</v>
      </c>
      <c r="I295" s="59">
        <f t="shared" si="14"/>
        <v>19511732.5</v>
      </c>
      <c r="J295" s="60"/>
    </row>
    <row r="296" spans="1:10" x14ac:dyDescent="0.25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'[4]CUENTA T FONDO 100'!FH126</f>
        <v>0</v>
      </c>
      <c r="H296" s="64">
        <f>'[4]CUENTA T VS'!FH75</f>
        <v>0</v>
      </c>
      <c r="I296" s="64">
        <f t="shared" si="14"/>
        <v>0</v>
      </c>
      <c r="J296" s="65">
        <f t="shared" ref="J296:J302" si="16">I296/$I$25</f>
        <v>0</v>
      </c>
    </row>
    <row r="297" spans="1:10" x14ac:dyDescent="0.25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'[4]CUENTA T FONDO 100'!FI126</f>
        <v>0</v>
      </c>
      <c r="H297" s="64">
        <f>'[4]CUENTA T VS'!FI75</f>
        <v>0</v>
      </c>
      <c r="I297" s="64">
        <f t="shared" si="14"/>
        <v>0</v>
      </c>
      <c r="J297" s="65">
        <f t="shared" si="16"/>
        <v>0</v>
      </c>
    </row>
    <row r="298" spans="1:10" x14ac:dyDescent="0.25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'[4]CUENTA T FONDO 100'!FJ126</f>
        <v>17989295.59</v>
      </c>
      <c r="H298" s="64">
        <f>'[4]CUENTA T VS'!FJ75</f>
        <v>117140</v>
      </c>
      <c r="I298" s="64">
        <f t="shared" si="14"/>
        <v>18106435.59</v>
      </c>
      <c r="J298" s="65">
        <f t="shared" si="16"/>
        <v>0.15439361832201817</v>
      </c>
    </row>
    <row r="299" spans="1:10" x14ac:dyDescent="0.25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'[4]CUENTA T FONDO 100'!FK126</f>
        <v>0</v>
      </c>
      <c r="H299" s="64">
        <f>'[4]CUENTA T VS'!FK75</f>
        <v>0</v>
      </c>
      <c r="I299" s="64">
        <f t="shared" si="14"/>
        <v>0</v>
      </c>
      <c r="J299" s="65">
        <f t="shared" si="16"/>
        <v>0</v>
      </c>
    </row>
    <row r="300" spans="1:10" x14ac:dyDescent="0.25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'[4]CUENTA T FONDO 100'!FL126</f>
        <v>0</v>
      </c>
      <c r="H300" s="64">
        <f>'[4]CUENTA T VS'!FL75</f>
        <v>0</v>
      </c>
      <c r="I300" s="64">
        <f t="shared" si="14"/>
        <v>0</v>
      </c>
      <c r="J300" s="65">
        <f t="shared" si="16"/>
        <v>0</v>
      </c>
    </row>
    <row r="301" spans="1:10" ht="76.5" x14ac:dyDescent="0.25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'[4]CUENTA T FONDO 100'!FM126</f>
        <v>418385.44</v>
      </c>
      <c r="H301" s="64">
        <f>'[4]CUENTA T VS'!FM75</f>
        <v>0</v>
      </c>
      <c r="I301" s="64">
        <f t="shared" si="14"/>
        <v>418385.44</v>
      </c>
      <c r="J301" s="65">
        <f t="shared" si="16"/>
        <v>3.5675736184390358E-3</v>
      </c>
    </row>
    <row r="302" spans="1:10" ht="51" x14ac:dyDescent="0.25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'[4]CUENTA T FONDO 100'!FN126</f>
        <v>369736.07</v>
      </c>
      <c r="H302" s="64">
        <f>'[4]CUENTA T VS'!FN75</f>
        <v>617175.4</v>
      </c>
      <c r="I302" s="64">
        <f t="shared" si="14"/>
        <v>986911.47</v>
      </c>
      <c r="J302" s="65">
        <f t="shared" si="16"/>
        <v>8.4153963964589389E-3</v>
      </c>
    </row>
    <row r="303" spans="1:10" ht="76.5" x14ac:dyDescent="0.25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4"/>
        <v>0</v>
      </c>
      <c r="J303" s="53"/>
    </row>
    <row r="304" spans="1:10" x14ac:dyDescent="0.25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4"/>
        <v>0</v>
      </c>
      <c r="J304" s="60"/>
    </row>
    <row r="305" spans="1:10" x14ac:dyDescent="0.25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'[4]CUENTA T FONDO 100'!FO126</f>
        <v>0</v>
      </c>
      <c r="H305" s="64">
        <f>'[4]CUENTA T VS'!FO75</f>
        <v>0</v>
      </c>
      <c r="I305" s="64">
        <f t="shared" si="14"/>
        <v>0</v>
      </c>
      <c r="J305" s="65">
        <f>I305/$I$25</f>
        <v>0</v>
      </c>
    </row>
    <row r="306" spans="1:10" ht="102" x14ac:dyDescent="0.25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4"/>
        <v>0</v>
      </c>
      <c r="J306" s="60"/>
    </row>
    <row r="307" spans="1:10" ht="102" x14ac:dyDescent="0.25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'[4]CUENTA T FONDO 100'!FP126</f>
        <v>0</v>
      </c>
      <c r="H307" s="64">
        <f>'[4]CUENTA T VS'!FP75</f>
        <v>0</v>
      </c>
      <c r="I307" s="64">
        <f t="shared" si="14"/>
        <v>0</v>
      </c>
      <c r="J307" s="65">
        <f>I307/$I$25</f>
        <v>0</v>
      </c>
    </row>
    <row r="308" spans="1:10" x14ac:dyDescent="0.25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6072287.2800000003</v>
      </c>
      <c r="H308" s="56">
        <f>+H309+H312+H314+H316+H318+H320+H322+H324+H327</f>
        <v>2637244.8499999996</v>
      </c>
      <c r="I308" s="56">
        <f t="shared" si="14"/>
        <v>8709532.129999999</v>
      </c>
      <c r="J308" s="53"/>
    </row>
    <row r="309" spans="1:10" x14ac:dyDescent="0.25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1050324.0899999999</v>
      </c>
      <c r="H309" s="59">
        <f>SUM(H310:H311)</f>
        <v>401624.8</v>
      </c>
      <c r="I309" s="59">
        <f t="shared" si="14"/>
        <v>1451948.89</v>
      </c>
      <c r="J309" s="60"/>
    </row>
    <row r="310" spans="1:10" x14ac:dyDescent="0.25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'[4]CUENTA T FONDO 100'!FQ126</f>
        <v>1050324.0899999999</v>
      </c>
      <c r="H310" s="64">
        <f>'[4]CUENTA T VS'!FQ75</f>
        <v>401624.8</v>
      </c>
      <c r="I310" s="64">
        <f t="shared" si="14"/>
        <v>1451948.89</v>
      </c>
      <c r="J310" s="65">
        <f>I310/$I$25</f>
        <v>1.2380771556691459E-2</v>
      </c>
    </row>
    <row r="311" spans="1:10" x14ac:dyDescent="0.25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'[4]CUENTA T FONDO 100'!FR126</f>
        <v>0</v>
      </c>
      <c r="H311" s="64">
        <f>'[4]CUENTA T VS'!FR75</f>
        <v>0</v>
      </c>
      <c r="I311" s="64">
        <f t="shared" si="14"/>
        <v>0</v>
      </c>
      <c r="J311" s="65">
        <f>I311/$I$25</f>
        <v>0</v>
      </c>
    </row>
    <row r="312" spans="1:10" x14ac:dyDescent="0.25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479990.6</v>
      </c>
      <c r="H312" s="59">
        <f>SUM(H313)</f>
        <v>0</v>
      </c>
      <c r="I312" s="59">
        <f t="shared" si="14"/>
        <v>479990.6</v>
      </c>
      <c r="J312" s="60"/>
    </row>
    <row r="313" spans="1:10" x14ac:dyDescent="0.25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'[4]CUENTA T FONDO 100'!FS126</f>
        <v>479990.6</v>
      </c>
      <c r="H313" s="64">
        <f>'[4]CUENTA T VS'!FS75</f>
        <v>0</v>
      </c>
      <c r="I313" s="64">
        <f t="shared" si="14"/>
        <v>479990.6</v>
      </c>
      <c r="J313" s="65">
        <f>I313/$I$25</f>
        <v>4.0928809608162366E-3</v>
      </c>
    </row>
    <row r="314" spans="1:10" x14ac:dyDescent="0.25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3160289.31</v>
      </c>
      <c r="H314" s="59">
        <f>SUM(H315)</f>
        <v>1975005.44</v>
      </c>
      <c r="I314" s="59">
        <f t="shared" si="14"/>
        <v>5135294.75</v>
      </c>
      <c r="J314" s="60"/>
    </row>
    <row r="315" spans="1:10" x14ac:dyDescent="0.25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'[4]CUENTA T FONDO 100'!FT126</f>
        <v>3160289.31</v>
      </c>
      <c r="H315" s="64">
        <f>'[4]CUENTA T VS'!FT75</f>
        <v>1975005.44</v>
      </c>
      <c r="I315" s="64">
        <f t="shared" si="14"/>
        <v>5135294.75</v>
      </c>
      <c r="J315" s="65">
        <f>I315/$I$25</f>
        <v>4.3788670258239591E-2</v>
      </c>
    </row>
    <row r="316" spans="1:10" x14ac:dyDescent="0.25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4"/>
        <v>0</v>
      </c>
      <c r="J316" s="60"/>
    </row>
    <row r="317" spans="1:10" x14ac:dyDescent="0.25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'[4]CUENTA T FONDO 100'!FU126</f>
        <v>0</v>
      </c>
      <c r="H317" s="64">
        <f>'[4]CUENTA T VS'!FU75</f>
        <v>0</v>
      </c>
      <c r="I317" s="64">
        <f t="shared" si="14"/>
        <v>0</v>
      </c>
      <c r="J317" s="65">
        <f>I317/$I$25</f>
        <v>0</v>
      </c>
    </row>
    <row r="318" spans="1:10" x14ac:dyDescent="0.25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 t="shared" si="14"/>
        <v>0</v>
      </c>
      <c r="J318" s="60"/>
    </row>
    <row r="319" spans="1:10" x14ac:dyDescent="0.25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'[4]CUENTA T FONDO 100'!FV126</f>
        <v>0</v>
      </c>
      <c r="H319" s="64">
        <f>'[4]CUENTA T VS'!FV75</f>
        <v>0</v>
      </c>
      <c r="I319" s="64">
        <f t="shared" si="14"/>
        <v>0</v>
      </c>
      <c r="J319" s="65">
        <f>I319/$I$25</f>
        <v>0</v>
      </c>
    </row>
    <row r="320" spans="1:10" x14ac:dyDescent="0.25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687442.16</v>
      </c>
      <c r="H320" s="59">
        <f>SUM(H321)</f>
        <v>148734.6</v>
      </c>
      <c r="I320" s="59">
        <f t="shared" si="14"/>
        <v>836176.76</v>
      </c>
      <c r="J320" s="60"/>
    </row>
    <row r="321" spans="1:10" x14ac:dyDescent="0.25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'[4]CUENTA T FONDO 100'!FW126</f>
        <v>687442.16</v>
      </c>
      <c r="H321" s="64">
        <f>'[4]CUENTA T VS'!FW75</f>
        <v>148734.6</v>
      </c>
      <c r="I321" s="64">
        <f t="shared" si="14"/>
        <v>836176.76</v>
      </c>
      <c r="J321" s="65">
        <f>I321/$I$25</f>
        <v>7.1300811742584288E-3</v>
      </c>
    </row>
    <row r="322" spans="1:10" x14ac:dyDescent="0.25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4"/>
        <v>0</v>
      </c>
      <c r="J322" s="60"/>
    </row>
    <row r="323" spans="1:10" x14ac:dyDescent="0.25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'[4]CUENTA T FONDO 100'!FX126</f>
        <v>0</v>
      </c>
      <c r="H323" s="64">
        <f>'[4]CUENTA T VS'!FX75</f>
        <v>0</v>
      </c>
      <c r="I323" s="64">
        <f t="shared" si="14"/>
        <v>0</v>
      </c>
      <c r="J323" s="65">
        <f>I323/$I$25</f>
        <v>0</v>
      </c>
    </row>
    <row r="324" spans="1:10" x14ac:dyDescent="0.25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634490.41</v>
      </c>
      <c r="H324" s="59">
        <f>SUM(H325:H326)</f>
        <v>42480</v>
      </c>
      <c r="I324" s="59">
        <f t="shared" si="14"/>
        <v>676970.41</v>
      </c>
      <c r="J324" s="60"/>
    </row>
    <row r="325" spans="1:10" x14ac:dyDescent="0.25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'[4]CUENTA T FONDO 100'!FY126</f>
        <v>0</v>
      </c>
      <c r="H325" s="64">
        <f>'[4]CUENTA T VS'!FY75</f>
        <v>0</v>
      </c>
      <c r="I325" s="64">
        <f t="shared" si="14"/>
        <v>0</v>
      </c>
      <c r="J325" s="65">
        <f>I325/$I$25</f>
        <v>0</v>
      </c>
    </row>
    <row r="326" spans="1:10" x14ac:dyDescent="0.25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'[4]CUENTA T FONDO 100'!FZ126</f>
        <v>634490.41</v>
      </c>
      <c r="H326" s="64">
        <f>'[4]CUENTA T VS'!FZ75</f>
        <v>42480</v>
      </c>
      <c r="I326" s="64">
        <f t="shared" si="14"/>
        <v>676970.41</v>
      </c>
      <c r="J326" s="65">
        <f>I326/$I$25</f>
        <v>5.7725282581053911E-3</v>
      </c>
    </row>
    <row r="327" spans="1:10" x14ac:dyDescent="0.25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59750.71</v>
      </c>
      <c r="H327" s="59">
        <f>SUM(H328:H329)</f>
        <v>69400.009999999995</v>
      </c>
      <c r="I327" s="59">
        <f t="shared" si="14"/>
        <v>129150.72</v>
      </c>
      <c r="J327" s="60"/>
    </row>
    <row r="328" spans="1:10" x14ac:dyDescent="0.25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'[4]CUENTA T FONDO 100'!GA126</f>
        <v>17742.71</v>
      </c>
      <c r="H328" s="64">
        <f>'[4]CUENTA T VS'!GA75</f>
        <v>0</v>
      </c>
      <c r="I328" s="64">
        <f t="shared" si="14"/>
        <v>17742.71</v>
      </c>
      <c r="J328" s="65">
        <f>I328/$I$25</f>
        <v>1.5129212937145821E-4</v>
      </c>
    </row>
    <row r="329" spans="1:10" x14ac:dyDescent="0.25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'[4]CUENTA T FONDO 100'!GB126</f>
        <v>42008</v>
      </c>
      <c r="H329" s="64">
        <f>'[4]CUENTA T VS'!GB75</f>
        <v>69400.009999999995</v>
      </c>
      <c r="I329" s="64">
        <f t="shared" si="14"/>
        <v>111408.01</v>
      </c>
      <c r="J329" s="65">
        <f>I329/$I$25</f>
        <v>9.4997635997751801E-4</v>
      </c>
    </row>
    <row r="330" spans="1:10" ht="38.25" x14ac:dyDescent="0.25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0</v>
      </c>
      <c r="I330" s="56">
        <f t="shared" si="14"/>
        <v>0</v>
      </c>
      <c r="J330" s="53">
        <f>+I330/I25</f>
        <v>0</v>
      </c>
    </row>
    <row r="331" spans="1:10" x14ac:dyDescent="0.25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'[4]CUENTA T FONDO 100'!GC126</f>
        <v>0</v>
      </c>
      <c r="H331" s="64">
        <f>'[4]CUENTA T VS'!GC75</f>
        <v>0</v>
      </c>
      <c r="I331" s="64">
        <f t="shared" si="14"/>
        <v>0</v>
      </c>
      <c r="J331" s="65">
        <f t="shared" ref="J331:J336" si="17">I331/$I$25</f>
        <v>0</v>
      </c>
    </row>
    <row r="332" spans="1:10" x14ac:dyDescent="0.25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'[4]CUENTA T FONDO 100'!GD126</f>
        <v>0</v>
      </c>
      <c r="H332" s="64">
        <f>'[4]CUENTA T VS'!GD75</f>
        <v>0</v>
      </c>
      <c r="I332" s="64">
        <f t="shared" si="14"/>
        <v>0</v>
      </c>
      <c r="J332" s="65">
        <f t="shared" si="17"/>
        <v>0</v>
      </c>
    </row>
    <row r="333" spans="1:10" x14ac:dyDescent="0.25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'[4]CUENTA T FONDO 100'!GE126</f>
        <v>0</v>
      </c>
      <c r="H333" s="64">
        <f>'[4]CUENTA T VS'!GE75</f>
        <v>0</v>
      </c>
      <c r="I333" s="64">
        <f t="shared" si="14"/>
        <v>0</v>
      </c>
      <c r="J333" s="65">
        <f t="shared" si="17"/>
        <v>0</v>
      </c>
    </row>
    <row r="334" spans="1:10" x14ac:dyDescent="0.25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'[4]CUENTA T FONDO 100'!GF126</f>
        <v>0</v>
      </c>
      <c r="H334" s="64">
        <f>'[4]CUENTA T VS'!GF75</f>
        <v>0</v>
      </c>
      <c r="I334" s="64">
        <f t="shared" si="14"/>
        <v>0</v>
      </c>
      <c r="J334" s="65">
        <f t="shared" si="17"/>
        <v>0</v>
      </c>
    </row>
    <row r="335" spans="1:10" x14ac:dyDescent="0.25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'[4]CUENTA T FONDO 100'!GG126</f>
        <v>0</v>
      </c>
      <c r="H335" s="64">
        <f>'[4]CUENTA T VS'!GG75</f>
        <v>0</v>
      </c>
      <c r="I335" s="64">
        <f t="shared" si="14"/>
        <v>0</v>
      </c>
      <c r="J335" s="65">
        <f t="shared" si="17"/>
        <v>0</v>
      </c>
    </row>
    <row r="336" spans="1:10" ht="51" x14ac:dyDescent="0.25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3437264.56</v>
      </c>
      <c r="H336" s="56">
        <f>H337+H348+H357+H366+H383+H400+H405+H424+H446</f>
        <v>310707.35000000003</v>
      </c>
      <c r="I336" s="56">
        <f t="shared" si="14"/>
        <v>3747971.91</v>
      </c>
      <c r="J336" s="53">
        <f t="shared" si="17"/>
        <v>3.1958965179970329E-2</v>
      </c>
    </row>
    <row r="337" spans="1:10" ht="25.5" x14ac:dyDescent="0.25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1114944.21</v>
      </c>
      <c r="H337" s="56">
        <f>+H338+H340+H342+H344+H346</f>
        <v>7986.24</v>
      </c>
      <c r="I337" s="56">
        <f t="shared" si="14"/>
        <v>1122930.45</v>
      </c>
      <c r="J337" s="53"/>
    </row>
    <row r="338" spans="1:10" ht="51" x14ac:dyDescent="0.25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541393.32000000007</v>
      </c>
      <c r="H338" s="59">
        <f>SUM(H339)</f>
        <v>0</v>
      </c>
      <c r="I338" s="59">
        <f t="shared" si="14"/>
        <v>541393.32000000007</v>
      </c>
      <c r="J338" s="60"/>
    </row>
    <row r="339" spans="1:10" ht="51" x14ac:dyDescent="0.25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'[4]CUENTA T FONDO 100'!GH126</f>
        <v>541393.32000000007</v>
      </c>
      <c r="H339" s="64">
        <f>'[4]CUENTA T VS'!GH75</f>
        <v>0</v>
      </c>
      <c r="I339" s="64">
        <f t="shared" si="14"/>
        <v>541393.32000000007</v>
      </c>
      <c r="J339" s="65">
        <f>I339/$I$25</f>
        <v>4.6164620968433389E-3</v>
      </c>
    </row>
    <row r="340" spans="1:10" ht="63.75" x14ac:dyDescent="0.25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4"/>
        <v>0</v>
      </c>
      <c r="J340" s="60"/>
    </row>
    <row r="341" spans="1:10" ht="63.75" x14ac:dyDescent="0.25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'[4]CUENTA T FONDO 100'!GI126</f>
        <v>0</v>
      </c>
      <c r="H341" s="64">
        <f>'[4]CUENTA T VS'!GI75</f>
        <v>0</v>
      </c>
      <c r="I341" s="64">
        <f t="shared" si="14"/>
        <v>0</v>
      </c>
      <c r="J341" s="65">
        <f>I341/$I$25</f>
        <v>0</v>
      </c>
    </row>
    <row r="342" spans="1:10" ht="89.25" x14ac:dyDescent="0.25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75520</v>
      </c>
      <c r="H342" s="59">
        <f>SUM(H343)</f>
        <v>0</v>
      </c>
      <c r="I342" s="59">
        <f t="shared" si="14"/>
        <v>75520</v>
      </c>
      <c r="J342" s="60"/>
    </row>
    <row r="343" spans="1:10" ht="89.25" x14ac:dyDescent="0.25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'[4]CUENTA T FONDO 100'!GJ126</f>
        <v>75520</v>
      </c>
      <c r="H343" s="64">
        <f>'[4]CUENTA T VS'!GJ75</f>
        <v>0</v>
      </c>
      <c r="I343" s="64">
        <f t="shared" si="14"/>
        <v>75520</v>
      </c>
      <c r="J343" s="65">
        <f>I343/$I$25</f>
        <v>6.4395921536972221E-4</v>
      </c>
    </row>
    <row r="344" spans="1:10" ht="25.5" x14ac:dyDescent="0.25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442930.22000000003</v>
      </c>
      <c r="H344" s="59">
        <f>SUM(H345)</f>
        <v>7986.24</v>
      </c>
      <c r="I344" s="59">
        <f t="shared" si="14"/>
        <v>450916.46</v>
      </c>
      <c r="J344" s="60"/>
    </row>
    <row r="345" spans="1:10" ht="25.5" x14ac:dyDescent="0.25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'[4]CUENTA T FONDO 100'!GK126</f>
        <v>442930.22000000003</v>
      </c>
      <c r="H345" s="64">
        <f>'[4]CUENTA T VS'!GK75</f>
        <v>7986.24</v>
      </c>
      <c r="I345" s="64">
        <f t="shared" ref="I345:I408" si="18">SUM(G345:H345)</f>
        <v>450916.46</v>
      </c>
      <c r="J345" s="65">
        <f>I345/$I$25</f>
        <v>3.844965701521355E-3</v>
      </c>
    </row>
    <row r="346" spans="1:10" ht="76.5" x14ac:dyDescent="0.25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55100.67</v>
      </c>
      <c r="H346" s="59">
        <f>SUM(H347)</f>
        <v>0</v>
      </c>
      <c r="I346" s="59">
        <f t="shared" si="18"/>
        <v>55100.67</v>
      </c>
      <c r="J346" s="60"/>
    </row>
    <row r="347" spans="1:10" ht="76.5" x14ac:dyDescent="0.25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'[4]CUENTA T FONDO 100'!GL126</f>
        <v>55100.67</v>
      </c>
      <c r="H347" s="64">
        <f>'[4]CUENTA T VS'!GL75</f>
        <v>0</v>
      </c>
      <c r="I347" s="64">
        <f t="shared" si="18"/>
        <v>55100.67</v>
      </c>
      <c r="J347" s="65">
        <f>I347/$I$25</f>
        <v>4.6984354104271704E-4</v>
      </c>
    </row>
    <row r="348" spans="1:10" x14ac:dyDescent="0.25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8"/>
        <v>0</v>
      </c>
      <c r="J348" s="53"/>
    </row>
    <row r="349" spans="1:10" ht="51" x14ac:dyDescent="0.25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8"/>
        <v>0</v>
      </c>
      <c r="J349" s="60"/>
    </row>
    <row r="350" spans="1:10" ht="51" x14ac:dyDescent="0.25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'[4]CUENTA T FONDO 100'!GM126</f>
        <v>0</v>
      </c>
      <c r="H350" s="64">
        <f>'[4]CUENTA T VS'!GM75</f>
        <v>0</v>
      </c>
      <c r="I350" s="64">
        <f t="shared" si="18"/>
        <v>0</v>
      </c>
      <c r="J350" s="65">
        <f>I350/$I$25</f>
        <v>0</v>
      </c>
    </row>
    <row r="351" spans="1:10" ht="25.5" x14ac:dyDescent="0.25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8"/>
        <v>0</v>
      </c>
      <c r="J351" s="60"/>
    </row>
    <row r="352" spans="1:10" ht="25.5" x14ac:dyDescent="0.25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'[4]CUENTA T FONDO 100'!GN126</f>
        <v>0</v>
      </c>
      <c r="H352" s="64">
        <f>'[4]CUENTA T VS'!GN75</f>
        <v>0</v>
      </c>
      <c r="I352" s="64">
        <f t="shared" si="18"/>
        <v>0</v>
      </c>
      <c r="J352" s="65">
        <f>I352/$I$25</f>
        <v>0</v>
      </c>
    </row>
    <row r="353" spans="1:10" ht="38.25" x14ac:dyDescent="0.25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8"/>
        <v>0</v>
      </c>
      <c r="J353" s="60"/>
    </row>
    <row r="354" spans="1:10" ht="38.25" x14ac:dyDescent="0.25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'[4]CUENTA T FONDO 100'!GO126</f>
        <v>0</v>
      </c>
      <c r="H354" s="64">
        <f>'[4]CUENTA T VS'!GO75</f>
        <v>0</v>
      </c>
      <c r="I354" s="64">
        <f t="shared" si="18"/>
        <v>0</v>
      </c>
      <c r="J354" s="65">
        <f>I354/$I$25</f>
        <v>0</v>
      </c>
    </row>
    <row r="355" spans="1:10" ht="51" x14ac:dyDescent="0.25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8"/>
        <v>0</v>
      </c>
      <c r="J355" s="60"/>
    </row>
    <row r="356" spans="1:10" ht="51" x14ac:dyDescent="0.25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'[4]CUENTA T FONDO 100'!GP126</f>
        <v>0</v>
      </c>
      <c r="H356" s="64">
        <f>'[4]CUENTA T VS'!GP75</f>
        <v>0</v>
      </c>
      <c r="I356" s="64">
        <f t="shared" si="18"/>
        <v>0</v>
      </c>
      <c r="J356" s="65">
        <f>I356/$I$25</f>
        <v>0</v>
      </c>
    </row>
    <row r="357" spans="1:10" x14ac:dyDescent="0.25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1318181.54</v>
      </c>
      <c r="H357" s="56">
        <f>+H358+H360+H362+H364</f>
        <v>112271.1</v>
      </c>
      <c r="I357" s="56">
        <f t="shared" si="18"/>
        <v>1430452.6400000001</v>
      </c>
      <c r="J357" s="53"/>
    </row>
    <row r="358" spans="1:10" ht="38.25" x14ac:dyDescent="0.25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1250567.54</v>
      </c>
      <c r="H358" s="59">
        <f>SUM(H359)</f>
        <v>112271.1</v>
      </c>
      <c r="I358" s="59">
        <f t="shared" si="18"/>
        <v>1362838.6400000001</v>
      </c>
      <c r="J358" s="60"/>
    </row>
    <row r="359" spans="1:10" ht="38.25" x14ac:dyDescent="0.25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'[4]CUENTA T FONDO 100'!GQ126</f>
        <v>1250567.54</v>
      </c>
      <c r="H359" s="64">
        <f>'[4]CUENTA T VS'!GQ75</f>
        <v>112271.1</v>
      </c>
      <c r="I359" s="64">
        <f t="shared" si="18"/>
        <v>1362838.6400000001</v>
      </c>
      <c r="J359" s="65">
        <f>I359/$I$25</f>
        <v>1.1620928248012969E-2</v>
      </c>
    </row>
    <row r="360" spans="1:10" ht="38.25" x14ac:dyDescent="0.25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67614</v>
      </c>
      <c r="H360" s="59">
        <f>SUM(H361)</f>
        <v>0</v>
      </c>
      <c r="I360" s="59">
        <f t="shared" si="18"/>
        <v>67614</v>
      </c>
      <c r="J360" s="60"/>
    </row>
    <row r="361" spans="1:10" ht="38.25" x14ac:dyDescent="0.25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'[4]CUENTA T FONDO 100'!GR126</f>
        <v>67614</v>
      </c>
      <c r="H361" s="64">
        <f>'[4]CUENTA T VS'!GR75</f>
        <v>0</v>
      </c>
      <c r="I361" s="64">
        <f t="shared" si="18"/>
        <v>67614</v>
      </c>
      <c r="J361" s="65">
        <f>I361/$I$25</f>
        <v>5.7654473501070444E-4</v>
      </c>
    </row>
    <row r="362" spans="1:10" ht="25.5" x14ac:dyDescent="0.25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8"/>
        <v>0</v>
      </c>
      <c r="J362" s="60"/>
    </row>
    <row r="363" spans="1:10" ht="25.5" x14ac:dyDescent="0.25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'[4]CUENTA T FONDO 100'!GS126</f>
        <v>0</v>
      </c>
      <c r="H363" s="64">
        <f>'[4]CUENTA T VS'!GS75</f>
        <v>0</v>
      </c>
      <c r="I363" s="64">
        <f t="shared" si="18"/>
        <v>0</v>
      </c>
      <c r="J363" s="65">
        <f>I363/$I$25</f>
        <v>0</v>
      </c>
    </row>
    <row r="364" spans="1:10" ht="51" x14ac:dyDescent="0.25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0</v>
      </c>
      <c r="I364" s="59">
        <f t="shared" si="18"/>
        <v>0</v>
      </c>
      <c r="J364" s="60"/>
    </row>
    <row r="365" spans="1:10" ht="51" x14ac:dyDescent="0.25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'[4]CUENTA T FONDO 100'!GT126</f>
        <v>0</v>
      </c>
      <c r="H365" s="64">
        <f>'[4]CUENTA T VS'!GT75</f>
        <v>0</v>
      </c>
      <c r="I365" s="64">
        <f t="shared" si="18"/>
        <v>0</v>
      </c>
      <c r="J365" s="65">
        <f>I365/$I$25</f>
        <v>0</v>
      </c>
    </row>
    <row r="366" spans="1:10" ht="63.75" x14ac:dyDescent="0.25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8"/>
        <v>0</v>
      </c>
      <c r="J366" s="53"/>
    </row>
    <row r="367" spans="1:10" ht="25.5" x14ac:dyDescent="0.25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8"/>
        <v>0</v>
      </c>
      <c r="J367" s="60"/>
    </row>
    <row r="368" spans="1:10" ht="25.5" x14ac:dyDescent="0.25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'[4]CUENTA T FONDO 100'!GU126</f>
        <v>0</v>
      </c>
      <c r="H368" s="64">
        <f>'[4]CUENTA T VS'!GU75</f>
        <v>0</v>
      </c>
      <c r="I368" s="64">
        <f t="shared" si="18"/>
        <v>0</v>
      </c>
      <c r="J368" s="65">
        <f>I368/$I$25</f>
        <v>0</v>
      </c>
    </row>
    <row r="369" spans="1:10" ht="25.5" x14ac:dyDescent="0.25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8"/>
        <v>0</v>
      </c>
      <c r="J369" s="60"/>
    </row>
    <row r="370" spans="1:10" ht="25.5" x14ac:dyDescent="0.25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'[4]CUENTA T FONDO 100'!GV126</f>
        <v>0</v>
      </c>
      <c r="H370" s="64">
        <f>'[4]CUENTA T VS'!GV75</f>
        <v>0</v>
      </c>
      <c r="I370" s="64">
        <f t="shared" si="18"/>
        <v>0</v>
      </c>
      <c r="J370" s="65">
        <f>I370/$I$25</f>
        <v>0</v>
      </c>
    </row>
    <row r="371" spans="1:10" ht="25.5" x14ac:dyDescent="0.25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8"/>
        <v>0</v>
      </c>
      <c r="J371" s="60"/>
    </row>
    <row r="372" spans="1:10" ht="25.5" x14ac:dyDescent="0.25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'[4]CUENTA T FONDO 100'!GW126</f>
        <v>0</v>
      </c>
      <c r="H372" s="64">
        <f>'[4]CUENTA T VS'!GX75</f>
        <v>0</v>
      </c>
      <c r="I372" s="64">
        <f t="shared" si="18"/>
        <v>0</v>
      </c>
      <c r="J372" s="65">
        <f>I372/$I$25</f>
        <v>0</v>
      </c>
    </row>
    <row r="373" spans="1:10" ht="25.5" x14ac:dyDescent="0.25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8"/>
        <v>0</v>
      </c>
      <c r="J373" s="60"/>
    </row>
    <row r="374" spans="1:10" ht="25.5" x14ac:dyDescent="0.25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'[4]CUENTA T FONDO 100'!GX126</f>
        <v>0</v>
      </c>
      <c r="H374" s="64">
        <f>'[4]CUENTA T VS'!GX75</f>
        <v>0</v>
      </c>
      <c r="I374" s="64">
        <f t="shared" si="18"/>
        <v>0</v>
      </c>
      <c r="J374" s="65">
        <f>I374/$I$25</f>
        <v>0</v>
      </c>
    </row>
    <row r="375" spans="1:10" ht="25.5" x14ac:dyDescent="0.25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8"/>
        <v>0</v>
      </c>
      <c r="J375" s="60"/>
    </row>
    <row r="376" spans="1:10" ht="25.5" x14ac:dyDescent="0.25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'[4]CUENTA T FONDO 100'!GY126</f>
        <v>0</v>
      </c>
      <c r="H376" s="64">
        <f>'[4]CUENTA T VS'!GY75</f>
        <v>0</v>
      </c>
      <c r="I376" s="64">
        <f t="shared" si="18"/>
        <v>0</v>
      </c>
      <c r="J376" s="65">
        <f>I376/$I$25</f>
        <v>0</v>
      </c>
    </row>
    <row r="377" spans="1:10" ht="25.5" x14ac:dyDescent="0.25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8"/>
        <v>0</v>
      </c>
      <c r="J377" s="60"/>
    </row>
    <row r="378" spans="1:10" ht="25.5" x14ac:dyDescent="0.25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'[4]CUENTA T FONDO 100'!GZ126</f>
        <v>0</v>
      </c>
      <c r="H378" s="64">
        <f>'[4]CUENTA T VS'!GZ75</f>
        <v>0</v>
      </c>
      <c r="I378" s="64">
        <f t="shared" si="18"/>
        <v>0</v>
      </c>
      <c r="J378" s="65">
        <f>I378/$I$25</f>
        <v>0</v>
      </c>
    </row>
    <row r="379" spans="1:10" ht="25.5" x14ac:dyDescent="0.25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8"/>
        <v>0</v>
      </c>
      <c r="J379" s="60"/>
    </row>
    <row r="380" spans="1:10" ht="25.5" x14ac:dyDescent="0.25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'[4]CUENTA T FONDO 100'!HA126</f>
        <v>0</v>
      </c>
      <c r="H380" s="64">
        <f>'[4]CUENTA T VS'!HA75</f>
        <v>0</v>
      </c>
      <c r="I380" s="64">
        <f t="shared" si="18"/>
        <v>0</v>
      </c>
      <c r="J380" s="65">
        <f>I380/$I$25</f>
        <v>0</v>
      </c>
    </row>
    <row r="381" spans="1:10" ht="38.25" x14ac:dyDescent="0.25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8"/>
        <v>0</v>
      </c>
      <c r="J381" s="60"/>
    </row>
    <row r="382" spans="1:10" ht="38.25" x14ac:dyDescent="0.25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'[4]CUENTA T FONDO 100'!HB126</f>
        <v>0</v>
      </c>
      <c r="H382" s="64">
        <f>'[4]CUENTA T VS'!HB75</f>
        <v>0</v>
      </c>
      <c r="I382" s="64">
        <f t="shared" si="18"/>
        <v>0</v>
      </c>
      <c r="J382" s="65">
        <f>I382/$I$25</f>
        <v>0</v>
      </c>
    </row>
    <row r="383" spans="1:10" ht="63.75" x14ac:dyDescent="0.25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1004138.81</v>
      </c>
      <c r="H383" s="56">
        <f>+H384+H386+H388+H390+H392+H394+H396+H398</f>
        <v>190450.01</v>
      </c>
      <c r="I383" s="56">
        <f t="shared" si="18"/>
        <v>1194588.82</v>
      </c>
      <c r="J383" s="53"/>
    </row>
    <row r="384" spans="1:10" ht="51" x14ac:dyDescent="0.25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8"/>
        <v>0</v>
      </c>
      <c r="J384" s="60"/>
    </row>
    <row r="385" spans="1:10" ht="51" x14ac:dyDescent="0.25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'[4]CUENTA T FONDO 100'!HC126</f>
        <v>0</v>
      </c>
      <c r="H385" s="64">
        <f>'[4]CUENTA T VS'!HC75</f>
        <v>0</v>
      </c>
      <c r="I385" s="64">
        <f t="shared" si="18"/>
        <v>0</v>
      </c>
      <c r="J385" s="65">
        <f>I385/$I$25</f>
        <v>0</v>
      </c>
    </row>
    <row r="386" spans="1:10" ht="38.25" x14ac:dyDescent="0.25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221840</v>
      </c>
      <c r="H386" s="59">
        <f>SUM(H387)</f>
        <v>0</v>
      </c>
      <c r="I386" s="59">
        <f t="shared" si="18"/>
        <v>221840</v>
      </c>
      <c r="J386" s="60"/>
    </row>
    <row r="387" spans="1:10" ht="38.25" x14ac:dyDescent="0.25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'[4]CUENTA T FONDO 100'!HD126</f>
        <v>221840</v>
      </c>
      <c r="H387" s="64">
        <f>'[4]CUENTA T VS'!HD75</f>
        <v>0</v>
      </c>
      <c r="I387" s="64">
        <f t="shared" si="18"/>
        <v>221840</v>
      </c>
      <c r="J387" s="65">
        <f>I387/$I$25</f>
        <v>1.891630195148559E-3</v>
      </c>
    </row>
    <row r="388" spans="1:10" ht="38.25" x14ac:dyDescent="0.25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8"/>
        <v>0</v>
      </c>
      <c r="J388" s="60"/>
    </row>
    <row r="389" spans="1:10" ht="38.25" x14ac:dyDescent="0.25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'[4]CUENTA T FONDO 100'!HE126</f>
        <v>0</v>
      </c>
      <c r="H389" s="64">
        <f>'[4]CUENTA T VS'!HE75</f>
        <v>0</v>
      </c>
      <c r="I389" s="64">
        <f t="shared" si="18"/>
        <v>0</v>
      </c>
      <c r="J389" s="65">
        <f>I389/$I$25</f>
        <v>0</v>
      </c>
    </row>
    <row r="390" spans="1:10" ht="51" x14ac:dyDescent="0.25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249168.8</v>
      </c>
      <c r="H390" s="59">
        <f>SUM(H391)</f>
        <v>190450.01</v>
      </c>
      <c r="I390" s="59">
        <f t="shared" si="18"/>
        <v>439618.81</v>
      </c>
      <c r="J390" s="60"/>
    </row>
    <row r="391" spans="1:10" ht="51" x14ac:dyDescent="0.25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'[4]CUENTA T FONDO 100'!HF126</f>
        <v>249168.8</v>
      </c>
      <c r="H391" s="64">
        <f>'[4]CUENTA T VS'!HF75</f>
        <v>190450.01</v>
      </c>
      <c r="I391" s="64">
        <f t="shared" si="18"/>
        <v>439618.81</v>
      </c>
      <c r="J391" s="65">
        <f>I391/$I$25</f>
        <v>3.748630613736374E-3</v>
      </c>
    </row>
    <row r="392" spans="1:10" ht="89.25" x14ac:dyDescent="0.25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520380</v>
      </c>
      <c r="H392" s="59">
        <f>SUM(H393)</f>
        <v>0</v>
      </c>
      <c r="I392" s="59">
        <f t="shared" si="18"/>
        <v>520380</v>
      </c>
      <c r="J392" s="60"/>
    </row>
    <row r="393" spans="1:10" ht="89.25" x14ac:dyDescent="0.25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'[4]CUENTA T FONDO 100'!HG126</f>
        <v>520380</v>
      </c>
      <c r="H393" s="64">
        <f>'[4]CUENTA T VS'!HG75</f>
        <v>0</v>
      </c>
      <c r="I393" s="64">
        <f t="shared" si="18"/>
        <v>520380</v>
      </c>
      <c r="J393" s="65">
        <f>I393/$I$25</f>
        <v>4.4372814684069924E-3</v>
      </c>
    </row>
    <row r="394" spans="1:10" ht="51" x14ac:dyDescent="0.25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0</v>
      </c>
      <c r="H394" s="59">
        <f>SUM(H395)</f>
        <v>0</v>
      </c>
      <c r="I394" s="59">
        <f t="shared" si="18"/>
        <v>0</v>
      </c>
      <c r="J394" s="60"/>
    </row>
    <row r="395" spans="1:10" ht="51" x14ac:dyDescent="0.25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'[4]CUENTA T FONDO 100'!HH126</f>
        <v>0</v>
      </c>
      <c r="H395" s="64">
        <f>'[4]CUENTA T VS'!HH75</f>
        <v>0</v>
      </c>
      <c r="I395" s="64">
        <f t="shared" si="18"/>
        <v>0</v>
      </c>
      <c r="J395" s="65">
        <f>I395/$I$25</f>
        <v>0</v>
      </c>
    </row>
    <row r="396" spans="1:10" ht="38.25" x14ac:dyDescent="0.25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12750.01</v>
      </c>
      <c r="H396" s="59">
        <f>SUM(H397)</f>
        <v>0</v>
      </c>
      <c r="I396" s="59">
        <f t="shared" si="18"/>
        <v>12750.01</v>
      </c>
      <c r="J396" s="60"/>
    </row>
    <row r="397" spans="1:10" ht="38.25" x14ac:dyDescent="0.25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'[4]CUENTA T FONDO 100'!HI126</f>
        <v>12750.01</v>
      </c>
      <c r="H397" s="64">
        <f>'[4]CUENTA T VS'!HI75</f>
        <v>0</v>
      </c>
      <c r="I397" s="64">
        <f t="shared" si="18"/>
        <v>12750.01</v>
      </c>
      <c r="J397" s="65">
        <f>I397/$I$25</f>
        <v>1.0871936487759682E-4</v>
      </c>
    </row>
    <row r="398" spans="1:10" ht="25.5" x14ac:dyDescent="0.25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8"/>
        <v>0</v>
      </c>
      <c r="J398" s="60"/>
    </row>
    <row r="399" spans="1:10" ht="25.5" x14ac:dyDescent="0.25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'[4]CUENTA T FONDO 100'!HJ126</f>
        <v>0</v>
      </c>
      <c r="H399" s="64">
        <f>'[4]CUENTA T VS'!HJ75</f>
        <v>0</v>
      </c>
      <c r="I399" s="64">
        <f t="shared" si="18"/>
        <v>0</v>
      </c>
      <c r="J399" s="65">
        <f>I399/$I$25</f>
        <v>0</v>
      </c>
    </row>
    <row r="400" spans="1:10" ht="38.25" x14ac:dyDescent="0.25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0</v>
      </c>
      <c r="I400" s="56">
        <f t="shared" si="18"/>
        <v>0</v>
      </c>
      <c r="J400" s="53">
        <f>I400/$I$25</f>
        <v>0</v>
      </c>
    </row>
    <row r="401" spans="1:10" ht="25.5" x14ac:dyDescent="0.25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8"/>
        <v>0</v>
      </c>
      <c r="J401" s="60"/>
    </row>
    <row r="402" spans="1:10" ht="25.5" x14ac:dyDescent="0.25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'[4]CUENTA T FONDO 100'!HK126</f>
        <v>0</v>
      </c>
      <c r="H402" s="64">
        <f>'[4]CUENTA T VS'!HK75</f>
        <v>0</v>
      </c>
      <c r="I402" s="64">
        <f t="shared" si="18"/>
        <v>0</v>
      </c>
      <c r="J402" s="65">
        <f>I402/$I$25</f>
        <v>0</v>
      </c>
    </row>
    <row r="403" spans="1:10" ht="25.5" x14ac:dyDescent="0.25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0</v>
      </c>
      <c r="I403" s="59">
        <f t="shared" si="18"/>
        <v>0</v>
      </c>
      <c r="J403" s="60"/>
    </row>
    <row r="404" spans="1:10" ht="25.5" x14ac:dyDescent="0.25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'[4]CUENTA T FONDO 100'!HL126</f>
        <v>0</v>
      </c>
      <c r="H404" s="64">
        <f>'[4]CUENTA T VS'!HL75</f>
        <v>0</v>
      </c>
      <c r="I404" s="64">
        <f t="shared" si="18"/>
        <v>0</v>
      </c>
      <c r="J404" s="65">
        <f>I404/$I$25</f>
        <v>0</v>
      </c>
    </row>
    <row r="405" spans="1:10" ht="38.25" x14ac:dyDescent="0.25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8"/>
        <v>0</v>
      </c>
      <c r="J405" s="53"/>
    </row>
    <row r="406" spans="1:10" x14ac:dyDescent="0.25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8"/>
        <v>0</v>
      </c>
      <c r="J406" s="60"/>
    </row>
    <row r="407" spans="1:10" x14ac:dyDescent="0.25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'[4]CUENTA T FONDO 100'!HM126</f>
        <v>0</v>
      </c>
      <c r="H407" s="64">
        <f>'[4]CUENTA T VS'!HM75</f>
        <v>0</v>
      </c>
      <c r="I407" s="64">
        <f t="shared" si="18"/>
        <v>0</v>
      </c>
      <c r="J407" s="65">
        <f>I407/$I$25</f>
        <v>0</v>
      </c>
    </row>
    <row r="408" spans="1:10" x14ac:dyDescent="0.25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8"/>
        <v>0</v>
      </c>
      <c r="J408" s="60"/>
    </row>
    <row r="409" spans="1:10" x14ac:dyDescent="0.25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'[4]CUENTA T FONDO 100'!HN126</f>
        <v>0</v>
      </c>
      <c r="H409" s="64">
        <f>'[4]CUENTA T VS'!HN75</f>
        <v>0</v>
      </c>
      <c r="I409" s="64">
        <f t="shared" ref="I409:I472" si="19">SUM(G409:H409)</f>
        <v>0</v>
      </c>
      <c r="J409" s="65">
        <f>I409/$I$25</f>
        <v>0</v>
      </c>
    </row>
    <row r="410" spans="1:10" x14ac:dyDescent="0.25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9"/>
        <v>0</v>
      </c>
      <c r="J410" s="60"/>
    </row>
    <row r="411" spans="1:10" x14ac:dyDescent="0.25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'[4]CUENTA T FONDO 100'!HO126</f>
        <v>0</v>
      </c>
      <c r="H411" s="64">
        <f>'[4]CUENTA T VS'!HO75</f>
        <v>0</v>
      </c>
      <c r="I411" s="64">
        <f t="shared" si="19"/>
        <v>0</v>
      </c>
      <c r="J411" s="65">
        <f>I411/$I$25</f>
        <v>0</v>
      </c>
    </row>
    <row r="412" spans="1:10" ht="25.5" x14ac:dyDescent="0.25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9"/>
        <v>0</v>
      </c>
      <c r="J412" s="60"/>
    </row>
    <row r="413" spans="1:10" ht="25.5" x14ac:dyDescent="0.25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'[4]CUENTA T FONDO 100'!HP126</f>
        <v>0</v>
      </c>
      <c r="H413" s="64">
        <f>'[4]CUENTA T VS'!HP75</f>
        <v>0</v>
      </c>
      <c r="I413" s="64">
        <f t="shared" si="19"/>
        <v>0</v>
      </c>
      <c r="J413" s="65">
        <f>I413/$I$25</f>
        <v>0</v>
      </c>
    </row>
    <row r="414" spans="1:10" ht="25.5" x14ac:dyDescent="0.25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9"/>
        <v>0</v>
      </c>
      <c r="J414" s="60"/>
    </row>
    <row r="415" spans="1:10" ht="25.5" x14ac:dyDescent="0.25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'[4]CUENTA T FONDO 100'!HQ126</f>
        <v>0</v>
      </c>
      <c r="H415" s="64">
        <f>'[4]CUENTA T VS'!HQ75</f>
        <v>0</v>
      </c>
      <c r="I415" s="64">
        <f t="shared" si="19"/>
        <v>0</v>
      </c>
      <c r="J415" s="65">
        <f>I415/$I$25</f>
        <v>0</v>
      </c>
    </row>
    <row r="416" spans="1:10" x14ac:dyDescent="0.25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9"/>
        <v>0</v>
      </c>
      <c r="J416" s="60"/>
    </row>
    <row r="417" spans="1:10" x14ac:dyDescent="0.25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'[4]CUENTA T FONDO 100'!HR126</f>
        <v>0</v>
      </c>
      <c r="H417" s="64">
        <f>'[4]CUENTA T VS'!HR75</f>
        <v>0</v>
      </c>
      <c r="I417" s="64">
        <f t="shared" si="19"/>
        <v>0</v>
      </c>
      <c r="J417" s="65">
        <f>I417/$I$25</f>
        <v>0</v>
      </c>
    </row>
    <row r="418" spans="1:10" ht="38.25" x14ac:dyDescent="0.25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9"/>
        <v>0</v>
      </c>
      <c r="J418" s="60"/>
    </row>
    <row r="419" spans="1:10" ht="38.25" x14ac:dyDescent="0.25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'[4]CUENTA T FONDO 100'!HS126</f>
        <v>0</v>
      </c>
      <c r="H419" s="64">
        <f>'[4]CUENTA T VS'!HS75</f>
        <v>0</v>
      </c>
      <c r="I419" s="64">
        <f t="shared" si="19"/>
        <v>0</v>
      </c>
      <c r="J419" s="65">
        <f>I419/$I$25</f>
        <v>0</v>
      </c>
    </row>
    <row r="420" spans="1:10" ht="63.75" x14ac:dyDescent="0.25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9"/>
        <v>0</v>
      </c>
      <c r="J420" s="60"/>
    </row>
    <row r="421" spans="1:10" ht="63.75" x14ac:dyDescent="0.25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'[4]CUENTA T FONDO 100'!HT126</f>
        <v>0</v>
      </c>
      <c r="H421" s="64">
        <f>'[4]CUENTA T VS'!HT75</f>
        <v>0</v>
      </c>
      <c r="I421" s="64">
        <f t="shared" si="19"/>
        <v>0</v>
      </c>
      <c r="J421" s="65">
        <f>I421/$I$25</f>
        <v>0</v>
      </c>
    </row>
    <row r="422" spans="1:10" ht="76.5" x14ac:dyDescent="0.25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9"/>
        <v>0</v>
      </c>
      <c r="J422" s="60"/>
    </row>
    <row r="423" spans="1:10" ht="76.5" x14ac:dyDescent="0.25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'[4]CUENTA T FONDO 100'!HU126</f>
        <v>0</v>
      </c>
      <c r="H423" s="64">
        <f>'[4]CUENTA T VS'!HU75</f>
        <v>0</v>
      </c>
      <c r="I423" s="64">
        <f t="shared" si="19"/>
        <v>0</v>
      </c>
      <c r="J423" s="65">
        <f>I423/$I$25</f>
        <v>0</v>
      </c>
    </row>
    <row r="424" spans="1:10" ht="25.5" x14ac:dyDescent="0.25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9"/>
        <v>0</v>
      </c>
      <c r="J424" s="53"/>
    </row>
    <row r="425" spans="1:10" ht="38.25" x14ac:dyDescent="0.25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9"/>
        <v>0</v>
      </c>
      <c r="J425" s="60"/>
    </row>
    <row r="426" spans="1:10" ht="38.25" x14ac:dyDescent="0.25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'[4]CUENTA T FONDO 100'!HV126</f>
        <v>0</v>
      </c>
      <c r="H426" s="64">
        <f>'[4]CUENTA T VS'!HV75</f>
        <v>0</v>
      </c>
      <c r="I426" s="64">
        <f t="shared" si="19"/>
        <v>0</v>
      </c>
      <c r="J426" s="65">
        <f>I426/$I$25</f>
        <v>0</v>
      </c>
    </row>
    <row r="427" spans="1:10" ht="38.25" x14ac:dyDescent="0.25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9"/>
        <v>0</v>
      </c>
      <c r="J427" s="60"/>
    </row>
    <row r="428" spans="1:10" ht="38.25" x14ac:dyDescent="0.25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'[4]CUENTA T FONDO 100'!HW126</f>
        <v>0</v>
      </c>
      <c r="H428" s="64">
        <f>'[4]CUENTA T VS'!HW75</f>
        <v>0</v>
      </c>
      <c r="I428" s="64">
        <f t="shared" si="19"/>
        <v>0</v>
      </c>
      <c r="J428" s="65">
        <f>I428/$I$25</f>
        <v>0</v>
      </c>
    </row>
    <row r="429" spans="1:10" ht="63.75" x14ac:dyDescent="0.25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9"/>
        <v>0</v>
      </c>
      <c r="J429" s="60"/>
    </row>
    <row r="430" spans="1:10" ht="38.25" x14ac:dyDescent="0.25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'[4]CUENTA T FONDO 100'!HX126</f>
        <v>0</v>
      </c>
      <c r="H430" s="64">
        <f>'[4]CUENTA T VS'!HX75</f>
        <v>0</v>
      </c>
      <c r="I430" s="64">
        <f t="shared" si="19"/>
        <v>0</v>
      </c>
      <c r="J430" s="65">
        <f>I430/$I$25</f>
        <v>0</v>
      </c>
    </row>
    <row r="431" spans="1:10" ht="25.5" x14ac:dyDescent="0.25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'[4]CUENTA T FONDO 100'!HY126</f>
        <v>0</v>
      </c>
      <c r="H431" s="64">
        <f>'[4]CUENTA T VS'!HY75</f>
        <v>0</v>
      </c>
      <c r="I431" s="64">
        <f t="shared" si="19"/>
        <v>0</v>
      </c>
      <c r="J431" s="65">
        <f>I431/$I$25</f>
        <v>0</v>
      </c>
    </row>
    <row r="432" spans="1:10" ht="63.75" x14ac:dyDescent="0.25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9"/>
        <v>0</v>
      </c>
      <c r="J432" s="60"/>
    </row>
    <row r="433" spans="1:10" ht="63.75" x14ac:dyDescent="0.25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'[4]CUENTA T FONDO 100'!HZ126</f>
        <v>0</v>
      </c>
      <c r="H433" s="64">
        <f>'[4]CUENTA T VS'!HZ75</f>
        <v>0</v>
      </c>
      <c r="I433" s="64">
        <f t="shared" si="19"/>
        <v>0</v>
      </c>
      <c r="J433" s="65">
        <f>I433/$I$25</f>
        <v>0</v>
      </c>
    </row>
    <row r="434" spans="1:10" ht="25.5" x14ac:dyDescent="0.25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9"/>
        <v>0</v>
      </c>
      <c r="J434" s="60"/>
    </row>
    <row r="435" spans="1:10" ht="25.5" x14ac:dyDescent="0.25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'[4]CUENTA T FONDO 100'!IA126</f>
        <v>0</v>
      </c>
      <c r="H435" s="64">
        <f>'[4]CUENTA T VS'!IA75</f>
        <v>0</v>
      </c>
      <c r="I435" s="64">
        <f t="shared" si="19"/>
        <v>0</v>
      </c>
      <c r="J435" s="65">
        <f>I435/$I$25</f>
        <v>0</v>
      </c>
    </row>
    <row r="436" spans="1:10" ht="25.5" x14ac:dyDescent="0.25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9"/>
        <v>0</v>
      </c>
      <c r="J436" s="60"/>
    </row>
    <row r="437" spans="1:10" ht="25.5" x14ac:dyDescent="0.25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'[4]CUENTA T FONDO 100'!IB126</f>
        <v>0</v>
      </c>
      <c r="H437" s="64">
        <f>'[4]CUENTA T VS'!IB75</f>
        <v>0</v>
      </c>
      <c r="I437" s="64">
        <f t="shared" si="19"/>
        <v>0</v>
      </c>
      <c r="J437" s="65">
        <f>I437/$I$25</f>
        <v>0</v>
      </c>
    </row>
    <row r="438" spans="1:10" x14ac:dyDescent="0.25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9"/>
        <v>0</v>
      </c>
      <c r="J438" s="60"/>
    </row>
    <row r="439" spans="1:10" x14ac:dyDescent="0.25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'[4]CUENTA T FONDO 100'!IC126</f>
        <v>0</v>
      </c>
      <c r="H439" s="64">
        <f>'[4]CUENTA T VS'!IC75</f>
        <v>0</v>
      </c>
      <c r="I439" s="64">
        <f t="shared" si="19"/>
        <v>0</v>
      </c>
      <c r="J439" s="65">
        <f>I439/$I$25</f>
        <v>0</v>
      </c>
    </row>
    <row r="440" spans="1:10" ht="63.75" x14ac:dyDescent="0.25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9"/>
        <v>0</v>
      </c>
      <c r="J440" s="60"/>
    </row>
    <row r="441" spans="1:10" x14ac:dyDescent="0.25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'[4]CUENTA T FONDO 100'!ID126</f>
        <v>0</v>
      </c>
      <c r="H441" s="64">
        <f>'[4]CUENTA T VS'!ID75</f>
        <v>0</v>
      </c>
      <c r="I441" s="64">
        <f t="shared" si="19"/>
        <v>0</v>
      </c>
      <c r="J441" s="65">
        <f>I441/$I$25</f>
        <v>0</v>
      </c>
    </row>
    <row r="442" spans="1:10" x14ac:dyDescent="0.25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'[4]CUENTA T FONDO 100'!IE126</f>
        <v>0</v>
      </c>
      <c r="H442" s="64">
        <f>'[4]CUENTA T VS'!IE75</f>
        <v>0</v>
      </c>
      <c r="I442" s="64">
        <f t="shared" si="19"/>
        <v>0</v>
      </c>
      <c r="J442" s="65">
        <f>I442/$I$25</f>
        <v>0</v>
      </c>
    </row>
    <row r="443" spans="1:10" x14ac:dyDescent="0.25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'[4]CUENTA T FONDO 100'!IF126</f>
        <v>0</v>
      </c>
      <c r="H443" s="64">
        <f>'[4]CUENTA T VS'!IF75</f>
        <v>0</v>
      </c>
      <c r="I443" s="64">
        <f t="shared" si="19"/>
        <v>0</v>
      </c>
      <c r="J443" s="65">
        <f>I443/$I$25</f>
        <v>0</v>
      </c>
    </row>
    <row r="444" spans="1:10" ht="38.25" x14ac:dyDescent="0.25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9"/>
        <v>0</v>
      </c>
      <c r="J444" s="60"/>
    </row>
    <row r="445" spans="1:10" ht="38.25" x14ac:dyDescent="0.25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'[4]CUENTA T FONDO 100'!IG126</f>
        <v>0</v>
      </c>
      <c r="H445" s="64">
        <f>'[4]CUENTA T VS'!IG75</f>
        <v>0</v>
      </c>
      <c r="I445" s="64">
        <f t="shared" si="19"/>
        <v>0</v>
      </c>
      <c r="J445" s="65">
        <f>I445/$I$25</f>
        <v>0</v>
      </c>
    </row>
    <row r="446" spans="1:10" ht="25.5" x14ac:dyDescent="0.25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9"/>
        <v>0</v>
      </c>
      <c r="J446" s="53"/>
    </row>
    <row r="447" spans="1:10" ht="38.25" x14ac:dyDescent="0.25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 t="shared" ref="H447" si="20">+H448+H449</f>
        <v>0</v>
      </c>
      <c r="I447" s="59">
        <f t="shared" si="19"/>
        <v>0</v>
      </c>
      <c r="J447" s="59"/>
    </row>
    <row r="448" spans="1:10" ht="38.25" x14ac:dyDescent="0.25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'[4]CUENTA T FONDO 100'!IH126</f>
        <v>0</v>
      </c>
      <c r="H448" s="92">
        <f>'[4]CUENTA T VS'!IH75</f>
        <v>0</v>
      </c>
      <c r="I448" s="92">
        <f t="shared" si="19"/>
        <v>0</v>
      </c>
      <c r="J448" s="65">
        <f>I448/$I$25</f>
        <v>0</v>
      </c>
    </row>
    <row r="449" spans="1:10" ht="51" x14ac:dyDescent="0.25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'[4]CUENTA T FONDO 100'!II126</f>
        <v>0</v>
      </c>
      <c r="H449" s="92">
        <f>'[4]CUENTA T VS'!II75</f>
        <v>0</v>
      </c>
      <c r="I449" s="92">
        <f t="shared" si="19"/>
        <v>0</v>
      </c>
      <c r="J449" s="65">
        <f>I449/$I$25</f>
        <v>0</v>
      </c>
    </row>
    <row r="450" spans="1:10" ht="38.25" x14ac:dyDescent="0.25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 t="shared" ref="H450" si="21">SUM(H451:H452)</f>
        <v>0</v>
      </c>
      <c r="I450" s="59">
        <f t="shared" si="19"/>
        <v>0</v>
      </c>
      <c r="J450" s="60"/>
    </row>
    <row r="451" spans="1:10" ht="38.25" x14ac:dyDescent="0.25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'[4]CUENTA T FONDO 100'!IJ126</f>
        <v>0</v>
      </c>
      <c r="H451" s="64">
        <f>'[4]CUENTA T VS'!IJ75</f>
        <v>0</v>
      </c>
      <c r="I451" s="64">
        <f t="shared" si="19"/>
        <v>0</v>
      </c>
      <c r="J451" s="65">
        <f>I451/$I$25</f>
        <v>0</v>
      </c>
    </row>
    <row r="452" spans="1:10" ht="63.75" x14ac:dyDescent="0.25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'[4]CUENTA T FONDO 100'!IK126</f>
        <v>0</v>
      </c>
      <c r="H452" s="64">
        <f>'[4]CUENTA T VS'!IK75</f>
        <v>0</v>
      </c>
      <c r="I452" s="64">
        <f t="shared" si="19"/>
        <v>0</v>
      </c>
      <c r="J452" s="65">
        <f>I452/$I$25</f>
        <v>0</v>
      </c>
    </row>
    <row r="453" spans="1:10" x14ac:dyDescent="0.25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9"/>
        <v>0</v>
      </c>
      <c r="J453" s="59"/>
    </row>
    <row r="454" spans="1:10" x14ac:dyDescent="0.25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'[4]CUENTA T FONDO 100'!IL126</f>
        <v>0</v>
      </c>
      <c r="H454" s="64">
        <f>'[4]CUENTA T VS'!IL75</f>
        <v>0</v>
      </c>
      <c r="I454" s="64">
        <f t="shared" si="19"/>
        <v>0</v>
      </c>
      <c r="J454" s="65">
        <f>I454/$I$25</f>
        <v>0</v>
      </c>
    </row>
    <row r="455" spans="1:10" x14ac:dyDescent="0.25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9"/>
        <v>0</v>
      </c>
      <c r="J455" s="60"/>
    </row>
    <row r="456" spans="1:10" x14ac:dyDescent="0.25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'[4]CUENTA T FONDO 100'!IM126</f>
        <v>0</v>
      </c>
      <c r="H456" s="64">
        <f>'[4]CUENTA T VS'!IM75</f>
        <v>0</v>
      </c>
      <c r="I456" s="64">
        <f t="shared" si="19"/>
        <v>0</v>
      </c>
      <c r="J456" s="65">
        <f>I456/$I$25</f>
        <v>0</v>
      </c>
    </row>
    <row r="457" spans="1:10" ht="25.5" x14ac:dyDescent="0.25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9"/>
        <v>0</v>
      </c>
      <c r="J457" s="60"/>
    </row>
    <row r="458" spans="1:10" ht="38.25" x14ac:dyDescent="0.25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'[4]CUENTA T FONDO 100'!IN126</f>
        <v>0</v>
      </c>
      <c r="H458" s="64">
        <f>'[4]CUENTA T VS'!IN75</f>
        <v>0</v>
      </c>
      <c r="I458" s="64">
        <f t="shared" si="19"/>
        <v>0</v>
      </c>
      <c r="J458" s="65">
        <f>I458/$I$25</f>
        <v>0</v>
      </c>
    </row>
    <row r="459" spans="1:10" ht="63.75" x14ac:dyDescent="0.25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'[4]CUENTA T FONDO 100'!IO126</f>
        <v>0</v>
      </c>
      <c r="H459" s="64">
        <f>'[4]CUENTA T VS'!IO75</f>
        <v>0</v>
      </c>
      <c r="I459" s="64">
        <f t="shared" si="19"/>
        <v>0</v>
      </c>
      <c r="J459" s="65">
        <f>I459/$I$25</f>
        <v>0</v>
      </c>
    </row>
    <row r="460" spans="1:10" ht="38.25" x14ac:dyDescent="0.25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'[4]CUENTA T FONDO 100'!IP126</f>
        <v>0</v>
      </c>
      <c r="H460" s="64">
        <f>'[4]CUENTA T VS'!IP75</f>
        <v>0</v>
      </c>
      <c r="I460" s="64">
        <f t="shared" si="19"/>
        <v>0</v>
      </c>
      <c r="J460" s="65">
        <f>I460/$I$25</f>
        <v>0</v>
      </c>
    </row>
    <row r="461" spans="1:10" ht="25.5" x14ac:dyDescent="0.25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9"/>
        <v>0</v>
      </c>
      <c r="J461" s="60"/>
    </row>
    <row r="462" spans="1:10" ht="25.5" x14ac:dyDescent="0.25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'[4]CUENTA T FONDO 100'!IQ126</f>
        <v>0</v>
      </c>
      <c r="H462" s="64">
        <f>'[4]CUENTA T VS'!IQ75</f>
        <v>0</v>
      </c>
      <c r="I462" s="64">
        <f t="shared" si="19"/>
        <v>0</v>
      </c>
      <c r="J462" s="65">
        <f>I462/$I$25</f>
        <v>0</v>
      </c>
    </row>
    <row r="463" spans="1:10" x14ac:dyDescent="0.25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9"/>
        <v>0</v>
      </c>
      <c r="J463" s="53">
        <f>I463/$I$25</f>
        <v>0</v>
      </c>
    </row>
    <row r="464" spans="1:10" ht="25.5" x14ac:dyDescent="0.25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9"/>
        <v>0</v>
      </c>
      <c r="J464" s="53"/>
    </row>
    <row r="465" spans="1:10" ht="51" x14ac:dyDescent="0.25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9"/>
        <v>0</v>
      </c>
      <c r="J465" s="60"/>
    </row>
    <row r="466" spans="1:10" ht="51" x14ac:dyDescent="0.25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'[4]CUENTA T FONDO 100'!IR126</f>
        <v>0</v>
      </c>
      <c r="H466" s="64">
        <f>'[4]CUENTA T VS'!IR75</f>
        <v>0</v>
      </c>
      <c r="I466" s="64">
        <f t="shared" si="19"/>
        <v>0</v>
      </c>
      <c r="J466" s="65">
        <f>I466/$I$25</f>
        <v>0</v>
      </c>
    </row>
    <row r="467" spans="1:10" ht="51" x14ac:dyDescent="0.25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9"/>
        <v>0</v>
      </c>
      <c r="J467" s="60"/>
    </row>
    <row r="468" spans="1:10" ht="51" x14ac:dyDescent="0.25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'[4]CUENTA T FONDO 100'!IS126</f>
        <v>0</v>
      </c>
      <c r="H468" s="64">
        <f>'[4]CUENTA T VS'!IS75</f>
        <v>0</v>
      </c>
      <c r="I468" s="64">
        <f t="shared" si="19"/>
        <v>0</v>
      </c>
      <c r="J468" s="65">
        <f>I468/$I$25</f>
        <v>0</v>
      </c>
    </row>
    <row r="469" spans="1:10" ht="51" x14ac:dyDescent="0.25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9"/>
        <v>0</v>
      </c>
      <c r="J469" s="60"/>
    </row>
    <row r="470" spans="1:10" ht="51" x14ac:dyDescent="0.25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'[4]CUENTA T FONDO 100'!IT126</f>
        <v>0</v>
      </c>
      <c r="H470" s="64">
        <f>'[4]CUENTA T VS'!IT75</f>
        <v>0</v>
      </c>
      <c r="I470" s="64">
        <f t="shared" si="19"/>
        <v>0</v>
      </c>
      <c r="J470" s="65">
        <f>I470/$I$25</f>
        <v>0</v>
      </c>
    </row>
    <row r="471" spans="1:10" ht="38.25" x14ac:dyDescent="0.25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9"/>
        <v>0</v>
      </c>
      <c r="J471" s="60"/>
    </row>
    <row r="472" spans="1:10" ht="38.25" x14ac:dyDescent="0.25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'[4]CUENTA T FONDO 100'!IU126</f>
        <v>0</v>
      </c>
      <c r="H472" s="64">
        <f>'[4]CUENTA T VS'!IU75</f>
        <v>0</v>
      </c>
      <c r="I472" s="64">
        <f t="shared" si="19"/>
        <v>0</v>
      </c>
      <c r="J472" s="65">
        <f>I472/$I$25</f>
        <v>0</v>
      </c>
    </row>
    <row r="473" spans="1:10" ht="25.5" x14ac:dyDescent="0.25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22">SUM(G473:H473)</f>
        <v>0</v>
      </c>
      <c r="J473" s="53"/>
    </row>
    <row r="474" spans="1:10" ht="38.25" x14ac:dyDescent="0.25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22"/>
        <v>0</v>
      </c>
      <c r="J474" s="60"/>
    </row>
    <row r="475" spans="1:10" ht="38.25" x14ac:dyDescent="0.25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'[4]CUENTA T FONDO 100'!IV126</f>
        <v>0</v>
      </c>
      <c r="H475" s="64">
        <f>'[4]CUENTA T VS'!IV75</f>
        <v>0</v>
      </c>
      <c r="I475" s="64">
        <f t="shared" si="22"/>
        <v>0</v>
      </c>
      <c r="J475" s="65">
        <f>I475/$I$25</f>
        <v>0</v>
      </c>
    </row>
    <row r="476" spans="1:10" ht="25.5" x14ac:dyDescent="0.25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22"/>
        <v>0</v>
      </c>
      <c r="J476" s="60"/>
    </row>
    <row r="477" spans="1:10" ht="25.5" x14ac:dyDescent="0.25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'[4]CUENTA T FONDO 100'!IW126</f>
        <v>0</v>
      </c>
      <c r="H477" s="64">
        <f>'[4]CUENTA T VS'!IW75</f>
        <v>0</v>
      </c>
      <c r="I477" s="64">
        <f t="shared" si="22"/>
        <v>0</v>
      </c>
      <c r="J477" s="65">
        <f>I477/$I$25</f>
        <v>0</v>
      </c>
    </row>
    <row r="478" spans="1:10" ht="38.25" x14ac:dyDescent="0.25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22"/>
        <v>0</v>
      </c>
      <c r="J478" s="60"/>
    </row>
    <row r="479" spans="1:10" ht="38.25" x14ac:dyDescent="0.25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'[4]CUENTA T FONDO 100'!IX126</f>
        <v>0</v>
      </c>
      <c r="H479" s="64">
        <f>'[4]CUENTA T VS'!IX75</f>
        <v>0</v>
      </c>
      <c r="I479" s="64">
        <f t="shared" si="22"/>
        <v>0</v>
      </c>
      <c r="J479" s="65">
        <f>I479/$I$25</f>
        <v>0</v>
      </c>
    </row>
    <row r="480" spans="1:10" ht="51" x14ac:dyDescent="0.25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22"/>
        <v>0</v>
      </c>
      <c r="J480" s="60"/>
    </row>
    <row r="481" spans="1:10" ht="51" x14ac:dyDescent="0.25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'[4]CUENTA T FONDO 100'!IY126</f>
        <v>0</v>
      </c>
      <c r="H481" s="64">
        <f>'[4]CUENTA T VS'!IY75</f>
        <v>0</v>
      </c>
      <c r="I481" s="64">
        <f t="shared" si="22"/>
        <v>0</v>
      </c>
      <c r="J481" s="65">
        <f>I481/$I$25</f>
        <v>0</v>
      </c>
    </row>
    <row r="482" spans="1:10" ht="38.25" x14ac:dyDescent="0.25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22"/>
        <v>0</v>
      </c>
      <c r="J482" s="60"/>
    </row>
    <row r="483" spans="1:10" ht="38.25" x14ac:dyDescent="0.25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'[4]CUENTA T FONDO 100'!IZ126</f>
        <v>0</v>
      </c>
      <c r="H483" s="64">
        <f>'[4]CUENTA T VS'!IZ75</f>
        <v>0</v>
      </c>
      <c r="I483" s="64">
        <f t="shared" si="22"/>
        <v>0</v>
      </c>
      <c r="J483" s="65">
        <f>I483/$I$25</f>
        <v>0</v>
      </c>
    </row>
    <row r="484" spans="1:10" ht="51" x14ac:dyDescent="0.25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22"/>
        <v>0</v>
      </c>
      <c r="J484" s="60"/>
    </row>
    <row r="485" spans="1:10" ht="51" x14ac:dyDescent="0.25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'[4]CUENTA T FONDO 100'!JA126</f>
        <v>0</v>
      </c>
      <c r="H485" s="64">
        <f>'[4]CUENTA T VS'!JA75</f>
        <v>0</v>
      </c>
      <c r="I485" s="64">
        <f t="shared" si="22"/>
        <v>0</v>
      </c>
      <c r="J485" s="65">
        <f>I485/$I$25</f>
        <v>0</v>
      </c>
    </row>
    <row r="486" spans="1:10" ht="25.5" x14ac:dyDescent="0.25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22"/>
        <v>0</v>
      </c>
      <c r="J486" s="60"/>
    </row>
    <row r="487" spans="1:10" ht="25.5" x14ac:dyDescent="0.25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'[4]CUENTA T FONDO 100'!JB126</f>
        <v>0</v>
      </c>
      <c r="H487" s="64">
        <f>'[4]CUENTA T VS'!JB75</f>
        <v>0</v>
      </c>
      <c r="I487" s="64">
        <f t="shared" si="22"/>
        <v>0</v>
      </c>
      <c r="J487" s="65">
        <f>I487/$I$25</f>
        <v>0</v>
      </c>
    </row>
    <row r="488" spans="1:10" ht="25.5" x14ac:dyDescent="0.25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22"/>
        <v>0</v>
      </c>
      <c r="J488" s="60"/>
    </row>
    <row r="489" spans="1:10" ht="25.5" x14ac:dyDescent="0.25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'[4]CUENTA T FONDO 100'!JC126</f>
        <v>0</v>
      </c>
      <c r="H489" s="64">
        <f>'[4]CUENTA T VS'!JC75</f>
        <v>0</v>
      </c>
      <c r="I489" s="64">
        <f t="shared" si="22"/>
        <v>0</v>
      </c>
      <c r="J489" s="65">
        <f>I489/$I$25</f>
        <v>0</v>
      </c>
    </row>
    <row r="490" spans="1:10" ht="63.75" x14ac:dyDescent="0.25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22"/>
        <v>0</v>
      </c>
      <c r="J490" s="60"/>
    </row>
    <row r="491" spans="1:10" ht="63.75" x14ac:dyDescent="0.25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'[4]CUENTA T FONDO 100'!JD126</f>
        <v>0</v>
      </c>
      <c r="H491" s="64">
        <f>'[4]CUENTA T VS'!JD75</f>
        <v>0</v>
      </c>
      <c r="I491" s="64">
        <f t="shared" si="22"/>
        <v>0</v>
      </c>
      <c r="J491" s="65">
        <f>I491/$I$25</f>
        <v>0</v>
      </c>
    </row>
    <row r="492" spans="1:10" ht="51" x14ac:dyDescent="0.25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22"/>
        <v>0</v>
      </c>
      <c r="J492" s="53"/>
    </row>
    <row r="493" spans="1:10" ht="76.5" x14ac:dyDescent="0.25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22"/>
        <v>0</v>
      </c>
      <c r="J493" s="60"/>
    </row>
    <row r="494" spans="1:10" ht="76.5" x14ac:dyDescent="0.25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'[4]CUENTA T FONDO 100'!JE126</f>
        <v>0</v>
      </c>
      <c r="H494" s="64">
        <f>'[4]CUENTA T VS'!JE75</f>
        <v>0</v>
      </c>
      <c r="I494" s="64">
        <f t="shared" si="22"/>
        <v>0</v>
      </c>
      <c r="J494" s="65">
        <f>I494/$I$25</f>
        <v>0</v>
      </c>
    </row>
    <row r="495" spans="1:10" ht="76.5" x14ac:dyDescent="0.25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22"/>
        <v>0</v>
      </c>
      <c r="J495" s="60"/>
    </row>
    <row r="496" spans="1:10" ht="76.5" x14ac:dyDescent="0.25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'[4]CUENTA T FONDO 100'!JF126</f>
        <v>0</v>
      </c>
      <c r="H496" s="64">
        <f>'[4]CUENTA T VS'!JF75</f>
        <v>0</v>
      </c>
      <c r="I496" s="64">
        <f t="shared" si="22"/>
        <v>0</v>
      </c>
      <c r="J496" s="65">
        <f>I496/$I$25</f>
        <v>0</v>
      </c>
    </row>
    <row r="497" spans="1:10" ht="89.25" x14ac:dyDescent="0.25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22"/>
        <v>0</v>
      </c>
      <c r="J497" s="53"/>
    </row>
    <row r="498" spans="1:10" ht="76.5" x14ac:dyDescent="0.25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22"/>
        <v>0</v>
      </c>
      <c r="J498" s="60"/>
    </row>
    <row r="499" spans="1:10" ht="76.5" x14ac:dyDescent="0.25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'[4]CUENTA T FONDO 100'!JG126</f>
        <v>0</v>
      </c>
      <c r="H499" s="64">
        <f>'[4]CUENTA T VS'!JG75</f>
        <v>0</v>
      </c>
      <c r="I499" s="64">
        <f t="shared" si="22"/>
        <v>0</v>
      </c>
      <c r="J499" s="65">
        <f>I499/$I$25</f>
        <v>0</v>
      </c>
    </row>
    <row r="500" spans="1:10" ht="114.75" x14ac:dyDescent="0.25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22"/>
        <v>0</v>
      </c>
      <c r="J500" s="60"/>
    </row>
    <row r="501" spans="1:10" ht="114.75" x14ac:dyDescent="0.25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'[4]CUENTA T FONDO 100'!JH126</f>
        <v>0</v>
      </c>
      <c r="H501" s="64">
        <f>'[4]CUENTA T VS'!JH75</f>
        <v>0</v>
      </c>
      <c r="I501" s="64">
        <f t="shared" si="22"/>
        <v>0</v>
      </c>
      <c r="J501" s="65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0"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  <mergeCell ref="A21:E21"/>
    <mergeCell ref="G21:H21"/>
    <mergeCell ref="A22:E22"/>
    <mergeCell ref="F22:F24"/>
    <mergeCell ref="G22:H22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C098-4E8A-4295-B6AA-CC30199E4206}">
  <dimension ref="A1:P511"/>
  <sheetViews>
    <sheetView workbookViewId="0">
      <selection activeCell="F17" sqref="F17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8.7109375" style="5" bestFit="1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391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5363379.0399999926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+'[7]INGR SEGUN ORIGEN'!E12</f>
        <v>156268217.93000001</v>
      </c>
      <c r="H15" s="25" t="s">
        <v>17</v>
      </c>
      <c r="I15" s="19"/>
      <c r="J15" s="17"/>
      <c r="L15" s="5">
        <v>2.1</v>
      </c>
      <c r="M15" s="27">
        <f>G26</f>
        <v>133740812.23000002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+'[7]INGR SEGUN ORIGEN'!E35+'[7]INGR SEGUN ORIGEN'!E42</f>
        <v>9309369.0899999999</v>
      </c>
      <c r="H16" s="25"/>
      <c r="I16" s="23"/>
      <c r="J16" s="17"/>
      <c r="L16" s="5">
        <v>2.2000000000000002</v>
      </c>
      <c r="M16" s="27">
        <f>G87</f>
        <v>1896797.14</v>
      </c>
      <c r="N16" s="27">
        <f>H87</f>
        <v>2083820.5399999998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170940966.06</v>
      </c>
      <c r="J17" s="17"/>
      <c r="L17" s="5">
        <v>2.2999999999999998</v>
      </c>
      <c r="M17" s="27">
        <f>'[7]CONS. FUENTES FINAN'!G212</f>
        <v>13779851.370000001</v>
      </c>
      <c r="N17" s="27">
        <f>'[7]CONS. FUENTES FINAN'!H212</f>
        <v>2184325.87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3600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8010447.2599999988</v>
      </c>
      <c r="N19" s="27">
        <f>H336</f>
        <v>2755244.7199999997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'[7]CONS. FUENTES FINAN'!G463</f>
        <v>0</v>
      </c>
      <c r="N20" s="27">
        <f>'[7]CONS.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174">
        <v>2</v>
      </c>
      <c r="G21" s="210">
        <v>3</v>
      </c>
      <c r="H21" s="211"/>
      <c r="I21" s="42">
        <v>4</v>
      </c>
      <c r="J21" s="42">
        <v>5</v>
      </c>
    </row>
    <row r="22" spans="1:16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173"/>
      <c r="M24" s="173"/>
      <c r="N24" s="173"/>
      <c r="O24" s="173"/>
      <c r="P24" s="17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157427908</v>
      </c>
      <c r="H25" s="47">
        <f>+H26+H87+H212+H330+H336+H463</f>
        <v>7026991.1299999999</v>
      </c>
      <c r="I25" s="47">
        <f t="shared" ref="I25:I88" si="0">SUM(G25:H25)</f>
        <v>164454899.13</v>
      </c>
      <c r="J25" s="48">
        <f>+J26+J87+J212+J330+J336+J463</f>
        <v>1</v>
      </c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133740812.23000002</v>
      </c>
      <c r="H26" s="52">
        <f>+H27+H51+H64+H71+H78</f>
        <v>0</v>
      </c>
      <c r="I26" s="52">
        <f t="shared" si="0"/>
        <v>133740812.23000002</v>
      </c>
      <c r="J26" s="53">
        <f>I26/$I$25</f>
        <v>0.81323702083377403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121133009.37000002</v>
      </c>
      <c r="H27" s="56">
        <f>+H28+H35+H42+H44+H46</f>
        <v>0</v>
      </c>
      <c r="I27" s="56">
        <f t="shared" si="0"/>
        <v>121133009.37000002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59046800.350000001</v>
      </c>
      <c r="H28" s="59">
        <f>SUM(H29:H34)</f>
        <v>0</v>
      </c>
      <c r="I28" s="59">
        <f t="shared" si="0"/>
        <v>59046800.350000001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'[7]CUENTA T FONDO 100'!A97</f>
        <v>59046800.350000001</v>
      </c>
      <c r="H29" s="64">
        <f>'[7]CUENTA T VS'!A75</f>
        <v>0</v>
      </c>
      <c r="I29" s="64">
        <f t="shared" si="0"/>
        <v>59046800.350000001</v>
      </c>
      <c r="J29" s="65">
        <f t="shared" ref="J29:J34" si="1">I29/$I$25</f>
        <v>0.35904555390182741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'[7]CUENTA T FONDO 100'!B97</f>
        <v>0</v>
      </c>
      <c r="H30" s="64">
        <f>'[7]CUENTA T VS'!B75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'[7]CUENTA T FONDO 100'!C97</f>
        <v>0</v>
      </c>
      <c r="H31" s="64">
        <f>'[7]CUENTA T VS'!C75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'[7]CUENTA T FONDO 100'!D97</f>
        <v>0</v>
      </c>
      <c r="H32" s="64">
        <f>'[7]CUENTA T VS'!D75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'[7]CUENTA T FONDO 100'!E97</f>
        <v>0</v>
      </c>
      <c r="H33" s="64">
        <f>'[7]CUENTA T VS'!E75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'[7]CUENTA T FONDO 100'!F97</f>
        <v>0</v>
      </c>
      <c r="H34" s="64">
        <f>'[7]CUENTA T VS'!F75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1342531.03</v>
      </c>
      <c r="H35" s="59">
        <f>SUM(H36:H41)</f>
        <v>0</v>
      </c>
      <c r="I35" s="59">
        <f t="shared" si="0"/>
        <v>1342531.03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'[7]CUENTA T FONDO 100'!G97</f>
        <v>0</v>
      </c>
      <c r="H36" s="64">
        <f>'[7]CUENTA T VS'!G75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'[7]CUENTA T FONDO 100'!H97</f>
        <v>0</v>
      </c>
      <c r="H37" s="64">
        <f>'[7]CUENTA T VS'!H75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'[7]CUENTA T FONDO 100'!I97</f>
        <v>0</v>
      </c>
      <c r="H38" s="64">
        <f>'[7]CUENTA T VS'!I75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'[7]CUENTA T FONDO 100'!J97</f>
        <v>1342531.03</v>
      </c>
      <c r="H39" s="64">
        <f>'[7]CUENTA T VS'!J75</f>
        <v>0</v>
      </c>
      <c r="I39" s="64">
        <f t="shared" si="0"/>
        <v>1342531.03</v>
      </c>
      <c r="J39" s="65">
        <f t="shared" si="2"/>
        <v>8.1635210449932678E-3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'[7]CUENTA T FONDO 100'!K97</f>
        <v>0</v>
      </c>
      <c r="H40" s="64">
        <f>'[7]CUENTA T VS'!K75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'[7]CUENTA T FONDO 100'!L97</f>
        <v>0</v>
      </c>
      <c r="H41" s="64">
        <f>'[7]CUENTA T VS'!L75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'[7]CUENTA T FONDO 100'!M97</f>
        <v>0</v>
      </c>
      <c r="H43" s="64">
        <f>'[7]CUENTA T VS'!M75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60212858.700000003</v>
      </c>
      <c r="H44" s="59">
        <f>SUM(H45)</f>
        <v>0</v>
      </c>
      <c r="I44" s="59">
        <f t="shared" si="0"/>
        <v>60212858.700000003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'[7]CUENTA T FONDO 100'!N97</f>
        <v>60212858.700000003</v>
      </c>
      <c r="H45" s="64">
        <f>'[7]CUENTA T VS'!N75</f>
        <v>0</v>
      </c>
      <c r="I45" s="64">
        <f t="shared" si="0"/>
        <v>60212858.700000003</v>
      </c>
      <c r="J45" s="65">
        <f>I45/$I$25</f>
        <v>0.36613599849282885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530819.29</v>
      </c>
      <c r="H46" s="59">
        <f>SUM(H47:H50)</f>
        <v>0</v>
      </c>
      <c r="I46" s="59">
        <f t="shared" si="0"/>
        <v>530819.29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'[7]CUENTA T FONDO 100'!O97</f>
        <v>0</v>
      </c>
      <c r="H47" s="64">
        <f>'[7]CUENTA T VS'!O75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'[7]CUENTA T FONDO 100'!P97</f>
        <v>0</v>
      </c>
      <c r="H48" s="64">
        <f>'[7]CUENTA T VS'!P75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'[7]CUENTA T FONDO 100'!Q97</f>
        <v>51000</v>
      </c>
      <c r="H49" s="64">
        <f>'[7]CUENTA T VS'!Q75</f>
        <v>0</v>
      </c>
      <c r="I49" s="64">
        <f t="shared" si="0"/>
        <v>51000</v>
      </c>
      <c r="J49" s="65">
        <f>I49/$I$25</f>
        <v>3.1011541930219417E-4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'[7]CUENTA T FONDO 100'!R97</f>
        <v>479819.29</v>
      </c>
      <c r="H50" s="64">
        <f>'[7]CUENTA T VS'!R75</f>
        <v>0</v>
      </c>
      <c r="I50" s="64">
        <f t="shared" si="0"/>
        <v>479819.29</v>
      </c>
      <c r="J50" s="65">
        <f>I50/$I$25</f>
        <v>2.9176345158359041E-3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3315450.18</v>
      </c>
      <c r="H51" s="56">
        <f>+H52+H54</f>
        <v>0</v>
      </c>
      <c r="I51" s="56">
        <f t="shared" si="0"/>
        <v>3315450.18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2652914.66</v>
      </c>
      <c r="H52" s="59">
        <f>SUM(H53)</f>
        <v>0</v>
      </c>
      <c r="I52" s="59">
        <f t="shared" si="0"/>
        <v>2652914.66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'[7]CUENTA T FONDO 100'!S97</f>
        <v>2652914.66</v>
      </c>
      <c r="H53" s="64">
        <f>'[7]CUENTA T VS'!S75</f>
        <v>0</v>
      </c>
      <c r="I53" s="64">
        <f t="shared" si="0"/>
        <v>2652914.66</v>
      </c>
      <c r="J53" s="65">
        <f>I53/$I$25</f>
        <v>1.6131563571741923E-2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662535.52</v>
      </c>
      <c r="H54" s="59">
        <f>SUM(H55:H63)</f>
        <v>0</v>
      </c>
      <c r="I54" s="59">
        <f t="shared" si="0"/>
        <v>662535.52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'[7]CUENTA T FONDO 100'!T97</f>
        <v>0</v>
      </c>
      <c r="H55" s="64">
        <f>'[7]CUENTA T VS'!T75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'[7]CUENTA T FONDO 100'!U97</f>
        <v>0</v>
      </c>
      <c r="H56" s="64">
        <f>'[7]CUENTA T VS'!U75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'[7]CUENTA T FONDO 100'!V97</f>
        <v>0</v>
      </c>
      <c r="H57" s="64">
        <f>'[7]CUENTA T VS'!V75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'[7]CUENTA T FONDO 100'!W97</f>
        <v>75000</v>
      </c>
      <c r="H58" s="64">
        <f>'[7]CUENTA T VS'!W75</f>
        <v>0</v>
      </c>
      <c r="I58" s="64">
        <f t="shared" si="0"/>
        <v>75000</v>
      </c>
      <c r="J58" s="65">
        <f t="shared" si="3"/>
        <v>4.5605208720910911E-4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'[7]CUENTA T FONDO 100'!X97</f>
        <v>0</v>
      </c>
      <c r="H59" s="64">
        <f>'[7]CUENTA T VS'!X75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'[7]CUENTA T FONDO 100'!Y97</f>
        <v>0</v>
      </c>
      <c r="H60" s="64">
        <f>'[7]CUENTA T VS'!Y75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'[7]CUENTA T FONDO 100'!Z97</f>
        <v>317800</v>
      </c>
      <c r="H61" s="64">
        <f>'[7]CUENTA T VS'!Z75</f>
        <v>0</v>
      </c>
      <c r="I61" s="64">
        <f t="shared" si="0"/>
        <v>317800</v>
      </c>
      <c r="J61" s="65">
        <f t="shared" si="3"/>
        <v>1.9324447108673983E-3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'[7]CUENTA T FONDO 100'!AA97</f>
        <v>0</v>
      </c>
      <c r="H62" s="64">
        <f>'[7]CUENTA T VS'!AA75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'[7]CUENTA T FONDO 100'!AB97</f>
        <v>269735.52</v>
      </c>
      <c r="H63" s="64">
        <f>'[7]CUENTA T VS'!AB75</f>
        <v>0</v>
      </c>
      <c r="I63" s="64">
        <f t="shared" si="0"/>
        <v>269735.52</v>
      </c>
      <c r="J63" s="65">
        <f t="shared" si="3"/>
        <v>1.6401792918724588E-3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'[7]CUENTA T FONDO 100'!AC97</f>
        <v>0</v>
      </c>
      <c r="H66" s="64">
        <f>'[7]CUENTA T VS'!AC75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'[7]CUENTA T FONDO 100'!AD97</f>
        <v>0</v>
      </c>
      <c r="H67" s="64">
        <f>'[7]CUENTA T VS'!AD75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'[7]CUENTA T FONDO 100'!AE97</f>
        <v>0</v>
      </c>
      <c r="H69" s="64">
        <f>'[7]CUENTA T VS'!AE75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'[7]CUENTA T FONDO 100'!AF97</f>
        <v>0</v>
      </c>
      <c r="H70" s="64">
        <f>'[7]CUENTA T VS'!AF75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'[7]CUENTA T FONDO 100'!AG97</f>
        <v>0</v>
      </c>
      <c r="H73" s="64">
        <f>'[7]CUENTA T VS'!AG75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'[7]CUENTA T FONDO 100'!AH97</f>
        <v>0</v>
      </c>
      <c r="H75" s="64">
        <f>'[7]CUENTA T VS'!AH75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'[7]CUENTA T FONDO 100'!AI97</f>
        <v>0</v>
      </c>
      <c r="H76" s="64">
        <f>'[7]CUENTA T VS'!AI75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'[7]CUENTA T FONDO 100'!AJ97</f>
        <v>0</v>
      </c>
      <c r="H77" s="64">
        <f>'[7]CUENTA T VS'!AJ75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9292352.6799999997</v>
      </c>
      <c r="H78" s="56">
        <f>+H79+H81+H83+H85</f>
        <v>0</v>
      </c>
      <c r="I78" s="56">
        <f t="shared" si="0"/>
        <v>9292352.6799999997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4281604.3899999997</v>
      </c>
      <c r="H79" s="59">
        <f>SUM(H80)</f>
        <v>0</v>
      </c>
      <c r="I79" s="59">
        <f t="shared" si="0"/>
        <v>4281604.3899999997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'[7]CUENTA T FONDO 100'!AK97</f>
        <v>4281604.3899999997</v>
      </c>
      <c r="H80" s="64">
        <f>'[7]CUENTA T VS'!AK75</f>
        <v>0</v>
      </c>
      <c r="I80" s="64">
        <f t="shared" si="0"/>
        <v>4281604.3899999997</v>
      </c>
      <c r="J80" s="65">
        <f>I80/$I$25</f>
        <v>2.6035128248842458E-2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4287644.2299999995</v>
      </c>
      <c r="H81" s="59">
        <f>SUM(H82)</f>
        <v>0</v>
      </c>
      <c r="I81" s="59">
        <f t="shared" si="0"/>
        <v>4287644.2299999995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'[7]CUENTA T FONDO 100'!AL97</f>
        <v>4287644.2299999995</v>
      </c>
      <c r="H82" s="64">
        <f>'[7]CUENTA T VS'!AL75</f>
        <v>0</v>
      </c>
      <c r="I82" s="64">
        <f t="shared" si="0"/>
        <v>4287644.2299999995</v>
      </c>
      <c r="J82" s="65">
        <f>I82/$I$25</f>
        <v>2.607185467068791E-2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723104.06</v>
      </c>
      <c r="H83" s="59">
        <f>SUM(H84)</f>
        <v>0</v>
      </c>
      <c r="I83" s="59">
        <f t="shared" si="0"/>
        <v>723104.06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'[7]CUENTA T FONDO 100'!AM97</f>
        <v>723104.06</v>
      </c>
      <c r="H84" s="64">
        <f>'[7]CUENTA T VS'!AM75</f>
        <v>0</v>
      </c>
      <c r="I84" s="64">
        <f t="shared" si="0"/>
        <v>723104.06</v>
      </c>
      <c r="J84" s="65">
        <f>I84/$I$25</f>
        <v>4.3969748777650782E-3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'[7]CUENTA T FONDO 100'!AN97</f>
        <v>0</v>
      </c>
      <c r="H86" s="64">
        <f>'[7]CUENTA T VS'!AN75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1896797.14</v>
      </c>
      <c r="H87" s="56">
        <f>H88+H106+H111+H116+H125+H148+H157+H179+H208</f>
        <v>2083820.5399999998</v>
      </c>
      <c r="I87" s="56">
        <f t="shared" si="0"/>
        <v>3980617.6799999997</v>
      </c>
      <c r="J87" s="53">
        <f>I87/$I$25</f>
        <v>2.4204920017939752E-2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60535</v>
      </c>
      <c r="H88" s="56">
        <f>+H89+H91+H93+H95+H97+H99+H102+H104</f>
        <v>745000</v>
      </c>
      <c r="I88" s="56">
        <f t="shared" si="0"/>
        <v>805535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'[7]CUENTA T FONDO 100'!AO97</f>
        <v>0</v>
      </c>
      <c r="H90" s="64">
        <f>'[7]CUENTA T VS'!AO75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'[7]CUENTA T FONDO 100'!AP97</f>
        <v>0</v>
      </c>
      <c r="H92" s="64">
        <f>'[7]CUENTA T VS'!AP75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0</v>
      </c>
      <c r="I93" s="59">
        <f t="shared" si="4"/>
        <v>0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'[7]CUENTA T FONDO 100'!AQ97</f>
        <v>0</v>
      </c>
      <c r="H94" s="64">
        <f>'[7]CUENTA T VS'!AQ75</f>
        <v>0</v>
      </c>
      <c r="I94" s="64">
        <f t="shared" si="4"/>
        <v>0</v>
      </c>
      <c r="J94" s="65">
        <f>I94/$I$25</f>
        <v>0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'[7]CUENTA T FONDO 100'!AR97</f>
        <v>0</v>
      </c>
      <c r="H96" s="64">
        <f>'[7]CUENTA T VS'!AR75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'[7]CUENTA T FONDO 100'!AS97</f>
        <v>0</v>
      </c>
      <c r="H98" s="64">
        <f>'[7]CUENTA T VS'!AS75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'[7]CUENTA T FONDO 100'!AT97</f>
        <v>0</v>
      </c>
      <c r="H100" s="64">
        <f>'[7]CUENTA T VS'!AT75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'[7]CUENTA T FONDO 100'!AU97</f>
        <v>0</v>
      </c>
      <c r="H101" s="64">
        <f>'[7]CUENTA T VS'!AU75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60535</v>
      </c>
      <c r="H102" s="59">
        <f>SUM(H103)</f>
        <v>0</v>
      </c>
      <c r="I102" s="59">
        <f t="shared" si="4"/>
        <v>60535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'[7]CUENTA T FONDO 100'!AV97</f>
        <v>60535</v>
      </c>
      <c r="H103" s="64">
        <f>'[7]CUENTA T VS'!AV75</f>
        <v>0</v>
      </c>
      <c r="I103" s="64">
        <f t="shared" si="4"/>
        <v>60535</v>
      </c>
      <c r="J103" s="65">
        <f>I103/$I$25</f>
        <v>3.6809484132271225E-4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745000</v>
      </c>
      <c r="I104" s="59">
        <f t="shared" si="4"/>
        <v>745000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'[7]CUENTA T FONDO 100'!AW97</f>
        <v>0</v>
      </c>
      <c r="H105" s="64">
        <f>'[7]CUENTA T VS'!AW75</f>
        <v>745000</v>
      </c>
      <c r="I105" s="64">
        <f t="shared" si="4"/>
        <v>745000</v>
      </c>
      <c r="J105" s="65">
        <f>I105/$I$25</f>
        <v>4.5301173996104838E-3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0</v>
      </c>
      <c r="H106" s="56">
        <f>+H107+H109</f>
        <v>221258.85</v>
      </c>
      <c r="I106" s="56">
        <f t="shared" si="4"/>
        <v>221258.85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221258.85</v>
      </c>
      <c r="I107" s="59">
        <f t="shared" si="4"/>
        <v>221258.85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'[7]CUENTA T FONDO 100'!AX97</f>
        <v>0</v>
      </c>
      <c r="H108" s="64">
        <f>'[7]CUENTA T VS'!AX75</f>
        <v>221258.85</v>
      </c>
      <c r="I108" s="64">
        <f t="shared" si="4"/>
        <v>221258.85</v>
      </c>
      <c r="J108" s="65">
        <f>I108/$I$25</f>
        <v>1.3454074714131625E-3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0</v>
      </c>
      <c r="H109" s="59">
        <f>SUM(H110)</f>
        <v>0</v>
      </c>
      <c r="I109" s="59">
        <f t="shared" si="4"/>
        <v>0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'[7]CUENTA T FONDO 100'!AY97</f>
        <v>0</v>
      </c>
      <c r="H110" s="64">
        <f>'[7]CUENTA T VS'!AY75</f>
        <v>0</v>
      </c>
      <c r="I110" s="64">
        <f t="shared" si="4"/>
        <v>0</v>
      </c>
      <c r="J110" s="65">
        <f>I110/$I$25</f>
        <v>0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'[7]CUENTA T FONDO 100'!AZ97</f>
        <v>0</v>
      </c>
      <c r="H113" s="64">
        <f>'[7]CUENTA T VS'!AZ75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'[7]CUENTA T FONDO 100'!BA97</f>
        <v>0</v>
      </c>
      <c r="H115" s="64">
        <f>'[7]CUENTA T VS'!BA75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20000</v>
      </c>
      <c r="I116" s="56">
        <f t="shared" si="4"/>
        <v>20000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20000</v>
      </c>
      <c r="I117" s="59">
        <f t="shared" si="4"/>
        <v>20000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'[7]CUENTA T FONDO 100'!BB97</f>
        <v>0</v>
      </c>
      <c r="H118" s="64">
        <f>'[7]CUENTA T VS'!BB75</f>
        <v>20000</v>
      </c>
      <c r="I118" s="64">
        <f t="shared" si="4"/>
        <v>20000</v>
      </c>
      <c r="J118" s="65">
        <f>I118/$I$25</f>
        <v>1.216138899224291E-4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0</v>
      </c>
      <c r="I119" s="59">
        <f t="shared" si="4"/>
        <v>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'[7]CUENTA T FONDO 100'!BC97</f>
        <v>0</v>
      </c>
      <c r="H120" s="64">
        <f>'[7]CUENTA T VS'!BC75</f>
        <v>0</v>
      </c>
      <c r="I120" s="64">
        <f t="shared" si="4"/>
        <v>0</v>
      </c>
      <c r="J120" s="65">
        <f>I120/$I$25</f>
        <v>0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'[7]CUENTA T FONDO 100'!BD97</f>
        <v>0</v>
      </c>
      <c r="H122" s="64">
        <f>'[7]CUENTA T VS'!BD75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'[7]CUENTA T FONDO 100'!BE97</f>
        <v>0</v>
      </c>
      <c r="H124" s="64">
        <f>'[7]CUENTA T VS'!BE75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0</v>
      </c>
      <c r="H125" s="56">
        <f>+H126+H128+H130+H136+H138+H140+H142+H144+H146</f>
        <v>0</v>
      </c>
      <c r="I125" s="56">
        <f t="shared" si="4"/>
        <v>0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'[7]CUENTA T FONDO 100'!BF97</f>
        <v>0</v>
      </c>
      <c r="H127" s="64">
        <f>'[7]CUENTA T VS'!BF75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'[7]CUENTA T FONDO 100'!BG97</f>
        <v>0</v>
      </c>
      <c r="H129" s="64">
        <f>'[7]CUENTA T VS'!BG75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0</v>
      </c>
      <c r="H130" s="59">
        <f>SUM(H131:H135)</f>
        <v>0</v>
      </c>
      <c r="I130" s="59">
        <f t="shared" si="4"/>
        <v>0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'[7]CUENTA T FONDO 100'!BH97</f>
        <v>0</v>
      </c>
      <c r="H131" s="64">
        <f>'[7]CUENTA T VS'!BH75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'[7]CUENTA T FONDO 100'!BI97</f>
        <v>0</v>
      </c>
      <c r="H132" s="64">
        <f>'[7]CUENTA T VS'!BI75</f>
        <v>0</v>
      </c>
      <c r="I132" s="64">
        <f t="shared" si="4"/>
        <v>0</v>
      </c>
      <c r="J132" s="65">
        <f>I132/$I$25</f>
        <v>0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'[7]CUENTA T FONDO 100'!BJ97</f>
        <v>0</v>
      </c>
      <c r="H133" s="64">
        <f>'[7]CUENTA T VS'!BJ75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'[7]CUENTA T FONDO 100'!BK97</f>
        <v>0</v>
      </c>
      <c r="H134" s="64">
        <f>'[7]CUENTA T VS'!BK75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'[7]CUENTA T FONDO 100'!BL97</f>
        <v>0</v>
      </c>
      <c r="H135" s="64">
        <f>'[7]CUENTA T VS'!BL75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'[7]CUENTA T FONDO 100'!BM97</f>
        <v>0</v>
      </c>
      <c r="H137" s="64">
        <f>'[7]CUENTA T VS'!BM75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'[7]CUENTA T FONDO 100'!BN97</f>
        <v>0</v>
      </c>
      <c r="H139" s="64">
        <f>'[7]CUENTA T VS'!BN75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'[7]CUENTA T FONDO 100'!BO97</f>
        <v>0</v>
      </c>
      <c r="H141" s="64">
        <f>'[7]CUENTA T VS'!BO75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'[7]CUENTA T FONDO 100'!BP97</f>
        <v>0</v>
      </c>
      <c r="H143" s="64">
        <f>'[7]CUENTA T VS'!BP75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'[7]CUENTA T FONDO 100'!BQ97</f>
        <v>0</v>
      </c>
      <c r="H145" s="64">
        <f>'[7]CUENTA T VS'!BQ75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'[7]CUENTA T FONDO 100'!BR97</f>
        <v>0</v>
      </c>
      <c r="H147" s="64">
        <f>'[7]CUENTA T VS'!BR75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'[7]CUENTA T FONDO 100'!BS97</f>
        <v>0</v>
      </c>
      <c r="H150" s="64">
        <f>'[7]CUENTA T VS'!BS75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'[7]CUENTA T FONDO 100'!BT97</f>
        <v>0</v>
      </c>
      <c r="H152" s="64">
        <f>'[7]CUENTA T VS'!BT75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5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'[7]CUENTA T FONDO 100'!BU97</f>
        <v>0</v>
      </c>
      <c r="H154" s="64">
        <f>'[7]CUENTA T VS'!BU75</f>
        <v>0</v>
      </c>
      <c r="I154" s="64">
        <f t="shared" si="5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5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'[7]CUENTA T FONDO 100'!BV97</f>
        <v>0</v>
      </c>
      <c r="H156" s="64">
        <f>'[7]CUENTA T VS'!BV75</f>
        <v>0</v>
      </c>
      <c r="I156" s="64">
        <f t="shared" si="5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1611762.14</v>
      </c>
      <c r="H157" s="56">
        <f>+H158+H167+H177</f>
        <v>419174.44999999995</v>
      </c>
      <c r="I157" s="56">
        <f t="shared" si="5"/>
        <v>2030936.5899999999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1606070.91</v>
      </c>
      <c r="H158" s="59">
        <f>SUM(H159:H166)</f>
        <v>57795.91</v>
      </c>
      <c r="I158" s="59">
        <f t="shared" si="5"/>
        <v>1663866.8199999998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'[7]CUENTA T FONDO 100'!BW97</f>
        <v>1575209.38</v>
      </c>
      <c r="H159" s="64">
        <f>'[7]CUENTA T VS'!BW75</f>
        <v>57795.91</v>
      </c>
      <c r="I159" s="64">
        <f t="shared" si="5"/>
        <v>1633005.2899999998</v>
      </c>
      <c r="J159" s="65">
        <f t="shared" ref="J159:J166" si="6">I159/$I$25</f>
        <v>9.9298062790402191E-3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'[7]CUENTA T FONDO 100'!BX97</f>
        <v>30861.53</v>
      </c>
      <c r="H160" s="64">
        <f>'[7]CUENTA T VS'!BX75</f>
        <v>0</v>
      </c>
      <c r="I160" s="64">
        <f t="shared" si="5"/>
        <v>30861.53</v>
      </c>
      <c r="J160" s="65">
        <f t="shared" si="6"/>
        <v>1.8765953561288715E-4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'[7]CUENTA T FONDO 100'!BY97</f>
        <v>0</v>
      </c>
      <c r="H161" s="64">
        <f>'[7]CUENTA T VS'!BY75</f>
        <v>0</v>
      </c>
      <c r="I161" s="64">
        <f t="shared" si="5"/>
        <v>0</v>
      </c>
      <c r="J161" s="65">
        <f t="shared" si="6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'[7]CUENTA T FONDO 100'!BZ97</f>
        <v>0</v>
      </c>
      <c r="H162" s="64">
        <f>'[7]CUENTA T VS'!BZ75</f>
        <v>0</v>
      </c>
      <c r="I162" s="64">
        <f t="shared" si="5"/>
        <v>0</v>
      </c>
      <c r="J162" s="65">
        <f t="shared" si="6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'[7]CUENTA T FONDO 100'!CA97</f>
        <v>0</v>
      </c>
      <c r="H163" s="64">
        <f>'[7]CUENTA T VS'!CA75</f>
        <v>0</v>
      </c>
      <c r="I163" s="64">
        <f t="shared" si="5"/>
        <v>0</v>
      </c>
      <c r="J163" s="65">
        <f t="shared" si="6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'[7]CUENTA T FONDO 100'!CB97</f>
        <v>0</v>
      </c>
      <c r="H164" s="64">
        <f>'[7]CUENTA T VS'!CB75</f>
        <v>0</v>
      </c>
      <c r="I164" s="64">
        <f t="shared" si="5"/>
        <v>0</v>
      </c>
      <c r="J164" s="65">
        <f t="shared" si="6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'[7]CUENTA T FONDO 100'!CC97</f>
        <v>0</v>
      </c>
      <c r="H165" s="64">
        <f>'[7]CUENTA T VS'!CC75</f>
        <v>0</v>
      </c>
      <c r="I165" s="64">
        <f t="shared" si="5"/>
        <v>0</v>
      </c>
      <c r="J165" s="65">
        <f t="shared" si="6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'[7]CUENTA T FONDO 100'!CD97</f>
        <v>0</v>
      </c>
      <c r="H166" s="64">
        <f>'[7]CUENTA T VS'!CD75</f>
        <v>0</v>
      </c>
      <c r="I166" s="64">
        <f t="shared" si="5"/>
        <v>0</v>
      </c>
      <c r="J166" s="65">
        <f t="shared" si="6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5691.23</v>
      </c>
      <c r="H167" s="59">
        <f>SUM(H168:H176)</f>
        <v>361378.54</v>
      </c>
      <c r="I167" s="59">
        <f t="shared" si="5"/>
        <v>367069.76999999996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'[7]CUENTA T FONDO 100'!CE97</f>
        <v>0</v>
      </c>
      <c r="H168" s="64">
        <f>'[7]CUENTA T VS'!CE75</f>
        <v>0</v>
      </c>
      <c r="I168" s="64">
        <f t="shared" si="5"/>
        <v>0</v>
      </c>
      <c r="J168" s="65">
        <f t="shared" ref="J168:J176" si="7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'[7]CUENTA T FONDO 100'!CF97</f>
        <v>0</v>
      </c>
      <c r="H169" s="64">
        <f>'[7]CUENTA T VS'!CF75</f>
        <v>0</v>
      </c>
      <c r="I169" s="64">
        <f t="shared" si="5"/>
        <v>0</v>
      </c>
      <c r="J169" s="65">
        <f t="shared" si="7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'[7]CUENTA T FONDO 100'!CG97</f>
        <v>0</v>
      </c>
      <c r="H170" s="64">
        <f>'[7]CUENTA T VS'!CG75</f>
        <v>0</v>
      </c>
      <c r="I170" s="64">
        <f t="shared" si="5"/>
        <v>0</v>
      </c>
      <c r="J170" s="65">
        <f t="shared" si="7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'[7]CUENTA T FONDO 100'!CH97</f>
        <v>5691.23</v>
      </c>
      <c r="H171" s="64">
        <f>'[7]CUENTA T VS'!CH75</f>
        <v>0</v>
      </c>
      <c r="I171" s="64">
        <f t="shared" si="5"/>
        <v>5691.23</v>
      </c>
      <c r="J171" s="65">
        <f t="shared" si="7"/>
        <v>3.4606630937161302E-5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'[7]CUENTA T FONDO 100'!CI97</f>
        <v>0</v>
      </c>
      <c r="H172" s="64">
        <f>'[7]CUENTA T VS'!CI75</f>
        <v>0</v>
      </c>
      <c r="I172" s="64">
        <f t="shared" si="5"/>
        <v>0</v>
      </c>
      <c r="J172" s="65">
        <f t="shared" si="7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'[7]CUENTA T FONDO 100'!CJ97</f>
        <v>0</v>
      </c>
      <c r="H173" s="64">
        <f>'[7]CUENTA T VS'!CJ75</f>
        <v>0</v>
      </c>
      <c r="I173" s="64">
        <f t="shared" si="5"/>
        <v>0</v>
      </c>
      <c r="J173" s="65">
        <f t="shared" si="7"/>
        <v>0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'[7]CUENTA T FONDO 100'!CK97</f>
        <v>0</v>
      </c>
      <c r="H174" s="64">
        <f>'[7]CUENTA T VS'!CK75</f>
        <v>0</v>
      </c>
      <c r="I174" s="64">
        <f t="shared" si="5"/>
        <v>0</v>
      </c>
      <c r="J174" s="65">
        <f t="shared" si="7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'[7]CUENTA T FONDO 100'!CL97</f>
        <v>0</v>
      </c>
      <c r="H175" s="64">
        <f>'[7]CUENTA T VS'!CL75</f>
        <v>361378.54</v>
      </c>
      <c r="I175" s="64">
        <f t="shared" si="5"/>
        <v>361378.54</v>
      </c>
      <c r="J175" s="65">
        <f t="shared" si="7"/>
        <v>2.1974324991944068E-3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'[7]CUENTA T FONDO 100'!CM97</f>
        <v>0</v>
      </c>
      <c r="H176" s="64">
        <f>'[7]CUENTA T VS'!CM75</f>
        <v>0</v>
      </c>
      <c r="I176" s="64">
        <f t="shared" si="5"/>
        <v>0</v>
      </c>
      <c r="J176" s="65">
        <f t="shared" si="7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5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'[7]CUENTA T FONDO 100'!CN97</f>
        <v>0</v>
      </c>
      <c r="H178" s="64">
        <f>'[7]CUENTA T VS'!CN75</f>
        <v>0</v>
      </c>
      <c r="I178" s="64">
        <f t="shared" si="5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224500</v>
      </c>
      <c r="H179" s="56">
        <f>+H180+H182+H184+H186+H188+H192+H197+H204</f>
        <v>678387.24</v>
      </c>
      <c r="I179" s="56">
        <f t="shared" si="5"/>
        <v>902887.24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5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'[7]CUENTA T FONDO 100'!CO97</f>
        <v>0</v>
      </c>
      <c r="H181" s="64">
        <f>'[7]CUENTA T VS'!CO75</f>
        <v>0</v>
      </c>
      <c r="I181" s="64">
        <f t="shared" si="5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0</v>
      </c>
      <c r="I182" s="59">
        <f t="shared" si="5"/>
        <v>0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'[7]CUENTA T FONDO 100'!CP97</f>
        <v>0</v>
      </c>
      <c r="H183" s="64">
        <f>'[7]CUENTA T VS'!CP75</f>
        <v>0</v>
      </c>
      <c r="I183" s="64">
        <f t="shared" si="5"/>
        <v>0</v>
      </c>
      <c r="J183" s="65">
        <f>I183/$I$25</f>
        <v>0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224500</v>
      </c>
      <c r="H184" s="59">
        <f>SUM(H185)</f>
        <v>0</v>
      </c>
      <c r="I184" s="59">
        <f t="shared" si="5"/>
        <v>224500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'[7]CUENTA T FONDO 100'!CQ97</f>
        <v>224500</v>
      </c>
      <c r="H185" s="64">
        <f>'[7]CUENTA T VS'!CQ75</f>
        <v>0</v>
      </c>
      <c r="I185" s="64">
        <f t="shared" si="5"/>
        <v>224500</v>
      </c>
      <c r="J185" s="65">
        <f>I185/$I$25</f>
        <v>1.3651159143792666E-3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5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'[7]CUENTA T FONDO 100'!CR97</f>
        <v>0</v>
      </c>
      <c r="H187" s="64">
        <f>'[7]CUENTA T VS'!CR75</f>
        <v>0</v>
      </c>
      <c r="I187" s="64">
        <f t="shared" si="5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185260</v>
      </c>
      <c r="I188" s="59">
        <f t="shared" si="5"/>
        <v>185260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'[7]CUENTA T FONDO 100'!CS97</f>
        <v>0</v>
      </c>
      <c r="H189" s="64">
        <f>'[7]CUENTA T VS'!CS75</f>
        <v>0</v>
      </c>
      <c r="I189" s="64">
        <f t="shared" si="5"/>
        <v>0</v>
      </c>
      <c r="J189" s="65">
        <f>I189/$I$25</f>
        <v>0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'[7]CUENTA T FONDO 100'!CT97</f>
        <v>0</v>
      </c>
      <c r="H190" s="64">
        <f>'[7]CUENTA T VS'!CT75</f>
        <v>0</v>
      </c>
      <c r="I190" s="64">
        <f t="shared" si="5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'[7]CUENTA T FONDO 100'!CU97</f>
        <v>0</v>
      </c>
      <c r="H191" s="64">
        <f>'[7]CUENTA T VS'!CU75</f>
        <v>185260</v>
      </c>
      <c r="I191" s="64">
        <f t="shared" si="5"/>
        <v>185260</v>
      </c>
      <c r="J191" s="65">
        <f>I191/$I$25</f>
        <v>1.1265094623514607E-3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0</v>
      </c>
      <c r="I192" s="59">
        <f t="shared" si="5"/>
        <v>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'[7]CUENTA T FONDO 100'!CV97</f>
        <v>0</v>
      </c>
      <c r="H193" s="64">
        <f>'[7]CUENTA T VS'!CV75</f>
        <v>0</v>
      </c>
      <c r="I193" s="64">
        <f t="shared" si="5"/>
        <v>0</v>
      </c>
      <c r="J193" s="65">
        <f>I193/$I$25</f>
        <v>0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'[7]CUENTA T FONDO 100'!CW97</f>
        <v>0</v>
      </c>
      <c r="H194" s="64">
        <f>'[7]CUENTA T VS'!CW75</f>
        <v>0</v>
      </c>
      <c r="I194" s="64">
        <f t="shared" si="5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'[7]CUENTA T FONDO 100'!CX97</f>
        <v>0</v>
      </c>
      <c r="H195" s="64">
        <f>'[7]CUENTA T VS'!CX75</f>
        <v>0</v>
      </c>
      <c r="I195" s="64">
        <f t="shared" si="5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'[7]CUENTA T FONDO 100'!CY97</f>
        <v>0</v>
      </c>
      <c r="H196" s="64">
        <f>'[7]CUENTA T VS'!CY75</f>
        <v>0</v>
      </c>
      <c r="I196" s="64">
        <f t="shared" si="5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479040</v>
      </c>
      <c r="I197" s="59">
        <f t="shared" si="5"/>
        <v>479040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'[7]CUENTA T FONDO 100'!CZ97</f>
        <v>0</v>
      </c>
      <c r="H198" s="64">
        <f>'[7]CUENTA T VS'!CZ75</f>
        <v>0</v>
      </c>
      <c r="I198" s="64">
        <f t="shared" si="5"/>
        <v>0</v>
      </c>
      <c r="J198" s="65">
        <f t="shared" ref="J198:J203" si="8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'[7]CUENTA T FONDO 100'!DA97</f>
        <v>0</v>
      </c>
      <c r="H199" s="64">
        <f>'[7]CUENTA T VS'!DA75</f>
        <v>0</v>
      </c>
      <c r="I199" s="64">
        <f t="shared" si="5"/>
        <v>0</v>
      </c>
      <c r="J199" s="65">
        <f t="shared" si="8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'[7]CUENTA T FONDO 100'!DB97</f>
        <v>0</v>
      </c>
      <c r="H200" s="64">
        <f>'[7]CUENTA T VS'!DB75</f>
        <v>0</v>
      </c>
      <c r="I200" s="64">
        <f t="shared" si="5"/>
        <v>0</v>
      </c>
      <c r="J200" s="65">
        <f t="shared" si="8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'[7]CUENTA T FONDO 100'!DC97</f>
        <v>0</v>
      </c>
      <c r="H201" s="64">
        <f>'[7]CUENTA T VS'!DC75</f>
        <v>0</v>
      </c>
      <c r="I201" s="64">
        <f t="shared" si="5"/>
        <v>0</v>
      </c>
      <c r="J201" s="65">
        <f t="shared" si="8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'[7]CUENTA T FONDO 100'!DD97</f>
        <v>0</v>
      </c>
      <c r="H202" s="64">
        <f>'[7]CUENTA T VS'!DD75</f>
        <v>244260</v>
      </c>
      <c r="I202" s="64">
        <f t="shared" si="5"/>
        <v>244260</v>
      </c>
      <c r="J202" s="65">
        <f t="shared" si="8"/>
        <v>1.4852704376226266E-3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'[7]CUENTA T FONDO 100'!DE97</f>
        <v>0</v>
      </c>
      <c r="H203" s="64">
        <f>'[7]CUENTA T VS'!DE75</f>
        <v>234780</v>
      </c>
      <c r="I203" s="64">
        <f t="shared" si="5"/>
        <v>234780</v>
      </c>
      <c r="J203" s="65">
        <f t="shared" si="8"/>
        <v>1.4276254537993953E-3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14087.239999999996</v>
      </c>
      <c r="I204" s="59">
        <f t="shared" si="5"/>
        <v>14087.239999999996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'[7]CUENTA T FONDO 100'!DF97</f>
        <v>0</v>
      </c>
      <c r="H205" s="64">
        <f>'[7]CUENTA T VS'!DF75</f>
        <v>14087.239999999996</v>
      </c>
      <c r="I205" s="64">
        <f t="shared" si="5"/>
        <v>14087.239999999996</v>
      </c>
      <c r="J205" s="65">
        <f>I205/$I$25</f>
        <v>8.566020273354198E-5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'[7]CUENTA T FONDO 100'!DG97</f>
        <v>0</v>
      </c>
      <c r="H206" s="64">
        <f>'[7]CUENTA T VS'!DG75</f>
        <v>0</v>
      </c>
      <c r="I206" s="64">
        <f t="shared" si="5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'[7]CUENTA T FONDO 100'!DH97</f>
        <v>0</v>
      </c>
      <c r="H207" s="64">
        <f>'[7]CUENTA T VS'!DH75</f>
        <v>0</v>
      </c>
      <c r="I207" s="64">
        <f t="shared" si="5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0</v>
      </c>
      <c r="H208" s="56">
        <f>+H209</f>
        <v>0</v>
      </c>
      <c r="I208" s="56">
        <f t="shared" si="5"/>
        <v>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>H210+H211</f>
        <v>0</v>
      </c>
      <c r="I209" s="59">
        <f t="shared" si="5"/>
        <v>0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'[7]CUENTA T FONDO 100'!DI97</f>
        <v>0</v>
      </c>
      <c r="H210" s="64">
        <f>'[7]CUENTA T VS'!DI75</f>
        <v>0</v>
      </c>
      <c r="I210" s="64">
        <f t="shared" si="5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'[7]CUENTA T FONDO 100'!DJ97</f>
        <v>0</v>
      </c>
      <c r="H211" s="64">
        <f>'[7]CUENTA T VS'!DJ75</f>
        <v>0</v>
      </c>
      <c r="I211" s="64">
        <f t="shared" si="5"/>
        <v>0</v>
      </c>
      <c r="J211" s="65">
        <f>I211/$I$25</f>
        <v>0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13779851.370000001</v>
      </c>
      <c r="H212" s="56">
        <f>H213+H225+H232+H245+H250+H261+H286+H303+H308</f>
        <v>2184325.87</v>
      </c>
      <c r="I212" s="56">
        <f t="shared" si="5"/>
        <v>15964177.240000002</v>
      </c>
      <c r="J212" s="53">
        <f>I212/$I$25</f>
        <v>9.7073284678375407E-2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292565.2</v>
      </c>
      <c r="H213" s="56">
        <f>+H214+H217+H219+H223</f>
        <v>163325</v>
      </c>
      <c r="I213" s="56">
        <f t="shared" si="5"/>
        <v>455890.2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292565.2</v>
      </c>
      <c r="H214" s="59">
        <f>SUM(H215:H216)</f>
        <v>163325</v>
      </c>
      <c r="I214" s="59">
        <f t="shared" si="5"/>
        <v>455890.2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'[7]CUENTA T FONDO 100'!DK97</f>
        <v>292565.2</v>
      </c>
      <c r="H215" s="64">
        <f>'[7]CUENTA T VS'!DK75</f>
        <v>163325</v>
      </c>
      <c r="I215" s="64">
        <f t="shared" si="5"/>
        <v>455890.2</v>
      </c>
      <c r="J215" s="65">
        <f>I215/$I$25</f>
        <v>2.7721290299757093E-3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'[7]CUENTA T FONDO 100'!DL97</f>
        <v>0</v>
      </c>
      <c r="H216" s="64">
        <f>'[7]CUENTA T VS'!DL75</f>
        <v>0</v>
      </c>
      <c r="I216" s="64">
        <f t="shared" si="5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9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'[7]CUENTA T FONDO 100'!DM97</f>
        <v>0</v>
      </c>
      <c r="H218" s="64">
        <f>'[7]CUENTA T VS'!DM75</f>
        <v>0</v>
      </c>
      <c r="I218" s="64">
        <f t="shared" si="9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9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'[7]CUENTA T FONDO 100'!DN97</f>
        <v>0</v>
      </c>
      <c r="H220" s="64">
        <f>'[7]CUENTA T VS'!DN75</f>
        <v>0</v>
      </c>
      <c r="I220" s="64">
        <f t="shared" si="9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'[7]CUENTA T FONDO 100'!DO97</f>
        <v>0</v>
      </c>
      <c r="H221" s="64">
        <f>'[7]CUENTA T VS'!DO75</f>
        <v>0</v>
      </c>
      <c r="I221" s="64">
        <f t="shared" si="9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'[7]CUENTA T FONDO 100'!DP97</f>
        <v>0</v>
      </c>
      <c r="H222" s="64">
        <f>'[7]CUENTA T VS'!DP75</f>
        <v>0</v>
      </c>
      <c r="I222" s="64">
        <f t="shared" si="9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9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'[7]CUENTA T FONDO 100'!DQ97</f>
        <v>0</v>
      </c>
      <c r="H224" s="64">
        <f>'[7]CUENTA T VS'!DQ75</f>
        <v>0</v>
      </c>
      <c r="I224" s="64">
        <f t="shared" si="9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557734.03</v>
      </c>
      <c r="H225" s="56">
        <f>+H226+H228+H230</f>
        <v>0</v>
      </c>
      <c r="I225" s="56">
        <f t="shared" si="9"/>
        <v>557734.03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557734.03</v>
      </c>
      <c r="H226" s="59">
        <f>SUM(H227)</f>
        <v>0</v>
      </c>
      <c r="I226" s="59">
        <f t="shared" si="9"/>
        <v>557734.03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'[7]CUENTA T FONDO 100'!DR97</f>
        <v>557734.03</v>
      </c>
      <c r="H227" s="64">
        <f>'[7]CUENTA T VS'!DR75</f>
        <v>0</v>
      </c>
      <c r="I227" s="64">
        <f t="shared" si="9"/>
        <v>557734.03</v>
      </c>
      <c r="J227" s="65">
        <f>I227/$I$25</f>
        <v>3.3914102465206386E-3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0</v>
      </c>
      <c r="H228" s="59">
        <f>SUM(H229)</f>
        <v>0</v>
      </c>
      <c r="I228" s="59">
        <f t="shared" si="9"/>
        <v>0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'[7]CUENTA T FONDO 100'!DS97</f>
        <v>0</v>
      </c>
      <c r="H229" s="64">
        <f>'[7]CUENTA T VS'!DS75</f>
        <v>0</v>
      </c>
      <c r="I229" s="64">
        <f t="shared" si="9"/>
        <v>0</v>
      </c>
      <c r="J229" s="65">
        <f>I229/$I$25</f>
        <v>0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9"/>
        <v>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'[7]CUENTA T FONDO 100'!DT97</f>
        <v>0</v>
      </c>
      <c r="H231" s="64">
        <f>'[7]CUENTA T VS'!DT75</f>
        <v>0</v>
      </c>
      <c r="I231" s="64">
        <f t="shared" si="9"/>
        <v>0</v>
      </c>
      <c r="J231" s="65">
        <f>I231/$I$25</f>
        <v>0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1655540</v>
      </c>
      <c r="H232" s="56">
        <f>+H233+H235+H237+H239+H241+H243</f>
        <v>0</v>
      </c>
      <c r="I232" s="56">
        <f t="shared" si="9"/>
        <v>1655540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9"/>
        <v>0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'[7]CUENTA T FONDO 100'!DU97</f>
        <v>0</v>
      </c>
      <c r="H234" s="64">
        <f>'[7]CUENTA T VS'!DU75</f>
        <v>0</v>
      </c>
      <c r="I234" s="64">
        <f t="shared" si="9"/>
        <v>0</v>
      </c>
      <c r="J234" s="65">
        <f>I234/$I$25</f>
        <v>0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918335</v>
      </c>
      <c r="H235" s="59">
        <f>SUM(H236)</f>
        <v>0</v>
      </c>
      <c r="I235" s="59">
        <f t="shared" si="9"/>
        <v>918335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'[7]CUENTA T FONDO 100'!DV97</f>
        <v>918335</v>
      </c>
      <c r="H236" s="64">
        <f>'[7]CUENTA T VS'!DV75</f>
        <v>0</v>
      </c>
      <c r="I236" s="64">
        <f t="shared" si="9"/>
        <v>918335</v>
      </c>
      <c r="J236" s="65">
        <f>I236/$I$25</f>
        <v>5.5841145800956966E-3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737205</v>
      </c>
      <c r="H237" s="59">
        <f>SUM(H238)</f>
        <v>0</v>
      </c>
      <c r="I237" s="59">
        <f t="shared" si="9"/>
        <v>737205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'[7]CUENTA T FONDO 100'!DW97</f>
        <v>737205</v>
      </c>
      <c r="H238" s="64">
        <f>'[7]CUENTA T VS'!DW75</f>
        <v>0</v>
      </c>
      <c r="I238" s="64">
        <f t="shared" si="9"/>
        <v>737205</v>
      </c>
      <c r="J238" s="65">
        <f>I238/$I$25</f>
        <v>4.4827183860132172E-3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9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'[7]CUENTA T FONDO 100'!DX97</f>
        <v>0</v>
      </c>
      <c r="H240" s="64">
        <f>'[7]CUENTA T VS'!DX75</f>
        <v>0</v>
      </c>
      <c r="I240" s="64">
        <f t="shared" si="9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9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'[7]CUENTA T FONDO 100'!DY97</f>
        <v>0</v>
      </c>
      <c r="H242" s="64">
        <f>'[7]CUENTA T VS'!DY75</f>
        <v>0</v>
      </c>
      <c r="I242" s="64">
        <f t="shared" si="9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9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'[7]CUENTA T FONDO 100'!DZ97</f>
        <v>0</v>
      </c>
      <c r="H244" s="64">
        <f>'[7]CUENTA T VS'!DZ75</f>
        <v>0</v>
      </c>
      <c r="I244" s="64">
        <f t="shared" si="9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3574335</v>
      </c>
      <c r="H245" s="56">
        <f>+H246+H248</f>
        <v>384300</v>
      </c>
      <c r="I245" s="56">
        <f t="shared" si="9"/>
        <v>3958635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3574335</v>
      </c>
      <c r="H246" s="59">
        <f>SUM(H247)</f>
        <v>384300</v>
      </c>
      <c r="I246" s="59">
        <f t="shared" si="9"/>
        <v>3958635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'[7]CUENTA T FONDO 100'!EA97</f>
        <v>3574335</v>
      </c>
      <c r="H247" s="64">
        <f>'[7]CUENTA T VS'!EA75</f>
        <v>384300</v>
      </c>
      <c r="I247" s="64">
        <f t="shared" si="9"/>
        <v>3958635</v>
      </c>
      <c r="J247" s="65">
        <f>I247/$I$25</f>
        <v>2.4071250056653757E-2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9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'[7]CUENTA T FONDO 100'!EB97</f>
        <v>0</v>
      </c>
      <c r="H249" s="64">
        <f>'[7]CUENTA T VS'!EB75</f>
        <v>0</v>
      </c>
      <c r="I249" s="64">
        <f t="shared" si="9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18154.650000000001</v>
      </c>
      <c r="H250" s="56">
        <f>+H251+H253+H255+H257+H259</f>
        <v>298561.91999999998</v>
      </c>
      <c r="I250" s="56">
        <f t="shared" si="9"/>
        <v>316716.57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9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'[7]CUENTA T FONDO 100'!EC97</f>
        <v>0</v>
      </c>
      <c r="H252" s="64">
        <f>'[7]CUENTA T VS'!EC75</f>
        <v>0</v>
      </c>
      <c r="I252" s="64">
        <f t="shared" si="9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9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'[7]CUENTA T FONDO 100'!ED97</f>
        <v>0</v>
      </c>
      <c r="H254" s="64">
        <f>'[7]CUENTA T VS'!ED75</f>
        <v>0</v>
      </c>
      <c r="I254" s="64">
        <f t="shared" si="9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298561.91999999998</v>
      </c>
      <c r="I255" s="59">
        <f t="shared" si="9"/>
        <v>298561.91999999998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'[7]CUENTA T FONDO 100'!EE97</f>
        <v>0</v>
      </c>
      <c r="H256" s="64">
        <f>'[7]CUENTA T VS'!EE75</f>
        <v>298561.91999999998</v>
      </c>
      <c r="I256" s="64">
        <f t="shared" si="9"/>
        <v>298561.91999999998</v>
      </c>
      <c r="J256" s="65">
        <f>I256/$I$25</f>
        <v>1.8154638236954541E-3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9"/>
        <v>0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'[7]CUENTA T FONDO 100'!EF97</f>
        <v>0</v>
      </c>
      <c r="H258" s="64">
        <f>'[7]CUENTA T VS'!EF75</f>
        <v>0</v>
      </c>
      <c r="I258" s="64">
        <f t="shared" si="9"/>
        <v>0</v>
      </c>
      <c r="J258" s="65">
        <f>I258/$I$25</f>
        <v>0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18154.650000000001</v>
      </c>
      <c r="H259" s="59">
        <f>SUM(H260)</f>
        <v>0</v>
      </c>
      <c r="I259" s="59">
        <f t="shared" si="9"/>
        <v>18154.650000000001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'[7]CUENTA T FONDO 100'!EG97</f>
        <v>18154.650000000001</v>
      </c>
      <c r="H260" s="64">
        <f>'[7]CUENTA T VS'!EG75</f>
        <v>0</v>
      </c>
      <c r="I260" s="64">
        <f t="shared" si="9"/>
        <v>18154.650000000001</v>
      </c>
      <c r="J260" s="65">
        <f>I260/$I$25</f>
        <v>1.1039288033401137E-4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0</v>
      </c>
      <c r="H261" s="56">
        <f>+H262+H268+H272+H276+H284</f>
        <v>0</v>
      </c>
      <c r="I261" s="56">
        <f t="shared" si="9"/>
        <v>0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9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'[7]CUENTA T FONDO 100'!EH97</f>
        <v>0</v>
      </c>
      <c r="H263" s="64">
        <f>'[7]CUENTA T VS'!EH75</f>
        <v>0</v>
      </c>
      <c r="I263" s="64">
        <f t="shared" si="9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'[7]CUENTA T FONDO 100'!EI97</f>
        <v>0</v>
      </c>
      <c r="H264" s="64">
        <f>'[7]CUENTA T VS'!EI75</f>
        <v>0</v>
      </c>
      <c r="I264" s="64">
        <f t="shared" si="9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'[7]CUENTA T FONDO 100'!EJ97</f>
        <v>0</v>
      </c>
      <c r="H265" s="64">
        <f>'[7]CUENTA T VS'!EJ75</f>
        <v>0</v>
      </c>
      <c r="I265" s="64">
        <f t="shared" si="9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'[7]CUENTA T FONDO 100'!EK97</f>
        <v>0</v>
      </c>
      <c r="H266" s="64">
        <f>'[7]CUENTA T VS'!EK75</f>
        <v>0</v>
      </c>
      <c r="I266" s="64">
        <f t="shared" si="9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'[7]CUENTA T FONDO 100'!EL97</f>
        <v>0</v>
      </c>
      <c r="H267" s="64">
        <f>'[7]CUENTA T VS'!EL75</f>
        <v>0</v>
      </c>
      <c r="I267" s="64">
        <f t="shared" si="9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0</v>
      </c>
      <c r="I268" s="59">
        <f t="shared" si="9"/>
        <v>0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'[7]CUENTA T FONDO 100'!EM97</f>
        <v>0</v>
      </c>
      <c r="H269" s="64">
        <f>'[7]CUENTA T VS'!EM75</f>
        <v>0</v>
      </c>
      <c r="I269" s="64">
        <f t="shared" si="9"/>
        <v>0</v>
      </c>
      <c r="J269" s="65">
        <f>I269/$I$25</f>
        <v>0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'[7]CUENTA T FONDO 100'!EN97</f>
        <v>0</v>
      </c>
      <c r="H270" s="64">
        <f>'[7]CUENTA T VS'!EN75</f>
        <v>0</v>
      </c>
      <c r="I270" s="64">
        <f t="shared" si="9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'[7]CUENTA T FONDO 100'!EO97</f>
        <v>0</v>
      </c>
      <c r="H271" s="64">
        <f>'[7]CUENTA T VS'!EO75</f>
        <v>0</v>
      </c>
      <c r="I271" s="64">
        <f t="shared" si="9"/>
        <v>0</v>
      </c>
      <c r="J271" s="65">
        <f>I271/$I$25</f>
        <v>0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0</v>
      </c>
      <c r="H272" s="59">
        <f>SUM(H273:H275)</f>
        <v>0</v>
      </c>
      <c r="I272" s="59">
        <f t="shared" si="9"/>
        <v>0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'[7]CUENTA T FONDO 100'!EP97</f>
        <v>0</v>
      </c>
      <c r="H273" s="64">
        <f>'[7]CUENTA T VS'!EP75</f>
        <v>0</v>
      </c>
      <c r="I273" s="64">
        <f t="shared" si="9"/>
        <v>0</v>
      </c>
      <c r="J273" s="65">
        <f>I273/$I$25</f>
        <v>0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'[7]CUENTA T FONDO 100'!EQ97</f>
        <v>0</v>
      </c>
      <c r="H274" s="64">
        <f>'[7]CUENTA T VS'!EQ75</f>
        <v>0</v>
      </c>
      <c r="I274" s="64">
        <f t="shared" si="9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'[7]CUENTA T FONDO 100'!ER97</f>
        <v>0</v>
      </c>
      <c r="H275" s="64">
        <f>'[7]CUENTA T VS'!ER75</f>
        <v>0</v>
      </c>
      <c r="I275" s="64">
        <f t="shared" si="9"/>
        <v>0</v>
      </c>
      <c r="J275" s="65">
        <f>I275/$I$25</f>
        <v>0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9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'[7]CUENTA T FONDO 100'!ES97</f>
        <v>0</v>
      </c>
      <c r="H277" s="64">
        <f>'[7]CUENTA T VS'!ES75</f>
        <v>0</v>
      </c>
      <c r="I277" s="64">
        <f t="shared" si="9"/>
        <v>0</v>
      </c>
      <c r="J277" s="65">
        <f t="shared" ref="J277:J283" si="10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'[7]CUENTA T FONDO 100'!ET97</f>
        <v>0</v>
      </c>
      <c r="H278" s="64">
        <f>'[7]CUENTA T VS'!ET75</f>
        <v>0</v>
      </c>
      <c r="I278" s="64">
        <f t="shared" si="9"/>
        <v>0</v>
      </c>
      <c r="J278" s="65">
        <f t="shared" si="10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'[7]CUENTA T FONDO 100'!EU97</f>
        <v>0</v>
      </c>
      <c r="H279" s="64">
        <f>'[7]CUENTA T VS'!EU75</f>
        <v>0</v>
      </c>
      <c r="I279" s="64">
        <f t="shared" si="9"/>
        <v>0</v>
      </c>
      <c r="J279" s="65">
        <f t="shared" si="10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'[7]CUENTA T FONDO 100'!EV97</f>
        <v>0</v>
      </c>
      <c r="H280" s="64">
        <f>'[7]CUENTA T VS'!EV75</f>
        <v>0</v>
      </c>
      <c r="I280" s="64">
        <f t="shared" si="9"/>
        <v>0</v>
      </c>
      <c r="J280" s="65">
        <f t="shared" si="10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'[7]CUENTA T FONDO 100'!EW97</f>
        <v>0</v>
      </c>
      <c r="H281" s="64">
        <f>'[7]CUENTA T VS'!EW75</f>
        <v>0</v>
      </c>
      <c r="I281" s="64">
        <f t="shared" ref="I281:I344" si="11">SUM(G281:H281)</f>
        <v>0</v>
      </c>
      <c r="J281" s="65">
        <f t="shared" si="10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'[7]CUENTA T FONDO 100'!EX97</f>
        <v>0</v>
      </c>
      <c r="H282" s="64">
        <f>'[7]CUENTA T VS'!EX75</f>
        <v>0</v>
      </c>
      <c r="I282" s="64">
        <f t="shared" si="11"/>
        <v>0</v>
      </c>
      <c r="J282" s="65">
        <f t="shared" si="10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'[7]CUENTA T FONDO 100'!EY97</f>
        <v>0</v>
      </c>
      <c r="H283" s="64">
        <f>'[7]CUENTA T VS'!EY75</f>
        <v>0</v>
      </c>
      <c r="I283" s="64">
        <f t="shared" si="11"/>
        <v>0</v>
      </c>
      <c r="J283" s="65">
        <f t="shared" si="10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0</v>
      </c>
      <c r="I284" s="59">
        <f t="shared" si="11"/>
        <v>0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'[7]CUENTA T FONDO 100'!EZ97</f>
        <v>0</v>
      </c>
      <c r="H285" s="64">
        <f>'[7]CUENTA T VS'!EZ75</f>
        <v>0</v>
      </c>
      <c r="I285" s="64">
        <f t="shared" si="11"/>
        <v>0</v>
      </c>
      <c r="J285" s="65">
        <f>I285/$I$25</f>
        <v>0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1971730.37</v>
      </c>
      <c r="H286" s="56">
        <f>H287+H295</f>
        <v>334749.59999999998</v>
      </c>
      <c r="I286" s="56">
        <f t="shared" si="11"/>
        <v>2306479.9700000002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193952</v>
      </c>
      <c r="I287" s="59">
        <f t="shared" si="11"/>
        <v>193952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'[7]CUENTA T FONDO 100'!FA97</f>
        <v>0</v>
      </c>
      <c r="H288" s="64">
        <f>'[7]CUENTA T VS'!FA75</f>
        <v>172000</v>
      </c>
      <c r="I288" s="64">
        <f t="shared" si="11"/>
        <v>172000</v>
      </c>
      <c r="J288" s="65">
        <f t="shared" ref="J288:J294" si="12">I288/$I$25</f>
        <v>1.0458794533328903E-3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'[7]CUENTA T FONDO 100'!FB97</f>
        <v>0</v>
      </c>
      <c r="H289" s="64">
        <f>'[7]CUENTA T VS'!FB75</f>
        <v>0</v>
      </c>
      <c r="I289" s="64">
        <f t="shared" si="11"/>
        <v>0</v>
      </c>
      <c r="J289" s="65">
        <f t="shared" si="12"/>
        <v>0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'[7]CUENTA T FONDO 100'!FC97</f>
        <v>0</v>
      </c>
      <c r="H290" s="64">
        <f>'[7]CUENTA T VS'!FC75</f>
        <v>0</v>
      </c>
      <c r="I290" s="64">
        <f t="shared" si="11"/>
        <v>0</v>
      </c>
      <c r="J290" s="65">
        <f t="shared" si="12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'[7]CUENTA T FONDO 100'!FD97</f>
        <v>0</v>
      </c>
      <c r="H291" s="64">
        <f>'[7]CUENTA T VS'!FD75</f>
        <v>21952</v>
      </c>
      <c r="I291" s="64">
        <f t="shared" si="11"/>
        <v>21952</v>
      </c>
      <c r="J291" s="65">
        <f t="shared" si="12"/>
        <v>1.3348340557885817E-4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'[7]CUENTA T FONDO 100'!FE97</f>
        <v>0</v>
      </c>
      <c r="H292" s="64">
        <f>'[7]CUENTA T VS'!FE75</f>
        <v>0</v>
      </c>
      <c r="I292" s="64">
        <f t="shared" si="11"/>
        <v>0</v>
      </c>
      <c r="J292" s="65">
        <f t="shared" si="12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'[7]CUENTA T FONDO 100'!FF97</f>
        <v>0</v>
      </c>
      <c r="H293" s="64">
        <f>'[7]CUENTA T VS'!FF75</f>
        <v>0</v>
      </c>
      <c r="I293" s="64">
        <f t="shared" si="11"/>
        <v>0</v>
      </c>
      <c r="J293" s="65">
        <f t="shared" si="12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'[7]CUENTA T FONDO 100'!FG97</f>
        <v>0</v>
      </c>
      <c r="H294" s="64">
        <f>'[7]CUENTA T VS'!FG75</f>
        <v>0</v>
      </c>
      <c r="I294" s="64">
        <f t="shared" si="11"/>
        <v>0</v>
      </c>
      <c r="J294" s="65">
        <f t="shared" si="12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1971730.37</v>
      </c>
      <c r="H295" s="59">
        <f>SUM(H296:H302)</f>
        <v>140797.6</v>
      </c>
      <c r="I295" s="59">
        <f t="shared" si="11"/>
        <v>2112527.9700000002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'[7]CUENTA T FONDO 100'!FH97</f>
        <v>0</v>
      </c>
      <c r="H296" s="64">
        <f>'[7]CUENTA T VS'!FH75</f>
        <v>0</v>
      </c>
      <c r="I296" s="64">
        <f t="shared" si="11"/>
        <v>0</v>
      </c>
      <c r="J296" s="65">
        <f t="shared" ref="J296:J302" si="13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'[7]CUENTA T FONDO 100'!FI97</f>
        <v>0</v>
      </c>
      <c r="H297" s="64">
        <f>'[7]CUENTA T VS'!FI75</f>
        <v>0</v>
      </c>
      <c r="I297" s="64">
        <f t="shared" si="11"/>
        <v>0</v>
      </c>
      <c r="J297" s="65">
        <f t="shared" si="13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'[7]CUENTA T FONDO 100'!FJ97</f>
        <v>1971730.37</v>
      </c>
      <c r="H298" s="64">
        <f>'[7]CUENTA T VS'!FJ75</f>
        <v>0</v>
      </c>
      <c r="I298" s="64">
        <f t="shared" si="11"/>
        <v>1971730.37</v>
      </c>
      <c r="J298" s="65">
        <f t="shared" si="13"/>
        <v>1.1989490008694521E-2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'[7]CUENTA T FONDO 100'!FK97</f>
        <v>0</v>
      </c>
      <c r="H299" s="64">
        <f>'[7]CUENTA T VS'!FK75</f>
        <v>0</v>
      </c>
      <c r="I299" s="64">
        <f t="shared" si="11"/>
        <v>0</v>
      </c>
      <c r="J299" s="65">
        <f t="shared" si="13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'[7]CUENTA T FONDO 100'!FL97</f>
        <v>0</v>
      </c>
      <c r="H300" s="64">
        <f>'[7]CUENTA T VS'!FL75</f>
        <v>0</v>
      </c>
      <c r="I300" s="64">
        <f t="shared" si="11"/>
        <v>0</v>
      </c>
      <c r="J300" s="65">
        <f t="shared" si="13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'[7]CUENTA T FONDO 100'!FM97</f>
        <v>0</v>
      </c>
      <c r="H301" s="64">
        <f>'[7]CUENTA T VS'!FM75</f>
        <v>0</v>
      </c>
      <c r="I301" s="64">
        <f t="shared" si="11"/>
        <v>0</v>
      </c>
      <c r="J301" s="65">
        <f t="shared" si="13"/>
        <v>0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'[7]CUENTA T FONDO 100'!FN97</f>
        <v>0</v>
      </c>
      <c r="H302" s="64">
        <f>'[7]CUENTA T VS'!FN75</f>
        <v>140797.6</v>
      </c>
      <c r="I302" s="64">
        <f t="shared" si="11"/>
        <v>140797.6</v>
      </c>
      <c r="J302" s="65">
        <f t="shared" si="13"/>
        <v>8.5614719138711018E-4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1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1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'[7]CUENTA T FONDO 100'!FO97</f>
        <v>0</v>
      </c>
      <c r="H305" s="64">
        <f>'[7]CUENTA T VS'!FO75</f>
        <v>0</v>
      </c>
      <c r="I305" s="64">
        <f t="shared" si="11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1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'[7]CUENTA T FONDO 100'!FP97</f>
        <v>0</v>
      </c>
      <c r="H307" s="64">
        <f>'[7]CUENTA T VS'!FP75</f>
        <v>0</v>
      </c>
      <c r="I307" s="64">
        <f t="shared" si="11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5709792.1199999992</v>
      </c>
      <c r="H308" s="56">
        <f>+H309+H312+H314+H316+H318+H320+H322+H324+H327</f>
        <v>1003389.35</v>
      </c>
      <c r="I308" s="56">
        <f t="shared" si="11"/>
        <v>6713181.4699999988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1373621</v>
      </c>
      <c r="H309" s="59">
        <f>SUM(H310:H311)</f>
        <v>420561</v>
      </c>
      <c r="I309" s="59">
        <f t="shared" si="11"/>
        <v>1794182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'[7]CUENTA T FONDO 100'!FQ97</f>
        <v>1373621</v>
      </c>
      <c r="H310" s="64">
        <f>'[7]CUENTA T VS'!FQ75</f>
        <v>420561</v>
      </c>
      <c r="I310" s="64">
        <f t="shared" si="11"/>
        <v>1794182</v>
      </c>
      <c r="J310" s="65">
        <f>I310/$I$25</f>
        <v>1.0909872612440185E-2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'[7]CUENTA T FONDO 100'!FR97</f>
        <v>0</v>
      </c>
      <c r="H311" s="64">
        <f>'[7]CUENTA T VS'!FR75</f>
        <v>0</v>
      </c>
      <c r="I311" s="64">
        <f t="shared" si="11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225498</v>
      </c>
      <c r="H312" s="59">
        <f>SUM(H313)</f>
        <v>0</v>
      </c>
      <c r="I312" s="59">
        <f t="shared" si="11"/>
        <v>225498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'[7]CUENTA T FONDO 100'!FS97</f>
        <v>225498</v>
      </c>
      <c r="H313" s="64">
        <f>'[7]CUENTA T VS'!FS75</f>
        <v>0</v>
      </c>
      <c r="I313" s="64">
        <f t="shared" si="11"/>
        <v>225498</v>
      </c>
      <c r="J313" s="65">
        <f>I313/$I$25</f>
        <v>1.3711844474863957E-3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4028781.1199999996</v>
      </c>
      <c r="H314" s="59">
        <f>SUM(H315)</f>
        <v>64664</v>
      </c>
      <c r="I314" s="59">
        <f t="shared" si="11"/>
        <v>4093445.1199999996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'[7]CUENTA T FONDO 100'!FT97</f>
        <v>4028781.1199999996</v>
      </c>
      <c r="H315" s="64">
        <f>'[7]CUENTA T VS'!FT75</f>
        <v>64664</v>
      </c>
      <c r="I315" s="64">
        <f t="shared" si="11"/>
        <v>4093445.1199999996</v>
      </c>
      <c r="J315" s="65">
        <f>I315/$I$25</f>
        <v>2.4890989211359228E-2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0</v>
      </c>
      <c r="I316" s="59">
        <f t="shared" si="11"/>
        <v>0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'[7]CUENTA T FONDO 100'!FU97</f>
        <v>0</v>
      </c>
      <c r="H317" s="64">
        <f>'[7]CUENTA T VS'!FU75</f>
        <v>0</v>
      </c>
      <c r="I317" s="64">
        <f t="shared" si="11"/>
        <v>0</v>
      </c>
      <c r="J317" s="65">
        <f>I317/$I$25</f>
        <v>0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SUM(H319)</f>
        <v>0</v>
      </c>
      <c r="I318" s="59">
        <f t="shared" si="11"/>
        <v>0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'[7]CUENTA T FONDO 100'!FV97</f>
        <v>0</v>
      </c>
      <c r="H319" s="64">
        <f>'[7]CUENTA T VS'!FV75</f>
        <v>0</v>
      </c>
      <c r="I319" s="64">
        <f t="shared" si="11"/>
        <v>0</v>
      </c>
      <c r="J319" s="65">
        <f>I319/$I$25</f>
        <v>0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41819.199999999997</v>
      </c>
      <c r="I320" s="59">
        <f t="shared" si="11"/>
        <v>41819.199999999997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'[7]CUENTA T FONDO 100'!FW97</f>
        <v>0</v>
      </c>
      <c r="H321" s="64">
        <f>'[7]CUENTA T VS'!FW75</f>
        <v>41819.199999999997</v>
      </c>
      <c r="I321" s="64">
        <f t="shared" si="11"/>
        <v>41819.199999999997</v>
      </c>
      <c r="J321" s="65">
        <f>I321/$I$25</f>
        <v>2.5428977927220231E-4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1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'[7]CUENTA T FONDO 100'!FX97</f>
        <v>0</v>
      </c>
      <c r="H323" s="64">
        <f>'[7]CUENTA T VS'!FX75</f>
        <v>0</v>
      </c>
      <c r="I323" s="64">
        <f t="shared" si="11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15340</v>
      </c>
      <c r="H324" s="59">
        <f>SUM(H325:H326)</f>
        <v>0</v>
      </c>
      <c r="I324" s="59">
        <f t="shared" si="11"/>
        <v>15340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'[7]CUENTA T FONDO 100'!FY97</f>
        <v>0</v>
      </c>
      <c r="H325" s="64">
        <f>'[7]CUENTA T VS'!FY75</f>
        <v>0</v>
      </c>
      <c r="I325" s="64">
        <f t="shared" si="11"/>
        <v>0</v>
      </c>
      <c r="J325" s="65">
        <f>I325/$I$25</f>
        <v>0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'[7]CUENTA T FONDO 100'!FZ97</f>
        <v>15340</v>
      </c>
      <c r="H326" s="64">
        <f>'[7]CUENTA T VS'!FZ75</f>
        <v>0</v>
      </c>
      <c r="I326" s="64">
        <f t="shared" si="11"/>
        <v>15340</v>
      </c>
      <c r="J326" s="65">
        <f>I326/$I$25</f>
        <v>9.3277853570503119E-5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66552</v>
      </c>
      <c r="H327" s="59">
        <f>SUM(H328:H329)</f>
        <v>476345.15</v>
      </c>
      <c r="I327" s="59">
        <f t="shared" si="11"/>
        <v>542897.15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'[7]CUENTA T FONDO 100'!GA97</f>
        <v>0</v>
      </c>
      <c r="H328" s="64">
        <f>'[7]CUENTA T VS'!GA75</f>
        <v>56945.15</v>
      </c>
      <c r="I328" s="64">
        <f t="shared" si="11"/>
        <v>56945.15</v>
      </c>
      <c r="J328" s="65">
        <f>I328/$I$25</f>
        <v>3.4626606018581068E-4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'[7]CUENTA T FONDO 100'!GB97</f>
        <v>66552</v>
      </c>
      <c r="H329" s="64">
        <f>'[7]CUENTA T VS'!GB75</f>
        <v>419400</v>
      </c>
      <c r="I329" s="64">
        <f t="shared" si="11"/>
        <v>485952</v>
      </c>
      <c r="J329" s="65">
        <f>I329/$I$25</f>
        <v>2.9549256517792132E-3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3600</v>
      </c>
      <c r="I330" s="56">
        <f t="shared" si="11"/>
        <v>3600</v>
      </c>
      <c r="J330" s="53">
        <f>+I330/I25</f>
        <v>2.1890500186037238E-5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'[7]CUENTA T FONDO 100'!GC97</f>
        <v>0</v>
      </c>
      <c r="H331" s="64">
        <f>'[7]CUENTA T VS'!GC75</f>
        <v>3600</v>
      </c>
      <c r="I331" s="64">
        <f t="shared" si="11"/>
        <v>3600</v>
      </c>
      <c r="J331" s="65">
        <f t="shared" ref="J331:J336" si="14">I331/$I$25</f>
        <v>2.1890500186037238E-5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'[7]CUENTA T FONDO 100'!GD97</f>
        <v>0</v>
      </c>
      <c r="H332" s="64">
        <f>'[7]CUENTA T VS'!GD75</f>
        <v>0</v>
      </c>
      <c r="I332" s="64">
        <f t="shared" si="11"/>
        <v>0</v>
      </c>
      <c r="J332" s="65">
        <f t="shared" si="14"/>
        <v>0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'[7]CUENTA T FONDO 100'!GE97</f>
        <v>0</v>
      </c>
      <c r="H333" s="64">
        <f>'[7]CUENTA T VS'!GE75</f>
        <v>0</v>
      </c>
      <c r="I333" s="64">
        <f t="shared" si="11"/>
        <v>0</v>
      </c>
      <c r="J333" s="65">
        <f t="shared" si="14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'[7]CUENTA T FONDO 100'!GF97</f>
        <v>0</v>
      </c>
      <c r="H334" s="64">
        <f>'[7]CUENTA T VS'!GF75</f>
        <v>0</v>
      </c>
      <c r="I334" s="64">
        <f t="shared" si="11"/>
        <v>0</v>
      </c>
      <c r="J334" s="65">
        <f t="shared" si="14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'[7]CUENTA T FONDO 100'!GG97</f>
        <v>0</v>
      </c>
      <c r="H335" s="64">
        <f>'[7]CUENTA T VS'!GG75</f>
        <v>0</v>
      </c>
      <c r="I335" s="64">
        <f t="shared" si="11"/>
        <v>0</v>
      </c>
      <c r="J335" s="65">
        <f t="shared" si="14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8010447.2599999988</v>
      </c>
      <c r="H336" s="56">
        <f>H337+H348+H357+H366+H383+H400+H405+H424+H446</f>
        <v>2755244.7199999997</v>
      </c>
      <c r="I336" s="56">
        <f t="shared" si="11"/>
        <v>10765691.979999999</v>
      </c>
      <c r="J336" s="53">
        <f t="shared" si="14"/>
        <v>6.5462883969724883E-2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128621.02</v>
      </c>
      <c r="H337" s="56">
        <f>+H338+H340+H342+H344+H346</f>
        <v>442444.72</v>
      </c>
      <c r="I337" s="56">
        <f t="shared" si="11"/>
        <v>571065.74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89681.02</v>
      </c>
      <c r="H338" s="59">
        <f>SUM(H339)</f>
        <v>442444.72</v>
      </c>
      <c r="I338" s="59">
        <f t="shared" si="11"/>
        <v>532125.74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'[7]CUENTA T FONDO 100'!GH97</f>
        <v>89681.02</v>
      </c>
      <c r="H339" s="64">
        <f>'[7]CUENTA T VS'!GH75</f>
        <v>442444.72</v>
      </c>
      <c r="I339" s="64">
        <f t="shared" si="11"/>
        <v>532125.74</v>
      </c>
      <c r="J339" s="65">
        <f>I339/$I$25</f>
        <v>3.2356940584625563E-3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0</v>
      </c>
      <c r="I340" s="59">
        <f t="shared" si="11"/>
        <v>0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'[7]CUENTA T FONDO 100'!GI97</f>
        <v>0</v>
      </c>
      <c r="H341" s="64">
        <f>'[7]CUENTA T VS'!GI75</f>
        <v>0</v>
      </c>
      <c r="I341" s="64">
        <f t="shared" si="11"/>
        <v>0</v>
      </c>
      <c r="J341" s="65">
        <f>I341/$I$25</f>
        <v>0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0</v>
      </c>
      <c r="H342" s="59">
        <f>SUM(H343)</f>
        <v>0</v>
      </c>
      <c r="I342" s="59">
        <f t="shared" si="11"/>
        <v>0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'[7]CUENTA T FONDO 100'!GJ97</f>
        <v>0</v>
      </c>
      <c r="H343" s="64">
        <f>'[7]CUENTA T VS'!GJ75</f>
        <v>0</v>
      </c>
      <c r="I343" s="64">
        <f t="shared" si="11"/>
        <v>0</v>
      </c>
      <c r="J343" s="65">
        <f>I343/$I$25</f>
        <v>0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38940</v>
      </c>
      <c r="H344" s="59">
        <f>SUM(H345)</f>
        <v>0</v>
      </c>
      <c r="I344" s="59">
        <f t="shared" si="11"/>
        <v>38940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'[7]CUENTA T FONDO 100'!GK97</f>
        <v>38940</v>
      </c>
      <c r="H345" s="64">
        <f>'[7]CUENTA T VS'!GK75</f>
        <v>0</v>
      </c>
      <c r="I345" s="64">
        <f t="shared" ref="I345:I408" si="15">SUM(G345:H345)</f>
        <v>38940</v>
      </c>
      <c r="J345" s="65">
        <f>I345/$I$25</f>
        <v>2.3678224367896944E-4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0</v>
      </c>
      <c r="I346" s="59">
        <f t="shared" si="15"/>
        <v>0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'[7]CUENTA T FONDO 100'!GL97</f>
        <v>0</v>
      </c>
      <c r="H347" s="64">
        <f>'[7]CUENTA T VS'!GL75</f>
        <v>0</v>
      </c>
      <c r="I347" s="64">
        <f t="shared" si="15"/>
        <v>0</v>
      </c>
      <c r="J347" s="65">
        <f>I347/$I$25</f>
        <v>0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5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5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'[7]CUENTA T FONDO 100'!GM97</f>
        <v>0</v>
      </c>
      <c r="H350" s="64">
        <f>'[7]CUENTA T VS'!GM75</f>
        <v>0</v>
      </c>
      <c r="I350" s="64">
        <f t="shared" si="15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5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'[7]CUENTA T FONDO 100'!GN97</f>
        <v>0</v>
      </c>
      <c r="H352" s="64">
        <f>'[7]CUENTA T VS'!GN75</f>
        <v>0</v>
      </c>
      <c r="I352" s="64">
        <f t="shared" si="15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5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'[7]CUENTA T FONDO 100'!GO97</f>
        <v>0</v>
      </c>
      <c r="H354" s="64">
        <f>'[7]CUENTA T VS'!GO75</f>
        <v>0</v>
      </c>
      <c r="I354" s="64">
        <f t="shared" si="15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5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'[7]CUENTA T FONDO 100'!GP97</f>
        <v>0</v>
      </c>
      <c r="H356" s="64">
        <f>'[7]CUENTA T VS'!GP75</f>
        <v>0</v>
      </c>
      <c r="I356" s="64">
        <f t="shared" si="15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7817183.1799999997</v>
      </c>
      <c r="H357" s="56">
        <f>+H358+H360+H362+H364</f>
        <v>1899800</v>
      </c>
      <c r="I357" s="56">
        <f t="shared" si="15"/>
        <v>9716983.1799999997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6301889.96</v>
      </c>
      <c r="H358" s="59">
        <f>SUM(H359)</f>
        <v>0</v>
      </c>
      <c r="I358" s="59">
        <f t="shared" si="15"/>
        <v>6301889.96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'[7]CUENTA T FONDO 100'!GQ97</f>
        <v>6301889.96</v>
      </c>
      <c r="H359" s="64">
        <f>'[7]CUENTA T VS'!GQ75</f>
        <v>0</v>
      </c>
      <c r="I359" s="64">
        <f t="shared" si="15"/>
        <v>6301889.96</v>
      </c>
      <c r="J359" s="65">
        <f>I359/$I$25</f>
        <v>3.8319867594935053E-2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59000</v>
      </c>
      <c r="H360" s="59">
        <f>SUM(H361)</f>
        <v>1899800</v>
      </c>
      <c r="I360" s="59">
        <f t="shared" si="15"/>
        <v>1958800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'[7]CUENTA T FONDO 100'!GR97</f>
        <v>59000</v>
      </c>
      <c r="H361" s="64">
        <f>'[7]CUENTA T VS'!GR75</f>
        <v>1899800</v>
      </c>
      <c r="I361" s="64">
        <f t="shared" si="15"/>
        <v>1958800</v>
      </c>
      <c r="J361" s="65">
        <f>I361/$I$25</f>
        <v>1.1910864379002706E-2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5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'[7]CUENTA T FONDO 100'!GS97</f>
        <v>0</v>
      </c>
      <c r="H363" s="64">
        <f>'[7]CUENTA T VS'!GS75</f>
        <v>0</v>
      </c>
      <c r="I363" s="64">
        <f t="shared" si="15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1456293.22</v>
      </c>
      <c r="H364" s="59">
        <f>+H365</f>
        <v>0</v>
      </c>
      <c r="I364" s="59">
        <f t="shared" si="15"/>
        <v>1456293.22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'[7]CUENTA T FONDO 100'!GT97</f>
        <v>1456293.22</v>
      </c>
      <c r="H365" s="64">
        <f>'[7]CUENTA T VS'!GT75</f>
        <v>0</v>
      </c>
      <c r="I365" s="64">
        <f t="shared" si="15"/>
        <v>1456293.22</v>
      </c>
      <c r="J365" s="65">
        <f>I365/$I$25</f>
        <v>8.8552741675929914E-3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5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5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'[7]CUENTA T FONDO 100'!GU97</f>
        <v>0</v>
      </c>
      <c r="H368" s="64">
        <f>'[7]CUENTA T VS'!GU75</f>
        <v>0</v>
      </c>
      <c r="I368" s="64">
        <f t="shared" si="15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5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'[7]CUENTA T FONDO 100'!GV97</f>
        <v>0</v>
      </c>
      <c r="H370" s="64">
        <f>'[7]CUENTA T VS'!GV75</f>
        <v>0</v>
      </c>
      <c r="I370" s="64">
        <f t="shared" si="15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5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'[7]CUENTA T FONDO 100'!GW97</f>
        <v>0</v>
      </c>
      <c r="H372" s="64">
        <f>'[7]CUENTA T VS'!GX75</f>
        <v>0</v>
      </c>
      <c r="I372" s="64">
        <f t="shared" si="15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5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'[7]CUENTA T FONDO 100'!GX97</f>
        <v>0</v>
      </c>
      <c r="H374" s="64">
        <f>'[7]CUENTA T VS'!GX75</f>
        <v>0</v>
      </c>
      <c r="I374" s="64">
        <f t="shared" si="15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5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'[7]CUENTA T FONDO 100'!GY97</f>
        <v>0</v>
      </c>
      <c r="H376" s="64">
        <f>'[7]CUENTA T VS'!GY75</f>
        <v>0</v>
      </c>
      <c r="I376" s="64">
        <f t="shared" si="15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5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'[7]CUENTA T FONDO 100'!GZ97</f>
        <v>0</v>
      </c>
      <c r="H378" s="64">
        <f>'[7]CUENTA T VS'!GZ75</f>
        <v>0</v>
      </c>
      <c r="I378" s="64">
        <f t="shared" si="15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5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'[7]CUENTA T FONDO 100'!HA97</f>
        <v>0</v>
      </c>
      <c r="H380" s="64">
        <f>'[7]CUENTA T VS'!HA75</f>
        <v>0</v>
      </c>
      <c r="I380" s="64">
        <f t="shared" si="15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5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'[7]CUENTA T FONDO 100'!HB97</f>
        <v>0</v>
      </c>
      <c r="H382" s="64">
        <f>'[7]CUENTA T VS'!HB75</f>
        <v>0</v>
      </c>
      <c r="I382" s="64">
        <f t="shared" si="15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64643.06</v>
      </c>
      <c r="H383" s="56">
        <f>+H384+H386+H388+H390+H392+H394+H396+H398</f>
        <v>413000</v>
      </c>
      <c r="I383" s="56">
        <f t="shared" si="15"/>
        <v>477643.06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5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'[7]CUENTA T FONDO 100'!HC97</f>
        <v>0</v>
      </c>
      <c r="H385" s="64">
        <f>'[7]CUENTA T VS'!HC75</f>
        <v>0</v>
      </c>
      <c r="I385" s="64">
        <f t="shared" si="15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0</v>
      </c>
      <c r="H386" s="59">
        <f>SUM(H387)</f>
        <v>0</v>
      </c>
      <c r="I386" s="59">
        <f t="shared" si="15"/>
        <v>0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'[7]CUENTA T FONDO 100'!HD97</f>
        <v>0</v>
      </c>
      <c r="H387" s="64">
        <f>'[7]CUENTA T VS'!HD75</f>
        <v>0</v>
      </c>
      <c r="I387" s="64">
        <f t="shared" si="15"/>
        <v>0</v>
      </c>
      <c r="J387" s="65">
        <f>I387/$I$25</f>
        <v>0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5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'[7]CUENTA T FONDO 100'!HE97</f>
        <v>0</v>
      </c>
      <c r="H389" s="64">
        <f>'[7]CUENTA T VS'!HE75</f>
        <v>0</v>
      </c>
      <c r="I389" s="64">
        <f t="shared" si="15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42057.86</v>
      </c>
      <c r="H390" s="59">
        <f>SUM(H391)</f>
        <v>0</v>
      </c>
      <c r="I390" s="59">
        <f t="shared" si="15"/>
        <v>42057.86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'[7]CUENTA T FONDO 100'!HF97</f>
        <v>42057.86</v>
      </c>
      <c r="H391" s="64">
        <f>'[7]CUENTA T VS'!HF75</f>
        <v>0</v>
      </c>
      <c r="I391" s="64">
        <f t="shared" si="15"/>
        <v>42057.86</v>
      </c>
      <c r="J391" s="65">
        <f>I391/$I$25</f>
        <v>2.5574099782064671E-4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0</v>
      </c>
      <c r="H392" s="59">
        <f>SUM(H393)</f>
        <v>0</v>
      </c>
      <c r="I392" s="59">
        <f t="shared" si="15"/>
        <v>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'[7]CUENTA T FONDO 100'!HG97</f>
        <v>0</v>
      </c>
      <c r="H393" s="64">
        <f>'[7]CUENTA T VS'!HG75</f>
        <v>0</v>
      </c>
      <c r="I393" s="64">
        <f t="shared" si="15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0</v>
      </c>
      <c r="H394" s="59">
        <f>SUM(H395)</f>
        <v>413000</v>
      </c>
      <c r="I394" s="59">
        <f t="shared" si="15"/>
        <v>413000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'[7]CUENTA T FONDO 100'!HH97</f>
        <v>0</v>
      </c>
      <c r="H395" s="64">
        <f>'[7]CUENTA T VS'!HH75</f>
        <v>413000</v>
      </c>
      <c r="I395" s="64">
        <f t="shared" si="15"/>
        <v>413000</v>
      </c>
      <c r="J395" s="65">
        <f>I395/$I$25</f>
        <v>2.511326826898161E-3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22585.200000000001</v>
      </c>
      <c r="H396" s="59">
        <f>SUM(H397)</f>
        <v>0</v>
      </c>
      <c r="I396" s="59">
        <f t="shared" si="15"/>
        <v>22585.200000000001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'[7]CUENTA T FONDO 100'!HI97</f>
        <v>22585.200000000001</v>
      </c>
      <c r="H397" s="64">
        <f>'[7]CUENTA T VS'!HI75</f>
        <v>0</v>
      </c>
      <c r="I397" s="64">
        <f t="shared" si="15"/>
        <v>22585.200000000001</v>
      </c>
      <c r="J397" s="65">
        <f>I397/$I$25</f>
        <v>1.3733370133380229E-4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5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'[7]CUENTA T FONDO 100'!HJ97</f>
        <v>0</v>
      </c>
      <c r="H399" s="64">
        <f>'[7]CUENTA T VS'!HJ75</f>
        <v>0</v>
      </c>
      <c r="I399" s="64">
        <f t="shared" si="15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0</v>
      </c>
      <c r="I400" s="56">
        <f t="shared" si="15"/>
        <v>0</v>
      </c>
      <c r="J400" s="53">
        <f>I400/$I$25</f>
        <v>0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5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'[7]CUENTA T FONDO 100'!HK97</f>
        <v>0</v>
      </c>
      <c r="H402" s="64">
        <f>'[7]CUENTA T VS'!HK75</f>
        <v>0</v>
      </c>
      <c r="I402" s="64">
        <f t="shared" si="15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0</v>
      </c>
      <c r="I403" s="59">
        <f t="shared" si="15"/>
        <v>0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'[7]CUENTA T FONDO 100'!HL97</f>
        <v>0</v>
      </c>
      <c r="H404" s="64">
        <f>'[7]CUENTA T VS'!HL75</f>
        <v>0</v>
      </c>
      <c r="I404" s="64">
        <f t="shared" si="15"/>
        <v>0</v>
      </c>
      <c r="J404" s="65">
        <f>I404/$I$25</f>
        <v>0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5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5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'[7]CUENTA T FONDO 100'!HM97</f>
        <v>0</v>
      </c>
      <c r="H407" s="64">
        <f>'[7]CUENTA T VS'!HM75</f>
        <v>0</v>
      </c>
      <c r="I407" s="64">
        <f t="shared" si="15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5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'[7]CUENTA T FONDO 100'!HN97</f>
        <v>0</v>
      </c>
      <c r="H409" s="64">
        <f>'[7]CUENTA T VS'!HN75</f>
        <v>0</v>
      </c>
      <c r="I409" s="64">
        <f t="shared" ref="I409:I472" si="16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6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'[7]CUENTA T FONDO 100'!HO97</f>
        <v>0</v>
      </c>
      <c r="H411" s="64">
        <f>'[7]CUENTA T VS'!HO75</f>
        <v>0</v>
      </c>
      <c r="I411" s="64">
        <f t="shared" si="16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6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'[7]CUENTA T FONDO 100'!HP97</f>
        <v>0</v>
      </c>
      <c r="H413" s="64">
        <f>'[7]CUENTA T VS'!HP75</f>
        <v>0</v>
      </c>
      <c r="I413" s="64">
        <f t="shared" si="16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6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'[7]CUENTA T FONDO 100'!HQ97</f>
        <v>0</v>
      </c>
      <c r="H415" s="64">
        <f>'[7]CUENTA T VS'!HQ75</f>
        <v>0</v>
      </c>
      <c r="I415" s="64">
        <f t="shared" si="16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6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'[7]CUENTA T FONDO 100'!HR97</f>
        <v>0</v>
      </c>
      <c r="H417" s="64">
        <f>'[7]CUENTA T VS'!HR75</f>
        <v>0</v>
      </c>
      <c r="I417" s="64">
        <f t="shared" si="16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6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'[7]CUENTA T FONDO 100'!HS97</f>
        <v>0</v>
      </c>
      <c r="H419" s="64">
        <f>'[7]CUENTA T VS'!HS75</f>
        <v>0</v>
      </c>
      <c r="I419" s="64">
        <f t="shared" si="16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6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'[7]CUENTA T FONDO 100'!HT97</f>
        <v>0</v>
      </c>
      <c r="H421" s="64">
        <f>'[7]CUENTA T VS'!HT75</f>
        <v>0</v>
      </c>
      <c r="I421" s="64">
        <f t="shared" si="16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6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'[7]CUENTA T FONDO 100'!HU97</f>
        <v>0</v>
      </c>
      <c r="H423" s="64">
        <f>'[7]CUENTA T VS'!HU75</f>
        <v>0</v>
      </c>
      <c r="I423" s="64">
        <f t="shared" si="16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6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6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'[7]CUENTA T FONDO 100'!HV97</f>
        <v>0</v>
      </c>
      <c r="H426" s="64">
        <f>'[7]CUENTA T VS'!HV75</f>
        <v>0</v>
      </c>
      <c r="I426" s="64">
        <f t="shared" si="16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6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'[7]CUENTA T FONDO 100'!HW97</f>
        <v>0</v>
      </c>
      <c r="H428" s="64">
        <f>'[7]CUENTA T VS'!HW75</f>
        <v>0</v>
      </c>
      <c r="I428" s="64">
        <f t="shared" si="16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6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'[7]CUENTA T FONDO 100'!HX97</f>
        <v>0</v>
      </c>
      <c r="H430" s="64">
        <f>'[7]CUENTA T VS'!HX75</f>
        <v>0</v>
      </c>
      <c r="I430" s="64">
        <f t="shared" si="16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'[7]CUENTA T FONDO 100'!HY97</f>
        <v>0</v>
      </c>
      <c r="H431" s="64">
        <f>'[7]CUENTA T VS'!HY75</f>
        <v>0</v>
      </c>
      <c r="I431" s="64">
        <f t="shared" si="16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6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'[7]CUENTA T FONDO 100'!HZ97</f>
        <v>0</v>
      </c>
      <c r="H433" s="64">
        <f>'[7]CUENTA T VS'!HZ75</f>
        <v>0</v>
      </c>
      <c r="I433" s="64">
        <f t="shared" si="16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6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'[7]CUENTA T FONDO 100'!IA97</f>
        <v>0</v>
      </c>
      <c r="H435" s="64">
        <f>'[7]CUENTA T VS'!IA75</f>
        <v>0</v>
      </c>
      <c r="I435" s="64">
        <f t="shared" si="16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6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'[7]CUENTA T FONDO 100'!IB97</f>
        <v>0</v>
      </c>
      <c r="H437" s="64">
        <f>'[7]CUENTA T VS'!IB75</f>
        <v>0</v>
      </c>
      <c r="I437" s="64">
        <f t="shared" si="16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6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'[7]CUENTA T FONDO 100'!IC97</f>
        <v>0</v>
      </c>
      <c r="H439" s="64">
        <f>'[7]CUENTA T VS'!IC75</f>
        <v>0</v>
      </c>
      <c r="I439" s="64">
        <f t="shared" si="16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6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'[7]CUENTA T FONDO 100'!ID97</f>
        <v>0</v>
      </c>
      <c r="H441" s="64">
        <f>'[7]CUENTA T VS'!ID75</f>
        <v>0</v>
      </c>
      <c r="I441" s="64">
        <f t="shared" si="16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'[7]CUENTA T FONDO 100'!IE97</f>
        <v>0</v>
      </c>
      <c r="H442" s="64">
        <f>'[7]CUENTA T VS'!IE75</f>
        <v>0</v>
      </c>
      <c r="I442" s="64">
        <f t="shared" si="16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'[7]CUENTA T FONDO 100'!IF97</f>
        <v>0</v>
      </c>
      <c r="H443" s="64">
        <f>'[7]CUENTA T VS'!IF75</f>
        <v>0</v>
      </c>
      <c r="I443" s="64">
        <f t="shared" si="16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6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'[7]CUENTA T FONDO 100'!IG97</f>
        <v>0</v>
      </c>
      <c r="H445" s="64">
        <f>'[7]CUENTA T VS'!IG75</f>
        <v>0</v>
      </c>
      <c r="I445" s="64">
        <f t="shared" si="16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0</v>
      </c>
      <c r="I446" s="56">
        <f t="shared" si="16"/>
        <v>0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>+H448+H449</f>
        <v>0</v>
      </c>
      <c r="I447" s="59">
        <f t="shared" si="16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'[7]CUENTA T FONDO 100'!IH97</f>
        <v>0</v>
      </c>
      <c r="H448" s="92">
        <f>'[7]CUENTA T VS'!IH75</f>
        <v>0</v>
      </c>
      <c r="I448" s="92">
        <f t="shared" si="16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'[7]CUENTA T FONDO 100'!II97</f>
        <v>0</v>
      </c>
      <c r="H449" s="92">
        <f>'[7]CUENTA T VS'!II75</f>
        <v>0</v>
      </c>
      <c r="I449" s="92">
        <f t="shared" si="16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>SUM(H451:H452)</f>
        <v>0</v>
      </c>
      <c r="I450" s="59">
        <f t="shared" si="16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'[7]CUENTA T FONDO 100'!IJ97</f>
        <v>0</v>
      </c>
      <c r="H451" s="64">
        <f>'[7]CUENTA T VS'!IJ75</f>
        <v>0</v>
      </c>
      <c r="I451" s="64">
        <f t="shared" si="16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'[7]CUENTA T FONDO 100'!IK97</f>
        <v>0</v>
      </c>
      <c r="H452" s="64">
        <f>'[7]CUENTA T VS'!IK75</f>
        <v>0</v>
      </c>
      <c r="I452" s="64">
        <f t="shared" si="16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6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'[7]CUENTA T FONDO 100'!IL97</f>
        <v>0</v>
      </c>
      <c r="H454" s="64">
        <f>'[7]CUENTA T VS'!IL75</f>
        <v>0</v>
      </c>
      <c r="I454" s="64">
        <f t="shared" si="16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6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'[7]CUENTA T FONDO 100'!IM97</f>
        <v>0</v>
      </c>
      <c r="H456" s="64">
        <f>'[7]CUENTA T VS'!IM75</f>
        <v>0</v>
      </c>
      <c r="I456" s="64">
        <f t="shared" si="16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0</v>
      </c>
      <c r="I457" s="59">
        <f t="shared" si="16"/>
        <v>0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'[7]CUENTA T FONDO 100'!IN97</f>
        <v>0</v>
      </c>
      <c r="H458" s="64">
        <f>'[7]CUENTA T VS'!IN75</f>
        <v>0</v>
      </c>
      <c r="I458" s="64">
        <f t="shared" si="16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'[7]CUENTA T FONDO 100'!IO97</f>
        <v>0</v>
      </c>
      <c r="H459" s="64">
        <f>'[7]CUENTA T VS'!IO75</f>
        <v>0</v>
      </c>
      <c r="I459" s="64">
        <f t="shared" si="16"/>
        <v>0</v>
      </c>
      <c r="J459" s="65">
        <f>I459/$I$25</f>
        <v>0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'[7]CUENTA T FONDO 100'!IP97</f>
        <v>0</v>
      </c>
      <c r="H460" s="64">
        <f>'[7]CUENTA T VS'!IP75</f>
        <v>0</v>
      </c>
      <c r="I460" s="64">
        <f t="shared" si="16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6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'[7]CUENTA T FONDO 100'!IQ97</f>
        <v>0</v>
      </c>
      <c r="H462" s="64">
        <f>'[7]CUENTA T VS'!IQ75</f>
        <v>0</v>
      </c>
      <c r="I462" s="64">
        <f t="shared" si="16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6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6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6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'[7]CUENTA T FONDO 100'!IR97</f>
        <v>0</v>
      </c>
      <c r="H466" s="64">
        <f>'[7]CUENTA T VS'!IR75</f>
        <v>0</v>
      </c>
      <c r="I466" s="64">
        <f t="shared" si="16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6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'[7]CUENTA T FONDO 100'!IS97</f>
        <v>0</v>
      </c>
      <c r="H468" s="64">
        <f>'[7]CUENTA T VS'!IS75</f>
        <v>0</v>
      </c>
      <c r="I468" s="64">
        <f t="shared" si="16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6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'[7]CUENTA T FONDO 100'!IT97</f>
        <v>0</v>
      </c>
      <c r="H470" s="64">
        <f>'[7]CUENTA T VS'!IT75</f>
        <v>0</v>
      </c>
      <c r="I470" s="64">
        <f t="shared" si="16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6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'[7]CUENTA T FONDO 100'!IU97</f>
        <v>0</v>
      </c>
      <c r="H472" s="64">
        <f>'[7]CUENTA T VS'!IU75</f>
        <v>0</v>
      </c>
      <c r="I472" s="64">
        <f t="shared" si="16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17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17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'[7]CUENTA T FONDO 100'!IV97</f>
        <v>0</v>
      </c>
      <c r="H475" s="64">
        <f>'[7]CUENTA T VS'!IV75</f>
        <v>0</v>
      </c>
      <c r="I475" s="64">
        <f t="shared" si="17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17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'[7]CUENTA T FONDO 100'!IW97</f>
        <v>0</v>
      </c>
      <c r="H477" s="64">
        <f>'[7]CUENTA T VS'!IW75</f>
        <v>0</v>
      </c>
      <c r="I477" s="64">
        <f t="shared" si="17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17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'[7]CUENTA T FONDO 100'!IX97</f>
        <v>0</v>
      </c>
      <c r="H479" s="64">
        <f>'[7]CUENTA T VS'!IX75</f>
        <v>0</v>
      </c>
      <c r="I479" s="64">
        <f t="shared" si="17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17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'[7]CUENTA T FONDO 100'!IY97</f>
        <v>0</v>
      </c>
      <c r="H481" s="64">
        <f>'[7]CUENTA T VS'!IY75</f>
        <v>0</v>
      </c>
      <c r="I481" s="64">
        <f t="shared" si="17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17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'[7]CUENTA T FONDO 100'!IZ97</f>
        <v>0</v>
      </c>
      <c r="H483" s="64">
        <f>'[7]CUENTA T VS'!IZ75</f>
        <v>0</v>
      </c>
      <c r="I483" s="64">
        <f t="shared" si="17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17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'[7]CUENTA T FONDO 100'!JA97</f>
        <v>0</v>
      </c>
      <c r="H485" s="64">
        <f>'[7]CUENTA T VS'!JA75</f>
        <v>0</v>
      </c>
      <c r="I485" s="64">
        <f t="shared" si="17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17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'[7]CUENTA T FONDO 100'!JB97</f>
        <v>0</v>
      </c>
      <c r="H487" s="64">
        <f>'[7]CUENTA T VS'!JB75</f>
        <v>0</v>
      </c>
      <c r="I487" s="64">
        <f t="shared" si="17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17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'[7]CUENTA T FONDO 100'!JC97</f>
        <v>0</v>
      </c>
      <c r="H489" s="64">
        <f>'[7]CUENTA T VS'!JC75</f>
        <v>0</v>
      </c>
      <c r="I489" s="64">
        <f t="shared" si="17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17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'[7]CUENTA T FONDO 100'!JD97</f>
        <v>0</v>
      </c>
      <c r="H491" s="64">
        <f>'[7]CUENTA T VS'!JD75</f>
        <v>0</v>
      </c>
      <c r="I491" s="64">
        <f t="shared" si="17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17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17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'[7]CUENTA T FONDO 100'!JE97</f>
        <v>0</v>
      </c>
      <c r="H494" s="64">
        <f>'[7]CUENTA T VS'!JE75</f>
        <v>0</v>
      </c>
      <c r="I494" s="64">
        <f t="shared" si="17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17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'[7]CUENTA T FONDO 100'!JF97</f>
        <v>0</v>
      </c>
      <c r="H496" s="64">
        <f>'[7]CUENTA T VS'!JF75</f>
        <v>0</v>
      </c>
      <c r="I496" s="64">
        <f t="shared" si="17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17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17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'[7]CUENTA T FONDO 100'!JG97</f>
        <v>0</v>
      </c>
      <c r="H499" s="64">
        <f>'[7]CUENTA T VS'!JG75</f>
        <v>0</v>
      </c>
      <c r="I499" s="64">
        <f t="shared" si="17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17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'[7]CUENTA T FONDO 100'!JH97</f>
        <v>0</v>
      </c>
      <c r="H501" s="64">
        <f>'[7]CUENTA T VS'!JH75</f>
        <v>0</v>
      </c>
      <c r="I501" s="64">
        <f t="shared" si="1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052C-35DC-4814-A045-8B141F089179}">
  <dimension ref="A1:P511"/>
  <sheetViews>
    <sheetView topLeftCell="A10" workbookViewId="0">
      <selection sqref="A1:XFD1048576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8.7109375" style="5" bestFit="1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394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2685939.809999994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+'[8]INGR SEGUN ORIGEN'!E12</f>
        <v>122574580.69</v>
      </c>
      <c r="H15" s="25" t="s">
        <v>17</v>
      </c>
      <c r="I15" s="19"/>
      <c r="J15" s="17"/>
      <c r="L15" s="5">
        <v>2.1</v>
      </c>
      <c r="M15" s="27">
        <f>G26</f>
        <v>81717720.849999994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+'[8]INGR SEGUN ORIGEN'!E26+'[8]INGR SEGUN ORIGEN'!E33</f>
        <v>16833212.450000003</v>
      </c>
      <c r="H16" s="25"/>
      <c r="I16" s="23"/>
      <c r="J16" s="17"/>
      <c r="L16" s="5">
        <v>2.2000000000000002</v>
      </c>
      <c r="M16" s="27">
        <f>G87</f>
        <v>13617256.389999999</v>
      </c>
      <c r="N16" s="27">
        <f>H87</f>
        <v>7601154.9300000006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142093732.94999999</v>
      </c>
      <c r="J17" s="17"/>
      <c r="L17" s="5">
        <v>2.2999999999999998</v>
      </c>
      <c r="M17" s="27">
        <f>'[8]CONS. FUENTES FINAN'!G212</f>
        <v>71708916.149999991</v>
      </c>
      <c r="N17" s="27">
        <f>'[8]CONS. FUENTES FINAN'!H212</f>
        <v>11135613.280000001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16000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17995005.589999996</v>
      </c>
      <c r="N19" s="27">
        <f>H336</f>
        <v>4350775.54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'[8]CONS. FUENTES FINAN'!G463</f>
        <v>0</v>
      </c>
      <c r="N20" s="27">
        <f>'[8]CONS.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174">
        <v>2</v>
      </c>
      <c r="G21" s="210">
        <v>3</v>
      </c>
      <c r="H21" s="211"/>
      <c r="I21" s="42">
        <v>4</v>
      </c>
      <c r="J21" s="42">
        <v>5</v>
      </c>
    </row>
    <row r="22" spans="1:16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173"/>
      <c r="M24" s="173"/>
      <c r="N24" s="173"/>
      <c r="O24" s="173"/>
      <c r="P24" s="17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185038898.97999999</v>
      </c>
      <c r="H25" s="47">
        <f>+H26+H87+H212+H330+H336+H463</f>
        <v>23103543.75</v>
      </c>
      <c r="I25" s="47">
        <f t="shared" ref="I25:I88" si="0">SUM(G25:H25)</f>
        <v>208142442.72999999</v>
      </c>
      <c r="J25" s="48">
        <f>+J26+J87+J212+J330+J336+J463</f>
        <v>1</v>
      </c>
      <c r="K25" s="27"/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81717720.849999994</v>
      </c>
      <c r="H26" s="52">
        <f>+H27+H51+H64+H71+H78</f>
        <v>0</v>
      </c>
      <c r="I26" s="52">
        <f t="shared" si="0"/>
        <v>81717720.849999994</v>
      </c>
      <c r="J26" s="53">
        <f>I26/$I$25</f>
        <v>0.39260479399678849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61417331.100000001</v>
      </c>
      <c r="H27" s="56">
        <f>+H28+H35+H42+H44+H46</f>
        <v>0</v>
      </c>
      <c r="I27" s="56">
        <f t="shared" si="0"/>
        <v>61417331.100000001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59174005.049999997</v>
      </c>
      <c r="H28" s="59">
        <f>SUM(H29:H34)</f>
        <v>0</v>
      </c>
      <c r="I28" s="59">
        <f t="shared" si="0"/>
        <v>59174005.049999997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'[8]CUENTA T FONDO 100'!A210</f>
        <v>59174005.049999997</v>
      </c>
      <c r="H29" s="64">
        <f>'[8]CUENTA T VS'!A498</f>
        <v>0</v>
      </c>
      <c r="I29" s="64">
        <f t="shared" si="0"/>
        <v>59174005.049999997</v>
      </c>
      <c r="J29" s="65">
        <f t="shared" ref="J29:J34" si="1">I29/$I$25</f>
        <v>0.28429571726877367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'[8]CUENTA T FONDO 100'!B210</f>
        <v>0</v>
      </c>
      <c r="H30" s="64">
        <f>'[8]CUENTA T VS'!B498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'[8]CUENTA T FONDO 100'!C210</f>
        <v>0</v>
      </c>
      <c r="H31" s="64">
        <f>'[8]CUENTA T VS'!C498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'[8]CUENTA T FONDO 100'!D210</f>
        <v>0</v>
      </c>
      <c r="H32" s="64">
        <f>'[8]CUENTA T VS'!D498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'[8]CUENTA T FONDO 100'!E210</f>
        <v>0</v>
      </c>
      <c r="H33" s="64">
        <f>'[8]CUENTA T VS'!E498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'[8]CUENTA T FONDO 100'!F210</f>
        <v>0</v>
      </c>
      <c r="H34" s="64">
        <f>'[8]CUENTA T VS'!F498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SUM(G36:G41)</f>
        <v>1342531.03</v>
      </c>
      <c r="H35" s="59">
        <f>SUM(H36:H41)</f>
        <v>0</v>
      </c>
      <c r="I35" s="59">
        <f t="shared" si="0"/>
        <v>1342531.03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'[8]CUENTA T FONDO 100'!G210</f>
        <v>0</v>
      </c>
      <c r="H36" s="64">
        <f>'[8]CUENTA T VS'!G498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'[8]CUENTA T FONDO 100'!H210</f>
        <v>0</v>
      </c>
      <c r="H37" s="64">
        <f>'[8]CUENTA T VS'!H498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'[8]CUENTA T FONDO 100'!I210</f>
        <v>0</v>
      </c>
      <c r="H38" s="64">
        <f>'[8]CUENTA T VS'!I498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'[8]CUENTA T FONDO 100'!J210</f>
        <v>1342531.03</v>
      </c>
      <c r="H39" s="64">
        <f>'[8]CUENTA T VS'!J498</f>
        <v>0</v>
      </c>
      <c r="I39" s="64">
        <f t="shared" si="0"/>
        <v>1342531.03</v>
      </c>
      <c r="J39" s="65">
        <f t="shared" si="2"/>
        <v>6.4500589711129512E-3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'[8]CUENTA T FONDO 100'!K210</f>
        <v>0</v>
      </c>
      <c r="H40" s="64">
        <f>'[8]CUENTA T VS'!K498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'[8]CUENTA T FONDO 100'!L210</f>
        <v>0</v>
      </c>
      <c r="H41" s="64">
        <f>'[8]CUENTA T VS'!L498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SUM(G43)</f>
        <v>0</v>
      </c>
      <c r="H42" s="59">
        <f>SUM(H43)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'[8]CUENTA T FONDO 100'!M210</f>
        <v>0</v>
      </c>
      <c r="H43" s="64">
        <f>'[8]CUENTA T VS'!M498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SUM(G45)</f>
        <v>0</v>
      </c>
      <c r="H44" s="59">
        <f>SUM(H45)</f>
        <v>0</v>
      </c>
      <c r="I44" s="59">
        <f t="shared" si="0"/>
        <v>0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'[8]CUENTA T FONDO 100'!N210</f>
        <v>0</v>
      </c>
      <c r="H45" s="64">
        <f>'[8]CUENTA T VS'!N498</f>
        <v>0</v>
      </c>
      <c r="I45" s="64">
        <f t="shared" si="0"/>
        <v>0</v>
      </c>
      <c r="J45" s="65">
        <f>I45/$I$25</f>
        <v>0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SUM(G47:G50)</f>
        <v>900795.02</v>
      </c>
      <c r="H46" s="59">
        <f>SUM(H47:H50)</f>
        <v>0</v>
      </c>
      <c r="I46" s="59">
        <f t="shared" si="0"/>
        <v>900795.02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'[8]CUENTA T FONDO 100'!O210</f>
        <v>0</v>
      </c>
      <c r="H47" s="64">
        <f>'[8]CUENTA T VS'!O498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'[8]CUENTA T FONDO 100'!P210</f>
        <v>0</v>
      </c>
      <c r="H48" s="64">
        <f>'[8]CUENTA T VS'!P498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'[8]CUENTA T FONDO 100'!Q210</f>
        <v>558888</v>
      </c>
      <c r="H49" s="64">
        <f>'[8]CUENTA T VS'!Q498</f>
        <v>0</v>
      </c>
      <c r="I49" s="64">
        <f t="shared" si="0"/>
        <v>558888</v>
      </c>
      <c r="J49" s="65">
        <f>I49/$I$25</f>
        <v>2.6851227105323403E-3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'[8]CUENTA T FONDO 100'!R210</f>
        <v>341907.01999999996</v>
      </c>
      <c r="H50" s="64">
        <f>'[8]CUENTA T VS'!R498</f>
        <v>0</v>
      </c>
      <c r="I50" s="64">
        <f t="shared" si="0"/>
        <v>341907.01999999996</v>
      </c>
      <c r="J50" s="65">
        <f>I50/$I$25</f>
        <v>1.6426588230422465E-3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+G52+G54</f>
        <v>10988252.65</v>
      </c>
      <c r="H51" s="56">
        <f>+H52+H54</f>
        <v>0</v>
      </c>
      <c r="I51" s="56">
        <f t="shared" si="0"/>
        <v>10988252.65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SUM(G53)</f>
        <v>2652914.66</v>
      </c>
      <c r="H52" s="59">
        <f>SUM(H53)</f>
        <v>0</v>
      </c>
      <c r="I52" s="59">
        <f t="shared" si="0"/>
        <v>2652914.66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'[8]CUENTA T FONDO 100'!S210</f>
        <v>2652914.66</v>
      </c>
      <c r="H53" s="64">
        <f>'[8]CUENTA T VS'!S498</f>
        <v>0</v>
      </c>
      <c r="I53" s="64">
        <f t="shared" si="0"/>
        <v>2652914.66</v>
      </c>
      <c r="J53" s="65">
        <f>I53/$I$25</f>
        <v>1.2745668904449876E-2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SUM(G55:G63)</f>
        <v>8335337.9900000002</v>
      </c>
      <c r="H54" s="59">
        <f>SUM(H55:H63)</f>
        <v>0</v>
      </c>
      <c r="I54" s="59">
        <f t="shared" si="0"/>
        <v>8335337.9900000002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'[8]CUENTA T FONDO 100'!T210</f>
        <v>0</v>
      </c>
      <c r="H55" s="64">
        <f>'[8]CUENTA T VS'!T498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'[8]CUENTA T FONDO 100'!U210</f>
        <v>0</v>
      </c>
      <c r="H56" s="64">
        <f>'[8]CUENTA T VS'!U498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'[8]CUENTA T FONDO 100'!V210</f>
        <v>0</v>
      </c>
      <c r="H57" s="64">
        <f>'[8]CUENTA T VS'!V498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'[8]CUENTA T FONDO 100'!W210</f>
        <v>75000</v>
      </c>
      <c r="H58" s="64">
        <f>'[8]CUENTA T VS'!W498</f>
        <v>0</v>
      </c>
      <c r="I58" s="64">
        <f t="shared" si="0"/>
        <v>75000</v>
      </c>
      <c r="J58" s="65">
        <f t="shared" si="3"/>
        <v>3.6033016148123693E-4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'[8]CUENTA T FONDO 100'!X210</f>
        <v>0</v>
      </c>
      <c r="H59" s="64">
        <f>'[8]CUENTA T VS'!X498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'[8]CUENTA T FONDO 100'!Y210</f>
        <v>0</v>
      </c>
      <c r="H60" s="64">
        <f>'[8]CUENTA T VS'!Y498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'[8]CUENTA T FONDO 100'!Z210</f>
        <v>301200</v>
      </c>
      <c r="H61" s="64">
        <f>'[8]CUENTA T VS'!Z498</f>
        <v>0</v>
      </c>
      <c r="I61" s="64">
        <f t="shared" si="0"/>
        <v>301200</v>
      </c>
      <c r="J61" s="65">
        <f t="shared" si="3"/>
        <v>1.4470859285086474E-3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'[8]CUENTA T FONDO 100'!AA210</f>
        <v>0</v>
      </c>
      <c r="H62" s="64">
        <f>'[8]CUENTA T VS'!AA498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'[8]CUENTA T FONDO 100'!AB210</f>
        <v>7959137.9900000002</v>
      </c>
      <c r="H63" s="64">
        <f>'[8]CUENTA T VS'!AB498</f>
        <v>0</v>
      </c>
      <c r="I63" s="64">
        <f t="shared" si="0"/>
        <v>7959137.9900000002</v>
      </c>
      <c r="J63" s="65">
        <f t="shared" si="3"/>
        <v>3.8238899695841967E-2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+G65+G68</f>
        <v>0</v>
      </c>
      <c r="H64" s="56">
        <f>+H65+H68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SUM(G66:G67)</f>
        <v>0</v>
      </c>
      <c r="H65" s="59">
        <f>SUM(H66:H67)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'[8]CUENTA T FONDO 100'!AC210</f>
        <v>0</v>
      </c>
      <c r="H66" s="64">
        <f>'[8]CUENTA T VS'!AC498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'[8]CUENTA T FONDO 100'!AD210</f>
        <v>0</v>
      </c>
      <c r="H67" s="64">
        <f>'[8]CUENTA T VS'!AD498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SUM(G69:G70)</f>
        <v>0</v>
      </c>
      <c r="H68" s="59">
        <f>SUM(H69:H70)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'[8]CUENTA T FONDO 100'!AE210</f>
        <v>0</v>
      </c>
      <c r="H69" s="64">
        <f>'[8]CUENTA T VS'!AE498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'[8]CUENTA T FONDO 100'!AF210</f>
        <v>0</v>
      </c>
      <c r="H70" s="64">
        <f>'[8]CUENTA T VS'!AF498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+G72+G74</f>
        <v>0</v>
      </c>
      <c r="H71" s="56">
        <f>+H72+H74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SUM(G73)</f>
        <v>0</v>
      </c>
      <c r="H72" s="59">
        <f>SUM(H73)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'[8]CUENTA T FONDO 100'!AG210</f>
        <v>0</v>
      </c>
      <c r="H73" s="64">
        <f>'[8]CUENTA T VS'!AG498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SUM(G75:G77)</f>
        <v>0</v>
      </c>
      <c r="H74" s="59">
        <f>SUM(H75:H77)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'[8]CUENTA T FONDO 100'!AH210</f>
        <v>0</v>
      </c>
      <c r="H75" s="64">
        <f>'[8]CUENTA T VS'!AH498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'[8]CUENTA T FONDO 100'!AI210</f>
        <v>0</v>
      </c>
      <c r="H76" s="64">
        <f>'[8]CUENTA T VS'!AI498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'[8]CUENTA T FONDO 100'!AJ210</f>
        <v>0</v>
      </c>
      <c r="H77" s="64">
        <f>'[8]CUENTA T VS'!AJ498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+G79+G81+G83+G85</f>
        <v>9312137.0999999996</v>
      </c>
      <c r="H78" s="56">
        <f>+H79+H81+H83+H85</f>
        <v>0</v>
      </c>
      <c r="I78" s="56">
        <f t="shared" si="0"/>
        <v>9312137.0999999996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SUM(G80)</f>
        <v>4290757.45</v>
      </c>
      <c r="H79" s="59">
        <f>SUM(H80)</f>
        <v>0</v>
      </c>
      <c r="I79" s="59">
        <f t="shared" si="0"/>
        <v>4290757.45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'[8]CUENTA T FONDO 100'!AK210</f>
        <v>4290757.45</v>
      </c>
      <c r="H80" s="64">
        <f>'[8]CUENTA T VS'!AK498</f>
        <v>0</v>
      </c>
      <c r="I80" s="64">
        <f t="shared" si="0"/>
        <v>4290757.45</v>
      </c>
      <c r="J80" s="65">
        <f>I80/$I$25</f>
        <v>2.0614524331137606E-2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SUM(G82)</f>
        <v>4296541.5199999996</v>
      </c>
      <c r="H81" s="59">
        <f>SUM(H82)</f>
        <v>0</v>
      </c>
      <c r="I81" s="59">
        <f t="shared" si="0"/>
        <v>4296541.5199999996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'[8]CUENTA T FONDO 100'!AL210</f>
        <v>4296541.5199999996</v>
      </c>
      <c r="H82" s="64">
        <f>'[8]CUENTA T VS'!AL498</f>
        <v>0</v>
      </c>
      <c r="I82" s="64">
        <f t="shared" si="0"/>
        <v>4296541.5199999996</v>
      </c>
      <c r="J82" s="65">
        <f>I82/$I$25</f>
        <v>2.0642313329499184E-2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SUM(G84)</f>
        <v>724838.13</v>
      </c>
      <c r="H83" s="59">
        <f>SUM(H84)</f>
        <v>0</v>
      </c>
      <c r="I83" s="59">
        <f t="shared" si="0"/>
        <v>724838.13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'[8]CUENTA T FONDO 100'!AM210</f>
        <v>724838.13</v>
      </c>
      <c r="H84" s="64">
        <f>'[8]CUENTA T VS'!AM498</f>
        <v>0</v>
      </c>
      <c r="I84" s="64">
        <f t="shared" si="0"/>
        <v>724838.13</v>
      </c>
      <c r="J84" s="65">
        <f>I84/$I$25</f>
        <v>3.4824138724087704E-3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SUM(G86)</f>
        <v>0</v>
      </c>
      <c r="H85" s="59">
        <f>SUM(H86)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'[8]CUENTA T FONDO 100'!AN210</f>
        <v>0</v>
      </c>
      <c r="H86" s="64">
        <f>'[8]CUENTA T VS'!AN498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G88+G106+G111+G116+G125+G148+G157+G179+G208</f>
        <v>13617256.389999999</v>
      </c>
      <c r="H87" s="56">
        <f>H88+H106+H111+H116+H125+H148+H157+H179+H208</f>
        <v>7601154.9300000006</v>
      </c>
      <c r="I87" s="56">
        <f t="shared" si="0"/>
        <v>21218411.32</v>
      </c>
      <c r="J87" s="53">
        <f>I87/$I$25</f>
        <v>0.10194178103081207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+G89+G91+G93+G95+G97+G99+G102+G104</f>
        <v>211735</v>
      </c>
      <c r="H88" s="56">
        <f>+H89+H91+H93+H95+H97+H99+H102+H104</f>
        <v>1678516.07</v>
      </c>
      <c r="I88" s="56">
        <f t="shared" si="0"/>
        <v>1890251.07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SUM(G90)</f>
        <v>0</v>
      </c>
      <c r="H89" s="59">
        <f>SUM(H90)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'[8]CUENTA T FONDO 100'!AO210</f>
        <v>0</v>
      </c>
      <c r="H90" s="64">
        <f>'[8]CUENTA T VS'!AO498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SUM(G92)</f>
        <v>0</v>
      </c>
      <c r="H91" s="59">
        <f>SUM(H92)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'[8]CUENTA T FONDO 100'!AP210</f>
        <v>0</v>
      </c>
      <c r="H92" s="64">
        <f>'[8]CUENTA T VS'!AP498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SUM(G94)</f>
        <v>0</v>
      </c>
      <c r="H93" s="59">
        <f>SUM(H94)</f>
        <v>213516.07</v>
      </c>
      <c r="I93" s="59">
        <f t="shared" si="4"/>
        <v>213516.07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'[8]CUENTA T FONDO 100'!AQ210</f>
        <v>0</v>
      </c>
      <c r="H94" s="64">
        <f>'[8]CUENTA T VS'!AQ498</f>
        <v>213516.07</v>
      </c>
      <c r="I94" s="64">
        <f t="shared" si="4"/>
        <v>213516.07</v>
      </c>
      <c r="J94" s="65">
        <f>I94/$I$25</f>
        <v>1.0258170664258544E-3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SUM(G96)</f>
        <v>0</v>
      </c>
      <c r="H95" s="59">
        <f>SUM(H96)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'[8]CUENTA T FONDO 100'!AR210</f>
        <v>0</v>
      </c>
      <c r="H96" s="64">
        <f>'[8]CUENTA T VS'!AR498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SUM(G98)</f>
        <v>0</v>
      </c>
      <c r="H97" s="59">
        <f>SUM(H98)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'[8]CUENTA T FONDO 100'!AS210</f>
        <v>0</v>
      </c>
      <c r="H98" s="64">
        <f>'[8]CUENTA T VS'!AS498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SUM(G100:G101)</f>
        <v>0</v>
      </c>
      <c r="H99" s="59">
        <f>SUM(H100:H101)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'[8]CUENTA T FONDO 100'!AT210</f>
        <v>0</v>
      </c>
      <c r="H100" s="64">
        <f>'[8]CUENTA T VS'!AT498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'[8]CUENTA T FONDO 100'!AU210</f>
        <v>0</v>
      </c>
      <c r="H101" s="64">
        <f>'[8]CUENTA T VS'!AU498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SUM(G103)</f>
        <v>211735</v>
      </c>
      <c r="H102" s="59">
        <f>SUM(H103)</f>
        <v>0</v>
      </c>
      <c r="I102" s="59">
        <f t="shared" si="4"/>
        <v>211735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'[8]CUENTA T FONDO 100'!AV210</f>
        <v>211735</v>
      </c>
      <c r="H103" s="64">
        <f>'[8]CUENTA T VS'!AV498</f>
        <v>0</v>
      </c>
      <c r="I103" s="64">
        <f t="shared" si="4"/>
        <v>211735</v>
      </c>
      <c r="J103" s="65">
        <f>I103/$I$25</f>
        <v>1.0172600898830627E-3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SUM(G105)</f>
        <v>0</v>
      </c>
      <c r="H104" s="59">
        <f>SUM(H105)</f>
        <v>1465000</v>
      </c>
      <c r="I104" s="59">
        <f t="shared" si="4"/>
        <v>1465000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'[8]CUENTA T FONDO 100'!AW210</f>
        <v>0</v>
      </c>
      <c r="H105" s="64">
        <f>'[8]CUENTA T VS'!AW498</f>
        <v>1465000</v>
      </c>
      <c r="I105" s="64">
        <f t="shared" si="4"/>
        <v>1465000</v>
      </c>
      <c r="J105" s="65">
        <f>I105/$I$25</f>
        <v>7.0384491542668272E-3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+G107+G109</f>
        <v>300172.65000000002</v>
      </c>
      <c r="H106" s="56">
        <f>+H107+H109</f>
        <v>554568.57000000007</v>
      </c>
      <c r="I106" s="56">
        <f t="shared" si="4"/>
        <v>854741.22000000009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SUM(G108)</f>
        <v>0</v>
      </c>
      <c r="H107" s="59">
        <f>SUM(H108)</f>
        <v>0</v>
      </c>
      <c r="I107" s="59">
        <f t="shared" si="4"/>
        <v>0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'[8]CUENTA T FONDO 100'!AX210</f>
        <v>0</v>
      </c>
      <c r="H108" s="64">
        <f>'[8]CUENTA T VS'!AX498</f>
        <v>0</v>
      </c>
      <c r="I108" s="64">
        <f t="shared" si="4"/>
        <v>0</v>
      </c>
      <c r="J108" s="65">
        <f>I108/$I$25</f>
        <v>0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SUM(G110)</f>
        <v>300172.65000000002</v>
      </c>
      <c r="H109" s="59">
        <f>SUM(H110)</f>
        <v>554568.57000000007</v>
      </c>
      <c r="I109" s="59">
        <f t="shared" si="4"/>
        <v>854741.22000000009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'[8]CUENTA T FONDO 100'!AY210</f>
        <v>300172.65000000002</v>
      </c>
      <c r="H110" s="64">
        <f>'[8]CUENTA T VS'!AY498</f>
        <v>554568.57000000007</v>
      </c>
      <c r="I110" s="64">
        <f t="shared" si="4"/>
        <v>854741.22000000009</v>
      </c>
      <c r="J110" s="65">
        <f>I110/$I$25</f>
        <v>4.1065205576969266E-3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+G112+G114</f>
        <v>0</v>
      </c>
      <c r="H111" s="56">
        <f>+H112+H114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SUM(G113)</f>
        <v>0</v>
      </c>
      <c r="H112" s="59">
        <f>SUM(H113)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'[8]CUENTA T FONDO 100'!AZ210</f>
        <v>0</v>
      </c>
      <c r="H113" s="64">
        <f>'[8]CUENTA T VS'!AZ498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SUM(G115)</f>
        <v>0</v>
      </c>
      <c r="H114" s="59">
        <f>SUM(H115)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'[8]CUENTA T FONDO 100'!BA210</f>
        <v>0</v>
      </c>
      <c r="H115" s="64">
        <f>'[8]CUENTA T VS'!BA498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+G117+G119+G121+G123</f>
        <v>0</v>
      </c>
      <c r="H116" s="56">
        <f>+H117+H119+H121+H123</f>
        <v>68000</v>
      </c>
      <c r="I116" s="56">
        <f t="shared" si="4"/>
        <v>68000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SUM(G118)</f>
        <v>0</v>
      </c>
      <c r="H117" s="59">
        <f>SUM(H118)</f>
        <v>20000</v>
      </c>
      <c r="I117" s="59">
        <f t="shared" si="4"/>
        <v>20000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'[8]CUENTA T FONDO 100'!BB210</f>
        <v>0</v>
      </c>
      <c r="H118" s="64">
        <f>'[8]CUENTA T VS'!BB498</f>
        <v>20000</v>
      </c>
      <c r="I118" s="64">
        <f t="shared" si="4"/>
        <v>20000</v>
      </c>
      <c r="J118" s="65">
        <f>I118/$I$25</f>
        <v>9.6088043061663168E-5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SUM(G120)</f>
        <v>0</v>
      </c>
      <c r="H119" s="59">
        <f>SUM(H120)</f>
        <v>48000</v>
      </c>
      <c r="I119" s="59">
        <f t="shared" si="4"/>
        <v>48000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'[8]CUENTA T FONDO 100'!BC210</f>
        <v>0</v>
      </c>
      <c r="H120" s="64">
        <f>'[8]CUENTA T VS'!BC498</f>
        <v>48000</v>
      </c>
      <c r="I120" s="64">
        <f t="shared" si="4"/>
        <v>48000</v>
      </c>
      <c r="J120" s="65">
        <f>I120/$I$25</f>
        <v>2.3061130334799161E-4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SUM(G122)</f>
        <v>0</v>
      </c>
      <c r="H121" s="59">
        <f>SUM(H122)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'[8]CUENTA T FONDO 100'!BD210</f>
        <v>0</v>
      </c>
      <c r="H122" s="64">
        <f>'[8]CUENTA T VS'!BD498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SUM(G124)</f>
        <v>0</v>
      </c>
      <c r="H123" s="59">
        <f>SUM(H124)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'[8]CUENTA T FONDO 100'!BE210</f>
        <v>0</v>
      </c>
      <c r="H124" s="64">
        <f>'[8]CUENTA T VS'!BE498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+G126+G128+G130+G136+G138+G140+G142+G144+G146</f>
        <v>632942.94999999995</v>
      </c>
      <c r="H125" s="56">
        <f>+H126+H128+H130+H136+H138+H140+H142+H144+H146</f>
        <v>0</v>
      </c>
      <c r="I125" s="56">
        <f t="shared" si="4"/>
        <v>632942.94999999995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SUM(G127)</f>
        <v>0</v>
      </c>
      <c r="H126" s="59">
        <f>SUM(H127)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'[8]CUENTA T FONDO 100'!BF210</f>
        <v>0</v>
      </c>
      <c r="H127" s="64">
        <f>'[8]CUENTA T VS'!BF498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SUM(G129)</f>
        <v>0</v>
      </c>
      <c r="H128" s="59">
        <f>SUM(H129)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'[8]CUENTA T FONDO 100'!BG210</f>
        <v>0</v>
      </c>
      <c r="H129" s="64">
        <f>'[8]CUENTA T VS'!BG498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SUM(G131:G135)</f>
        <v>632942.94999999995</v>
      </c>
      <c r="H130" s="59">
        <f>SUM(H131:H135)</f>
        <v>0</v>
      </c>
      <c r="I130" s="59">
        <f t="shared" si="4"/>
        <v>632942.94999999995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'[8]CUENTA T FONDO 100'!BH210</f>
        <v>0</v>
      </c>
      <c r="H131" s="64">
        <f>'[8]CUENTA T VS'!BH498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'[8]CUENTA T FONDO 100'!BI210</f>
        <v>632942.94999999995</v>
      </c>
      <c r="H132" s="64">
        <f>'[8]CUENTA T VS'!BI498</f>
        <v>0</v>
      </c>
      <c r="I132" s="64">
        <f t="shared" si="4"/>
        <v>632942.94999999995</v>
      </c>
      <c r="J132" s="65">
        <f>I132/$I$25</f>
        <v>3.0409124717588058E-3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'[8]CUENTA T FONDO 100'!BJ210</f>
        <v>0</v>
      </c>
      <c r="H133" s="64">
        <f>'[8]CUENTA T VS'!BJ498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'[8]CUENTA T FONDO 100'!BK210</f>
        <v>0</v>
      </c>
      <c r="H134" s="64">
        <f>'[8]CUENTA T VS'!BK498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'[8]CUENTA T FONDO 100'!BL210</f>
        <v>0</v>
      </c>
      <c r="H135" s="64">
        <f>'[8]CUENTA T VS'!BL498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SUM(G137)</f>
        <v>0</v>
      </c>
      <c r="H136" s="59">
        <f>SUM(H137)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'[8]CUENTA T FONDO 100'!BM210</f>
        <v>0</v>
      </c>
      <c r="H137" s="64">
        <f>'[8]CUENTA T VS'!BM498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SUM(G139)</f>
        <v>0</v>
      </c>
      <c r="H138" s="59">
        <f>SUM(H139)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'[8]CUENTA T FONDO 100'!BN210</f>
        <v>0</v>
      </c>
      <c r="H139" s="64">
        <f>'[8]CUENTA T VS'!BN498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SUM(G141)</f>
        <v>0</v>
      </c>
      <c r="H140" s="59">
        <f>SUM(H141)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'[8]CUENTA T FONDO 100'!BO210</f>
        <v>0</v>
      </c>
      <c r="H141" s="64">
        <f>'[8]CUENTA T VS'!BO498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SUM(G143)</f>
        <v>0</v>
      </c>
      <c r="H142" s="59">
        <f>SUM(H143)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'[8]CUENTA T FONDO 100'!BP210</f>
        <v>0</v>
      </c>
      <c r="H143" s="64">
        <f>'[8]CUENTA T VS'!BP498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SUM(G145)</f>
        <v>0</v>
      </c>
      <c r="H144" s="59">
        <f>SUM(H145)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'[8]CUENTA T FONDO 100'!BQ210</f>
        <v>0</v>
      </c>
      <c r="H145" s="64">
        <f>'[8]CUENTA T VS'!BQ498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SUM(G147)</f>
        <v>0</v>
      </c>
      <c r="H146" s="59">
        <f>SUM(H147)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'[8]CUENTA T FONDO 100'!BR210</f>
        <v>0</v>
      </c>
      <c r="H147" s="64">
        <f>'[8]CUENTA T VS'!BR498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+G149+G151+G153+G155</f>
        <v>0</v>
      </c>
      <c r="H148" s="56">
        <f>+H149+H151+H153+H155</f>
        <v>0</v>
      </c>
      <c r="I148" s="56">
        <f t="shared" si="4"/>
        <v>0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SUM(G150)</f>
        <v>0</v>
      </c>
      <c r="H149" s="59">
        <f>SUM(H150)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'[8]CUENTA T FONDO 100'!BS210</f>
        <v>0</v>
      </c>
      <c r="H150" s="64">
        <f>'[8]CUENTA T VS'!BS498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SUM(G152)</f>
        <v>0</v>
      </c>
      <c r="H151" s="59">
        <f>SUM(H152)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'[8]CUENTA T FONDO 100'!BT210</f>
        <v>0</v>
      </c>
      <c r="H152" s="64">
        <f>'[8]CUENTA T VS'!BT498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SUM(G154)</f>
        <v>0</v>
      </c>
      <c r="H153" s="59">
        <f>SUM(H154)</f>
        <v>0</v>
      </c>
      <c r="I153" s="59">
        <f t="shared" ref="I153:I216" si="5">SUM(G153:H153)</f>
        <v>0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'[8]CUENTA T FONDO 100'!BU210</f>
        <v>0</v>
      </c>
      <c r="H154" s="64">
        <f>'[8]CUENTA T VS'!BU498</f>
        <v>0</v>
      </c>
      <c r="I154" s="64">
        <f t="shared" si="5"/>
        <v>0</v>
      </c>
      <c r="J154" s="65">
        <f>I154/$I$25</f>
        <v>0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SUM(G156)</f>
        <v>0</v>
      </c>
      <c r="H155" s="59">
        <f>SUM(H156)</f>
        <v>0</v>
      </c>
      <c r="I155" s="59">
        <f t="shared" si="5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'[8]CUENTA T FONDO 100'!BV210</f>
        <v>0</v>
      </c>
      <c r="H156" s="64">
        <f>'[8]CUENTA T VS'!BV498</f>
        <v>0</v>
      </c>
      <c r="I156" s="64">
        <f t="shared" si="5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+G158+G167+G177</f>
        <v>12472405.789999999</v>
      </c>
      <c r="H157" s="56">
        <f>+H158+H167+H177</f>
        <v>2693876.6799999997</v>
      </c>
      <c r="I157" s="56">
        <f t="shared" si="5"/>
        <v>15166282.469999999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SUM(G159:G166)</f>
        <v>10151865.189999999</v>
      </c>
      <c r="H158" s="59">
        <f>SUM(H159:H166)</f>
        <v>1927835.1199999999</v>
      </c>
      <c r="I158" s="59">
        <f t="shared" si="5"/>
        <v>12079700.309999999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'[8]CUENTA T FONDO 100'!BW210</f>
        <v>10151865.189999999</v>
      </c>
      <c r="H159" s="64">
        <f>'[8]CUENTA T VS'!BW498</f>
        <v>1927835.1199999999</v>
      </c>
      <c r="I159" s="64">
        <f t="shared" si="5"/>
        <v>12079700.309999999</v>
      </c>
      <c r="J159" s="65">
        <f t="shared" ref="J159:J166" si="6">I159/$I$25</f>
        <v>5.8035738177963293E-2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'[8]CUENTA T FONDO 100'!BX210</f>
        <v>0</v>
      </c>
      <c r="H160" s="64">
        <f>'[8]CUENTA T VS'!BX498</f>
        <v>0</v>
      </c>
      <c r="I160" s="64">
        <f t="shared" si="5"/>
        <v>0</v>
      </c>
      <c r="J160" s="65">
        <f t="shared" si="6"/>
        <v>0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'[8]CUENTA T FONDO 100'!BY210</f>
        <v>0</v>
      </c>
      <c r="H161" s="64">
        <f>'[8]CUENTA T VS'!BY498</f>
        <v>0</v>
      </c>
      <c r="I161" s="64">
        <f t="shared" si="5"/>
        <v>0</v>
      </c>
      <c r="J161" s="65">
        <f t="shared" si="6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'[8]CUENTA T FONDO 100'!BZ210</f>
        <v>0</v>
      </c>
      <c r="H162" s="64">
        <f>'[8]CUENTA T VS'!BZ498</f>
        <v>0</v>
      </c>
      <c r="I162" s="64">
        <f t="shared" si="5"/>
        <v>0</v>
      </c>
      <c r="J162" s="65">
        <f t="shared" si="6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'[8]CUENTA T FONDO 100'!CA210</f>
        <v>0</v>
      </c>
      <c r="H163" s="64">
        <f>'[8]CUENTA T VS'!CA498</f>
        <v>0</v>
      </c>
      <c r="I163" s="64">
        <f t="shared" si="5"/>
        <v>0</v>
      </c>
      <c r="J163" s="65">
        <f t="shared" si="6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'[8]CUENTA T FONDO 100'!CB210</f>
        <v>0</v>
      </c>
      <c r="H164" s="64">
        <f>'[8]CUENTA T VS'!CB498</f>
        <v>0</v>
      </c>
      <c r="I164" s="64">
        <f t="shared" si="5"/>
        <v>0</v>
      </c>
      <c r="J164" s="65">
        <f t="shared" si="6"/>
        <v>0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'[8]CUENTA T FONDO 100'!CC210</f>
        <v>0</v>
      </c>
      <c r="H165" s="64">
        <f>'[8]CUENTA T VS'!CC498</f>
        <v>0</v>
      </c>
      <c r="I165" s="64">
        <f t="shared" si="5"/>
        <v>0</v>
      </c>
      <c r="J165" s="65">
        <f t="shared" si="6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'[8]CUENTA T FONDO 100'!CD210</f>
        <v>0</v>
      </c>
      <c r="H166" s="64">
        <f>'[8]CUENTA T VS'!CD498</f>
        <v>0</v>
      </c>
      <c r="I166" s="64">
        <f t="shared" si="5"/>
        <v>0</v>
      </c>
      <c r="J166" s="65">
        <f t="shared" si="6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SUM(G168:G176)</f>
        <v>2320540.6</v>
      </c>
      <c r="H167" s="59">
        <f>SUM(H168:H176)</f>
        <v>766041.56</v>
      </c>
      <c r="I167" s="59">
        <f t="shared" si="5"/>
        <v>3086582.16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'[8]CUENTA T FONDO 100'!CE210</f>
        <v>0</v>
      </c>
      <c r="H168" s="64">
        <f>'[8]CUENTA T VS'!CE498</f>
        <v>0</v>
      </c>
      <c r="I168" s="64">
        <f t="shared" si="5"/>
        <v>0</v>
      </c>
      <c r="J168" s="65">
        <f t="shared" ref="J168:J176" si="7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'[8]CUENTA T FONDO 100'!CF210</f>
        <v>0</v>
      </c>
      <c r="H169" s="64">
        <f>'[8]CUENTA T VS'!CF498</f>
        <v>0</v>
      </c>
      <c r="I169" s="64">
        <f t="shared" si="5"/>
        <v>0</v>
      </c>
      <c r="J169" s="65">
        <f t="shared" si="7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'[8]CUENTA T FONDO 100'!CG210</f>
        <v>0</v>
      </c>
      <c r="H170" s="64">
        <f>'[8]CUENTA T VS'!CG498</f>
        <v>0</v>
      </c>
      <c r="I170" s="64">
        <f t="shared" si="5"/>
        <v>0</v>
      </c>
      <c r="J170" s="65">
        <f t="shared" si="7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'[8]CUENTA T FONDO 100'!CH210</f>
        <v>992191</v>
      </c>
      <c r="H171" s="64">
        <f>'[8]CUENTA T VS'!CH498</f>
        <v>513300</v>
      </c>
      <c r="I171" s="64">
        <f t="shared" si="5"/>
        <v>1505491</v>
      </c>
      <c r="J171" s="65">
        <f t="shared" si="7"/>
        <v>7.232984201847318E-3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'[8]CUENTA T FONDO 100'!CI210</f>
        <v>0</v>
      </c>
      <c r="H172" s="64">
        <f>'[8]CUENTA T VS'!CI498</f>
        <v>0</v>
      </c>
      <c r="I172" s="64">
        <f t="shared" si="5"/>
        <v>0</v>
      </c>
      <c r="J172" s="65">
        <f t="shared" si="7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'[8]CUENTA T FONDO 100'!CJ210</f>
        <v>0</v>
      </c>
      <c r="H173" s="64">
        <f>'[8]CUENTA T VS'!CJ498</f>
        <v>252741.56</v>
      </c>
      <c r="I173" s="64">
        <f t="shared" si="5"/>
        <v>252741.56</v>
      </c>
      <c r="J173" s="65">
        <f t="shared" si="7"/>
        <v>1.2142720950375962E-3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'[8]CUENTA T FONDO 100'!CK210</f>
        <v>0</v>
      </c>
      <c r="H174" s="64">
        <f>'[8]CUENTA T VS'!CK498</f>
        <v>0</v>
      </c>
      <c r="I174" s="64">
        <f t="shared" si="5"/>
        <v>0</v>
      </c>
      <c r="J174" s="65">
        <f t="shared" si="7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'[8]CUENTA T FONDO 100'!CL210</f>
        <v>1328349.6000000001</v>
      </c>
      <c r="H175" s="64">
        <f>'[8]CUENTA T VS'!CL498</f>
        <v>0</v>
      </c>
      <c r="I175" s="64">
        <f t="shared" si="5"/>
        <v>1328349.6000000001</v>
      </c>
      <c r="J175" s="65">
        <f t="shared" si="7"/>
        <v>6.3819256782871531E-3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'[8]CUENTA T FONDO 100'!CM210</f>
        <v>0</v>
      </c>
      <c r="H176" s="64">
        <f>'[8]CUENTA T VS'!CM498</f>
        <v>0</v>
      </c>
      <c r="I176" s="64">
        <f t="shared" si="5"/>
        <v>0</v>
      </c>
      <c r="J176" s="65">
        <f t="shared" si="7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SUM(H178)</f>
        <v>0</v>
      </c>
      <c r="I177" s="59">
        <f t="shared" si="5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'[8]CUENTA T FONDO 100'!CN210</f>
        <v>0</v>
      </c>
      <c r="H178" s="64">
        <f>'[8]CUENTA T VS'!CN498</f>
        <v>0</v>
      </c>
      <c r="I178" s="64">
        <f t="shared" si="5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0</v>
      </c>
      <c r="H179" s="56">
        <f>+H180+H182+H184+H186+H188+H192+H197+H204</f>
        <v>871593.61</v>
      </c>
      <c r="I179" s="56">
        <f t="shared" si="5"/>
        <v>871593.61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SUM(H181)</f>
        <v>0</v>
      </c>
      <c r="I180" s="59">
        <f t="shared" si="5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'[8]CUENTA T FONDO 100'!CO210</f>
        <v>0</v>
      </c>
      <c r="H181" s="64">
        <f>'[8]CUENTA T VS'!CO498</f>
        <v>0</v>
      </c>
      <c r="I181" s="64">
        <f t="shared" si="5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SUM(H183)</f>
        <v>0</v>
      </c>
      <c r="I182" s="59">
        <f t="shared" si="5"/>
        <v>0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'[8]CUENTA T FONDO 100'!CP210</f>
        <v>0</v>
      </c>
      <c r="H183" s="64">
        <f>'[8]CUENTA T VS'!CP498</f>
        <v>0</v>
      </c>
      <c r="I183" s="64">
        <f t="shared" si="5"/>
        <v>0</v>
      </c>
      <c r="J183" s="65">
        <f>I183/$I$25</f>
        <v>0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SUM(H185)</f>
        <v>0</v>
      </c>
      <c r="I184" s="59">
        <f t="shared" si="5"/>
        <v>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'[8]CUENTA T FONDO 100'!CQ210</f>
        <v>0</v>
      </c>
      <c r="H185" s="64">
        <f>'[8]CUENTA T VS'!CQ498</f>
        <v>0</v>
      </c>
      <c r="I185" s="64">
        <f t="shared" si="5"/>
        <v>0</v>
      </c>
      <c r="J185" s="65">
        <f>I185/$I$25</f>
        <v>0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SUM(H187)</f>
        <v>0</v>
      </c>
      <c r="I186" s="59">
        <f t="shared" si="5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'[8]CUENTA T FONDO 100'!CR210</f>
        <v>0</v>
      </c>
      <c r="H187" s="64">
        <f>'[8]CUENTA T VS'!CR498</f>
        <v>0</v>
      </c>
      <c r="I187" s="64">
        <f t="shared" si="5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SUM(H189:H191)</f>
        <v>458453.61</v>
      </c>
      <c r="I188" s="59">
        <f t="shared" si="5"/>
        <v>458453.61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'[8]CUENTA T FONDO 100'!CS210</f>
        <v>0</v>
      </c>
      <c r="H189" s="64">
        <f>'[8]CUENTA T VS'!CS498</f>
        <v>202960</v>
      </c>
      <c r="I189" s="64">
        <f t="shared" si="5"/>
        <v>202960</v>
      </c>
      <c r="J189" s="65">
        <f>I189/$I$25</f>
        <v>9.751014609897579E-4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'[8]CUENTA T FONDO 100'!CT210</f>
        <v>0</v>
      </c>
      <c r="H190" s="64">
        <f>'[8]CUENTA T VS'!CT498</f>
        <v>0</v>
      </c>
      <c r="I190" s="64">
        <f t="shared" si="5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'[8]CUENTA T FONDO 100'!CU210</f>
        <v>0</v>
      </c>
      <c r="H191" s="64">
        <f>'[8]CUENTA T VS'!CU498</f>
        <v>255493.61000000002</v>
      </c>
      <c r="I191" s="64">
        <f t="shared" si="5"/>
        <v>255493.61000000002</v>
      </c>
      <c r="J191" s="65">
        <f>I191/$I$25</f>
        <v>1.2274940499829889E-3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SUM(H193:H196)</f>
        <v>86730</v>
      </c>
      <c r="I192" s="59">
        <f t="shared" si="5"/>
        <v>86730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'[8]CUENTA T FONDO 100'!CV210</f>
        <v>0</v>
      </c>
      <c r="H193" s="64">
        <f>'[8]CUENTA T VS'!CV498</f>
        <v>86730</v>
      </c>
      <c r="I193" s="64">
        <f t="shared" si="5"/>
        <v>86730</v>
      </c>
      <c r="J193" s="65">
        <f>I193/$I$25</f>
        <v>4.1668579873690233E-4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'[8]CUENTA T FONDO 100'!CW210</f>
        <v>0</v>
      </c>
      <c r="H194" s="64">
        <f>'[8]CUENTA T VS'!CW498</f>
        <v>0</v>
      </c>
      <c r="I194" s="64">
        <f t="shared" si="5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'[8]CUENTA T FONDO 100'!CX210</f>
        <v>0</v>
      </c>
      <c r="H195" s="64">
        <f>'[8]CUENTA T VS'!CX498</f>
        <v>0</v>
      </c>
      <c r="I195" s="64">
        <f t="shared" si="5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'[8]CUENTA T FONDO 100'!CY210</f>
        <v>0</v>
      </c>
      <c r="H196" s="64">
        <f>'[8]CUENTA T VS'!CY498</f>
        <v>0</v>
      </c>
      <c r="I196" s="64">
        <f t="shared" si="5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0</v>
      </c>
      <c r="H197" s="59">
        <f>SUM(H198:H203)</f>
        <v>315560</v>
      </c>
      <c r="I197" s="59">
        <f t="shared" si="5"/>
        <v>315560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'[8]CUENTA T FONDO 100'!CZ210</f>
        <v>0</v>
      </c>
      <c r="H198" s="64">
        <f>'[8]CUENTA T VS'!CZ498</f>
        <v>0</v>
      </c>
      <c r="I198" s="64">
        <f t="shared" si="5"/>
        <v>0</v>
      </c>
      <c r="J198" s="65">
        <f t="shared" ref="J198:J203" si="8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'[8]CUENTA T FONDO 100'!DA210</f>
        <v>0</v>
      </c>
      <c r="H199" s="64">
        <f>'[8]CUENTA T VS'!DA498</f>
        <v>0</v>
      </c>
      <c r="I199" s="64">
        <f t="shared" si="5"/>
        <v>0</v>
      </c>
      <c r="J199" s="65">
        <f t="shared" si="8"/>
        <v>0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'[8]CUENTA T FONDO 100'!DB210</f>
        <v>0</v>
      </c>
      <c r="H200" s="64">
        <f>'[8]CUENTA T VS'!DB498</f>
        <v>0</v>
      </c>
      <c r="I200" s="64">
        <f t="shared" si="5"/>
        <v>0</v>
      </c>
      <c r="J200" s="65">
        <f t="shared" si="8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'[8]CUENTA T FONDO 100'!DC210</f>
        <v>0</v>
      </c>
      <c r="H201" s="64">
        <f>'[8]CUENTA T VS'!DC498</f>
        <v>0</v>
      </c>
      <c r="I201" s="64">
        <f t="shared" si="5"/>
        <v>0</v>
      </c>
      <c r="J201" s="65">
        <f t="shared" si="8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'[8]CUENTA T FONDO 100'!DD210</f>
        <v>0</v>
      </c>
      <c r="H202" s="64">
        <f>'[8]CUENTA T VS'!DD498</f>
        <v>0</v>
      </c>
      <c r="I202" s="64">
        <f t="shared" si="5"/>
        <v>0</v>
      </c>
      <c r="J202" s="65">
        <f t="shared" si="8"/>
        <v>0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'[8]CUENTA T FONDO 100'!DE210</f>
        <v>0</v>
      </c>
      <c r="H203" s="64">
        <f>'[8]CUENTA T VS'!DE498</f>
        <v>315560</v>
      </c>
      <c r="I203" s="64">
        <f t="shared" si="5"/>
        <v>315560</v>
      </c>
      <c r="J203" s="65">
        <f t="shared" si="8"/>
        <v>1.5160771434269216E-3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SUM(H205:H207)</f>
        <v>10850</v>
      </c>
      <c r="I204" s="59">
        <f t="shared" si="5"/>
        <v>10850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'[8]CUENTA T FONDO 100'!DF210</f>
        <v>0</v>
      </c>
      <c r="H205" s="64">
        <f>'[8]CUENTA T VS'!DF498</f>
        <v>10850</v>
      </c>
      <c r="I205" s="64">
        <f t="shared" si="5"/>
        <v>10850</v>
      </c>
      <c r="J205" s="65">
        <f>I205/$I$25</f>
        <v>5.2127763360952274E-5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'[8]CUENTA T FONDO 100'!DG210</f>
        <v>0</v>
      </c>
      <c r="H206" s="64">
        <f>'[8]CUENTA T VS'!DG498</f>
        <v>0</v>
      </c>
      <c r="I206" s="64">
        <f t="shared" si="5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'[8]CUENTA T FONDO 100'!DH210</f>
        <v>0</v>
      </c>
      <c r="H207" s="64">
        <f>'[8]CUENTA T VS'!DH498</f>
        <v>0</v>
      </c>
      <c r="I207" s="64">
        <f t="shared" si="5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0</v>
      </c>
      <c r="H208" s="56">
        <f>+H209</f>
        <v>1734600</v>
      </c>
      <c r="I208" s="56">
        <f t="shared" si="5"/>
        <v>1734600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0</v>
      </c>
      <c r="H209" s="59">
        <f>H210+H211</f>
        <v>1734600</v>
      </c>
      <c r="I209" s="59">
        <f t="shared" si="5"/>
        <v>1734600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'[8]CUENTA T FONDO 100'!DI210</f>
        <v>0</v>
      </c>
      <c r="H210" s="64">
        <f>'[8]CUENTA T VS'!DI498</f>
        <v>0</v>
      </c>
      <c r="I210" s="64">
        <f t="shared" si="5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'[8]CUENTA T FONDO 100'!DJ210</f>
        <v>0</v>
      </c>
      <c r="H211" s="64">
        <f>'[8]CUENTA T VS'!DJ498</f>
        <v>1734600</v>
      </c>
      <c r="I211" s="64">
        <f t="shared" si="5"/>
        <v>1734600</v>
      </c>
      <c r="J211" s="65">
        <f>I211/$I$25</f>
        <v>8.3337159747380474E-3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71708916.149999991</v>
      </c>
      <c r="H212" s="56">
        <f>H213+H225+H232+H245+H250+H261+H286+H303+H308</f>
        <v>11135613.280000001</v>
      </c>
      <c r="I212" s="56">
        <f t="shared" si="5"/>
        <v>82844529.429999992</v>
      </c>
      <c r="J212" s="53">
        <f>I212/$I$25</f>
        <v>0.39801843556465305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5340259.88</v>
      </c>
      <c r="H213" s="56">
        <f>+H214+H217+H219+H223</f>
        <v>197315</v>
      </c>
      <c r="I213" s="56">
        <f t="shared" si="5"/>
        <v>5537574.8799999999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5340259.88</v>
      </c>
      <c r="H214" s="59">
        <f>SUM(H215:H216)</f>
        <v>197315</v>
      </c>
      <c r="I214" s="59">
        <f t="shared" si="5"/>
        <v>5537574.8799999999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'[8]CUENTA T FONDO 100'!DK210</f>
        <v>5340259.88</v>
      </c>
      <c r="H215" s="64">
        <f>'[8]CUENTA T VS'!DK498</f>
        <v>197315</v>
      </c>
      <c r="I215" s="64">
        <f t="shared" si="5"/>
        <v>5537574.8799999999</v>
      </c>
      <c r="J215" s="65">
        <f>I215/$I$25</f>
        <v>2.6604736676331214E-2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'[8]CUENTA T FONDO 100'!DL210</f>
        <v>0</v>
      </c>
      <c r="H216" s="64">
        <f>'[8]CUENTA T VS'!DL498</f>
        <v>0</v>
      </c>
      <c r="I216" s="64">
        <f t="shared" si="5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SUM(H218)</f>
        <v>0</v>
      </c>
      <c r="I217" s="59">
        <f t="shared" ref="I217:I280" si="9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'[8]CUENTA T FONDO 100'!DM210</f>
        <v>0</v>
      </c>
      <c r="H218" s="64">
        <f>'[8]CUENTA T VS'!DM498</f>
        <v>0</v>
      </c>
      <c r="I218" s="64">
        <f t="shared" si="9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SUM(H220:H222)</f>
        <v>0</v>
      </c>
      <c r="I219" s="59">
        <f t="shared" si="9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'[8]CUENTA T FONDO 100'!DN210</f>
        <v>0</v>
      </c>
      <c r="H220" s="64">
        <f>'[8]CUENTA T VS'!DN498</f>
        <v>0</v>
      </c>
      <c r="I220" s="64">
        <f t="shared" si="9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'[8]CUENTA T FONDO 100'!DO210</f>
        <v>0</v>
      </c>
      <c r="H221" s="64">
        <f>'[8]CUENTA T VS'!DO498</f>
        <v>0</v>
      </c>
      <c r="I221" s="64">
        <f t="shared" si="9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'[8]CUENTA T FONDO 100'!DP210</f>
        <v>0</v>
      </c>
      <c r="H222" s="64">
        <f>'[8]CUENTA T VS'!DP498</f>
        <v>0</v>
      </c>
      <c r="I222" s="64">
        <f t="shared" si="9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SUM(H224)</f>
        <v>0</v>
      </c>
      <c r="I223" s="59">
        <f t="shared" si="9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'[8]CUENTA T FONDO 100'!DQ210</f>
        <v>0</v>
      </c>
      <c r="H224" s="64">
        <f>'[8]CUENTA T VS'!DQ498</f>
        <v>0</v>
      </c>
      <c r="I224" s="64">
        <f t="shared" si="9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317487</v>
      </c>
      <c r="H225" s="56">
        <f>+H226+H228+H230</f>
        <v>623449.22</v>
      </c>
      <c r="I225" s="56">
        <f t="shared" si="9"/>
        <v>940936.22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SUM(H227)</f>
        <v>0</v>
      </c>
      <c r="I226" s="59">
        <f t="shared" si="9"/>
        <v>0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'[8]CUENTA T FONDO 100'!DR210</f>
        <v>0</v>
      </c>
      <c r="H227" s="64">
        <f>'[8]CUENTA T VS'!DR498</f>
        <v>0</v>
      </c>
      <c r="I227" s="64">
        <f t="shared" si="9"/>
        <v>0</v>
      </c>
      <c r="J227" s="65">
        <f>I227/$I$25</f>
        <v>0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317487</v>
      </c>
      <c r="H228" s="59">
        <f>SUM(H229)</f>
        <v>623449.22</v>
      </c>
      <c r="I228" s="59">
        <f t="shared" si="9"/>
        <v>940936.22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'[8]CUENTA T FONDO 100'!DS210</f>
        <v>317487</v>
      </c>
      <c r="H229" s="64">
        <f>'[8]CUENTA T VS'!DS498</f>
        <v>623449.22</v>
      </c>
      <c r="I229" s="64">
        <f t="shared" si="9"/>
        <v>940936.22</v>
      </c>
      <c r="J229" s="65">
        <f>I229/$I$25</f>
        <v>4.5206360012819283E-3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SUM(H231)</f>
        <v>0</v>
      </c>
      <c r="I230" s="59">
        <f t="shared" si="9"/>
        <v>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'[8]CUENTA T FONDO 100'!DT210</f>
        <v>0</v>
      </c>
      <c r="H231" s="64">
        <f>'[8]CUENTA T VS'!DT498</f>
        <v>0</v>
      </c>
      <c r="I231" s="64">
        <f t="shared" si="9"/>
        <v>0</v>
      </c>
      <c r="J231" s="65">
        <f>I231/$I$25</f>
        <v>0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327499.21000000002</v>
      </c>
      <c r="H232" s="56">
        <f>+H233+H235+H237+H239+H241+H243</f>
        <v>289100</v>
      </c>
      <c r="I232" s="56">
        <f t="shared" si="9"/>
        <v>616599.21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0</v>
      </c>
      <c r="H233" s="59">
        <f>SUM(H234)</f>
        <v>0</v>
      </c>
      <c r="I233" s="59">
        <f t="shared" si="9"/>
        <v>0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'[8]CUENTA T FONDO 100'!DU210</f>
        <v>0</v>
      </c>
      <c r="H234" s="64">
        <f>'[8]CUENTA T VS'!DU498</f>
        <v>0</v>
      </c>
      <c r="I234" s="64">
        <f t="shared" si="9"/>
        <v>0</v>
      </c>
      <c r="J234" s="65">
        <f>I234/$I$25</f>
        <v>0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55804.21</v>
      </c>
      <c r="H235" s="59">
        <f>SUM(H236)</f>
        <v>0</v>
      </c>
      <c r="I235" s="59">
        <f t="shared" si="9"/>
        <v>55804.21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'[8]CUENTA T FONDO 100'!DV210</f>
        <v>55804.21</v>
      </c>
      <c r="H236" s="64">
        <f>'[8]CUENTA T VS'!DV498</f>
        <v>0</v>
      </c>
      <c r="I236" s="64">
        <f t="shared" si="9"/>
        <v>55804.21</v>
      </c>
      <c r="J236" s="65">
        <f>I236/$I$25</f>
        <v>2.6810586667510471E-4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271695</v>
      </c>
      <c r="H237" s="59">
        <f>SUM(H238)</f>
        <v>289100</v>
      </c>
      <c r="I237" s="59">
        <f t="shared" si="9"/>
        <v>560795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'[8]CUENTA T FONDO 100'!DW210</f>
        <v>271695</v>
      </c>
      <c r="H238" s="64">
        <f>'[8]CUENTA T VS'!DW498</f>
        <v>289100</v>
      </c>
      <c r="I238" s="64">
        <f t="shared" si="9"/>
        <v>560795</v>
      </c>
      <c r="J238" s="65">
        <f>I238/$I$25</f>
        <v>2.6942847054382698E-3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SUM(H240)</f>
        <v>0</v>
      </c>
      <c r="I239" s="59">
        <f t="shared" si="9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'[8]CUENTA T FONDO 100'!DX210</f>
        <v>0</v>
      </c>
      <c r="H240" s="64">
        <f>'[8]CUENTA T VS'!DX498</f>
        <v>0</v>
      </c>
      <c r="I240" s="64">
        <f t="shared" si="9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SUM(H242)</f>
        <v>0</v>
      </c>
      <c r="I241" s="59">
        <f t="shared" si="9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'[8]CUENTA T FONDO 100'!DY210</f>
        <v>0</v>
      </c>
      <c r="H242" s="64">
        <f>'[8]CUENTA T VS'!DY498</f>
        <v>0</v>
      </c>
      <c r="I242" s="64">
        <f t="shared" si="9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SUM(H244)</f>
        <v>0</v>
      </c>
      <c r="I243" s="59">
        <f t="shared" si="9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'[8]CUENTA T FONDO 100'!DZ210</f>
        <v>0</v>
      </c>
      <c r="H244" s="64">
        <f>'[8]CUENTA T VS'!DZ498</f>
        <v>0</v>
      </c>
      <c r="I244" s="64">
        <f t="shared" si="9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19624399.5</v>
      </c>
      <c r="H245" s="56">
        <f>+H246+H248</f>
        <v>454061.65</v>
      </c>
      <c r="I245" s="56">
        <f t="shared" si="9"/>
        <v>20078461.149999999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19624399.5</v>
      </c>
      <c r="H246" s="59">
        <f>SUM(H247)</f>
        <v>454061.65</v>
      </c>
      <c r="I246" s="59">
        <f t="shared" si="9"/>
        <v>20078461.149999999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'[8]CUENTA T FONDO 100'!EA210</f>
        <v>19624399.5</v>
      </c>
      <c r="H247" s="64">
        <f>'[8]CUENTA T VS'!EA498</f>
        <v>454061.65</v>
      </c>
      <c r="I247" s="64">
        <f t="shared" si="9"/>
        <v>20078461.149999999</v>
      </c>
      <c r="J247" s="65">
        <f>I247/$I$25</f>
        <v>9.6465001979656545E-2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SUM(H249)</f>
        <v>0</v>
      </c>
      <c r="I248" s="59">
        <f t="shared" si="9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'[8]CUENTA T FONDO 100'!EB210</f>
        <v>0</v>
      </c>
      <c r="H249" s="64">
        <f>'[8]CUENTA T VS'!EB498</f>
        <v>0</v>
      </c>
      <c r="I249" s="64">
        <f t="shared" si="9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267714.86</v>
      </c>
      <c r="H250" s="56">
        <f>+H251+H253+H255+H257+H259</f>
        <v>10970.210000000001</v>
      </c>
      <c r="I250" s="56">
        <f t="shared" si="9"/>
        <v>278685.07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SUM(H252)</f>
        <v>0</v>
      </c>
      <c r="I251" s="59">
        <f t="shared" si="9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'[8]CUENTA T FONDO 100'!EC210</f>
        <v>0</v>
      </c>
      <c r="H252" s="64">
        <f>'[8]CUENTA T VS'!EC498</f>
        <v>0</v>
      </c>
      <c r="I252" s="64">
        <f t="shared" si="9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SUM(H254)</f>
        <v>0</v>
      </c>
      <c r="I253" s="59">
        <f t="shared" si="9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'[8]CUENTA T FONDO 100'!ED210</f>
        <v>0</v>
      </c>
      <c r="H254" s="64">
        <f>'[8]CUENTA T VS'!ED498</f>
        <v>0</v>
      </c>
      <c r="I254" s="64">
        <f t="shared" si="9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SUM(H256)</f>
        <v>0</v>
      </c>
      <c r="I255" s="59">
        <f t="shared" si="9"/>
        <v>0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'[8]CUENTA T FONDO 100'!EE210</f>
        <v>0</v>
      </c>
      <c r="H256" s="64">
        <f>'[8]CUENTA T VS'!EE498</f>
        <v>0</v>
      </c>
      <c r="I256" s="64">
        <f t="shared" si="9"/>
        <v>0</v>
      </c>
      <c r="J256" s="65">
        <f>I256/$I$25</f>
        <v>0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0</v>
      </c>
      <c r="H257" s="59">
        <f>SUM(H258)</f>
        <v>0</v>
      </c>
      <c r="I257" s="59">
        <f t="shared" si="9"/>
        <v>0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'[8]CUENTA T FONDO 100'!EF210</f>
        <v>0</v>
      </c>
      <c r="H258" s="64">
        <f>'[8]CUENTA T VS'!EF498</f>
        <v>0</v>
      </c>
      <c r="I258" s="64">
        <f t="shared" si="9"/>
        <v>0</v>
      </c>
      <c r="J258" s="65">
        <f>I258/$I$25</f>
        <v>0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267714.86</v>
      </c>
      <c r="H259" s="59">
        <f>SUM(H260)</f>
        <v>10970.210000000001</v>
      </c>
      <c r="I259" s="59">
        <f t="shared" si="9"/>
        <v>278685.07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'[8]CUENTA T FONDO 100'!EG210</f>
        <v>267714.86</v>
      </c>
      <c r="H260" s="64">
        <f>'[8]CUENTA T VS'!EG498</f>
        <v>10970.210000000001</v>
      </c>
      <c r="I260" s="64">
        <f t="shared" si="9"/>
        <v>278685.07</v>
      </c>
      <c r="J260" s="65">
        <f>I260/$I$25</f>
        <v>1.3389151503401307E-3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37434.229999999996</v>
      </c>
      <c r="H261" s="56">
        <f>+H262+H268+H272+H276+H284</f>
        <v>184614.49000000002</v>
      </c>
      <c r="I261" s="56">
        <f t="shared" si="9"/>
        <v>222048.72000000003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0</v>
      </c>
      <c r="H262" s="59">
        <f>SUM(H263:H267)</f>
        <v>0</v>
      </c>
      <c r="I262" s="59">
        <f t="shared" si="9"/>
        <v>0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'[8]CUENTA T FONDO 100'!EH210</f>
        <v>0</v>
      </c>
      <c r="H263" s="64">
        <f>'[8]CUENTA T VS'!EH498</f>
        <v>0</v>
      </c>
      <c r="I263" s="64">
        <f t="shared" si="9"/>
        <v>0</v>
      </c>
      <c r="J263" s="65">
        <f>I263/$I$25</f>
        <v>0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'[8]CUENTA T FONDO 100'!EI210</f>
        <v>0</v>
      </c>
      <c r="H264" s="64">
        <f>'[8]CUENTA T VS'!EI498</f>
        <v>0</v>
      </c>
      <c r="I264" s="64">
        <f t="shared" si="9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'[8]CUENTA T FONDO 100'!EJ210</f>
        <v>0</v>
      </c>
      <c r="H265" s="64">
        <f>'[8]CUENTA T VS'!EJ498</f>
        <v>0</v>
      </c>
      <c r="I265" s="64">
        <f t="shared" si="9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'[8]CUENTA T FONDO 100'!EK210</f>
        <v>0</v>
      </c>
      <c r="H266" s="64">
        <f>'[8]CUENTA T VS'!EK498</f>
        <v>0</v>
      </c>
      <c r="I266" s="64">
        <f t="shared" si="9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'[8]CUENTA T FONDO 100'!EL210</f>
        <v>0</v>
      </c>
      <c r="H267" s="64">
        <f>'[8]CUENTA T VS'!EL498</f>
        <v>0</v>
      </c>
      <c r="I267" s="64">
        <f t="shared" si="9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0</v>
      </c>
      <c r="H268" s="59">
        <f>SUM(H269:H271)</f>
        <v>17746.010000000002</v>
      </c>
      <c r="I268" s="59">
        <f t="shared" si="9"/>
        <v>17746.010000000002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'[8]CUENTA T FONDO 100'!EM210</f>
        <v>0</v>
      </c>
      <c r="H269" s="64">
        <f>'[8]CUENTA T VS'!EM498</f>
        <v>9246.01</v>
      </c>
      <c r="I269" s="64">
        <f t="shared" si="9"/>
        <v>9246.01</v>
      </c>
      <c r="J269" s="65">
        <f>I269/$I$25</f>
        <v>4.4421550351428418E-5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'[8]CUENTA T FONDO 100'!EN210</f>
        <v>0</v>
      </c>
      <c r="H270" s="64">
        <f>'[8]CUENTA T VS'!EN498</f>
        <v>0</v>
      </c>
      <c r="I270" s="64">
        <f t="shared" si="9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'[8]CUENTA T FONDO 100'!EO210</f>
        <v>0</v>
      </c>
      <c r="H271" s="64">
        <f>'[8]CUENTA T VS'!EO498</f>
        <v>8500</v>
      </c>
      <c r="I271" s="64">
        <f t="shared" si="9"/>
        <v>8500</v>
      </c>
      <c r="J271" s="65">
        <f>I271/$I$25</f>
        <v>4.0837418301206846E-5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37434.229999999996</v>
      </c>
      <c r="H272" s="59">
        <f>SUM(H273:H275)</f>
        <v>163118.56</v>
      </c>
      <c r="I272" s="59">
        <f t="shared" si="9"/>
        <v>200552.78999999998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'[8]CUENTA T FONDO 100'!EP210</f>
        <v>19020.419999999998</v>
      </c>
      <c r="H273" s="64">
        <f>'[8]CUENTA T VS'!EP498</f>
        <v>78291.990000000005</v>
      </c>
      <c r="I273" s="64">
        <f t="shared" si="9"/>
        <v>97312.41</v>
      </c>
      <c r="J273" s="65">
        <f>I273/$I$25</f>
        <v>4.6752795212571114E-4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'[8]CUENTA T FONDO 100'!EQ210</f>
        <v>0</v>
      </c>
      <c r="H274" s="64">
        <f>'[8]CUENTA T VS'!EQ498</f>
        <v>0</v>
      </c>
      <c r="I274" s="64">
        <f t="shared" si="9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'[8]CUENTA T FONDO 100'!ER210</f>
        <v>18413.810000000001</v>
      </c>
      <c r="H275" s="64">
        <f>'[8]CUENTA T VS'!ER498</f>
        <v>84826.57</v>
      </c>
      <c r="I275" s="64">
        <f t="shared" si="9"/>
        <v>103240.38</v>
      </c>
      <c r="J275" s="65">
        <f>I275/$I$25</f>
        <v>4.9600830395712351E-4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SUM(H277:H283)</f>
        <v>0</v>
      </c>
      <c r="I276" s="59">
        <f t="shared" si="9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'[8]CUENTA T FONDO 100'!ES210</f>
        <v>0</v>
      </c>
      <c r="H277" s="64">
        <f>'[8]CUENTA T VS'!ES498</f>
        <v>0</v>
      </c>
      <c r="I277" s="64">
        <f t="shared" si="9"/>
        <v>0</v>
      </c>
      <c r="J277" s="65">
        <f t="shared" ref="J277:J283" si="10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'[8]CUENTA T FONDO 100'!ET210</f>
        <v>0</v>
      </c>
      <c r="H278" s="64">
        <f>'[8]CUENTA T VS'!ET498</f>
        <v>0</v>
      </c>
      <c r="I278" s="64">
        <f t="shared" si="9"/>
        <v>0</v>
      </c>
      <c r="J278" s="65">
        <f t="shared" si="10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'[8]CUENTA T FONDO 100'!EU210</f>
        <v>0</v>
      </c>
      <c r="H279" s="64">
        <f>'[8]CUENTA T VS'!EU498</f>
        <v>0</v>
      </c>
      <c r="I279" s="64">
        <f t="shared" si="9"/>
        <v>0</v>
      </c>
      <c r="J279" s="65">
        <f t="shared" si="10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'[8]CUENTA T FONDO 100'!EV210</f>
        <v>0</v>
      </c>
      <c r="H280" s="64">
        <f>'[8]CUENTA T VS'!EV498</f>
        <v>0</v>
      </c>
      <c r="I280" s="64">
        <f t="shared" si="9"/>
        <v>0</v>
      </c>
      <c r="J280" s="65">
        <f t="shared" si="10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'[8]CUENTA T FONDO 100'!EW210</f>
        <v>0</v>
      </c>
      <c r="H281" s="64">
        <f>'[8]CUENTA T VS'!EW498</f>
        <v>0</v>
      </c>
      <c r="I281" s="64">
        <f t="shared" ref="I281:I344" si="11">SUM(G281:H281)</f>
        <v>0</v>
      </c>
      <c r="J281" s="65">
        <f t="shared" si="10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'[8]CUENTA T FONDO 100'!EX210</f>
        <v>0</v>
      </c>
      <c r="H282" s="64">
        <f>'[8]CUENTA T VS'!EX498</f>
        <v>0</v>
      </c>
      <c r="I282" s="64">
        <f t="shared" si="11"/>
        <v>0</v>
      </c>
      <c r="J282" s="65">
        <f t="shared" si="10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'[8]CUENTA T FONDO 100'!EY210</f>
        <v>0</v>
      </c>
      <c r="H283" s="64">
        <f>'[8]CUENTA T VS'!EY498</f>
        <v>0</v>
      </c>
      <c r="I283" s="64">
        <f t="shared" si="11"/>
        <v>0</v>
      </c>
      <c r="J283" s="65">
        <f t="shared" si="10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SUM(H285)</f>
        <v>3749.92</v>
      </c>
      <c r="I284" s="59">
        <f t="shared" si="11"/>
        <v>3749.92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'[8]CUENTA T FONDO 100'!EZ210</f>
        <v>0</v>
      </c>
      <c r="H285" s="64">
        <f>'[8]CUENTA T VS'!EZ498</f>
        <v>3749.92</v>
      </c>
      <c r="I285" s="64">
        <f t="shared" si="11"/>
        <v>3749.92</v>
      </c>
      <c r="J285" s="65">
        <f>I285/$I$25</f>
        <v>1.8016123721889597E-5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12521841.479999999</v>
      </c>
      <c r="H286" s="56">
        <f>H287+H295</f>
        <v>3213667</v>
      </c>
      <c r="I286" s="56">
        <f t="shared" si="11"/>
        <v>15735508.479999999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0</v>
      </c>
      <c r="H287" s="59">
        <f>SUM(H288:H294)</f>
        <v>1340590</v>
      </c>
      <c r="I287" s="59">
        <f t="shared" si="11"/>
        <v>1340590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'[8]CUENTA T FONDO 100'!FA210</f>
        <v>0</v>
      </c>
      <c r="H288" s="64">
        <f>'[8]CUENTA T VS'!FA498</f>
        <v>172000</v>
      </c>
      <c r="I288" s="64">
        <f t="shared" si="11"/>
        <v>172000</v>
      </c>
      <c r="J288" s="65">
        <f t="shared" ref="J288:J294" si="12">I288/$I$25</f>
        <v>8.2635717033030325E-4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'[8]CUENTA T FONDO 100'!FB210</f>
        <v>0</v>
      </c>
      <c r="H289" s="64">
        <f>'[8]CUENTA T VS'!FB498</f>
        <v>1124000</v>
      </c>
      <c r="I289" s="64">
        <f t="shared" si="11"/>
        <v>1124000</v>
      </c>
      <c r="J289" s="65">
        <f t="shared" si="12"/>
        <v>5.4001480200654706E-3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'[8]CUENTA T FONDO 100'!FC210</f>
        <v>0</v>
      </c>
      <c r="H290" s="64">
        <f>'[8]CUENTA T VS'!FC498</f>
        <v>0</v>
      </c>
      <c r="I290" s="64">
        <f t="shared" si="11"/>
        <v>0</v>
      </c>
      <c r="J290" s="65">
        <f t="shared" si="12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'[8]CUENTA T FONDO 100'!FD210</f>
        <v>0</v>
      </c>
      <c r="H291" s="64">
        <f>'[8]CUENTA T VS'!FD498</f>
        <v>44590</v>
      </c>
      <c r="I291" s="64">
        <f t="shared" si="11"/>
        <v>44590</v>
      </c>
      <c r="J291" s="65">
        <f t="shared" si="12"/>
        <v>2.1422829200597806E-4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'[8]CUENTA T FONDO 100'!FE210</f>
        <v>0</v>
      </c>
      <c r="H292" s="64">
        <f>'[8]CUENTA T VS'!FE498</f>
        <v>0</v>
      </c>
      <c r="I292" s="64">
        <f t="shared" si="11"/>
        <v>0</v>
      </c>
      <c r="J292" s="65">
        <f t="shared" si="12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'[8]CUENTA T FONDO 100'!FF210</f>
        <v>0</v>
      </c>
      <c r="H293" s="64">
        <f>'[8]CUENTA T VS'!FF498</f>
        <v>0</v>
      </c>
      <c r="I293" s="64">
        <f t="shared" si="11"/>
        <v>0</v>
      </c>
      <c r="J293" s="65">
        <f t="shared" si="12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'[8]CUENTA T FONDO 100'!FG210</f>
        <v>0</v>
      </c>
      <c r="H294" s="64">
        <f>'[8]CUENTA T VS'!FG498</f>
        <v>0</v>
      </c>
      <c r="I294" s="64">
        <f t="shared" si="11"/>
        <v>0</v>
      </c>
      <c r="J294" s="65">
        <f t="shared" si="12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12521841.479999999</v>
      </c>
      <c r="H295" s="59">
        <f>SUM(H296:H302)</f>
        <v>1873077</v>
      </c>
      <c r="I295" s="59">
        <f t="shared" si="11"/>
        <v>14394918.479999999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'[8]CUENTA T FONDO 100'!FH210</f>
        <v>0</v>
      </c>
      <c r="H296" s="64">
        <f>'[8]CUENTA T VS'!FH498</f>
        <v>0</v>
      </c>
      <c r="I296" s="64">
        <f t="shared" si="11"/>
        <v>0</v>
      </c>
      <c r="J296" s="65">
        <f t="shared" ref="J296:J302" si="13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'[8]CUENTA T FONDO 100'!FI210</f>
        <v>0</v>
      </c>
      <c r="H297" s="64">
        <f>'[8]CUENTA T VS'!FI498</f>
        <v>0</v>
      </c>
      <c r="I297" s="64">
        <f t="shared" si="11"/>
        <v>0</v>
      </c>
      <c r="J297" s="65">
        <f t="shared" si="13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'[8]CUENTA T FONDO 100'!FJ210</f>
        <v>12262492.049999999</v>
      </c>
      <c r="H298" s="64">
        <f>'[8]CUENTA T VS'!FJ498</f>
        <v>129593</v>
      </c>
      <c r="I298" s="64">
        <f t="shared" si="11"/>
        <v>12392085.049999999</v>
      </c>
      <c r="J298" s="65">
        <f t="shared" si="13"/>
        <v>5.953656009540962E-2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'[8]CUENTA T FONDO 100'!FK210</f>
        <v>0</v>
      </c>
      <c r="H299" s="64">
        <f>'[8]CUENTA T VS'!FK498</f>
        <v>0</v>
      </c>
      <c r="I299" s="64">
        <f t="shared" si="11"/>
        <v>0</v>
      </c>
      <c r="J299" s="65">
        <f t="shared" si="13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'[8]CUENTA T FONDO 100'!FL210</f>
        <v>0</v>
      </c>
      <c r="H300" s="64">
        <f>'[8]CUENTA T VS'!FL498</f>
        <v>0</v>
      </c>
      <c r="I300" s="64">
        <f t="shared" si="11"/>
        <v>0</v>
      </c>
      <c r="J300" s="65">
        <f t="shared" si="13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'[8]CUENTA T FONDO 100'!FM210</f>
        <v>259349.43</v>
      </c>
      <c r="H301" s="64">
        <f>'[8]CUENTA T VS'!FM498</f>
        <v>0</v>
      </c>
      <c r="I301" s="64">
        <f t="shared" si="11"/>
        <v>259349.43</v>
      </c>
      <c r="J301" s="65">
        <f t="shared" si="13"/>
        <v>1.24601895989289E-3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'[8]CUENTA T FONDO 100'!FN210</f>
        <v>0</v>
      </c>
      <c r="H302" s="64">
        <f>'[8]CUENTA T VS'!FN498</f>
        <v>1743484</v>
      </c>
      <c r="I302" s="64">
        <f t="shared" si="11"/>
        <v>1743484</v>
      </c>
      <c r="J302" s="65">
        <f t="shared" si="13"/>
        <v>8.3763982834660373E-3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+H304+H306</f>
        <v>0</v>
      </c>
      <c r="I303" s="56">
        <f t="shared" si="11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SUM(H305)</f>
        <v>0</v>
      </c>
      <c r="I304" s="59">
        <f t="shared" si="11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'[8]CUENTA T FONDO 100'!FO210</f>
        <v>0</v>
      </c>
      <c r="H305" s="64">
        <f>'[8]CUENTA T VS'!FO498</f>
        <v>0</v>
      </c>
      <c r="I305" s="64">
        <f t="shared" si="11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SUM(H307)</f>
        <v>0</v>
      </c>
      <c r="I306" s="59">
        <f t="shared" si="11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'[8]CUENTA T FONDO 100'!FP210</f>
        <v>0</v>
      </c>
      <c r="H307" s="64">
        <f>'[8]CUENTA T VS'!FP498</f>
        <v>0</v>
      </c>
      <c r="I307" s="64">
        <f t="shared" si="11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33272279.989999998</v>
      </c>
      <c r="H308" s="56">
        <f>+H309+H312+H314+H316+H318+H320+H322+H324+H327</f>
        <v>6162435.7100000009</v>
      </c>
      <c r="I308" s="56">
        <f t="shared" si="11"/>
        <v>39434715.700000003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1140351.21</v>
      </c>
      <c r="H309" s="59">
        <f>SUM(H310:H311)</f>
        <v>312110</v>
      </c>
      <c r="I309" s="59">
        <f t="shared" si="11"/>
        <v>1452461.21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'[8]CUENTA T FONDO 100'!FQ210</f>
        <v>1140351.21</v>
      </c>
      <c r="H310" s="64">
        <f>'[8]CUENTA T VS'!FQ498</f>
        <v>312110</v>
      </c>
      <c r="I310" s="64">
        <f t="shared" si="11"/>
        <v>1452461.21</v>
      </c>
      <c r="J310" s="65">
        <f>I310/$I$25</f>
        <v>6.9782077645937695E-3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'[8]CUENTA T FONDO 100'!FR210</f>
        <v>0</v>
      </c>
      <c r="H311" s="64">
        <f>'[8]CUENTA T VS'!FR498</f>
        <v>0</v>
      </c>
      <c r="I311" s="64">
        <f t="shared" si="11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220046.4</v>
      </c>
      <c r="H312" s="59">
        <f>SUM(H313)</f>
        <v>93868.950000000012</v>
      </c>
      <c r="I312" s="59">
        <f t="shared" si="11"/>
        <v>313915.34999999998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'[8]CUENTA T FONDO 100'!FS210</f>
        <v>220046.4</v>
      </c>
      <c r="H313" s="64">
        <f>'[8]CUENTA T VS'!FS498</f>
        <v>93868.950000000012</v>
      </c>
      <c r="I313" s="64">
        <f t="shared" si="11"/>
        <v>313915.34999999998</v>
      </c>
      <c r="J313" s="65">
        <f>I313/$I$25</f>
        <v>1.5081755834258533E-3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31811444.18</v>
      </c>
      <c r="H314" s="59">
        <f>SUM(H315)</f>
        <v>3083216.5400000005</v>
      </c>
      <c r="I314" s="59">
        <f t="shared" si="11"/>
        <v>34894660.719999999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'[8]CUENTA T FONDO 100'!FT210</f>
        <v>31811444.18</v>
      </c>
      <c r="H315" s="64">
        <f>'[8]CUENTA T VS'!FT498</f>
        <v>3083216.5400000005</v>
      </c>
      <c r="I315" s="64">
        <f t="shared" si="11"/>
        <v>34894660.719999999</v>
      </c>
      <c r="J315" s="65">
        <f>I315/$I$25</f>
        <v>0.16764798309427431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SUM(H317)</f>
        <v>50870.39</v>
      </c>
      <c r="I316" s="59">
        <f t="shared" si="11"/>
        <v>50870.39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'[8]CUENTA T FONDO 100'!FU210</f>
        <v>0</v>
      </c>
      <c r="H317" s="64">
        <f>'[8]CUENTA T VS'!FU498</f>
        <v>50870.39</v>
      </c>
      <c r="I317" s="64">
        <f t="shared" si="11"/>
        <v>50870.39</v>
      </c>
      <c r="J317" s="65">
        <f>I317/$I$25</f>
        <v>2.4440181124418001E-4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31152</v>
      </c>
      <c r="H318" s="59">
        <f>SUM(H319)</f>
        <v>0</v>
      </c>
      <c r="I318" s="59">
        <f t="shared" si="11"/>
        <v>31152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'[8]CUENTA T FONDO 100'!FV210</f>
        <v>31152</v>
      </c>
      <c r="H319" s="64">
        <f>'[8]CUENTA T VS'!FV498</f>
        <v>0</v>
      </c>
      <c r="I319" s="64">
        <f t="shared" si="11"/>
        <v>31152</v>
      </c>
      <c r="J319" s="65">
        <f>I319/$I$25</f>
        <v>1.4966673587284656E-4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0</v>
      </c>
      <c r="H320" s="59">
        <f>SUM(H321)</f>
        <v>157157.64000000001</v>
      </c>
      <c r="I320" s="59">
        <f t="shared" si="11"/>
        <v>157157.64000000001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'[8]CUENTA T FONDO 100'!FW210</f>
        <v>0</v>
      </c>
      <c r="H321" s="64">
        <f>'[8]CUENTA T VS'!FW498</f>
        <v>157157.64000000001</v>
      </c>
      <c r="I321" s="64">
        <f t="shared" si="11"/>
        <v>157157.64000000001</v>
      </c>
      <c r="J321" s="65">
        <f>I321/$I$25</f>
        <v>7.5504850398946802E-4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SUM(H323)</f>
        <v>0</v>
      </c>
      <c r="I322" s="59">
        <f t="shared" si="11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'[8]CUENTA T FONDO 100'!FX210</f>
        <v>0</v>
      </c>
      <c r="H323" s="64">
        <f>'[8]CUENTA T VS'!FX498</f>
        <v>0</v>
      </c>
      <c r="I323" s="64">
        <f t="shared" si="11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52215</v>
      </c>
      <c r="H324" s="59">
        <f>SUM(H325:H326)</f>
        <v>1749010.21</v>
      </c>
      <c r="I324" s="59">
        <f t="shared" si="11"/>
        <v>1801225.21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'[8]CUENTA T FONDO 100'!FY210</f>
        <v>0</v>
      </c>
      <c r="H325" s="64">
        <f>'[8]CUENTA T VS'!FY498</f>
        <v>1387459.34</v>
      </c>
      <c r="I325" s="64">
        <f t="shared" si="11"/>
        <v>1387459.34</v>
      </c>
      <c r="J325" s="65">
        <f>I325/$I$25</f>
        <v>6.6659126404113389E-3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'[8]CUENTA T FONDO 100'!FZ210</f>
        <v>52215</v>
      </c>
      <c r="H326" s="64">
        <f>'[8]CUENTA T VS'!FZ498</f>
        <v>361550.87</v>
      </c>
      <c r="I326" s="64">
        <f t="shared" si="11"/>
        <v>413765.87</v>
      </c>
      <c r="J326" s="65">
        <f>I326/$I$25</f>
        <v>1.9878976367003263E-3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17071.2</v>
      </c>
      <c r="H327" s="59">
        <f>SUM(H328:H329)</f>
        <v>716201.9800000001</v>
      </c>
      <c r="I327" s="59">
        <f t="shared" si="11"/>
        <v>733273.18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'[8]CUENTA T FONDO 100'!GA210</f>
        <v>17071.2</v>
      </c>
      <c r="H328" s="64">
        <f>'[8]CUENTA T VS'!GA498</f>
        <v>112919.38</v>
      </c>
      <c r="I328" s="64">
        <f t="shared" si="11"/>
        <v>129990.58</v>
      </c>
      <c r="J328" s="65">
        <f>I328/$I$25</f>
        <v>6.2452702243252865E-4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'[8]CUENTA T FONDO 100'!GB210</f>
        <v>0</v>
      </c>
      <c r="H329" s="64">
        <f>'[8]CUENTA T VS'!GB498</f>
        <v>603282.60000000009</v>
      </c>
      <c r="I329" s="64">
        <f t="shared" si="11"/>
        <v>603282.60000000009</v>
      </c>
      <c r="J329" s="65">
        <f>I329/$I$25</f>
        <v>2.8984122223576062E-3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G331+G332+G333+G334+G335</f>
        <v>0</v>
      </c>
      <c r="H330" s="56">
        <f>H331+H332+H333+H334+H335</f>
        <v>16000</v>
      </c>
      <c r="I330" s="56">
        <f t="shared" si="11"/>
        <v>16000</v>
      </c>
      <c r="J330" s="53">
        <f>+I330/I25</f>
        <v>7.6870434449330543E-5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'[8]CUENTA T FONDO 100'!GC210</f>
        <v>0</v>
      </c>
      <c r="H331" s="64">
        <f>'[8]CUENTA T VS'!GC498</f>
        <v>3600</v>
      </c>
      <c r="I331" s="64">
        <f t="shared" si="11"/>
        <v>3600</v>
      </c>
      <c r="J331" s="65">
        <f t="shared" ref="J331:J336" si="14">I331/$I$25</f>
        <v>1.7295847751099371E-5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'[8]CUENTA T FONDO 100'!GD210</f>
        <v>0</v>
      </c>
      <c r="H332" s="64">
        <f>'[8]CUENTA T VS'!GD498</f>
        <v>12400</v>
      </c>
      <c r="I332" s="64">
        <f t="shared" si="11"/>
        <v>12400</v>
      </c>
      <c r="J332" s="65">
        <f t="shared" si="14"/>
        <v>5.9574586698231165E-5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'[8]CUENTA T FONDO 100'!GE210</f>
        <v>0</v>
      </c>
      <c r="H333" s="64">
        <f>'[8]CUENTA T VS'!GE498</f>
        <v>0</v>
      </c>
      <c r="I333" s="64">
        <f t="shared" si="11"/>
        <v>0</v>
      </c>
      <c r="J333" s="65">
        <f t="shared" si="14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'[8]CUENTA T FONDO 100'!GF210</f>
        <v>0</v>
      </c>
      <c r="H334" s="64">
        <f>'[8]CUENTA T VS'!GF498</f>
        <v>0</v>
      </c>
      <c r="I334" s="64">
        <f t="shared" si="11"/>
        <v>0</v>
      </c>
      <c r="J334" s="65">
        <f t="shared" si="14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'[8]CUENTA T FONDO 100'!GG210</f>
        <v>0</v>
      </c>
      <c r="H335" s="64">
        <f>'[8]CUENTA T VS'!GG498</f>
        <v>0</v>
      </c>
      <c r="I335" s="64">
        <f t="shared" si="11"/>
        <v>0</v>
      </c>
      <c r="J335" s="65">
        <f t="shared" si="14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G337+G348+G357+G366+G383+G400+G405+G424+G446</f>
        <v>17995005.589999996</v>
      </c>
      <c r="H336" s="56">
        <f>H337+H348+H357+H366+H383+H400+H405+H424+H446</f>
        <v>4350775.54</v>
      </c>
      <c r="I336" s="56">
        <f t="shared" si="11"/>
        <v>22345781.129999995</v>
      </c>
      <c r="J336" s="53">
        <f t="shared" si="14"/>
        <v>0.107358118973297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+G338+G340+G342+G344+G346</f>
        <v>4484606.51</v>
      </c>
      <c r="H337" s="56">
        <f>+H338+H340+H342+H344+H346</f>
        <v>293123.06</v>
      </c>
      <c r="I337" s="56">
        <f t="shared" si="11"/>
        <v>4777729.5699999994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SUM(G339)</f>
        <v>1199690.19</v>
      </c>
      <c r="H338" s="59">
        <f>SUM(H339)</f>
        <v>186481.72999999998</v>
      </c>
      <c r="I338" s="59">
        <f t="shared" si="11"/>
        <v>1386171.92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'[8]CUENTA T FONDO 100'!GH210</f>
        <v>1199690.19</v>
      </c>
      <c r="H339" s="64">
        <f>'[8]CUENTA T VS'!GH498</f>
        <v>186481.72999999998</v>
      </c>
      <c r="I339" s="64">
        <f t="shared" si="11"/>
        <v>1386171.92</v>
      </c>
      <c r="J339" s="65">
        <f>I339/$I$25</f>
        <v>6.6597273569914154E-3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SUM(G341)</f>
        <v>0</v>
      </c>
      <c r="H340" s="59">
        <f>SUM(H341)</f>
        <v>46091.27</v>
      </c>
      <c r="I340" s="59">
        <f t="shared" si="11"/>
        <v>46091.27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'[8]CUENTA T FONDO 100'!GI210</f>
        <v>0</v>
      </c>
      <c r="H341" s="64">
        <f>'[8]CUENTA T VS'!GI498</f>
        <v>46091.27</v>
      </c>
      <c r="I341" s="64">
        <f t="shared" si="11"/>
        <v>46091.27</v>
      </c>
      <c r="J341" s="65">
        <f>I341/$I$25</f>
        <v>2.2144099682633718E-4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SUM(G343)</f>
        <v>3223093.4</v>
      </c>
      <c r="H342" s="59">
        <f>SUM(H343)</f>
        <v>0</v>
      </c>
      <c r="I342" s="59">
        <f t="shared" si="11"/>
        <v>3223093.4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'[8]CUENTA T FONDO 100'!GJ210</f>
        <v>3223093.4</v>
      </c>
      <c r="H343" s="64">
        <f>'[8]CUENTA T VS'!GJ498</f>
        <v>0</v>
      </c>
      <c r="I343" s="64">
        <f t="shared" si="11"/>
        <v>3223093.4</v>
      </c>
      <c r="J343" s="65">
        <f>I343/$I$25</f>
        <v>1.5485036870548119E-2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SUM(G345)</f>
        <v>61822.92</v>
      </c>
      <c r="H344" s="59">
        <f>SUM(H345)</f>
        <v>60550.060000000005</v>
      </c>
      <c r="I344" s="59">
        <f t="shared" si="11"/>
        <v>122372.98000000001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'[8]CUENTA T FONDO 100'!GK210</f>
        <v>61822.92</v>
      </c>
      <c r="H345" s="64">
        <f>'[8]CUENTA T VS'!GK498</f>
        <v>60550.060000000005</v>
      </c>
      <c r="I345" s="64">
        <f t="shared" ref="I345:I408" si="15">SUM(G345:H345)</f>
        <v>122372.98000000001</v>
      </c>
      <c r="J345" s="65">
        <f>I345/$I$25</f>
        <v>5.8792900859120235E-4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SUM(G347)</f>
        <v>0</v>
      </c>
      <c r="H346" s="59">
        <f>SUM(H347)</f>
        <v>0</v>
      </c>
      <c r="I346" s="59">
        <f t="shared" si="15"/>
        <v>0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'[8]CUENTA T FONDO 100'!GL210</f>
        <v>0</v>
      </c>
      <c r="H347" s="64">
        <f>'[8]CUENTA T VS'!GL498</f>
        <v>0</v>
      </c>
      <c r="I347" s="64">
        <f t="shared" si="15"/>
        <v>0</v>
      </c>
      <c r="J347" s="65">
        <f>I347/$I$25</f>
        <v>0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0</v>
      </c>
      <c r="H348" s="56">
        <f>+H349+H351+H353+H355</f>
        <v>0</v>
      </c>
      <c r="I348" s="56">
        <f t="shared" si="15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SUM(G350)</f>
        <v>0</v>
      </c>
      <c r="H349" s="59">
        <f>SUM(H350)</f>
        <v>0</v>
      </c>
      <c r="I349" s="59">
        <f t="shared" si="15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'[8]CUENTA T FONDO 100'!GM210</f>
        <v>0</v>
      </c>
      <c r="H350" s="64">
        <f>'[8]CUENTA T VS'!GM498</f>
        <v>0</v>
      </c>
      <c r="I350" s="64">
        <f t="shared" si="15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SUM(G352)</f>
        <v>0</v>
      </c>
      <c r="H351" s="59">
        <f>SUM(H352)</f>
        <v>0</v>
      </c>
      <c r="I351" s="59">
        <f t="shared" si="15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'[8]CUENTA T FONDO 100'!GN210</f>
        <v>0</v>
      </c>
      <c r="H352" s="64">
        <f>'[8]CUENTA T VS'!GN498</f>
        <v>0</v>
      </c>
      <c r="I352" s="64">
        <f t="shared" si="15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SUM(G354)</f>
        <v>0</v>
      </c>
      <c r="H353" s="59">
        <f>SUM(H354)</f>
        <v>0</v>
      </c>
      <c r="I353" s="59">
        <f t="shared" si="15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'[8]CUENTA T FONDO 100'!GO210</f>
        <v>0</v>
      </c>
      <c r="H354" s="64">
        <f>'[8]CUENTA T VS'!GO498</f>
        <v>0</v>
      </c>
      <c r="I354" s="64">
        <f t="shared" si="15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SUM(G356)</f>
        <v>0</v>
      </c>
      <c r="H355" s="59">
        <f>SUM(H356)</f>
        <v>0</v>
      </c>
      <c r="I355" s="59">
        <f t="shared" si="15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'[8]CUENTA T FONDO 100'!GP210</f>
        <v>0</v>
      </c>
      <c r="H356" s="64">
        <f>'[8]CUENTA T VS'!GP498</f>
        <v>0</v>
      </c>
      <c r="I356" s="64">
        <f t="shared" si="15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13510399.079999998</v>
      </c>
      <c r="H357" s="56">
        <f>+H358+H360+H362+H364</f>
        <v>2963584.16</v>
      </c>
      <c r="I357" s="56">
        <f t="shared" si="15"/>
        <v>16473983.239999998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SUM(G359)</f>
        <v>11946084.119999999</v>
      </c>
      <c r="H358" s="59">
        <f>SUM(H359)</f>
        <v>2680384.16</v>
      </c>
      <c r="I358" s="59">
        <f t="shared" si="15"/>
        <v>14626468.279999999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'[8]CUENTA T FONDO 100'!GQ210</f>
        <v>11946084.119999999</v>
      </c>
      <c r="H359" s="64">
        <f>'[8]CUENTA T VS'!GQ498</f>
        <v>2680384.16</v>
      </c>
      <c r="I359" s="64">
        <f t="shared" si="15"/>
        <v>14626468.279999999</v>
      </c>
      <c r="J359" s="65">
        <f>I359/$I$25</f>
        <v>7.0271435696434528E-2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SUM(G361)</f>
        <v>1564314.96</v>
      </c>
      <c r="H360" s="59">
        <f>SUM(H361)</f>
        <v>283200</v>
      </c>
      <c r="I360" s="59">
        <f t="shared" si="15"/>
        <v>1847514.96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'[8]CUENTA T FONDO 100'!GR210</f>
        <v>1564314.96</v>
      </c>
      <c r="H361" s="64">
        <f>'[8]CUENTA T VS'!GR498</f>
        <v>283200</v>
      </c>
      <c r="I361" s="64">
        <f t="shared" si="15"/>
        <v>1847514.96</v>
      </c>
      <c r="J361" s="65">
        <f>I361/$I$25</f>
        <v>8.8762048516773454E-3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SUM(G363)</f>
        <v>0</v>
      </c>
      <c r="H362" s="59">
        <f>SUM(H363)</f>
        <v>0</v>
      </c>
      <c r="I362" s="59">
        <f t="shared" si="15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'[8]CUENTA T FONDO 100'!GS210</f>
        <v>0</v>
      </c>
      <c r="H363" s="64">
        <f>'[8]CUENTA T VS'!GS498</f>
        <v>0</v>
      </c>
      <c r="I363" s="64">
        <f t="shared" si="15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+G365</f>
        <v>0</v>
      </c>
      <c r="H364" s="59">
        <f>+H365</f>
        <v>0</v>
      </c>
      <c r="I364" s="59">
        <f t="shared" si="15"/>
        <v>0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'[8]CUENTA T FONDO 100'!GT210</f>
        <v>0</v>
      </c>
      <c r="H365" s="64">
        <f>'[8]CUENTA T VS'!GT498</f>
        <v>0</v>
      </c>
      <c r="I365" s="64">
        <f t="shared" si="15"/>
        <v>0</v>
      </c>
      <c r="J365" s="65">
        <f>I365/$I$25</f>
        <v>0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+G367+G369+G371+G373+G375+G377+G379+G381</f>
        <v>0</v>
      </c>
      <c r="H366" s="56">
        <f>+H367+H369+H371+H373+H375+H377+H379+H381</f>
        <v>0</v>
      </c>
      <c r="I366" s="56">
        <f t="shared" si="15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SUM(G368)</f>
        <v>0</v>
      </c>
      <c r="H367" s="59">
        <f>SUM(H368)</f>
        <v>0</v>
      </c>
      <c r="I367" s="59">
        <f t="shared" si="15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'[8]CUENTA T FONDO 100'!GU210</f>
        <v>0</v>
      </c>
      <c r="H368" s="64">
        <f>'[8]CUENTA T VS'!GU498</f>
        <v>0</v>
      </c>
      <c r="I368" s="64">
        <f t="shared" si="15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SUM(G370)</f>
        <v>0</v>
      </c>
      <c r="H369" s="59">
        <f>SUM(H370)</f>
        <v>0</v>
      </c>
      <c r="I369" s="59">
        <f t="shared" si="15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'[8]CUENTA T FONDO 100'!GV210</f>
        <v>0</v>
      </c>
      <c r="H370" s="64">
        <f>'[8]CUENTA T VS'!GV498</f>
        <v>0</v>
      </c>
      <c r="I370" s="64">
        <f t="shared" si="15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SUM(G372)</f>
        <v>0</v>
      </c>
      <c r="H371" s="59">
        <f>SUM(H372)</f>
        <v>0</v>
      </c>
      <c r="I371" s="59">
        <f t="shared" si="15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'[8]CUENTA T FONDO 100'!GW210</f>
        <v>0</v>
      </c>
      <c r="H372" s="64">
        <f>'[8]CUENTA T VS'!GX498</f>
        <v>0</v>
      </c>
      <c r="I372" s="64">
        <f t="shared" si="15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SUM(G374)</f>
        <v>0</v>
      </c>
      <c r="H373" s="59">
        <f>SUM(H374)</f>
        <v>0</v>
      </c>
      <c r="I373" s="59">
        <f t="shared" si="15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'[8]CUENTA T FONDO 100'!GX210</f>
        <v>0</v>
      </c>
      <c r="H374" s="64">
        <f>'[8]CUENTA T VS'!GX498</f>
        <v>0</v>
      </c>
      <c r="I374" s="64">
        <f t="shared" si="15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SUM(G376)</f>
        <v>0</v>
      </c>
      <c r="H375" s="59">
        <f>SUM(H376)</f>
        <v>0</v>
      </c>
      <c r="I375" s="59">
        <f t="shared" si="15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'[8]CUENTA T FONDO 100'!GY210</f>
        <v>0</v>
      </c>
      <c r="H376" s="64">
        <f>'[8]CUENTA T VS'!GY498</f>
        <v>0</v>
      </c>
      <c r="I376" s="64">
        <f t="shared" si="15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SUM(G378)</f>
        <v>0</v>
      </c>
      <c r="H377" s="59">
        <f>SUM(H378)</f>
        <v>0</v>
      </c>
      <c r="I377" s="59">
        <f t="shared" si="15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'[8]CUENTA T FONDO 100'!GZ210</f>
        <v>0</v>
      </c>
      <c r="H378" s="64">
        <f>'[8]CUENTA T VS'!GZ498</f>
        <v>0</v>
      </c>
      <c r="I378" s="64">
        <f t="shared" si="15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SUM(G380)</f>
        <v>0</v>
      </c>
      <c r="H379" s="59">
        <f>SUM(H380)</f>
        <v>0</v>
      </c>
      <c r="I379" s="59">
        <f t="shared" si="15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'[8]CUENTA T FONDO 100'!HA210</f>
        <v>0</v>
      </c>
      <c r="H380" s="64">
        <f>'[8]CUENTA T VS'!HA498</f>
        <v>0</v>
      </c>
      <c r="I380" s="64">
        <f t="shared" si="15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SUM(G382)</f>
        <v>0</v>
      </c>
      <c r="H381" s="59">
        <f>SUM(H382)</f>
        <v>0</v>
      </c>
      <c r="I381" s="59">
        <f t="shared" si="15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'[8]CUENTA T FONDO 100'!HB210</f>
        <v>0</v>
      </c>
      <c r="H382" s="64">
        <f>'[8]CUENTA T VS'!HB498</f>
        <v>0</v>
      </c>
      <c r="I382" s="64">
        <f t="shared" si="15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+G384+G386+G388+G390+G392+G394+G396+G398</f>
        <v>0</v>
      </c>
      <c r="H383" s="56">
        <f>+H384+H386+H388+H390+H392+H394+H396+H398</f>
        <v>753008.07000000007</v>
      </c>
      <c r="I383" s="56">
        <f t="shared" si="15"/>
        <v>753008.07000000007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SUM(G385)</f>
        <v>0</v>
      </c>
      <c r="H384" s="59">
        <f>SUM(H385)</f>
        <v>0</v>
      </c>
      <c r="I384" s="59">
        <f t="shared" si="15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'[8]CUENTA T FONDO 100'!HC210</f>
        <v>0</v>
      </c>
      <c r="H385" s="64">
        <f>'[8]CUENTA T VS'!HC498</f>
        <v>0</v>
      </c>
      <c r="I385" s="64">
        <f t="shared" si="15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SUM(G387)</f>
        <v>0</v>
      </c>
      <c r="H386" s="59">
        <f>SUM(H387)</f>
        <v>711998.01</v>
      </c>
      <c r="I386" s="59">
        <f t="shared" si="15"/>
        <v>711998.01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'[8]CUENTA T FONDO 100'!HD210</f>
        <v>0</v>
      </c>
      <c r="H387" s="64">
        <f>'[8]CUENTA T VS'!HD498</f>
        <v>711998.01</v>
      </c>
      <c r="I387" s="64">
        <f t="shared" si="15"/>
        <v>711998.01</v>
      </c>
      <c r="J387" s="65">
        <f>I387/$I$25</f>
        <v>3.4207247722349244E-3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SUM(G389)</f>
        <v>0</v>
      </c>
      <c r="H388" s="59">
        <f>SUM(H389)</f>
        <v>0</v>
      </c>
      <c r="I388" s="59">
        <f t="shared" si="15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'[8]CUENTA T FONDO 100'!HE210</f>
        <v>0</v>
      </c>
      <c r="H389" s="64">
        <f>'[8]CUENTA T VS'!HE498</f>
        <v>0</v>
      </c>
      <c r="I389" s="64">
        <f t="shared" si="15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SUM(G391)</f>
        <v>0</v>
      </c>
      <c r="H390" s="59">
        <f>SUM(H391)</f>
        <v>0</v>
      </c>
      <c r="I390" s="59">
        <f t="shared" si="15"/>
        <v>0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'[8]CUENTA T FONDO 100'!HF210</f>
        <v>0</v>
      </c>
      <c r="H391" s="64">
        <f>'[8]CUENTA T VS'!HF498</f>
        <v>0</v>
      </c>
      <c r="I391" s="64">
        <f t="shared" si="15"/>
        <v>0</v>
      </c>
      <c r="J391" s="65">
        <f>I391/$I$25</f>
        <v>0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SUM(G393)</f>
        <v>0</v>
      </c>
      <c r="H392" s="59">
        <f>SUM(H393)</f>
        <v>0</v>
      </c>
      <c r="I392" s="59">
        <f t="shared" si="15"/>
        <v>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'[8]CUENTA T FONDO 100'!HG210</f>
        <v>0</v>
      </c>
      <c r="H393" s="64">
        <f>'[8]CUENTA T VS'!HG498</f>
        <v>0</v>
      </c>
      <c r="I393" s="64">
        <f t="shared" si="15"/>
        <v>0</v>
      </c>
      <c r="J393" s="65">
        <f>I393/$I$25</f>
        <v>0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SUM(G395)</f>
        <v>0</v>
      </c>
      <c r="H394" s="59">
        <f>SUM(H395)</f>
        <v>0</v>
      </c>
      <c r="I394" s="59">
        <f t="shared" si="15"/>
        <v>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'[8]CUENTA T FONDO 100'!HH210</f>
        <v>0</v>
      </c>
      <c r="H395" s="64">
        <f>'[8]CUENTA T VS'!HH498</f>
        <v>0</v>
      </c>
      <c r="I395" s="64">
        <f t="shared" si="15"/>
        <v>0</v>
      </c>
      <c r="J395" s="65">
        <f>I395/$I$25</f>
        <v>0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SUM(G397)</f>
        <v>0</v>
      </c>
      <c r="H396" s="59">
        <f>SUM(H397)</f>
        <v>41010.06</v>
      </c>
      <c r="I396" s="59">
        <f t="shared" si="15"/>
        <v>41010.06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'[8]CUENTA T FONDO 100'!HI210</f>
        <v>0</v>
      </c>
      <c r="H397" s="64">
        <f>'[8]CUENTA T VS'!HI498</f>
        <v>41010.06</v>
      </c>
      <c r="I397" s="64">
        <f t="shared" si="15"/>
        <v>41010.06</v>
      </c>
      <c r="J397" s="65">
        <f>I397/$I$25</f>
        <v>1.9702882056206952E-4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SUM(G399)</f>
        <v>0</v>
      </c>
      <c r="H398" s="59">
        <f>SUM(H399)</f>
        <v>0</v>
      </c>
      <c r="I398" s="59">
        <f t="shared" si="15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'[8]CUENTA T FONDO 100'!HJ210</f>
        <v>0</v>
      </c>
      <c r="H399" s="64">
        <f>'[8]CUENTA T VS'!HJ498</f>
        <v>0</v>
      </c>
      <c r="I399" s="64">
        <f t="shared" si="15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+G401+G403</f>
        <v>0</v>
      </c>
      <c r="H400" s="56">
        <f>+H401+H403</f>
        <v>186179.05</v>
      </c>
      <c r="I400" s="56">
        <f t="shared" si="15"/>
        <v>186179.05</v>
      </c>
      <c r="J400" s="53">
        <f>I400/$I$25</f>
        <v>8.9447902867897705E-4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+G402</f>
        <v>0</v>
      </c>
      <c r="H401" s="59">
        <f>+H402</f>
        <v>0</v>
      </c>
      <c r="I401" s="59">
        <f t="shared" si="15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'[8]CUENTA T FONDO 100'!HK210</f>
        <v>0</v>
      </c>
      <c r="H402" s="64">
        <f>'[8]CUENTA T VS'!HK498</f>
        <v>0</v>
      </c>
      <c r="I402" s="64">
        <f t="shared" si="15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+G404</f>
        <v>0</v>
      </c>
      <c r="H403" s="59">
        <f>+H404</f>
        <v>186179.05</v>
      </c>
      <c r="I403" s="59">
        <f t="shared" si="15"/>
        <v>186179.05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'[8]CUENTA T FONDO 100'!HL210</f>
        <v>0</v>
      </c>
      <c r="H404" s="64">
        <f>'[8]CUENTA T VS'!HL498</f>
        <v>186179.05</v>
      </c>
      <c r="I404" s="64">
        <f t="shared" si="15"/>
        <v>186179.05</v>
      </c>
      <c r="J404" s="65">
        <f>I404/$I$25</f>
        <v>8.9447902867897705E-4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+G406+G408+G410+G412+G414+G416+G418+G420+G422</f>
        <v>0</v>
      </c>
      <c r="H405" s="56">
        <f>+H406+H408+H410+H412+H414+H416+H418+H420+H422</f>
        <v>0</v>
      </c>
      <c r="I405" s="56">
        <f t="shared" si="15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SUM(G407)</f>
        <v>0</v>
      </c>
      <c r="H406" s="59">
        <f>SUM(H407)</f>
        <v>0</v>
      </c>
      <c r="I406" s="59">
        <f t="shared" si="15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'[8]CUENTA T FONDO 100'!HM210</f>
        <v>0</v>
      </c>
      <c r="H407" s="64">
        <f>'[8]CUENTA T VS'!HM498</f>
        <v>0</v>
      </c>
      <c r="I407" s="64">
        <f t="shared" si="15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SUM(G409)</f>
        <v>0</v>
      </c>
      <c r="H408" s="59">
        <f>SUM(H409)</f>
        <v>0</v>
      </c>
      <c r="I408" s="59">
        <f t="shared" si="15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'[8]CUENTA T FONDO 100'!HN210</f>
        <v>0</v>
      </c>
      <c r="H409" s="64">
        <f>'[8]CUENTA T VS'!HN498</f>
        <v>0</v>
      </c>
      <c r="I409" s="64">
        <f t="shared" ref="I409:I472" si="16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SUM(G411)</f>
        <v>0</v>
      </c>
      <c r="H410" s="59">
        <f>SUM(H411)</f>
        <v>0</v>
      </c>
      <c r="I410" s="59">
        <f t="shared" si="16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'[8]CUENTA T FONDO 100'!HO210</f>
        <v>0</v>
      </c>
      <c r="H411" s="64">
        <f>'[8]CUENTA T VS'!HO498</f>
        <v>0</v>
      </c>
      <c r="I411" s="64">
        <f t="shared" si="16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SUM(G413)</f>
        <v>0</v>
      </c>
      <c r="H412" s="59">
        <f>SUM(H413)</f>
        <v>0</v>
      </c>
      <c r="I412" s="59">
        <f t="shared" si="16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'[8]CUENTA T FONDO 100'!HP210</f>
        <v>0</v>
      </c>
      <c r="H413" s="64">
        <f>'[8]CUENTA T VS'!HP498</f>
        <v>0</v>
      </c>
      <c r="I413" s="64">
        <f t="shared" si="16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SUM(G415)</f>
        <v>0</v>
      </c>
      <c r="H414" s="59">
        <f>SUM(H415)</f>
        <v>0</v>
      </c>
      <c r="I414" s="59">
        <f t="shared" si="16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'[8]CUENTA T FONDO 100'!HQ210</f>
        <v>0</v>
      </c>
      <c r="H415" s="64">
        <f>'[8]CUENTA T VS'!HQ498</f>
        <v>0</v>
      </c>
      <c r="I415" s="64">
        <f t="shared" si="16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SUM(G417)</f>
        <v>0</v>
      </c>
      <c r="H416" s="59">
        <f>SUM(H417)</f>
        <v>0</v>
      </c>
      <c r="I416" s="59">
        <f t="shared" si="16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'[8]CUENTA T FONDO 100'!HR210</f>
        <v>0</v>
      </c>
      <c r="H417" s="64">
        <f>'[8]CUENTA T VS'!HR498</f>
        <v>0</v>
      </c>
      <c r="I417" s="64">
        <f t="shared" si="16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SUM(G419)</f>
        <v>0</v>
      </c>
      <c r="H418" s="59">
        <f>SUM(H419)</f>
        <v>0</v>
      </c>
      <c r="I418" s="59">
        <f t="shared" si="16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'[8]CUENTA T FONDO 100'!HS210</f>
        <v>0</v>
      </c>
      <c r="H419" s="64">
        <f>'[8]CUENTA T VS'!HS498</f>
        <v>0</v>
      </c>
      <c r="I419" s="64">
        <f t="shared" si="16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SUM(G421)</f>
        <v>0</v>
      </c>
      <c r="H420" s="59">
        <f>SUM(H421)</f>
        <v>0</v>
      </c>
      <c r="I420" s="59">
        <f t="shared" si="16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'[8]CUENTA T FONDO 100'!HT210</f>
        <v>0</v>
      </c>
      <c r="H421" s="64">
        <f>'[8]CUENTA T VS'!HT498</f>
        <v>0</v>
      </c>
      <c r="I421" s="64">
        <f t="shared" si="16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SUM(G423)</f>
        <v>0</v>
      </c>
      <c r="H422" s="59">
        <f>SUM(H423)</f>
        <v>0</v>
      </c>
      <c r="I422" s="59">
        <f t="shared" si="16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'[8]CUENTA T FONDO 100'!HU210</f>
        <v>0</v>
      </c>
      <c r="H423" s="64">
        <f>'[8]CUENTA T VS'!HU498</f>
        <v>0</v>
      </c>
      <c r="I423" s="64">
        <f t="shared" si="16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G425+G427+G429+G432+G434+G436+G438+G440+G444</f>
        <v>0</v>
      </c>
      <c r="H424" s="56">
        <f>H425+H427+H429+H432+H434+H436+H438+H440+H444</f>
        <v>0</v>
      </c>
      <c r="I424" s="56">
        <f t="shared" si="16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+G426</f>
        <v>0</v>
      </c>
      <c r="H425" s="59">
        <f>+H426</f>
        <v>0</v>
      </c>
      <c r="I425" s="59">
        <f t="shared" si="16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'[8]CUENTA T FONDO 100'!HV210</f>
        <v>0</v>
      </c>
      <c r="H426" s="64">
        <f>'[8]CUENTA T VS'!HV498</f>
        <v>0</v>
      </c>
      <c r="I426" s="64">
        <f t="shared" si="16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+G428</f>
        <v>0</v>
      </c>
      <c r="H427" s="59">
        <f>+H428</f>
        <v>0</v>
      </c>
      <c r="I427" s="59">
        <f t="shared" si="16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'[8]CUENTA T FONDO 100'!HW210</f>
        <v>0</v>
      </c>
      <c r="H428" s="64">
        <f>'[8]CUENTA T VS'!HW498</f>
        <v>0</v>
      </c>
      <c r="I428" s="64">
        <f t="shared" si="16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SUM(G430:G431)</f>
        <v>0</v>
      </c>
      <c r="H429" s="59">
        <f>SUM(H430:H431)</f>
        <v>0</v>
      </c>
      <c r="I429" s="59">
        <f t="shared" si="16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'[8]CUENTA T FONDO 100'!HX210</f>
        <v>0</v>
      </c>
      <c r="H430" s="64">
        <f>'[8]CUENTA T VS'!HX498</f>
        <v>0</v>
      </c>
      <c r="I430" s="64">
        <f t="shared" si="16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'[8]CUENTA T FONDO 100'!HY210</f>
        <v>0</v>
      </c>
      <c r="H431" s="64">
        <f>'[8]CUENTA T VS'!HY498</f>
        <v>0</v>
      </c>
      <c r="I431" s="64">
        <f t="shared" si="16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+G433</f>
        <v>0</v>
      </c>
      <c r="H432" s="59">
        <f>+H433</f>
        <v>0</v>
      </c>
      <c r="I432" s="59">
        <f t="shared" si="16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'[8]CUENTA T FONDO 100'!HZ210</f>
        <v>0</v>
      </c>
      <c r="H433" s="64">
        <f>'[8]CUENTA T VS'!HZ498</f>
        <v>0</v>
      </c>
      <c r="I433" s="64">
        <f t="shared" si="16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+G435</f>
        <v>0</v>
      </c>
      <c r="H434" s="59">
        <f>+H435</f>
        <v>0</v>
      </c>
      <c r="I434" s="59">
        <f t="shared" si="16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'[8]CUENTA T FONDO 100'!IA210</f>
        <v>0</v>
      </c>
      <c r="H435" s="64">
        <f>'[8]CUENTA T VS'!IA498</f>
        <v>0</v>
      </c>
      <c r="I435" s="64">
        <f t="shared" si="16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+G437</f>
        <v>0</v>
      </c>
      <c r="H436" s="59">
        <f>+H437</f>
        <v>0</v>
      </c>
      <c r="I436" s="59">
        <f t="shared" si="16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'[8]CUENTA T FONDO 100'!IB210</f>
        <v>0</v>
      </c>
      <c r="H437" s="64">
        <f>'[8]CUENTA T VS'!IB498</f>
        <v>0</v>
      </c>
      <c r="I437" s="64">
        <f t="shared" si="16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+G439</f>
        <v>0</v>
      </c>
      <c r="H438" s="59">
        <f>+H439</f>
        <v>0</v>
      </c>
      <c r="I438" s="59">
        <f t="shared" si="16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'[8]CUENTA T FONDO 100'!IC210</f>
        <v>0</v>
      </c>
      <c r="H439" s="64">
        <f>'[8]CUENTA T VS'!IC498</f>
        <v>0</v>
      </c>
      <c r="I439" s="64">
        <f t="shared" si="16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SUM(G441:G443)</f>
        <v>0</v>
      </c>
      <c r="H440" s="59">
        <f>SUM(H441:H443)</f>
        <v>0</v>
      </c>
      <c r="I440" s="59">
        <f t="shared" si="16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'[8]CUENTA T FONDO 100'!ID210</f>
        <v>0</v>
      </c>
      <c r="H441" s="64">
        <f>'[8]CUENTA T VS'!ID498</f>
        <v>0</v>
      </c>
      <c r="I441" s="64">
        <f t="shared" si="16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'[8]CUENTA T FONDO 100'!IE210</f>
        <v>0</v>
      </c>
      <c r="H442" s="64">
        <f>'[8]CUENTA T VS'!IE498</f>
        <v>0</v>
      </c>
      <c r="I442" s="64">
        <f t="shared" si="16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'[8]CUENTA T FONDO 100'!IF210</f>
        <v>0</v>
      </c>
      <c r="H443" s="64">
        <f>'[8]CUENTA T VS'!IF498</f>
        <v>0</v>
      </c>
      <c r="I443" s="64">
        <f t="shared" si="16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+G445</f>
        <v>0</v>
      </c>
      <c r="H444" s="59">
        <f>+H445</f>
        <v>0</v>
      </c>
      <c r="I444" s="59">
        <f t="shared" si="16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'[8]CUENTA T FONDO 100'!IG210</f>
        <v>0</v>
      </c>
      <c r="H445" s="64">
        <f>'[8]CUENTA T VS'!IG498</f>
        <v>0</v>
      </c>
      <c r="I445" s="64">
        <f t="shared" si="16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+G447+G450+G453+G455+G457+G461</f>
        <v>0</v>
      </c>
      <c r="H446" s="56">
        <f>+H447+H450+H453+H455+H457+H461</f>
        <v>154881.20000000001</v>
      </c>
      <c r="I446" s="56">
        <f t="shared" si="16"/>
        <v>154881.20000000001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+G448+G449</f>
        <v>0</v>
      </c>
      <c r="H447" s="59">
        <f>+H448+H449</f>
        <v>0</v>
      </c>
      <c r="I447" s="59">
        <f t="shared" si="16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64">
        <f>'[8]CUENTA T FONDO 100'!IH210</f>
        <v>0</v>
      </c>
      <c r="H448" s="92">
        <f>'[8]CUENTA T VS'!IH498</f>
        <v>0</v>
      </c>
      <c r="I448" s="92">
        <f t="shared" si="16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64">
        <f>'[8]CUENTA T FONDO 100'!II210</f>
        <v>0</v>
      </c>
      <c r="H449" s="92">
        <f>'[8]CUENTA T VS'!II498</f>
        <v>0</v>
      </c>
      <c r="I449" s="92">
        <f t="shared" si="16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SUM(G451:G452)</f>
        <v>0</v>
      </c>
      <c r="H450" s="59">
        <f>SUM(H451:H452)</f>
        <v>0</v>
      </c>
      <c r="I450" s="59">
        <f t="shared" si="16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'[8]CUENTA T FONDO 100'!IJ210</f>
        <v>0</v>
      </c>
      <c r="H451" s="64">
        <f>'[8]CUENTA T VS'!IJ498</f>
        <v>0</v>
      </c>
      <c r="I451" s="64">
        <f t="shared" si="16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'[8]CUENTA T FONDO 100'!IK210</f>
        <v>0</v>
      </c>
      <c r="H452" s="64">
        <f>'[8]CUENTA T VS'!IK498</f>
        <v>0</v>
      </c>
      <c r="I452" s="64">
        <f t="shared" si="16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SUM(G454)</f>
        <v>0</v>
      </c>
      <c r="H453" s="59">
        <f>SUM(H454)</f>
        <v>0</v>
      </c>
      <c r="I453" s="59">
        <f t="shared" si="16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'[8]CUENTA T FONDO 100'!IL210</f>
        <v>0</v>
      </c>
      <c r="H454" s="64">
        <f>'[8]CUENTA T VS'!IL498</f>
        <v>0</v>
      </c>
      <c r="I454" s="64">
        <f t="shared" si="16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SUM(G456)</f>
        <v>0</v>
      </c>
      <c r="H455" s="59">
        <f>SUM(H456)</f>
        <v>0</v>
      </c>
      <c r="I455" s="59">
        <f t="shared" si="16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'[8]CUENTA T FONDO 100'!IM210</f>
        <v>0</v>
      </c>
      <c r="H456" s="64">
        <f>'[8]CUENTA T VS'!IM498</f>
        <v>0</v>
      </c>
      <c r="I456" s="64">
        <f t="shared" si="16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SUM(G458:G460)</f>
        <v>0</v>
      </c>
      <c r="H457" s="59">
        <f>SUM(H458:H460)</f>
        <v>154881.20000000001</v>
      </c>
      <c r="I457" s="59">
        <f t="shared" si="16"/>
        <v>154881.20000000001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'[8]CUENTA T FONDO 100'!IN210</f>
        <v>0</v>
      </c>
      <c r="H458" s="64">
        <f>'[8]CUENTA T VS'!IN498</f>
        <v>0</v>
      </c>
      <c r="I458" s="64">
        <f t="shared" si="16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'[8]CUENTA T FONDO 100'!IO210</f>
        <v>0</v>
      </c>
      <c r="H459" s="64">
        <f>'[8]CUENTA T VS'!IO498</f>
        <v>154881.20000000001</v>
      </c>
      <c r="I459" s="64">
        <f t="shared" si="16"/>
        <v>154881.20000000001</v>
      </c>
      <c r="J459" s="65">
        <f>I459/$I$25</f>
        <v>7.4411157075210334E-4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'[8]CUENTA T FONDO 100'!IP210</f>
        <v>0</v>
      </c>
      <c r="H460" s="64">
        <f>'[8]CUENTA T VS'!IP498</f>
        <v>0</v>
      </c>
      <c r="I460" s="64">
        <f t="shared" si="16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SUM(G462)</f>
        <v>0</v>
      </c>
      <c r="H461" s="59">
        <f>SUM(H462)</f>
        <v>0</v>
      </c>
      <c r="I461" s="59">
        <f t="shared" si="16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'[8]CUENTA T FONDO 100'!IQ210</f>
        <v>0</v>
      </c>
      <c r="H462" s="64">
        <f>'[8]CUENTA T VS'!IQ498</f>
        <v>0</v>
      </c>
      <c r="I462" s="64">
        <f t="shared" si="16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G464+G473+G492+G497</f>
        <v>0</v>
      </c>
      <c r="H463" s="56">
        <f>H464+H473+H492+H497</f>
        <v>0</v>
      </c>
      <c r="I463" s="56">
        <f t="shared" si="16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+G465+G467+G469+G471</f>
        <v>0</v>
      </c>
      <c r="H464" s="56">
        <f>+H465+H467+H469+H471</f>
        <v>0</v>
      </c>
      <c r="I464" s="56">
        <f t="shared" si="16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+G466</f>
        <v>0</v>
      </c>
      <c r="H465" s="59">
        <f>+H466</f>
        <v>0</v>
      </c>
      <c r="I465" s="59">
        <f t="shared" si="16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'[8]CUENTA T FONDO 100'!IR210</f>
        <v>0</v>
      </c>
      <c r="H466" s="64">
        <f>'[8]CUENTA T VS'!IR498</f>
        <v>0</v>
      </c>
      <c r="I466" s="64">
        <f t="shared" si="16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+G468</f>
        <v>0</v>
      </c>
      <c r="H467" s="59">
        <f>+H468</f>
        <v>0</v>
      </c>
      <c r="I467" s="59">
        <f t="shared" si="16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'[8]CUENTA T FONDO 100'!IS210</f>
        <v>0</v>
      </c>
      <c r="H468" s="64">
        <f>'[8]CUENTA T VS'!IS498</f>
        <v>0</v>
      </c>
      <c r="I468" s="64">
        <f t="shared" si="16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+G470</f>
        <v>0</v>
      </c>
      <c r="H469" s="59">
        <f>+H470</f>
        <v>0</v>
      </c>
      <c r="I469" s="59">
        <f t="shared" si="16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'[8]CUENTA T FONDO 100'!IT210</f>
        <v>0</v>
      </c>
      <c r="H470" s="64">
        <f>'[8]CUENTA T VS'!IT498</f>
        <v>0</v>
      </c>
      <c r="I470" s="64">
        <f t="shared" si="16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+G472</f>
        <v>0</v>
      </c>
      <c r="H471" s="59">
        <f>+H472</f>
        <v>0</v>
      </c>
      <c r="I471" s="59">
        <f t="shared" si="16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'[8]CUENTA T FONDO 100'!IU210</f>
        <v>0</v>
      </c>
      <c r="H472" s="64">
        <f>'[8]CUENTA T VS'!IU498</f>
        <v>0</v>
      </c>
      <c r="I472" s="64">
        <f t="shared" si="16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+G474+G476+G478+G480+G482+G484+G486+G488+G490</f>
        <v>0</v>
      </c>
      <c r="H473" s="56">
        <f>+H474+H476+H478+H480+H482+H484+H486+H488+H490</f>
        <v>0</v>
      </c>
      <c r="I473" s="56">
        <f t="shared" ref="I473:I501" si="17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+G475</f>
        <v>0</v>
      </c>
      <c r="H474" s="59">
        <f>+H475</f>
        <v>0</v>
      </c>
      <c r="I474" s="59">
        <f t="shared" si="17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'[8]CUENTA T FONDO 100'!IV210</f>
        <v>0</v>
      </c>
      <c r="H475" s="64">
        <f>'[8]CUENTA T VS'!IV498</f>
        <v>0</v>
      </c>
      <c r="I475" s="64">
        <f t="shared" si="17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+G477</f>
        <v>0</v>
      </c>
      <c r="H476" s="59">
        <f>+H477</f>
        <v>0</v>
      </c>
      <c r="I476" s="59">
        <f t="shared" si="17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'[8]CUENTA T FONDO 100'!IW210</f>
        <v>0</v>
      </c>
      <c r="H477" s="64">
        <f>'[8]CUENTA T VS'!IW498</f>
        <v>0</v>
      </c>
      <c r="I477" s="64">
        <f t="shared" si="17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+G479</f>
        <v>0</v>
      </c>
      <c r="H478" s="59">
        <f>+H479</f>
        <v>0</v>
      </c>
      <c r="I478" s="59">
        <f t="shared" si="17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'[8]CUENTA T FONDO 100'!IX210</f>
        <v>0</v>
      </c>
      <c r="H479" s="64">
        <f>'[8]CUENTA T VS'!IX498</f>
        <v>0</v>
      </c>
      <c r="I479" s="64">
        <f t="shared" si="17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+G481</f>
        <v>0</v>
      </c>
      <c r="H480" s="59">
        <f>+H481</f>
        <v>0</v>
      </c>
      <c r="I480" s="59">
        <f t="shared" si="17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'[8]CUENTA T FONDO 100'!IY210</f>
        <v>0</v>
      </c>
      <c r="H481" s="64">
        <f>'[8]CUENTA T VS'!IY498</f>
        <v>0</v>
      </c>
      <c r="I481" s="64">
        <f t="shared" si="17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+G483</f>
        <v>0</v>
      </c>
      <c r="H482" s="59">
        <f>+H483</f>
        <v>0</v>
      </c>
      <c r="I482" s="59">
        <f t="shared" si="17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'[8]CUENTA T FONDO 100'!IZ210</f>
        <v>0</v>
      </c>
      <c r="H483" s="64">
        <f>'[8]CUENTA T VS'!IZ498</f>
        <v>0</v>
      </c>
      <c r="I483" s="64">
        <f t="shared" si="17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+G485</f>
        <v>0</v>
      </c>
      <c r="H484" s="59">
        <f>+H485</f>
        <v>0</v>
      </c>
      <c r="I484" s="59">
        <f t="shared" si="17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'[8]CUENTA T FONDO 100'!JA210</f>
        <v>0</v>
      </c>
      <c r="H485" s="64">
        <f>'[8]CUENTA T VS'!JA498</f>
        <v>0</v>
      </c>
      <c r="I485" s="64">
        <f t="shared" si="17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+G487</f>
        <v>0</v>
      </c>
      <c r="H486" s="59">
        <f>+H487</f>
        <v>0</v>
      </c>
      <c r="I486" s="59">
        <f t="shared" si="17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'[8]CUENTA T FONDO 100'!JB210</f>
        <v>0</v>
      </c>
      <c r="H487" s="64">
        <f>'[8]CUENTA T VS'!JB498</f>
        <v>0</v>
      </c>
      <c r="I487" s="64">
        <f t="shared" si="17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+G489</f>
        <v>0</v>
      </c>
      <c r="H488" s="59">
        <f>+H489</f>
        <v>0</v>
      </c>
      <c r="I488" s="59">
        <f t="shared" si="17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'[8]CUENTA T FONDO 100'!JC210</f>
        <v>0</v>
      </c>
      <c r="H489" s="64">
        <f>'[8]CUENTA T VS'!JC498</f>
        <v>0</v>
      </c>
      <c r="I489" s="64">
        <f t="shared" si="17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+G491</f>
        <v>0</v>
      </c>
      <c r="H490" s="59">
        <f>+H491</f>
        <v>0</v>
      </c>
      <c r="I490" s="59">
        <f t="shared" si="17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'[8]CUENTA T FONDO 100'!JD210</f>
        <v>0</v>
      </c>
      <c r="H491" s="64">
        <f>'[8]CUENTA T VS'!JD498</f>
        <v>0</v>
      </c>
      <c r="I491" s="64">
        <f t="shared" si="17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+G493+G495</f>
        <v>0</v>
      </c>
      <c r="H492" s="56">
        <f>+H493+H495</f>
        <v>0</v>
      </c>
      <c r="I492" s="56">
        <f t="shared" si="17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+G494</f>
        <v>0</v>
      </c>
      <c r="H493" s="59">
        <f>+H494</f>
        <v>0</v>
      </c>
      <c r="I493" s="59">
        <f t="shared" si="17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'[8]CUENTA T FONDO 100'!JE210</f>
        <v>0</v>
      </c>
      <c r="H494" s="64">
        <f>'[8]CUENTA T VS'!JE498</f>
        <v>0</v>
      </c>
      <c r="I494" s="64">
        <f t="shared" si="17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+G496</f>
        <v>0</v>
      </c>
      <c r="H495" s="59">
        <f>+H496</f>
        <v>0</v>
      </c>
      <c r="I495" s="59">
        <f t="shared" si="17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'[8]CUENTA T FONDO 100'!JF210</f>
        <v>0</v>
      </c>
      <c r="H496" s="64">
        <f>'[8]CUENTA T VS'!JF498</f>
        <v>0</v>
      </c>
      <c r="I496" s="64">
        <f t="shared" si="17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+G498+G500</f>
        <v>0</v>
      </c>
      <c r="H497" s="56">
        <f>+H498+H500</f>
        <v>0</v>
      </c>
      <c r="I497" s="56">
        <f t="shared" si="17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+G499</f>
        <v>0</v>
      </c>
      <c r="H498" s="59">
        <f>+H499</f>
        <v>0</v>
      </c>
      <c r="I498" s="59">
        <f t="shared" si="17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'[8]CUENTA T FONDO 100'!JG210</f>
        <v>0</v>
      </c>
      <c r="H499" s="64">
        <f>'[8]CUENTA T VS'!JG498</f>
        <v>0</v>
      </c>
      <c r="I499" s="64">
        <f t="shared" si="17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+G501</f>
        <v>0</v>
      </c>
      <c r="H500" s="59">
        <f>+H501</f>
        <v>0</v>
      </c>
      <c r="I500" s="59">
        <f t="shared" si="17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'[8]CUENTA T FONDO 100'!JH210</f>
        <v>0</v>
      </c>
      <c r="H501" s="64">
        <f>'[8]CUENTA T VS'!JH498</f>
        <v>0</v>
      </c>
      <c r="I501" s="64">
        <f t="shared" si="1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99B2-54C1-4583-B553-A1FE3DC3B74E}">
  <dimension ref="A1:P511"/>
  <sheetViews>
    <sheetView tabSelected="1" topLeftCell="A13" workbookViewId="0">
      <selection activeCell="L28" sqref="L28"/>
    </sheetView>
  </sheetViews>
  <sheetFormatPr baseColWidth="10" defaultColWidth="2.85546875" defaultRowHeight="12.75" x14ac:dyDescent="0.2"/>
  <cols>
    <col min="1" max="1" width="5.7109375" style="5" customWidth="1"/>
    <col min="2" max="2" width="13" style="5" customWidth="1"/>
    <col min="3" max="3" width="9.42578125" style="5" customWidth="1"/>
    <col min="4" max="4" width="11.28515625" style="5" customWidth="1"/>
    <col min="5" max="5" width="12.140625" style="5" customWidth="1"/>
    <col min="6" max="6" width="46.42578125" style="5" customWidth="1"/>
    <col min="7" max="8" width="17.140625" style="5" customWidth="1"/>
    <col min="9" max="9" width="18.7109375" style="5" bestFit="1" customWidth="1"/>
    <col min="10" max="10" width="24.42578125" style="5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78"/>
      <c r="B2" s="179"/>
      <c r="C2" s="179"/>
      <c r="D2" s="179"/>
      <c r="E2" s="179"/>
      <c r="F2" s="179"/>
      <c r="G2" s="179"/>
      <c r="H2" s="179"/>
      <c r="I2" s="6"/>
      <c r="J2" s="7"/>
    </row>
    <row r="3" spans="1:14" ht="26.25" x14ac:dyDescent="0.4">
      <c r="A3" s="180" t="s">
        <v>1</v>
      </c>
      <c r="B3" s="181"/>
      <c r="C3" s="181"/>
      <c r="D3" s="181"/>
      <c r="E3" s="181"/>
      <c r="F3" s="181"/>
      <c r="G3" s="181"/>
      <c r="H3" s="181"/>
      <c r="I3" s="181"/>
      <c r="J3" s="182"/>
    </row>
    <row r="4" spans="1:14" s="8" customFormat="1" ht="18.75" x14ac:dyDescent="0.3">
      <c r="A4" s="183" t="s">
        <v>2</v>
      </c>
      <c r="B4" s="184"/>
      <c r="C4" s="184"/>
      <c r="D4" s="184"/>
      <c r="E4" s="184"/>
      <c r="F4" s="184"/>
      <c r="G4" s="184"/>
      <c r="H4" s="184"/>
      <c r="I4" s="184"/>
      <c r="J4" s="185"/>
    </row>
    <row r="5" spans="1:14" ht="15" x14ac:dyDescent="0.25">
      <c r="A5" s="186" t="s">
        <v>3</v>
      </c>
      <c r="B5" s="187"/>
      <c r="C5" s="187"/>
      <c r="D5" s="187"/>
      <c r="E5" s="187"/>
      <c r="F5" s="187"/>
      <c r="G5" s="187"/>
      <c r="H5" s="187"/>
      <c r="I5" s="187"/>
      <c r="J5" s="188"/>
    </row>
    <row r="6" spans="1:14" ht="15.75" x14ac:dyDescent="0.25">
      <c r="A6" s="189" t="s">
        <v>4</v>
      </c>
      <c r="B6" s="190"/>
      <c r="C6" s="190"/>
      <c r="D6" s="190"/>
      <c r="E6" s="190"/>
      <c r="F6" s="190"/>
      <c r="G6" s="190"/>
      <c r="H6" s="190"/>
      <c r="I6" s="190"/>
      <c r="J6" s="191"/>
    </row>
    <row r="7" spans="1:14" ht="15.75" x14ac:dyDescent="0.25">
      <c r="A7" s="175" t="s">
        <v>395</v>
      </c>
      <c r="B7" s="176"/>
      <c r="C7" s="176"/>
      <c r="D7" s="176"/>
      <c r="E7" s="176"/>
      <c r="F7" s="176"/>
      <c r="G7" s="176"/>
      <c r="H7" s="176"/>
      <c r="I7" s="176"/>
      <c r="J7" s="177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2685939.809999994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/>
      <c r="H14" s="20" t="s">
        <v>9</v>
      </c>
      <c r="I14" s="19"/>
      <c r="J14" s="1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+'[8]INGR SEGUN ORIGEN'!E12</f>
        <v>122574580.69</v>
      </c>
      <c r="H15" s="25" t="s">
        <v>17</v>
      </c>
      <c r="I15" s="19"/>
      <c r="J15" s="17"/>
      <c r="L15" s="5">
        <v>2.1</v>
      </c>
      <c r="M15" s="27">
        <f>G26</f>
        <v>288445380.40999997</v>
      </c>
      <c r="N15" s="27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+'[8]INGR SEGUN ORIGEN'!E26+'[8]INGR SEGUN ORIGEN'!E33</f>
        <v>16833212.450000003</v>
      </c>
      <c r="H16" s="25"/>
      <c r="I16" s="23"/>
      <c r="J16" s="17"/>
      <c r="L16" s="5">
        <v>2.2000000000000002</v>
      </c>
      <c r="M16" s="27">
        <f>G87</f>
        <v>16306951.59</v>
      </c>
      <c r="N16" s="27">
        <f>H87</f>
        <v>11649816.859999999</v>
      </c>
    </row>
    <row r="17" spans="1:16" ht="15.75" x14ac:dyDescent="0.25">
      <c r="A17" s="12"/>
      <c r="B17" s="13"/>
      <c r="C17" s="13"/>
      <c r="D17" s="13"/>
      <c r="E17" s="18"/>
      <c r="F17" s="15"/>
      <c r="G17" s="28"/>
      <c r="H17" s="29" t="s">
        <v>18</v>
      </c>
      <c r="I17" s="19">
        <f>+G10+G11+G12+I10+G14+G15+G16+I14+I15</f>
        <v>142093732.94999999</v>
      </c>
      <c r="J17" s="17"/>
      <c r="L17" s="5">
        <v>2.2999999999999998</v>
      </c>
      <c r="M17" s="27">
        <f>'[8]CONS. FUENTES FINAN'!G212</f>
        <v>71708916.149999991</v>
      </c>
      <c r="N17" s="27">
        <f>'[8]CONS. FUENTES FINAN'!H212</f>
        <v>11135613.280000001</v>
      </c>
    </row>
    <row r="18" spans="1:16" ht="15.75" x14ac:dyDescent="0.25">
      <c r="A18" s="12"/>
      <c r="B18" s="13"/>
      <c r="C18" s="13"/>
      <c r="D18" s="13"/>
      <c r="E18" s="30"/>
      <c r="F18" s="31"/>
      <c r="G18" s="32"/>
      <c r="H18" s="32"/>
      <c r="I18" s="15"/>
      <c r="J18" s="17"/>
      <c r="L18" s="5">
        <v>2.4</v>
      </c>
      <c r="M18" s="27">
        <f>G330</f>
        <v>0</v>
      </c>
      <c r="N18" s="27">
        <f>H330</f>
        <v>19600</v>
      </c>
    </row>
    <row r="19" spans="1:16" ht="15.75" x14ac:dyDescent="0.25">
      <c r="A19" s="33"/>
      <c r="B19" s="34"/>
      <c r="C19" s="35"/>
      <c r="D19" s="34"/>
      <c r="E19" s="36"/>
      <c r="F19" s="37"/>
      <c r="G19" s="37"/>
      <c r="H19" s="37"/>
      <c r="I19" s="38"/>
      <c r="J19" s="39"/>
      <c r="L19" s="5">
        <v>2.6</v>
      </c>
      <c r="M19" s="27">
        <f>G336</f>
        <v>29442717.409999996</v>
      </c>
      <c r="N19" s="27">
        <f>H336</f>
        <v>7416727.6099999994</v>
      </c>
    </row>
    <row r="20" spans="1:16" x14ac:dyDescent="0.2">
      <c r="A20" s="40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7">
        <f>'[8]CONS. FUENTES FINAN'!G463</f>
        <v>0</v>
      </c>
      <c r="N20" s="27">
        <f>'[8]CONS. FUENTES FINAN'!H463</f>
        <v>0</v>
      </c>
    </row>
    <row r="21" spans="1:16" x14ac:dyDescent="0.2">
      <c r="A21" s="209">
        <v>1</v>
      </c>
      <c r="B21" s="209"/>
      <c r="C21" s="209"/>
      <c r="D21" s="209"/>
      <c r="E21" s="209"/>
      <c r="F21" s="174">
        <v>2</v>
      </c>
      <c r="G21" s="210">
        <v>3</v>
      </c>
      <c r="H21" s="211"/>
      <c r="I21" s="42">
        <v>4</v>
      </c>
      <c r="J21" s="42">
        <v>5</v>
      </c>
    </row>
    <row r="22" spans="1:16" ht="33" customHeight="1" x14ac:dyDescent="0.2">
      <c r="A22" s="195" t="s">
        <v>19</v>
      </c>
      <c r="B22" s="195"/>
      <c r="C22" s="195"/>
      <c r="D22" s="195"/>
      <c r="E22" s="195"/>
      <c r="F22" s="212" t="s">
        <v>20</v>
      </c>
      <c r="G22" s="199" t="s">
        <v>21</v>
      </c>
      <c r="H22" s="200"/>
      <c r="I22" s="201" t="s">
        <v>22</v>
      </c>
      <c r="J22" s="204" t="s">
        <v>23</v>
      </c>
    </row>
    <row r="23" spans="1:16" ht="29.25" customHeight="1" x14ac:dyDescent="0.2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13"/>
      <c r="G23" s="192" t="s">
        <v>29</v>
      </c>
      <c r="H23" s="192" t="s">
        <v>30</v>
      </c>
      <c r="I23" s="202"/>
      <c r="J23" s="205"/>
      <c r="L23" s="194"/>
      <c r="M23" s="194"/>
      <c r="N23" s="194"/>
      <c r="O23" s="194"/>
      <c r="P23" s="194"/>
    </row>
    <row r="24" spans="1:16" ht="18.75" customHeight="1" x14ac:dyDescent="0.2">
      <c r="A24" s="208"/>
      <c r="B24" s="208"/>
      <c r="C24" s="208"/>
      <c r="D24" s="208"/>
      <c r="E24" s="208"/>
      <c r="F24" s="214"/>
      <c r="G24" s="193"/>
      <c r="H24" s="193"/>
      <c r="I24" s="203"/>
      <c r="J24" s="206"/>
      <c r="L24" s="173"/>
      <c r="M24" s="173"/>
      <c r="N24" s="173"/>
      <c r="O24" s="173"/>
      <c r="P24" s="173"/>
    </row>
    <row r="25" spans="1:16" ht="13.5" thickBot="1" x14ac:dyDescent="0.25">
      <c r="A25" s="44">
        <v>2</v>
      </c>
      <c r="B25" s="45"/>
      <c r="C25" s="45"/>
      <c r="D25" s="45"/>
      <c r="E25" s="45"/>
      <c r="F25" s="46" t="s">
        <v>31</v>
      </c>
      <c r="G25" s="47">
        <f>+'OCTUBRE '!G25+NOVIEMBRE!G25+'DICIEMBRE 2025'!G25</f>
        <v>451580253.74000001</v>
      </c>
      <c r="H25" s="47">
        <f>+'OCTUBRE '!H25+NOVIEMBRE!H25+'DICIEMBRE 2025'!H25</f>
        <v>38291595.879999995</v>
      </c>
      <c r="I25" s="47">
        <f>SUM(G25:H25)</f>
        <v>489871849.62</v>
      </c>
      <c r="J25" s="48">
        <f>+J26+J87+J212+J330+J336+J463</f>
        <v>1</v>
      </c>
      <c r="K25" s="27"/>
    </row>
    <row r="26" spans="1:16" ht="13.5" thickTop="1" x14ac:dyDescent="0.2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+'OCTUBRE '!G26+NOVIEMBRE!G26+'DICIEMBRE 2025'!G26</f>
        <v>288445380.40999997</v>
      </c>
      <c r="H26" s="52">
        <f>+'OCTUBRE '!H26+NOVIEMBRE!H26+'DICIEMBRE 2025'!H26</f>
        <v>0</v>
      </c>
      <c r="I26" s="52">
        <f t="shared" ref="I25:I88" si="0">SUM(G26:H26)</f>
        <v>288445380.40999997</v>
      </c>
      <c r="J26" s="53">
        <f>I26/$I$25</f>
        <v>0.58881803605116489</v>
      </c>
    </row>
    <row r="27" spans="1:16" x14ac:dyDescent="0.2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+'OCTUBRE '!G27+NOVIEMBRE!G27+'DICIEMBRE 2025'!G27</f>
        <v>242948438.80000001</v>
      </c>
      <c r="H27" s="56">
        <f>+'OCTUBRE '!H27+NOVIEMBRE!H27+'DICIEMBRE 2025'!H27</f>
        <v>0</v>
      </c>
      <c r="I27" s="56">
        <f t="shared" si="0"/>
        <v>242948438.80000001</v>
      </c>
      <c r="J27" s="53"/>
    </row>
    <row r="28" spans="1:16" x14ac:dyDescent="0.2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+'OCTUBRE '!G28+NOVIEMBRE!G28+'DICIEMBRE 2025'!G28</f>
        <v>177326372.69999999</v>
      </c>
      <c r="H28" s="59">
        <f>+'OCTUBRE '!H28+NOVIEMBRE!H28+'DICIEMBRE 2025'!H28</f>
        <v>0</v>
      </c>
      <c r="I28" s="59">
        <f t="shared" si="0"/>
        <v>177326372.69999999</v>
      </c>
      <c r="J28" s="60"/>
    </row>
    <row r="29" spans="1:16" x14ac:dyDescent="0.2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f>+'OCTUBRE '!G29+NOVIEMBRE!G29+'DICIEMBRE 2025'!G29</f>
        <v>177326372.69999999</v>
      </c>
      <c r="H29" s="64">
        <f>+'OCTUBRE '!H29+NOVIEMBRE!H29+'DICIEMBRE 2025'!H29</f>
        <v>0</v>
      </c>
      <c r="I29" s="64">
        <f t="shared" si="0"/>
        <v>177326372.69999999</v>
      </c>
      <c r="J29" s="65">
        <f t="shared" ref="J29:J34" si="1">I29/$I$25</f>
        <v>0.36198522702938407</v>
      </c>
    </row>
    <row r="30" spans="1:16" x14ac:dyDescent="0.2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6" t="s">
        <v>38</v>
      </c>
      <c r="G30" s="64">
        <f>+'OCTUBRE '!G30+NOVIEMBRE!G30+'DICIEMBRE 2025'!G30</f>
        <v>0</v>
      </c>
      <c r="H30" s="64">
        <f>+'OCTUBRE '!H30+NOVIEMBRE!H30+'DICIEMBRE 2025'!H30</f>
        <v>0</v>
      </c>
      <c r="I30" s="64">
        <f t="shared" si="0"/>
        <v>0</v>
      </c>
      <c r="J30" s="65">
        <f t="shared" si="1"/>
        <v>0</v>
      </c>
    </row>
    <row r="31" spans="1:16" x14ac:dyDescent="0.2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6" t="s">
        <v>40</v>
      </c>
      <c r="G31" s="64">
        <f>+'OCTUBRE '!G31+NOVIEMBRE!G31+'DICIEMBRE 2025'!G31</f>
        <v>0</v>
      </c>
      <c r="H31" s="64">
        <f>+'OCTUBRE '!H31+NOVIEMBRE!H31+'DICIEMBRE 2025'!H31</f>
        <v>0</v>
      </c>
      <c r="I31" s="64">
        <f t="shared" si="0"/>
        <v>0</v>
      </c>
      <c r="J31" s="65">
        <f t="shared" si="1"/>
        <v>0</v>
      </c>
    </row>
    <row r="32" spans="1:16" x14ac:dyDescent="0.2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6" t="s">
        <v>42</v>
      </c>
      <c r="G32" s="64">
        <f>+'OCTUBRE '!G32+NOVIEMBRE!G32+'DICIEMBRE 2025'!G32</f>
        <v>0</v>
      </c>
      <c r="H32" s="64">
        <f>+'OCTUBRE '!H32+NOVIEMBRE!H32+'DICIEMBRE 2025'!H32</f>
        <v>0</v>
      </c>
      <c r="I32" s="64">
        <f t="shared" si="0"/>
        <v>0</v>
      </c>
      <c r="J32" s="65">
        <f t="shared" si="1"/>
        <v>0</v>
      </c>
    </row>
    <row r="33" spans="1:10" x14ac:dyDescent="0.2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6" t="s">
        <v>44</v>
      </c>
      <c r="G33" s="64">
        <f>+'OCTUBRE '!G33+NOVIEMBRE!G33+'DICIEMBRE 2025'!G33</f>
        <v>0</v>
      </c>
      <c r="H33" s="64">
        <f>+'OCTUBRE '!H33+NOVIEMBRE!H33+'DICIEMBRE 2025'!H33</f>
        <v>0</v>
      </c>
      <c r="I33" s="64">
        <f t="shared" si="0"/>
        <v>0</v>
      </c>
      <c r="J33" s="65">
        <f t="shared" si="1"/>
        <v>0</v>
      </c>
    </row>
    <row r="34" spans="1:10" x14ac:dyDescent="0.2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6" t="s">
        <v>46</v>
      </c>
      <c r="G34" s="64">
        <f>+'OCTUBRE '!G34+NOVIEMBRE!G34+'DICIEMBRE 2025'!G34</f>
        <v>0</v>
      </c>
      <c r="H34" s="64">
        <f>+'OCTUBRE '!H34+NOVIEMBRE!H34+'DICIEMBRE 2025'!H34</f>
        <v>0</v>
      </c>
      <c r="I34" s="64">
        <f t="shared" si="0"/>
        <v>0</v>
      </c>
      <c r="J34" s="65">
        <f t="shared" si="1"/>
        <v>0</v>
      </c>
    </row>
    <row r="35" spans="1:10" x14ac:dyDescent="0.2">
      <c r="A35" s="57">
        <v>2</v>
      </c>
      <c r="B35" s="58">
        <v>1</v>
      </c>
      <c r="C35" s="58">
        <v>1</v>
      </c>
      <c r="D35" s="58">
        <v>2</v>
      </c>
      <c r="E35" s="58"/>
      <c r="F35" s="67" t="s">
        <v>47</v>
      </c>
      <c r="G35" s="59">
        <f>+'OCTUBRE '!G35+NOVIEMBRE!G35+'DICIEMBRE 2025'!G35</f>
        <v>3977593.09</v>
      </c>
      <c r="H35" s="59">
        <f>+'OCTUBRE '!H35+NOVIEMBRE!H35+'DICIEMBRE 2025'!H35</f>
        <v>0</v>
      </c>
      <c r="I35" s="59">
        <f t="shared" si="0"/>
        <v>3977593.09</v>
      </c>
      <c r="J35" s="60"/>
    </row>
    <row r="36" spans="1:10" x14ac:dyDescent="0.2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6" t="s">
        <v>48</v>
      </c>
      <c r="G36" s="64">
        <f>+'OCTUBRE '!G36+NOVIEMBRE!G36+'DICIEMBRE 2025'!G36</f>
        <v>0</v>
      </c>
      <c r="H36" s="64">
        <f>+'OCTUBRE '!H36+NOVIEMBRE!H36+'DICIEMBRE 2025'!H36</f>
        <v>0</v>
      </c>
      <c r="I36" s="64">
        <f t="shared" si="0"/>
        <v>0</v>
      </c>
      <c r="J36" s="65">
        <f t="shared" ref="J36:J41" si="2">I36/$I$25</f>
        <v>0</v>
      </c>
    </row>
    <row r="37" spans="1:10" x14ac:dyDescent="0.2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6" t="s">
        <v>49</v>
      </c>
      <c r="G37" s="64">
        <f>+'OCTUBRE '!G37+NOVIEMBRE!G37+'DICIEMBRE 2025'!G37</f>
        <v>0</v>
      </c>
      <c r="H37" s="64">
        <f>+'OCTUBRE '!H37+NOVIEMBRE!H37+'DICIEMBRE 2025'!H37</f>
        <v>0</v>
      </c>
      <c r="I37" s="64">
        <f t="shared" si="0"/>
        <v>0</v>
      </c>
      <c r="J37" s="65">
        <f t="shared" si="2"/>
        <v>0</v>
      </c>
    </row>
    <row r="38" spans="1:10" x14ac:dyDescent="0.2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6" t="s">
        <v>50</v>
      </c>
      <c r="G38" s="64">
        <f>+'OCTUBRE '!G38+NOVIEMBRE!G38+'DICIEMBRE 2025'!G38</f>
        <v>0</v>
      </c>
      <c r="H38" s="64">
        <f>+'OCTUBRE '!H38+NOVIEMBRE!H38+'DICIEMBRE 2025'!H38</f>
        <v>0</v>
      </c>
      <c r="I38" s="64">
        <f t="shared" si="0"/>
        <v>0</v>
      </c>
      <c r="J38" s="65">
        <f t="shared" si="2"/>
        <v>0</v>
      </c>
    </row>
    <row r="39" spans="1:10" x14ac:dyDescent="0.2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6" t="s">
        <v>52</v>
      </c>
      <c r="G39" s="64">
        <f>+'OCTUBRE '!G39+NOVIEMBRE!G39+'DICIEMBRE 2025'!G39</f>
        <v>3977593.09</v>
      </c>
      <c r="H39" s="64">
        <f>+'OCTUBRE '!H39+NOVIEMBRE!H39+'DICIEMBRE 2025'!H39</f>
        <v>0</v>
      </c>
      <c r="I39" s="64">
        <f t="shared" si="0"/>
        <v>3977593.09</v>
      </c>
      <c r="J39" s="65">
        <f t="shared" si="2"/>
        <v>8.1196604644367103E-3</v>
      </c>
    </row>
    <row r="40" spans="1:10" x14ac:dyDescent="0.2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6" t="s">
        <v>54</v>
      </c>
      <c r="G40" s="64">
        <f>+'OCTUBRE '!G40+NOVIEMBRE!G40+'DICIEMBRE 2025'!G40</f>
        <v>0</v>
      </c>
      <c r="H40" s="64">
        <f>+'OCTUBRE '!H40+NOVIEMBRE!H40+'DICIEMBRE 2025'!H40</f>
        <v>0</v>
      </c>
      <c r="I40" s="64">
        <f t="shared" si="0"/>
        <v>0</v>
      </c>
      <c r="J40" s="65">
        <f t="shared" si="2"/>
        <v>0</v>
      </c>
    </row>
    <row r="41" spans="1:10" x14ac:dyDescent="0.2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6" t="s">
        <v>56</v>
      </c>
      <c r="G41" s="64">
        <f>+'OCTUBRE '!G41+NOVIEMBRE!G41+'DICIEMBRE 2025'!G41</f>
        <v>0</v>
      </c>
      <c r="H41" s="64">
        <f>+'OCTUBRE '!H41+NOVIEMBRE!H41+'DICIEMBRE 2025'!H41</f>
        <v>0</v>
      </c>
      <c r="I41" s="64">
        <f t="shared" si="0"/>
        <v>0</v>
      </c>
      <c r="J41" s="65">
        <f t="shared" si="2"/>
        <v>0</v>
      </c>
    </row>
    <row r="42" spans="1:10" x14ac:dyDescent="0.2">
      <c r="A42" s="57">
        <v>2</v>
      </c>
      <c r="B42" s="58">
        <v>1</v>
      </c>
      <c r="C42" s="58">
        <v>1</v>
      </c>
      <c r="D42" s="58">
        <v>3</v>
      </c>
      <c r="E42" s="58"/>
      <c r="F42" s="67" t="s">
        <v>57</v>
      </c>
      <c r="G42" s="59">
        <f>+'OCTUBRE '!G42+NOVIEMBRE!G42+'DICIEMBRE 2025'!G42</f>
        <v>0</v>
      </c>
      <c r="H42" s="59">
        <f>+'OCTUBRE '!H42+NOVIEMBRE!H42+'DICIEMBRE 2025'!H42</f>
        <v>0</v>
      </c>
      <c r="I42" s="59">
        <f t="shared" si="0"/>
        <v>0</v>
      </c>
      <c r="J42" s="60"/>
    </row>
    <row r="43" spans="1:10" x14ac:dyDescent="0.2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6" t="s">
        <v>57</v>
      </c>
      <c r="G43" s="64">
        <f>+'OCTUBRE '!G43+NOVIEMBRE!G43+'DICIEMBRE 2025'!G43</f>
        <v>0</v>
      </c>
      <c r="H43" s="64">
        <f>+'OCTUBRE '!H43+NOVIEMBRE!H43+'DICIEMBRE 2025'!H43</f>
        <v>0</v>
      </c>
      <c r="I43" s="64">
        <f t="shared" si="0"/>
        <v>0</v>
      </c>
      <c r="J43" s="65">
        <f>I43/$I$25</f>
        <v>0</v>
      </c>
    </row>
    <row r="44" spans="1:10" x14ac:dyDescent="0.2">
      <c r="A44" s="57">
        <v>2</v>
      </c>
      <c r="B44" s="58">
        <v>1</v>
      </c>
      <c r="C44" s="58">
        <v>1</v>
      </c>
      <c r="D44" s="58">
        <v>4</v>
      </c>
      <c r="E44" s="58"/>
      <c r="F44" s="67" t="s">
        <v>58</v>
      </c>
      <c r="G44" s="59">
        <f>+'OCTUBRE '!G44+NOVIEMBRE!G44+'DICIEMBRE 2025'!G44</f>
        <v>60212858.700000003</v>
      </c>
      <c r="H44" s="59">
        <f>+'OCTUBRE '!H44+NOVIEMBRE!H44+'DICIEMBRE 2025'!H44</f>
        <v>0</v>
      </c>
      <c r="I44" s="59">
        <f t="shared" si="0"/>
        <v>60212858.700000003</v>
      </c>
      <c r="J44" s="60"/>
    </row>
    <row r="45" spans="1:10" x14ac:dyDescent="0.2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6" t="s">
        <v>58</v>
      </c>
      <c r="G45" s="64">
        <f>+'OCTUBRE '!G45+NOVIEMBRE!G45+'DICIEMBRE 2025'!G45</f>
        <v>60212858.700000003</v>
      </c>
      <c r="H45" s="64">
        <f>+'OCTUBRE '!H45+NOVIEMBRE!H45+'DICIEMBRE 2025'!H45</f>
        <v>0</v>
      </c>
      <c r="I45" s="64">
        <f t="shared" si="0"/>
        <v>60212858.700000003</v>
      </c>
      <c r="J45" s="65">
        <f>I45/$I$25</f>
        <v>0.12291553137153707</v>
      </c>
    </row>
    <row r="46" spans="1:10" x14ac:dyDescent="0.2">
      <c r="A46" s="57">
        <v>2</v>
      </c>
      <c r="B46" s="58">
        <v>1</v>
      </c>
      <c r="C46" s="58">
        <v>1</v>
      </c>
      <c r="D46" s="58">
        <v>5</v>
      </c>
      <c r="E46" s="58"/>
      <c r="F46" s="67" t="s">
        <v>59</v>
      </c>
      <c r="G46" s="59">
        <f>+'OCTUBRE '!G46+NOVIEMBRE!G46+'DICIEMBRE 2025'!G46</f>
        <v>1431614.31</v>
      </c>
      <c r="H46" s="59">
        <f>+'OCTUBRE '!H46+NOVIEMBRE!H46+'DICIEMBRE 2025'!H46</f>
        <v>0</v>
      </c>
      <c r="I46" s="59">
        <f t="shared" si="0"/>
        <v>1431614.31</v>
      </c>
      <c r="J46" s="60"/>
    </row>
    <row r="47" spans="1:10" x14ac:dyDescent="0.2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6" t="s">
        <v>59</v>
      </c>
      <c r="G47" s="64">
        <f>+'OCTUBRE '!G47+NOVIEMBRE!G47+'DICIEMBRE 2025'!G47</f>
        <v>0</v>
      </c>
      <c r="H47" s="64">
        <f>+'OCTUBRE '!H47+NOVIEMBRE!H47+'DICIEMBRE 2025'!H47</f>
        <v>0</v>
      </c>
      <c r="I47" s="64">
        <f t="shared" si="0"/>
        <v>0</v>
      </c>
      <c r="J47" s="65">
        <f>I47/$I$25</f>
        <v>0</v>
      </c>
    </row>
    <row r="48" spans="1:10" x14ac:dyDescent="0.2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6" t="s">
        <v>60</v>
      </c>
      <c r="G48" s="64">
        <f>+'OCTUBRE '!G48+NOVIEMBRE!G48+'DICIEMBRE 2025'!G48</f>
        <v>0</v>
      </c>
      <c r="H48" s="64">
        <f>+'OCTUBRE '!H48+NOVIEMBRE!H48+'DICIEMBRE 2025'!H48</f>
        <v>0</v>
      </c>
      <c r="I48" s="64">
        <f t="shared" si="0"/>
        <v>0</v>
      </c>
      <c r="J48" s="65">
        <f>I48/$I$25</f>
        <v>0</v>
      </c>
    </row>
    <row r="49" spans="1:10" x14ac:dyDescent="0.2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6" t="s">
        <v>61</v>
      </c>
      <c r="G49" s="64">
        <f>+'OCTUBRE '!G49+NOVIEMBRE!G49+'DICIEMBRE 2025'!G49</f>
        <v>609888</v>
      </c>
      <c r="H49" s="64">
        <f>+'OCTUBRE '!H49+NOVIEMBRE!H49+'DICIEMBRE 2025'!H49</f>
        <v>0</v>
      </c>
      <c r="I49" s="64">
        <f t="shared" si="0"/>
        <v>609888</v>
      </c>
      <c r="J49" s="65">
        <f>I49/$I$25</f>
        <v>1.2449949930233757E-3</v>
      </c>
    </row>
    <row r="50" spans="1:10" x14ac:dyDescent="0.2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6" t="s">
        <v>62</v>
      </c>
      <c r="G50" s="64">
        <f>+'OCTUBRE '!G50+NOVIEMBRE!G50+'DICIEMBRE 2025'!G50</f>
        <v>821726.30999999994</v>
      </c>
      <c r="H50" s="64">
        <f>+'OCTUBRE '!H50+NOVIEMBRE!H50+'DICIEMBRE 2025'!H50</f>
        <v>0</v>
      </c>
      <c r="I50" s="64">
        <f t="shared" si="0"/>
        <v>821726.30999999994</v>
      </c>
      <c r="J50" s="65">
        <f>I50/$I$25</f>
        <v>1.6774311702895844E-3</v>
      </c>
    </row>
    <row r="51" spans="1:10" x14ac:dyDescent="0.2">
      <c r="A51" s="54">
        <v>2</v>
      </c>
      <c r="B51" s="55">
        <v>1</v>
      </c>
      <c r="C51" s="55">
        <v>2</v>
      </c>
      <c r="D51" s="55"/>
      <c r="E51" s="55"/>
      <c r="F51" s="68" t="s">
        <v>63</v>
      </c>
      <c r="G51" s="56">
        <f>+'OCTUBRE '!G51+NOVIEMBRE!G51+'DICIEMBRE 2025'!G51</f>
        <v>17598749.969999999</v>
      </c>
      <c r="H51" s="56">
        <f>+'OCTUBRE '!H51+NOVIEMBRE!H51+'DICIEMBRE 2025'!H51</f>
        <v>0</v>
      </c>
      <c r="I51" s="56">
        <f t="shared" si="0"/>
        <v>17598749.969999999</v>
      </c>
      <c r="J51" s="53"/>
    </row>
    <row r="52" spans="1:10" x14ac:dyDescent="0.2">
      <c r="A52" s="57">
        <v>2</v>
      </c>
      <c r="B52" s="58">
        <v>1</v>
      </c>
      <c r="C52" s="58">
        <v>2</v>
      </c>
      <c r="D52" s="58">
        <v>1</v>
      </c>
      <c r="E52" s="58"/>
      <c r="F52" s="67" t="s">
        <v>64</v>
      </c>
      <c r="G52" s="59">
        <f>+'OCTUBRE '!G52+NOVIEMBRE!G52+'DICIEMBRE 2025'!G52</f>
        <v>8008140.9400000004</v>
      </c>
      <c r="H52" s="59">
        <f>+'OCTUBRE '!H52+NOVIEMBRE!H52+'DICIEMBRE 2025'!H52</f>
        <v>0</v>
      </c>
      <c r="I52" s="59">
        <f t="shared" si="0"/>
        <v>8008140.9400000004</v>
      </c>
      <c r="J52" s="60"/>
    </row>
    <row r="53" spans="1:10" x14ac:dyDescent="0.2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6" t="s">
        <v>64</v>
      </c>
      <c r="G53" s="64">
        <f>+'OCTUBRE '!G53+NOVIEMBRE!G53+'DICIEMBRE 2025'!G53</f>
        <v>8008140.9400000004</v>
      </c>
      <c r="H53" s="64">
        <f>+'OCTUBRE '!H53+NOVIEMBRE!H53+'DICIEMBRE 2025'!H53</f>
        <v>0</v>
      </c>
      <c r="I53" s="64">
        <f t="shared" si="0"/>
        <v>8008140.9400000004</v>
      </c>
      <c r="J53" s="65">
        <f>I53/$I$25</f>
        <v>1.634742013898537E-2</v>
      </c>
    </row>
    <row r="54" spans="1:10" x14ac:dyDescent="0.2">
      <c r="A54" s="57">
        <v>2</v>
      </c>
      <c r="B54" s="58">
        <v>1</v>
      </c>
      <c r="C54" s="58">
        <v>2</v>
      </c>
      <c r="D54" s="58">
        <v>2</v>
      </c>
      <c r="E54" s="58"/>
      <c r="F54" s="67" t="s">
        <v>65</v>
      </c>
      <c r="G54" s="59">
        <f>+'OCTUBRE '!G54+NOVIEMBRE!G54+'DICIEMBRE 2025'!G54</f>
        <v>9590609.0300000012</v>
      </c>
      <c r="H54" s="59">
        <f>+'OCTUBRE '!H54+NOVIEMBRE!H54+'DICIEMBRE 2025'!H54</f>
        <v>0</v>
      </c>
      <c r="I54" s="59">
        <f t="shared" si="0"/>
        <v>9590609.0300000012</v>
      </c>
      <c r="J54" s="60"/>
    </row>
    <row r="55" spans="1:10" x14ac:dyDescent="0.2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6" t="s">
        <v>66</v>
      </c>
      <c r="G55" s="64">
        <f>+'OCTUBRE '!G55+NOVIEMBRE!G55+'DICIEMBRE 2025'!G55</f>
        <v>0</v>
      </c>
      <c r="H55" s="64">
        <f>+'OCTUBRE '!H55+NOVIEMBRE!H55+'DICIEMBRE 2025'!H55</f>
        <v>0</v>
      </c>
      <c r="I55" s="64">
        <f t="shared" si="0"/>
        <v>0</v>
      </c>
      <c r="J55" s="65">
        <f t="shared" ref="J55:J63" si="3">I55/$I$25</f>
        <v>0</v>
      </c>
    </row>
    <row r="56" spans="1:10" x14ac:dyDescent="0.2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69" t="s">
        <v>67</v>
      </c>
      <c r="G56" s="64">
        <f>+'OCTUBRE '!G56+NOVIEMBRE!G56+'DICIEMBRE 2025'!G56</f>
        <v>0</v>
      </c>
      <c r="H56" s="64">
        <f>+'OCTUBRE '!H56+NOVIEMBRE!H56+'DICIEMBRE 2025'!H56</f>
        <v>0</v>
      </c>
      <c r="I56" s="64">
        <f t="shared" si="0"/>
        <v>0</v>
      </c>
      <c r="J56" s="65">
        <f t="shared" si="3"/>
        <v>0</v>
      </c>
    </row>
    <row r="57" spans="1:10" x14ac:dyDescent="0.2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6" t="s">
        <v>68</v>
      </c>
      <c r="G57" s="64">
        <f>+'OCTUBRE '!G57+NOVIEMBRE!G57+'DICIEMBRE 2025'!G57</f>
        <v>0</v>
      </c>
      <c r="H57" s="64">
        <f>+'OCTUBRE '!H57+NOVIEMBRE!H57+'DICIEMBRE 2025'!H57</f>
        <v>0</v>
      </c>
      <c r="I57" s="64">
        <f t="shared" si="0"/>
        <v>0</v>
      </c>
      <c r="J57" s="65">
        <f t="shared" si="3"/>
        <v>0</v>
      </c>
    </row>
    <row r="58" spans="1:10" x14ac:dyDescent="0.2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6" t="s">
        <v>69</v>
      </c>
      <c r="G58" s="64">
        <f>+'OCTUBRE '!G58+NOVIEMBRE!G58+'DICIEMBRE 2025'!G58</f>
        <v>195000</v>
      </c>
      <c r="H58" s="64">
        <f>+'OCTUBRE '!H58+NOVIEMBRE!H58+'DICIEMBRE 2025'!H58</f>
        <v>0</v>
      </c>
      <c r="I58" s="64">
        <f t="shared" si="0"/>
        <v>195000</v>
      </c>
      <c r="J58" s="65">
        <f t="shared" si="3"/>
        <v>3.980632897180437E-4</v>
      </c>
    </row>
    <row r="59" spans="1:10" x14ac:dyDescent="0.2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6" t="s">
        <v>70</v>
      </c>
      <c r="G59" s="64">
        <f>+'OCTUBRE '!G59+NOVIEMBRE!G59+'DICIEMBRE 2025'!G59</f>
        <v>0</v>
      </c>
      <c r="H59" s="64">
        <f>+'OCTUBRE '!H59+NOVIEMBRE!H59+'DICIEMBRE 2025'!H59</f>
        <v>0</v>
      </c>
      <c r="I59" s="64">
        <f t="shared" si="0"/>
        <v>0</v>
      </c>
      <c r="J59" s="65">
        <f t="shared" si="3"/>
        <v>0</v>
      </c>
    </row>
    <row r="60" spans="1:10" x14ac:dyDescent="0.2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6" t="s">
        <v>72</v>
      </c>
      <c r="G60" s="64">
        <f>+'OCTUBRE '!G60+NOVIEMBRE!G60+'DICIEMBRE 2025'!G60</f>
        <v>0</v>
      </c>
      <c r="H60" s="64">
        <f>+'OCTUBRE '!H60+NOVIEMBRE!H60+'DICIEMBRE 2025'!H60</f>
        <v>0</v>
      </c>
      <c r="I60" s="64">
        <f t="shared" si="0"/>
        <v>0</v>
      </c>
      <c r="J60" s="65">
        <f t="shared" si="3"/>
        <v>0</v>
      </c>
    </row>
    <row r="61" spans="1:10" x14ac:dyDescent="0.2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6" t="s">
        <v>73</v>
      </c>
      <c r="G61" s="64">
        <f>+'OCTUBRE '!G61+NOVIEMBRE!G61+'DICIEMBRE 2025'!G61</f>
        <v>897000</v>
      </c>
      <c r="H61" s="64">
        <f>+'OCTUBRE '!H61+NOVIEMBRE!H61+'DICIEMBRE 2025'!H61</f>
        <v>0</v>
      </c>
      <c r="I61" s="64">
        <f t="shared" si="0"/>
        <v>897000</v>
      </c>
      <c r="J61" s="65">
        <f t="shared" si="3"/>
        <v>1.8310911327030011E-3</v>
      </c>
    </row>
    <row r="62" spans="1:10" x14ac:dyDescent="0.2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6" t="s">
        <v>74</v>
      </c>
      <c r="G62" s="64">
        <f>+'OCTUBRE '!G62+NOVIEMBRE!G62+'DICIEMBRE 2025'!G62</f>
        <v>0</v>
      </c>
      <c r="H62" s="64">
        <f>+'OCTUBRE '!H62+NOVIEMBRE!H62+'DICIEMBRE 2025'!H62</f>
        <v>0</v>
      </c>
      <c r="I62" s="64">
        <f t="shared" si="0"/>
        <v>0</v>
      </c>
      <c r="J62" s="65">
        <f t="shared" si="3"/>
        <v>0</v>
      </c>
    </row>
    <row r="63" spans="1:10" x14ac:dyDescent="0.2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69" t="s">
        <v>75</v>
      </c>
      <c r="G63" s="64">
        <f>+'OCTUBRE '!G63+NOVIEMBRE!G63+'DICIEMBRE 2025'!G63</f>
        <v>8498609.0300000012</v>
      </c>
      <c r="H63" s="64">
        <f>+'OCTUBRE '!H63+NOVIEMBRE!H63+'DICIEMBRE 2025'!H63</f>
        <v>0</v>
      </c>
      <c r="I63" s="64">
        <f t="shared" si="0"/>
        <v>8498609.0300000012</v>
      </c>
      <c r="J63" s="65">
        <f t="shared" si="3"/>
        <v>1.7348637274406529E-2</v>
      </c>
    </row>
    <row r="64" spans="1:10" x14ac:dyDescent="0.2">
      <c r="A64" s="70">
        <v>2</v>
      </c>
      <c r="B64" s="55">
        <v>1</v>
      </c>
      <c r="C64" s="55">
        <v>3</v>
      </c>
      <c r="D64" s="55"/>
      <c r="E64" s="55"/>
      <c r="F64" s="71" t="s">
        <v>76</v>
      </c>
      <c r="G64" s="56">
        <f>+'OCTUBRE '!G64+NOVIEMBRE!G64+'DICIEMBRE 2025'!G64</f>
        <v>0</v>
      </c>
      <c r="H64" s="56">
        <f>+'OCTUBRE '!H64+NOVIEMBRE!H64+'DICIEMBRE 2025'!H64</f>
        <v>0</v>
      </c>
      <c r="I64" s="56">
        <f t="shared" si="0"/>
        <v>0</v>
      </c>
      <c r="J64" s="53"/>
    </row>
    <row r="65" spans="1:10" x14ac:dyDescent="0.2">
      <c r="A65" s="72">
        <v>2</v>
      </c>
      <c r="B65" s="58">
        <v>1</v>
      </c>
      <c r="C65" s="58">
        <v>3</v>
      </c>
      <c r="D65" s="58">
        <v>1</v>
      </c>
      <c r="E65" s="58"/>
      <c r="F65" s="73" t="s">
        <v>77</v>
      </c>
      <c r="G65" s="59">
        <f>+'OCTUBRE '!G65+NOVIEMBRE!G65+'DICIEMBRE 2025'!G65</f>
        <v>0</v>
      </c>
      <c r="H65" s="59">
        <f>+'OCTUBRE '!H65+NOVIEMBRE!H65+'DICIEMBRE 2025'!H65</f>
        <v>0</v>
      </c>
      <c r="I65" s="59">
        <f t="shared" si="0"/>
        <v>0</v>
      </c>
      <c r="J65" s="60"/>
    </row>
    <row r="66" spans="1:10" x14ac:dyDescent="0.2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5" t="s">
        <v>78</v>
      </c>
      <c r="G66" s="64">
        <f>+'OCTUBRE '!G66+NOVIEMBRE!G66+'DICIEMBRE 2025'!G66</f>
        <v>0</v>
      </c>
      <c r="H66" s="64">
        <f>+'OCTUBRE '!H66+NOVIEMBRE!H66+'DICIEMBRE 2025'!H66</f>
        <v>0</v>
      </c>
      <c r="I66" s="64">
        <f t="shared" si="0"/>
        <v>0</v>
      </c>
      <c r="J66" s="65">
        <f>I66/$I$25</f>
        <v>0</v>
      </c>
    </row>
    <row r="67" spans="1:10" x14ac:dyDescent="0.2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5" t="s">
        <v>79</v>
      </c>
      <c r="G67" s="64">
        <f>+'OCTUBRE '!G67+NOVIEMBRE!G67+'DICIEMBRE 2025'!G67</f>
        <v>0</v>
      </c>
      <c r="H67" s="64">
        <f>+'OCTUBRE '!H67+NOVIEMBRE!H67+'DICIEMBRE 2025'!H67</f>
        <v>0</v>
      </c>
      <c r="I67" s="64">
        <f t="shared" si="0"/>
        <v>0</v>
      </c>
      <c r="J67" s="65">
        <f>I67/$I$25</f>
        <v>0</v>
      </c>
    </row>
    <row r="68" spans="1:10" x14ac:dyDescent="0.2">
      <c r="A68" s="72">
        <v>2</v>
      </c>
      <c r="B68" s="58">
        <v>1</v>
      </c>
      <c r="C68" s="58">
        <v>3</v>
      </c>
      <c r="D68" s="58">
        <v>2</v>
      </c>
      <c r="E68" s="58"/>
      <c r="F68" s="73" t="s">
        <v>80</v>
      </c>
      <c r="G68" s="59">
        <f>+'OCTUBRE '!G68+NOVIEMBRE!G68+'DICIEMBRE 2025'!G68</f>
        <v>0</v>
      </c>
      <c r="H68" s="59">
        <f>+'OCTUBRE '!H68+NOVIEMBRE!H68+'DICIEMBRE 2025'!H68</f>
        <v>0</v>
      </c>
      <c r="I68" s="59">
        <f t="shared" si="0"/>
        <v>0</v>
      </c>
      <c r="J68" s="60"/>
    </row>
    <row r="69" spans="1:10" x14ac:dyDescent="0.2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5" t="s">
        <v>81</v>
      </c>
      <c r="G69" s="64">
        <f>+'OCTUBRE '!G69+NOVIEMBRE!G69+'DICIEMBRE 2025'!G69</f>
        <v>0</v>
      </c>
      <c r="H69" s="64">
        <f>+'OCTUBRE '!H69+NOVIEMBRE!H69+'DICIEMBRE 2025'!H69</f>
        <v>0</v>
      </c>
      <c r="I69" s="64">
        <f t="shared" si="0"/>
        <v>0</v>
      </c>
      <c r="J69" s="65">
        <f>I69/$I$25</f>
        <v>0</v>
      </c>
    </row>
    <row r="70" spans="1:10" x14ac:dyDescent="0.2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5" t="s">
        <v>82</v>
      </c>
      <c r="G70" s="64">
        <f>+'OCTUBRE '!G70+NOVIEMBRE!G70+'DICIEMBRE 2025'!G70</f>
        <v>0</v>
      </c>
      <c r="H70" s="64">
        <f>+'OCTUBRE '!H70+NOVIEMBRE!H70+'DICIEMBRE 2025'!H70</f>
        <v>0</v>
      </c>
      <c r="I70" s="64">
        <f t="shared" si="0"/>
        <v>0</v>
      </c>
      <c r="J70" s="65">
        <f>I70/$I$25</f>
        <v>0</v>
      </c>
    </row>
    <row r="71" spans="1:10" x14ac:dyDescent="0.2">
      <c r="A71" s="70">
        <v>2</v>
      </c>
      <c r="B71" s="55">
        <v>1</v>
      </c>
      <c r="C71" s="55">
        <v>4</v>
      </c>
      <c r="D71" s="55"/>
      <c r="E71" s="55"/>
      <c r="F71" s="71" t="s">
        <v>83</v>
      </c>
      <c r="G71" s="56">
        <f>+'OCTUBRE '!G71+NOVIEMBRE!G71+'DICIEMBRE 2025'!G71</f>
        <v>0</v>
      </c>
      <c r="H71" s="56">
        <f>+'OCTUBRE '!H71+NOVIEMBRE!H71+'DICIEMBRE 2025'!H71</f>
        <v>0</v>
      </c>
      <c r="I71" s="56">
        <f t="shared" si="0"/>
        <v>0</v>
      </c>
      <c r="J71" s="53"/>
    </row>
    <row r="72" spans="1:10" x14ac:dyDescent="0.2">
      <c r="A72" s="57">
        <v>2</v>
      </c>
      <c r="B72" s="58">
        <v>1</v>
      </c>
      <c r="C72" s="58">
        <v>4</v>
      </c>
      <c r="D72" s="58">
        <v>1</v>
      </c>
      <c r="E72" s="58"/>
      <c r="F72" s="67" t="s">
        <v>84</v>
      </c>
      <c r="G72" s="59">
        <f>+'OCTUBRE '!G72+NOVIEMBRE!G72+'DICIEMBRE 2025'!G72</f>
        <v>0</v>
      </c>
      <c r="H72" s="59">
        <f>+'OCTUBRE '!H72+NOVIEMBRE!H72+'DICIEMBRE 2025'!H72</f>
        <v>0</v>
      </c>
      <c r="I72" s="59">
        <f t="shared" si="0"/>
        <v>0</v>
      </c>
      <c r="J72" s="60"/>
    </row>
    <row r="73" spans="1:10" x14ac:dyDescent="0.2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6" t="s">
        <v>84</v>
      </c>
      <c r="G73" s="64">
        <f>+'OCTUBRE '!G73+NOVIEMBRE!G73+'DICIEMBRE 2025'!G73</f>
        <v>0</v>
      </c>
      <c r="H73" s="64">
        <f>+'OCTUBRE '!H73+NOVIEMBRE!H73+'DICIEMBRE 2025'!H73</f>
        <v>0</v>
      </c>
      <c r="I73" s="64">
        <f t="shared" si="0"/>
        <v>0</v>
      </c>
      <c r="J73" s="65">
        <f>I73/$I$25</f>
        <v>0</v>
      </c>
    </row>
    <row r="74" spans="1:10" x14ac:dyDescent="0.2">
      <c r="A74" s="57">
        <v>2</v>
      </c>
      <c r="B74" s="58">
        <v>1</v>
      </c>
      <c r="C74" s="58">
        <v>4</v>
      </c>
      <c r="D74" s="58">
        <v>2</v>
      </c>
      <c r="E74" s="58"/>
      <c r="F74" s="67" t="s">
        <v>85</v>
      </c>
      <c r="G74" s="59">
        <f>+'OCTUBRE '!G74+NOVIEMBRE!G74+'DICIEMBRE 2025'!G74</f>
        <v>0</v>
      </c>
      <c r="H74" s="59">
        <f>+'OCTUBRE '!H74+NOVIEMBRE!H74+'DICIEMBRE 2025'!H74</f>
        <v>0</v>
      </c>
      <c r="I74" s="59">
        <f t="shared" si="0"/>
        <v>0</v>
      </c>
      <c r="J74" s="60"/>
    </row>
    <row r="75" spans="1:10" x14ac:dyDescent="0.2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6" t="s">
        <v>86</v>
      </c>
      <c r="G75" s="64">
        <f>+'OCTUBRE '!G75+NOVIEMBRE!G75+'DICIEMBRE 2025'!G75</f>
        <v>0</v>
      </c>
      <c r="H75" s="64">
        <f>+'OCTUBRE '!H75+NOVIEMBRE!H75+'DICIEMBRE 2025'!H75</f>
        <v>0</v>
      </c>
      <c r="I75" s="64">
        <f t="shared" si="0"/>
        <v>0</v>
      </c>
      <c r="J75" s="65">
        <f>I75/$I$25</f>
        <v>0</v>
      </c>
    </row>
    <row r="76" spans="1:10" x14ac:dyDescent="0.2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6" t="s">
        <v>87</v>
      </c>
      <c r="G76" s="64">
        <f>+'OCTUBRE '!G76+NOVIEMBRE!G76+'DICIEMBRE 2025'!G76</f>
        <v>0</v>
      </c>
      <c r="H76" s="64">
        <f>+'OCTUBRE '!H76+NOVIEMBRE!H76+'DICIEMBRE 2025'!H76</f>
        <v>0</v>
      </c>
      <c r="I76" s="64">
        <f t="shared" si="0"/>
        <v>0</v>
      </c>
      <c r="J76" s="65">
        <f>I76/$I$25</f>
        <v>0</v>
      </c>
    </row>
    <row r="77" spans="1:10" x14ac:dyDescent="0.2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6" t="s">
        <v>88</v>
      </c>
      <c r="G77" s="64">
        <f>+'OCTUBRE '!G77+NOVIEMBRE!G77+'DICIEMBRE 2025'!G77</f>
        <v>0</v>
      </c>
      <c r="H77" s="64">
        <f>+'OCTUBRE '!H77+NOVIEMBRE!H77+'DICIEMBRE 2025'!H77</f>
        <v>0</v>
      </c>
      <c r="I77" s="64">
        <f t="shared" si="0"/>
        <v>0</v>
      </c>
      <c r="J77" s="65">
        <f>I77/$I$25</f>
        <v>0</v>
      </c>
    </row>
    <row r="78" spans="1:10" x14ac:dyDescent="0.2">
      <c r="A78" s="70">
        <v>2</v>
      </c>
      <c r="B78" s="55">
        <v>1</v>
      </c>
      <c r="C78" s="55">
        <v>5</v>
      </c>
      <c r="D78" s="55"/>
      <c r="E78" s="55"/>
      <c r="F78" s="71" t="s">
        <v>89</v>
      </c>
      <c r="G78" s="56">
        <f>+'OCTUBRE '!G78+NOVIEMBRE!G78+'DICIEMBRE 2025'!G78</f>
        <v>27898191.640000001</v>
      </c>
      <c r="H78" s="56">
        <f>+'OCTUBRE '!H78+NOVIEMBRE!H78+'DICIEMBRE 2025'!H78</f>
        <v>0</v>
      </c>
      <c r="I78" s="56">
        <f t="shared" si="0"/>
        <v>27898191.640000001</v>
      </c>
      <c r="J78" s="53"/>
    </row>
    <row r="79" spans="1:10" x14ac:dyDescent="0.2">
      <c r="A79" s="57">
        <v>2</v>
      </c>
      <c r="B79" s="58">
        <v>1</v>
      </c>
      <c r="C79" s="58">
        <v>5</v>
      </c>
      <c r="D79" s="58">
        <v>1</v>
      </c>
      <c r="E79" s="58"/>
      <c r="F79" s="67" t="s">
        <v>90</v>
      </c>
      <c r="G79" s="59">
        <f>+'OCTUBRE '!G79+NOVIEMBRE!G79+'DICIEMBRE 2025'!G79</f>
        <v>12854587.77</v>
      </c>
      <c r="H79" s="59">
        <f>+'OCTUBRE '!H79+NOVIEMBRE!H79+'DICIEMBRE 2025'!H79</f>
        <v>0</v>
      </c>
      <c r="I79" s="59">
        <f t="shared" si="0"/>
        <v>12854587.77</v>
      </c>
      <c r="J79" s="60"/>
    </row>
    <row r="80" spans="1:10" x14ac:dyDescent="0.2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6" t="s">
        <v>90</v>
      </c>
      <c r="G80" s="64">
        <f>+'OCTUBRE '!G80+NOVIEMBRE!G80+'DICIEMBRE 2025'!G80</f>
        <v>12854587.77</v>
      </c>
      <c r="H80" s="64">
        <f>+'OCTUBRE '!H80+NOVIEMBRE!H80+'DICIEMBRE 2025'!H80</f>
        <v>0</v>
      </c>
      <c r="I80" s="64">
        <f t="shared" si="0"/>
        <v>12854587.77</v>
      </c>
      <c r="J80" s="65">
        <f>I80/$I$25</f>
        <v>2.6240715362541186E-2</v>
      </c>
    </row>
    <row r="81" spans="1:10" x14ac:dyDescent="0.2">
      <c r="A81" s="57">
        <v>2</v>
      </c>
      <c r="B81" s="58">
        <v>1</v>
      </c>
      <c r="C81" s="58">
        <v>5</v>
      </c>
      <c r="D81" s="58">
        <v>2</v>
      </c>
      <c r="E81" s="58"/>
      <c r="F81" s="67" t="s">
        <v>91</v>
      </c>
      <c r="G81" s="59">
        <f>+'OCTUBRE '!G81+NOVIEMBRE!G81+'DICIEMBRE 2025'!G81</f>
        <v>12872452.41</v>
      </c>
      <c r="H81" s="59">
        <f>+'OCTUBRE '!H81+NOVIEMBRE!H81+'DICIEMBRE 2025'!H81</f>
        <v>0</v>
      </c>
      <c r="I81" s="59">
        <f t="shared" si="0"/>
        <v>12872452.41</v>
      </c>
      <c r="J81" s="60"/>
    </row>
    <row r="82" spans="1:10" x14ac:dyDescent="0.2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6" t="s">
        <v>91</v>
      </c>
      <c r="G82" s="64">
        <f>+'OCTUBRE '!G82+NOVIEMBRE!G82+'DICIEMBRE 2025'!G82</f>
        <v>12872452.41</v>
      </c>
      <c r="H82" s="64">
        <f>+'OCTUBRE '!H82+NOVIEMBRE!H82+'DICIEMBRE 2025'!H82</f>
        <v>0</v>
      </c>
      <c r="I82" s="64">
        <f t="shared" si="0"/>
        <v>12872452.41</v>
      </c>
      <c r="J82" s="65">
        <f>I82/$I$25</f>
        <v>2.6277183349043897E-2</v>
      </c>
    </row>
    <row r="83" spans="1:10" x14ac:dyDescent="0.2">
      <c r="A83" s="57">
        <v>2</v>
      </c>
      <c r="B83" s="58">
        <v>1</v>
      </c>
      <c r="C83" s="58">
        <v>5</v>
      </c>
      <c r="D83" s="58">
        <v>3</v>
      </c>
      <c r="E83" s="58"/>
      <c r="F83" s="67" t="s">
        <v>92</v>
      </c>
      <c r="G83" s="59">
        <f>+'OCTUBRE '!G83+NOVIEMBRE!G83+'DICIEMBRE 2025'!G83</f>
        <v>2171151.46</v>
      </c>
      <c r="H83" s="59">
        <f>+'OCTUBRE '!H83+NOVIEMBRE!H83+'DICIEMBRE 2025'!H83</f>
        <v>0</v>
      </c>
      <c r="I83" s="59">
        <f t="shared" si="0"/>
        <v>2171151.46</v>
      </c>
      <c r="J83" s="60"/>
    </row>
    <row r="84" spans="1:10" x14ac:dyDescent="0.2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6" t="s">
        <v>92</v>
      </c>
      <c r="G84" s="64">
        <f>+'OCTUBRE '!G84+NOVIEMBRE!G84+'DICIEMBRE 2025'!G84</f>
        <v>2171151.46</v>
      </c>
      <c r="H84" s="64">
        <f>+'OCTUBRE '!H84+NOVIEMBRE!H84+'DICIEMBRE 2025'!H84</f>
        <v>0</v>
      </c>
      <c r="I84" s="64">
        <f t="shared" si="0"/>
        <v>2171151.46</v>
      </c>
      <c r="J84" s="65">
        <f>I84/$I$25</f>
        <v>4.4320804750960698E-3</v>
      </c>
    </row>
    <row r="85" spans="1:10" x14ac:dyDescent="0.2">
      <c r="A85" s="57">
        <v>2</v>
      </c>
      <c r="B85" s="58">
        <v>1</v>
      </c>
      <c r="C85" s="58">
        <v>5</v>
      </c>
      <c r="D85" s="58">
        <v>4</v>
      </c>
      <c r="E85" s="58"/>
      <c r="F85" s="67" t="s">
        <v>93</v>
      </c>
      <c r="G85" s="59">
        <f>+'OCTUBRE '!G85+NOVIEMBRE!G85+'DICIEMBRE 2025'!G85</f>
        <v>0</v>
      </c>
      <c r="H85" s="59">
        <f>+'OCTUBRE '!H85+NOVIEMBRE!H85+'DICIEMBRE 2025'!H85</f>
        <v>0</v>
      </c>
      <c r="I85" s="59">
        <f t="shared" si="0"/>
        <v>0</v>
      </c>
      <c r="J85" s="60"/>
    </row>
    <row r="86" spans="1:10" x14ac:dyDescent="0.2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6" t="s">
        <v>93</v>
      </c>
      <c r="G86" s="64">
        <f>+'OCTUBRE '!G86+NOVIEMBRE!G86+'DICIEMBRE 2025'!G86</f>
        <v>0</v>
      </c>
      <c r="H86" s="64">
        <f>+'OCTUBRE '!H86+NOVIEMBRE!H86+'DICIEMBRE 2025'!H86</f>
        <v>0</v>
      </c>
      <c r="I86" s="64">
        <f t="shared" si="0"/>
        <v>0</v>
      </c>
      <c r="J86" s="65">
        <f>I86/$I$25</f>
        <v>0</v>
      </c>
    </row>
    <row r="87" spans="1:10" x14ac:dyDescent="0.2">
      <c r="A87" s="70">
        <v>2</v>
      </c>
      <c r="B87" s="76">
        <v>2</v>
      </c>
      <c r="C87" s="55"/>
      <c r="D87" s="55"/>
      <c r="E87" s="55"/>
      <c r="F87" s="71" t="s">
        <v>94</v>
      </c>
      <c r="G87" s="56">
        <f>+'OCTUBRE '!G87+NOVIEMBRE!G87+'DICIEMBRE 2025'!G87</f>
        <v>16306951.59</v>
      </c>
      <c r="H87" s="56">
        <f>+'OCTUBRE '!H87+NOVIEMBRE!H87+'DICIEMBRE 2025'!H87</f>
        <v>11649816.859999999</v>
      </c>
      <c r="I87" s="56">
        <f t="shared" si="0"/>
        <v>27956768.449999999</v>
      </c>
      <c r="J87" s="53">
        <f>I87/$I$25</f>
        <v>5.7069554969705706E-2</v>
      </c>
    </row>
    <row r="88" spans="1:10" x14ac:dyDescent="0.2">
      <c r="A88" s="70">
        <v>2</v>
      </c>
      <c r="B88" s="55">
        <v>2</v>
      </c>
      <c r="C88" s="55">
        <v>1</v>
      </c>
      <c r="D88" s="55"/>
      <c r="E88" s="55"/>
      <c r="F88" s="71" t="s">
        <v>95</v>
      </c>
      <c r="G88" s="56">
        <f>+'OCTUBRE '!G88+NOVIEMBRE!G88+'DICIEMBRE 2025'!G88</f>
        <v>332805</v>
      </c>
      <c r="H88" s="56">
        <f>+'OCTUBRE '!H88+NOVIEMBRE!H88+'DICIEMBRE 2025'!H88</f>
        <v>3591616</v>
      </c>
      <c r="I88" s="56">
        <f t="shared" si="0"/>
        <v>3924421</v>
      </c>
      <c r="J88" s="53"/>
    </row>
    <row r="89" spans="1:10" x14ac:dyDescent="0.2">
      <c r="A89" s="72">
        <v>2</v>
      </c>
      <c r="B89" s="58">
        <v>2</v>
      </c>
      <c r="C89" s="58">
        <v>1</v>
      </c>
      <c r="D89" s="58">
        <v>1</v>
      </c>
      <c r="E89" s="58"/>
      <c r="F89" s="73" t="s">
        <v>96</v>
      </c>
      <c r="G89" s="59">
        <f>+'OCTUBRE '!G89+NOVIEMBRE!G89+'DICIEMBRE 2025'!G89</f>
        <v>0</v>
      </c>
      <c r="H89" s="59">
        <f>+'OCTUBRE '!H89+NOVIEMBRE!H89+'DICIEMBRE 2025'!H89</f>
        <v>0</v>
      </c>
      <c r="I89" s="59">
        <f t="shared" ref="I89:I152" si="4">SUM(G89:H89)</f>
        <v>0</v>
      </c>
      <c r="J89" s="60"/>
    </row>
    <row r="90" spans="1:10" x14ac:dyDescent="0.2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5" t="s">
        <v>96</v>
      </c>
      <c r="G90" s="64">
        <f>+'OCTUBRE '!G90+NOVIEMBRE!G90+'DICIEMBRE 2025'!G90</f>
        <v>0</v>
      </c>
      <c r="H90" s="64">
        <f>+'OCTUBRE '!H90+NOVIEMBRE!H90+'DICIEMBRE 2025'!H90</f>
        <v>0</v>
      </c>
      <c r="I90" s="64">
        <f t="shared" si="4"/>
        <v>0</v>
      </c>
      <c r="J90" s="65">
        <f>I90/$I$25</f>
        <v>0</v>
      </c>
    </row>
    <row r="91" spans="1:10" x14ac:dyDescent="0.2">
      <c r="A91" s="72">
        <v>2</v>
      </c>
      <c r="B91" s="58">
        <v>2</v>
      </c>
      <c r="C91" s="58">
        <v>1</v>
      </c>
      <c r="D91" s="58">
        <v>2</v>
      </c>
      <c r="E91" s="58"/>
      <c r="F91" s="73" t="s">
        <v>97</v>
      </c>
      <c r="G91" s="59">
        <f>+'OCTUBRE '!G91+NOVIEMBRE!G91+'DICIEMBRE 2025'!G91</f>
        <v>0</v>
      </c>
      <c r="H91" s="59">
        <f>+'OCTUBRE '!H91+NOVIEMBRE!H91+'DICIEMBRE 2025'!H91</f>
        <v>0</v>
      </c>
      <c r="I91" s="59">
        <f t="shared" si="4"/>
        <v>0</v>
      </c>
      <c r="J91" s="60"/>
    </row>
    <row r="92" spans="1:10" x14ac:dyDescent="0.2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5" t="s">
        <v>97</v>
      </c>
      <c r="G92" s="64">
        <f>+'OCTUBRE '!G92+NOVIEMBRE!G92+'DICIEMBRE 2025'!G92</f>
        <v>0</v>
      </c>
      <c r="H92" s="64">
        <f>+'OCTUBRE '!H92+NOVIEMBRE!H92+'DICIEMBRE 2025'!H92</f>
        <v>0</v>
      </c>
      <c r="I92" s="64">
        <f t="shared" si="4"/>
        <v>0</v>
      </c>
      <c r="J92" s="65">
        <f>I92/$I$25</f>
        <v>0</v>
      </c>
    </row>
    <row r="93" spans="1:10" x14ac:dyDescent="0.2">
      <c r="A93" s="72">
        <v>2</v>
      </c>
      <c r="B93" s="58">
        <v>2</v>
      </c>
      <c r="C93" s="58">
        <v>1</v>
      </c>
      <c r="D93" s="58">
        <v>3</v>
      </c>
      <c r="E93" s="58"/>
      <c r="F93" s="73" t="s">
        <v>98</v>
      </c>
      <c r="G93" s="59">
        <f>+'OCTUBRE '!G93+NOVIEMBRE!G93+'DICIEMBRE 2025'!G93</f>
        <v>0</v>
      </c>
      <c r="H93" s="59">
        <f>+'OCTUBRE '!H93+NOVIEMBRE!H93+'DICIEMBRE 2025'!H93</f>
        <v>636616</v>
      </c>
      <c r="I93" s="59">
        <f t="shared" si="4"/>
        <v>636616</v>
      </c>
      <c r="J93" s="60"/>
    </row>
    <row r="94" spans="1:10" x14ac:dyDescent="0.2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5" t="s">
        <v>98</v>
      </c>
      <c r="G94" s="64">
        <f>+'OCTUBRE '!G94+NOVIEMBRE!G94+'DICIEMBRE 2025'!G94</f>
        <v>0</v>
      </c>
      <c r="H94" s="64">
        <f>+'OCTUBRE '!H94+NOVIEMBRE!H94+'DICIEMBRE 2025'!H94</f>
        <v>636616</v>
      </c>
      <c r="I94" s="64">
        <f t="shared" si="4"/>
        <v>636616</v>
      </c>
      <c r="J94" s="65">
        <f>I94/$I$25</f>
        <v>1.2995562012673954E-3</v>
      </c>
    </row>
    <row r="95" spans="1:10" x14ac:dyDescent="0.2">
      <c r="A95" s="72">
        <v>2</v>
      </c>
      <c r="B95" s="58">
        <v>2</v>
      </c>
      <c r="C95" s="58">
        <v>1</v>
      </c>
      <c r="D95" s="58">
        <v>4</v>
      </c>
      <c r="E95" s="58"/>
      <c r="F95" s="73" t="s">
        <v>99</v>
      </c>
      <c r="G95" s="59">
        <f>+'OCTUBRE '!G95+NOVIEMBRE!G95+'DICIEMBRE 2025'!G95</f>
        <v>0</v>
      </c>
      <c r="H95" s="59">
        <f>+'OCTUBRE '!H95+NOVIEMBRE!H95+'DICIEMBRE 2025'!H95</f>
        <v>0</v>
      </c>
      <c r="I95" s="59">
        <f t="shared" si="4"/>
        <v>0</v>
      </c>
      <c r="J95" s="60"/>
    </row>
    <row r="96" spans="1:10" x14ac:dyDescent="0.2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5" t="s">
        <v>99</v>
      </c>
      <c r="G96" s="64">
        <f>+'OCTUBRE '!G96+NOVIEMBRE!G96+'DICIEMBRE 2025'!G96</f>
        <v>0</v>
      </c>
      <c r="H96" s="64">
        <f>+'OCTUBRE '!H96+NOVIEMBRE!H96+'DICIEMBRE 2025'!H96</f>
        <v>0</v>
      </c>
      <c r="I96" s="64">
        <f t="shared" si="4"/>
        <v>0</v>
      </c>
      <c r="J96" s="65">
        <f>I96/$I$25</f>
        <v>0</v>
      </c>
    </row>
    <row r="97" spans="1:10" x14ac:dyDescent="0.2">
      <c r="A97" s="72">
        <v>2</v>
      </c>
      <c r="B97" s="58">
        <v>2</v>
      </c>
      <c r="C97" s="58">
        <v>1</v>
      </c>
      <c r="D97" s="58">
        <v>5</v>
      </c>
      <c r="E97" s="58"/>
      <c r="F97" s="73" t="s">
        <v>100</v>
      </c>
      <c r="G97" s="59">
        <f>+'OCTUBRE '!G97+NOVIEMBRE!G97+'DICIEMBRE 2025'!G97</f>
        <v>0</v>
      </c>
      <c r="H97" s="59">
        <f>+'OCTUBRE '!H97+NOVIEMBRE!H97+'DICIEMBRE 2025'!H97</f>
        <v>0</v>
      </c>
      <c r="I97" s="59">
        <f t="shared" si="4"/>
        <v>0</v>
      </c>
      <c r="J97" s="60"/>
    </row>
    <row r="98" spans="1:10" x14ac:dyDescent="0.2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5" t="s">
        <v>100</v>
      </c>
      <c r="G98" s="64">
        <f>+'OCTUBRE '!G98+NOVIEMBRE!G98+'DICIEMBRE 2025'!G98</f>
        <v>0</v>
      </c>
      <c r="H98" s="64">
        <f>+'OCTUBRE '!H98+NOVIEMBRE!H98+'DICIEMBRE 2025'!H98</f>
        <v>0</v>
      </c>
      <c r="I98" s="64">
        <f t="shared" si="4"/>
        <v>0</v>
      </c>
      <c r="J98" s="65">
        <f>I98/$I$25</f>
        <v>0</v>
      </c>
    </row>
    <row r="99" spans="1:10" x14ac:dyDescent="0.2">
      <c r="A99" s="72">
        <v>2</v>
      </c>
      <c r="B99" s="58">
        <v>2</v>
      </c>
      <c r="C99" s="58">
        <v>1</v>
      </c>
      <c r="D99" s="58">
        <v>6</v>
      </c>
      <c r="E99" s="58"/>
      <c r="F99" s="73" t="s">
        <v>101</v>
      </c>
      <c r="G99" s="59">
        <f>+'OCTUBRE '!G99+NOVIEMBRE!G99+'DICIEMBRE 2025'!G99</f>
        <v>0</v>
      </c>
      <c r="H99" s="59">
        <f>+'OCTUBRE '!H99+NOVIEMBRE!H99+'DICIEMBRE 2025'!H99</f>
        <v>0</v>
      </c>
      <c r="I99" s="59">
        <f t="shared" si="4"/>
        <v>0</v>
      </c>
      <c r="J99" s="60"/>
    </row>
    <row r="100" spans="1:10" x14ac:dyDescent="0.2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5" t="s">
        <v>102</v>
      </c>
      <c r="G100" s="64">
        <f>+'OCTUBRE '!G100+NOVIEMBRE!G100+'DICIEMBRE 2025'!G100</f>
        <v>0</v>
      </c>
      <c r="H100" s="64">
        <f>+'OCTUBRE '!H100+NOVIEMBRE!H100+'DICIEMBRE 2025'!H100</f>
        <v>0</v>
      </c>
      <c r="I100" s="64">
        <f t="shared" si="4"/>
        <v>0</v>
      </c>
      <c r="J100" s="65">
        <f>I100/$I$25</f>
        <v>0</v>
      </c>
    </row>
    <row r="101" spans="1:10" x14ac:dyDescent="0.2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5" t="s">
        <v>103</v>
      </c>
      <c r="G101" s="64">
        <f>+'OCTUBRE '!G101+NOVIEMBRE!G101+'DICIEMBRE 2025'!G101</f>
        <v>0</v>
      </c>
      <c r="H101" s="64">
        <f>+'OCTUBRE '!H101+NOVIEMBRE!H101+'DICIEMBRE 2025'!H101</f>
        <v>0</v>
      </c>
      <c r="I101" s="64">
        <f t="shared" si="4"/>
        <v>0</v>
      </c>
      <c r="J101" s="65">
        <f>I101/$I$25</f>
        <v>0</v>
      </c>
    </row>
    <row r="102" spans="1:10" x14ac:dyDescent="0.2">
      <c r="A102" s="72">
        <v>2</v>
      </c>
      <c r="B102" s="58">
        <v>2</v>
      </c>
      <c r="C102" s="58">
        <v>1</v>
      </c>
      <c r="D102" s="58">
        <v>7</v>
      </c>
      <c r="E102" s="58"/>
      <c r="F102" s="73" t="s">
        <v>104</v>
      </c>
      <c r="G102" s="59">
        <f>+'OCTUBRE '!G102+NOVIEMBRE!G102+'DICIEMBRE 2025'!G102</f>
        <v>332805</v>
      </c>
      <c r="H102" s="59">
        <f>+'OCTUBRE '!H102+NOVIEMBRE!H102+'DICIEMBRE 2025'!H102</f>
        <v>0</v>
      </c>
      <c r="I102" s="59">
        <f t="shared" si="4"/>
        <v>332805</v>
      </c>
      <c r="J102" s="60"/>
    </row>
    <row r="103" spans="1:10" x14ac:dyDescent="0.2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5" t="s">
        <v>104</v>
      </c>
      <c r="G103" s="64">
        <f>+'OCTUBRE '!G103+NOVIEMBRE!G103+'DICIEMBRE 2025'!G103</f>
        <v>332805</v>
      </c>
      <c r="H103" s="64">
        <f>+'OCTUBRE '!H103+NOVIEMBRE!H103+'DICIEMBRE 2025'!H103</f>
        <v>0</v>
      </c>
      <c r="I103" s="64">
        <f t="shared" si="4"/>
        <v>332805</v>
      </c>
      <c r="J103" s="65">
        <f>I103/$I$25</f>
        <v>6.7937155453647968E-4</v>
      </c>
    </row>
    <row r="104" spans="1:10" x14ac:dyDescent="0.2">
      <c r="A104" s="72">
        <v>2</v>
      </c>
      <c r="B104" s="58">
        <v>2</v>
      </c>
      <c r="C104" s="58">
        <v>1</v>
      </c>
      <c r="D104" s="58">
        <v>8</v>
      </c>
      <c r="E104" s="58"/>
      <c r="F104" s="73" t="s">
        <v>105</v>
      </c>
      <c r="G104" s="59">
        <f>+'OCTUBRE '!G104+NOVIEMBRE!G104+'DICIEMBRE 2025'!G104</f>
        <v>0</v>
      </c>
      <c r="H104" s="59">
        <f>+'OCTUBRE '!H104+NOVIEMBRE!H104+'DICIEMBRE 2025'!H104</f>
        <v>2955000</v>
      </c>
      <c r="I104" s="59">
        <f t="shared" si="4"/>
        <v>2955000</v>
      </c>
      <c r="J104" s="60"/>
    </row>
    <row r="105" spans="1:10" x14ac:dyDescent="0.2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5" t="s">
        <v>105</v>
      </c>
      <c r="G105" s="64">
        <f>+'OCTUBRE '!G105+NOVIEMBRE!G105+'DICIEMBRE 2025'!G105</f>
        <v>0</v>
      </c>
      <c r="H105" s="64">
        <f>+'OCTUBRE '!H105+NOVIEMBRE!H105+'DICIEMBRE 2025'!H105</f>
        <v>2955000</v>
      </c>
      <c r="I105" s="64">
        <f t="shared" si="4"/>
        <v>2955000</v>
      </c>
      <c r="J105" s="65">
        <f>I105/$I$25</f>
        <v>6.0321898518811241E-3</v>
      </c>
    </row>
    <row r="106" spans="1:10" x14ac:dyDescent="0.2">
      <c r="A106" s="70">
        <v>2</v>
      </c>
      <c r="B106" s="55">
        <v>2</v>
      </c>
      <c r="C106" s="55">
        <v>2</v>
      </c>
      <c r="D106" s="55"/>
      <c r="E106" s="55"/>
      <c r="F106" s="71" t="s">
        <v>106</v>
      </c>
      <c r="G106" s="56">
        <f>+'OCTUBRE '!G106+NOVIEMBRE!G106+'DICIEMBRE 2025'!G106</f>
        <v>354216.65</v>
      </c>
      <c r="H106" s="56">
        <f>+'OCTUBRE '!H106+NOVIEMBRE!H106+'DICIEMBRE 2025'!H106</f>
        <v>775827.42</v>
      </c>
      <c r="I106" s="56">
        <f t="shared" si="4"/>
        <v>1130044.07</v>
      </c>
      <c r="J106" s="53"/>
    </row>
    <row r="107" spans="1:10" x14ac:dyDescent="0.2">
      <c r="A107" s="72">
        <v>2</v>
      </c>
      <c r="B107" s="58">
        <v>2</v>
      </c>
      <c r="C107" s="58">
        <v>2</v>
      </c>
      <c r="D107" s="58">
        <v>1</v>
      </c>
      <c r="E107" s="58"/>
      <c r="F107" s="73" t="s">
        <v>107</v>
      </c>
      <c r="G107" s="59">
        <f>+'OCTUBRE '!G107+NOVIEMBRE!G107+'DICIEMBRE 2025'!G107</f>
        <v>0</v>
      </c>
      <c r="H107" s="59">
        <f>+'OCTUBRE '!H107+NOVIEMBRE!H107+'DICIEMBRE 2025'!H107</f>
        <v>221258.85</v>
      </c>
      <c r="I107" s="59">
        <f t="shared" si="4"/>
        <v>221258.85</v>
      </c>
      <c r="J107" s="60"/>
    </row>
    <row r="108" spans="1:10" x14ac:dyDescent="0.2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5" t="s">
        <v>107</v>
      </c>
      <c r="G108" s="64">
        <f>+'OCTUBRE '!G108+NOVIEMBRE!G108+'DICIEMBRE 2025'!G108</f>
        <v>0</v>
      </c>
      <c r="H108" s="64">
        <f>+'OCTUBRE '!H108+NOVIEMBRE!H108+'DICIEMBRE 2025'!H108</f>
        <v>221258.85</v>
      </c>
      <c r="I108" s="64">
        <f t="shared" si="4"/>
        <v>221258.85</v>
      </c>
      <c r="J108" s="65">
        <f>I108/$I$25</f>
        <v>4.5166679851400604E-4</v>
      </c>
    </row>
    <row r="109" spans="1:10" x14ac:dyDescent="0.2">
      <c r="A109" s="72">
        <v>2</v>
      </c>
      <c r="B109" s="58">
        <v>2</v>
      </c>
      <c r="C109" s="58">
        <v>2</v>
      </c>
      <c r="D109" s="58">
        <v>2</v>
      </c>
      <c r="E109" s="58"/>
      <c r="F109" s="73" t="s">
        <v>108</v>
      </c>
      <c r="G109" s="59">
        <f>+'OCTUBRE '!G109+NOVIEMBRE!G109+'DICIEMBRE 2025'!G109</f>
        <v>354216.65</v>
      </c>
      <c r="H109" s="59">
        <f>+'OCTUBRE '!H109+NOVIEMBRE!H109+'DICIEMBRE 2025'!H109</f>
        <v>554568.57000000007</v>
      </c>
      <c r="I109" s="59">
        <f t="shared" si="4"/>
        <v>908785.22000000009</v>
      </c>
      <c r="J109" s="60"/>
    </row>
    <row r="110" spans="1:10" x14ac:dyDescent="0.2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5" t="s">
        <v>108</v>
      </c>
      <c r="G110" s="64">
        <f>+'OCTUBRE '!G110+NOVIEMBRE!G110+'DICIEMBRE 2025'!G110</f>
        <v>354216.65</v>
      </c>
      <c r="H110" s="64">
        <f>+'OCTUBRE '!H110+NOVIEMBRE!H110+'DICIEMBRE 2025'!H110</f>
        <v>554568.57000000007</v>
      </c>
      <c r="I110" s="64">
        <f t="shared" si="4"/>
        <v>908785.22000000009</v>
      </c>
      <c r="J110" s="65">
        <f>I110/$I$25</f>
        <v>1.8551488939504417E-3</v>
      </c>
    </row>
    <row r="111" spans="1:10" x14ac:dyDescent="0.2">
      <c r="A111" s="70">
        <v>2</v>
      </c>
      <c r="B111" s="55">
        <v>2</v>
      </c>
      <c r="C111" s="55">
        <v>3</v>
      </c>
      <c r="D111" s="55"/>
      <c r="E111" s="55"/>
      <c r="F111" s="71" t="s">
        <v>109</v>
      </c>
      <c r="G111" s="56">
        <f>+'OCTUBRE '!G111+NOVIEMBRE!G111+'DICIEMBRE 2025'!G111</f>
        <v>0</v>
      </c>
      <c r="H111" s="56">
        <f>+'OCTUBRE '!H111+NOVIEMBRE!H111+'DICIEMBRE 2025'!H111</f>
        <v>0</v>
      </c>
      <c r="I111" s="56">
        <f t="shared" si="4"/>
        <v>0</v>
      </c>
      <c r="J111" s="53"/>
    </row>
    <row r="112" spans="1:10" x14ac:dyDescent="0.2">
      <c r="A112" s="72">
        <v>2</v>
      </c>
      <c r="B112" s="58">
        <v>2</v>
      </c>
      <c r="C112" s="58">
        <v>3</v>
      </c>
      <c r="D112" s="58">
        <v>1</v>
      </c>
      <c r="E112" s="58"/>
      <c r="F112" s="73" t="s">
        <v>110</v>
      </c>
      <c r="G112" s="59">
        <f>+'OCTUBRE '!G112+NOVIEMBRE!G112+'DICIEMBRE 2025'!G112</f>
        <v>0</v>
      </c>
      <c r="H112" s="59">
        <f>+'OCTUBRE '!H112+NOVIEMBRE!H112+'DICIEMBRE 2025'!H112</f>
        <v>0</v>
      </c>
      <c r="I112" s="59">
        <f t="shared" si="4"/>
        <v>0</v>
      </c>
      <c r="J112" s="60"/>
    </row>
    <row r="113" spans="1:10" x14ac:dyDescent="0.2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5" t="s">
        <v>110</v>
      </c>
      <c r="G113" s="64">
        <f>+'OCTUBRE '!G113+NOVIEMBRE!G113+'DICIEMBRE 2025'!G113</f>
        <v>0</v>
      </c>
      <c r="H113" s="64">
        <f>+'OCTUBRE '!H113+NOVIEMBRE!H113+'DICIEMBRE 2025'!H113</f>
        <v>0</v>
      </c>
      <c r="I113" s="64">
        <f t="shared" si="4"/>
        <v>0</v>
      </c>
      <c r="J113" s="65">
        <f>I113/$I$25</f>
        <v>0</v>
      </c>
    </row>
    <row r="114" spans="1:10" x14ac:dyDescent="0.2">
      <c r="A114" s="72">
        <v>2</v>
      </c>
      <c r="B114" s="58">
        <v>2</v>
      </c>
      <c r="C114" s="58">
        <v>3</v>
      </c>
      <c r="D114" s="58">
        <v>2</v>
      </c>
      <c r="E114" s="58"/>
      <c r="F114" s="73" t="s">
        <v>111</v>
      </c>
      <c r="G114" s="59">
        <f>+'OCTUBRE '!G114+NOVIEMBRE!G114+'DICIEMBRE 2025'!G114</f>
        <v>0</v>
      </c>
      <c r="H114" s="59">
        <f>+'OCTUBRE '!H114+NOVIEMBRE!H114+'DICIEMBRE 2025'!H114</f>
        <v>0</v>
      </c>
      <c r="I114" s="59">
        <f t="shared" si="4"/>
        <v>0</v>
      </c>
      <c r="J114" s="60"/>
    </row>
    <row r="115" spans="1:10" x14ac:dyDescent="0.2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5" t="s">
        <v>111</v>
      </c>
      <c r="G115" s="64">
        <f>+'OCTUBRE '!G115+NOVIEMBRE!G115+'DICIEMBRE 2025'!G115</f>
        <v>0</v>
      </c>
      <c r="H115" s="64">
        <f>+'OCTUBRE '!H115+NOVIEMBRE!H115+'DICIEMBRE 2025'!H115</f>
        <v>0</v>
      </c>
      <c r="I115" s="64">
        <f t="shared" si="4"/>
        <v>0</v>
      </c>
      <c r="J115" s="65">
        <f>I115/$I$25</f>
        <v>0</v>
      </c>
    </row>
    <row r="116" spans="1:10" x14ac:dyDescent="0.2">
      <c r="A116" s="70">
        <v>2</v>
      </c>
      <c r="B116" s="55">
        <v>2</v>
      </c>
      <c r="C116" s="55">
        <v>4</v>
      </c>
      <c r="D116" s="55"/>
      <c r="E116" s="55"/>
      <c r="F116" s="71" t="s">
        <v>112</v>
      </c>
      <c r="G116" s="56">
        <f>+'OCTUBRE '!G116+NOVIEMBRE!G116+'DICIEMBRE 2025'!G116</f>
        <v>0</v>
      </c>
      <c r="H116" s="56">
        <f>+'OCTUBRE '!H116+NOVIEMBRE!H116+'DICIEMBRE 2025'!H116</f>
        <v>128000</v>
      </c>
      <c r="I116" s="56">
        <f t="shared" si="4"/>
        <v>128000</v>
      </c>
      <c r="J116" s="53"/>
    </row>
    <row r="117" spans="1:10" x14ac:dyDescent="0.2">
      <c r="A117" s="72">
        <v>2</v>
      </c>
      <c r="B117" s="58">
        <v>2</v>
      </c>
      <c r="C117" s="58">
        <v>4</v>
      </c>
      <c r="D117" s="58">
        <v>1</v>
      </c>
      <c r="E117" s="58"/>
      <c r="F117" s="73" t="s">
        <v>113</v>
      </c>
      <c r="G117" s="59">
        <f>+'OCTUBRE '!G117+NOVIEMBRE!G117+'DICIEMBRE 2025'!G117</f>
        <v>0</v>
      </c>
      <c r="H117" s="59">
        <f>+'OCTUBRE '!H117+NOVIEMBRE!H117+'DICIEMBRE 2025'!H117</f>
        <v>40000</v>
      </c>
      <c r="I117" s="59">
        <f t="shared" si="4"/>
        <v>40000</v>
      </c>
      <c r="J117" s="60"/>
    </row>
    <row r="118" spans="1:10" x14ac:dyDescent="0.2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5" t="s">
        <v>113</v>
      </c>
      <c r="G118" s="64">
        <f>+'OCTUBRE '!G118+NOVIEMBRE!G118+'DICIEMBRE 2025'!G118</f>
        <v>0</v>
      </c>
      <c r="H118" s="64">
        <f>+'OCTUBRE '!H118+NOVIEMBRE!H118+'DICIEMBRE 2025'!H118</f>
        <v>40000</v>
      </c>
      <c r="I118" s="64">
        <f t="shared" si="4"/>
        <v>40000</v>
      </c>
      <c r="J118" s="65">
        <f>I118/$I$25</f>
        <v>8.1654008147291016E-5</v>
      </c>
    </row>
    <row r="119" spans="1:10" x14ac:dyDescent="0.2">
      <c r="A119" s="72">
        <v>2</v>
      </c>
      <c r="B119" s="58">
        <v>2</v>
      </c>
      <c r="C119" s="58">
        <v>4</v>
      </c>
      <c r="D119" s="58">
        <v>2</v>
      </c>
      <c r="E119" s="58"/>
      <c r="F119" s="73" t="s">
        <v>114</v>
      </c>
      <c r="G119" s="59">
        <f>+'OCTUBRE '!G119+NOVIEMBRE!G119+'DICIEMBRE 2025'!G119</f>
        <v>0</v>
      </c>
      <c r="H119" s="59">
        <f>+'OCTUBRE '!H119+NOVIEMBRE!H119+'DICIEMBRE 2025'!H119</f>
        <v>88000</v>
      </c>
      <c r="I119" s="59">
        <f t="shared" si="4"/>
        <v>88000</v>
      </c>
      <c r="J119" s="60"/>
    </row>
    <row r="120" spans="1:10" x14ac:dyDescent="0.2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5" t="s">
        <v>114</v>
      </c>
      <c r="G120" s="64">
        <f>+'OCTUBRE '!G120+NOVIEMBRE!G120+'DICIEMBRE 2025'!G120</f>
        <v>0</v>
      </c>
      <c r="H120" s="64">
        <f>+'OCTUBRE '!H120+NOVIEMBRE!H120+'DICIEMBRE 2025'!H120</f>
        <v>88000</v>
      </c>
      <c r="I120" s="64">
        <f t="shared" si="4"/>
        <v>88000</v>
      </c>
      <c r="J120" s="65">
        <f>I120/$I$25</f>
        <v>1.7963881792404024E-4</v>
      </c>
    </row>
    <row r="121" spans="1:10" x14ac:dyDescent="0.2">
      <c r="A121" s="72">
        <v>2</v>
      </c>
      <c r="B121" s="58">
        <v>2</v>
      </c>
      <c r="C121" s="58">
        <v>4</v>
      </c>
      <c r="D121" s="58">
        <v>3</v>
      </c>
      <c r="E121" s="58"/>
      <c r="F121" s="73" t="s">
        <v>115</v>
      </c>
      <c r="G121" s="59">
        <f>+'OCTUBRE '!G121+NOVIEMBRE!G121+'DICIEMBRE 2025'!G121</f>
        <v>0</v>
      </c>
      <c r="H121" s="59">
        <f>+'OCTUBRE '!H121+NOVIEMBRE!H121+'DICIEMBRE 2025'!H121</f>
        <v>0</v>
      </c>
      <c r="I121" s="59">
        <f t="shared" si="4"/>
        <v>0</v>
      </c>
      <c r="J121" s="60"/>
    </row>
    <row r="122" spans="1:10" x14ac:dyDescent="0.2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5" t="s">
        <v>115</v>
      </c>
      <c r="G122" s="64">
        <f>+'OCTUBRE '!G122+NOVIEMBRE!G122+'DICIEMBRE 2025'!G122</f>
        <v>0</v>
      </c>
      <c r="H122" s="64">
        <f>+'OCTUBRE '!H122+NOVIEMBRE!H122+'DICIEMBRE 2025'!H122</f>
        <v>0</v>
      </c>
      <c r="I122" s="64">
        <f t="shared" si="4"/>
        <v>0</v>
      </c>
      <c r="J122" s="65">
        <f>I122/$I$25</f>
        <v>0</v>
      </c>
    </row>
    <row r="123" spans="1:10" x14ac:dyDescent="0.2">
      <c r="A123" s="72">
        <v>2</v>
      </c>
      <c r="B123" s="58">
        <v>2</v>
      </c>
      <c r="C123" s="58">
        <v>4</v>
      </c>
      <c r="D123" s="58">
        <v>4</v>
      </c>
      <c r="E123" s="58"/>
      <c r="F123" s="73" t="s">
        <v>116</v>
      </c>
      <c r="G123" s="59">
        <f>+'OCTUBRE '!G123+NOVIEMBRE!G123+'DICIEMBRE 2025'!G123</f>
        <v>0</v>
      </c>
      <c r="H123" s="59">
        <f>+'OCTUBRE '!H123+NOVIEMBRE!H123+'DICIEMBRE 2025'!H123</f>
        <v>0</v>
      </c>
      <c r="I123" s="59">
        <f t="shared" si="4"/>
        <v>0</v>
      </c>
      <c r="J123" s="60"/>
    </row>
    <row r="124" spans="1:10" x14ac:dyDescent="0.2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5" t="s">
        <v>116</v>
      </c>
      <c r="G124" s="64">
        <f>+'OCTUBRE '!G124+NOVIEMBRE!G124+'DICIEMBRE 2025'!G124</f>
        <v>0</v>
      </c>
      <c r="H124" s="64">
        <f>+'OCTUBRE '!H124+NOVIEMBRE!H124+'DICIEMBRE 2025'!H124</f>
        <v>0</v>
      </c>
      <c r="I124" s="64">
        <f t="shared" si="4"/>
        <v>0</v>
      </c>
      <c r="J124" s="65">
        <f>I124/$I$25</f>
        <v>0</v>
      </c>
    </row>
    <row r="125" spans="1:10" x14ac:dyDescent="0.2">
      <c r="A125" s="54">
        <v>2</v>
      </c>
      <c r="B125" s="55">
        <v>2</v>
      </c>
      <c r="C125" s="55">
        <v>5</v>
      </c>
      <c r="D125" s="55"/>
      <c r="E125" s="55"/>
      <c r="F125" s="71" t="s">
        <v>117</v>
      </c>
      <c r="G125" s="56">
        <f>+'OCTUBRE '!G125+NOVIEMBRE!G125+'DICIEMBRE 2025'!G125</f>
        <v>931504.86999999988</v>
      </c>
      <c r="H125" s="56">
        <f>+'OCTUBRE '!H125+NOVIEMBRE!H125+'DICIEMBRE 2025'!H125</f>
        <v>298143.38</v>
      </c>
      <c r="I125" s="56">
        <f t="shared" si="4"/>
        <v>1229648.25</v>
      </c>
      <c r="J125" s="53"/>
    </row>
    <row r="126" spans="1:10" x14ac:dyDescent="0.2">
      <c r="A126" s="72">
        <v>2</v>
      </c>
      <c r="B126" s="58">
        <v>2</v>
      </c>
      <c r="C126" s="58">
        <v>5</v>
      </c>
      <c r="D126" s="58">
        <v>1</v>
      </c>
      <c r="E126" s="77"/>
      <c r="F126" s="73" t="s">
        <v>118</v>
      </c>
      <c r="G126" s="59">
        <f>+'OCTUBRE '!G126+NOVIEMBRE!G126+'DICIEMBRE 2025'!G126</f>
        <v>0</v>
      </c>
      <c r="H126" s="59">
        <f>+'OCTUBRE '!H126+NOVIEMBRE!H126+'DICIEMBRE 2025'!H126</f>
        <v>0</v>
      </c>
      <c r="I126" s="59">
        <f t="shared" si="4"/>
        <v>0</v>
      </c>
      <c r="J126" s="60"/>
    </row>
    <row r="127" spans="1:10" x14ac:dyDescent="0.2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5" t="s">
        <v>118</v>
      </c>
      <c r="G127" s="64">
        <f>+'OCTUBRE '!G127+NOVIEMBRE!G127+'DICIEMBRE 2025'!G127</f>
        <v>0</v>
      </c>
      <c r="H127" s="64">
        <f>+'OCTUBRE '!H127+NOVIEMBRE!H127+'DICIEMBRE 2025'!H127</f>
        <v>0</v>
      </c>
      <c r="I127" s="64">
        <f t="shared" si="4"/>
        <v>0</v>
      </c>
      <c r="J127" s="65">
        <f>I127/$I$25</f>
        <v>0</v>
      </c>
    </row>
    <row r="128" spans="1:10" x14ac:dyDescent="0.2">
      <c r="A128" s="72">
        <v>2</v>
      </c>
      <c r="B128" s="58">
        <v>2</v>
      </c>
      <c r="C128" s="58">
        <v>5</v>
      </c>
      <c r="D128" s="58">
        <v>2</v>
      </c>
      <c r="E128" s="77"/>
      <c r="F128" s="73" t="s">
        <v>119</v>
      </c>
      <c r="G128" s="59">
        <f>+'OCTUBRE '!G128+NOVIEMBRE!G128+'DICIEMBRE 2025'!G128</f>
        <v>0</v>
      </c>
      <c r="H128" s="59">
        <f>+'OCTUBRE '!H128+NOVIEMBRE!H128+'DICIEMBRE 2025'!H128</f>
        <v>0</v>
      </c>
      <c r="I128" s="59">
        <f t="shared" si="4"/>
        <v>0</v>
      </c>
      <c r="J128" s="60"/>
    </row>
    <row r="129" spans="1:10" x14ac:dyDescent="0.2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5" t="s">
        <v>120</v>
      </c>
      <c r="G129" s="64">
        <f>+'OCTUBRE '!G129+NOVIEMBRE!G129+'DICIEMBRE 2025'!G129</f>
        <v>0</v>
      </c>
      <c r="H129" s="64">
        <f>+'OCTUBRE '!H129+NOVIEMBRE!H129+'DICIEMBRE 2025'!H129</f>
        <v>0</v>
      </c>
      <c r="I129" s="64">
        <f t="shared" si="4"/>
        <v>0</v>
      </c>
      <c r="J129" s="65">
        <f>I129/$I$25</f>
        <v>0</v>
      </c>
    </row>
    <row r="130" spans="1:10" x14ac:dyDescent="0.2">
      <c r="A130" s="72">
        <v>2</v>
      </c>
      <c r="B130" s="58">
        <v>2</v>
      </c>
      <c r="C130" s="58">
        <v>5</v>
      </c>
      <c r="D130" s="58">
        <v>3</v>
      </c>
      <c r="E130" s="77"/>
      <c r="F130" s="73" t="s">
        <v>121</v>
      </c>
      <c r="G130" s="59">
        <f>+'OCTUBRE '!G130+NOVIEMBRE!G130+'DICIEMBRE 2025'!G130</f>
        <v>931504.86999999988</v>
      </c>
      <c r="H130" s="59">
        <f>+'OCTUBRE '!H130+NOVIEMBRE!H130+'DICIEMBRE 2025'!H130</f>
        <v>298143.38</v>
      </c>
      <c r="I130" s="59">
        <f t="shared" si="4"/>
        <v>1229648.25</v>
      </c>
      <c r="J130" s="60"/>
    </row>
    <row r="131" spans="1:10" x14ac:dyDescent="0.2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5" t="s">
        <v>122</v>
      </c>
      <c r="G131" s="64">
        <f>+'OCTUBRE '!G131+NOVIEMBRE!G131+'DICIEMBRE 2025'!G131</f>
        <v>0</v>
      </c>
      <c r="H131" s="64">
        <f>+'OCTUBRE '!H131+NOVIEMBRE!H131+'DICIEMBRE 2025'!H131</f>
        <v>0</v>
      </c>
      <c r="I131" s="64">
        <f t="shared" si="4"/>
        <v>0</v>
      </c>
      <c r="J131" s="65">
        <f>I131/$I$25</f>
        <v>0</v>
      </c>
    </row>
    <row r="132" spans="1:10" x14ac:dyDescent="0.2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5" t="s">
        <v>123</v>
      </c>
      <c r="G132" s="64">
        <f>+'OCTUBRE '!G132+NOVIEMBRE!G132+'DICIEMBRE 2025'!G132</f>
        <v>931504.86999999988</v>
      </c>
      <c r="H132" s="64">
        <f>+'OCTUBRE '!H132+NOVIEMBRE!H132+'DICIEMBRE 2025'!H132</f>
        <v>298143.38</v>
      </c>
      <c r="I132" s="64">
        <f t="shared" si="4"/>
        <v>1229648.25</v>
      </c>
      <c r="J132" s="65">
        <f>I132/$I$25</f>
        <v>2.5101427055950537E-3</v>
      </c>
    </row>
    <row r="133" spans="1:10" x14ac:dyDescent="0.2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5" t="s">
        <v>124</v>
      </c>
      <c r="G133" s="64">
        <f>+'OCTUBRE '!G133+NOVIEMBRE!G133+'DICIEMBRE 2025'!G133</f>
        <v>0</v>
      </c>
      <c r="H133" s="64">
        <f>+'OCTUBRE '!H133+NOVIEMBRE!H133+'DICIEMBRE 2025'!H133</f>
        <v>0</v>
      </c>
      <c r="I133" s="64">
        <f t="shared" si="4"/>
        <v>0</v>
      </c>
      <c r="J133" s="65">
        <f>I133/$I$25</f>
        <v>0</v>
      </c>
    </row>
    <row r="134" spans="1:10" x14ac:dyDescent="0.2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5" t="s">
        <v>125</v>
      </c>
      <c r="G134" s="64">
        <f>+'OCTUBRE '!G134+NOVIEMBRE!G134+'DICIEMBRE 2025'!G134</f>
        <v>0</v>
      </c>
      <c r="H134" s="64">
        <f>+'OCTUBRE '!H134+NOVIEMBRE!H134+'DICIEMBRE 2025'!H134</f>
        <v>0</v>
      </c>
      <c r="I134" s="64">
        <f t="shared" si="4"/>
        <v>0</v>
      </c>
      <c r="J134" s="65">
        <f>I134/$I$25</f>
        <v>0</v>
      </c>
    </row>
    <row r="135" spans="1:10" x14ac:dyDescent="0.2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5" t="s">
        <v>126</v>
      </c>
      <c r="G135" s="64">
        <f>+'OCTUBRE '!G135+NOVIEMBRE!G135+'DICIEMBRE 2025'!G135</f>
        <v>0</v>
      </c>
      <c r="H135" s="64">
        <f>+'OCTUBRE '!H135+NOVIEMBRE!H135+'DICIEMBRE 2025'!H135</f>
        <v>0</v>
      </c>
      <c r="I135" s="64">
        <f t="shared" si="4"/>
        <v>0</v>
      </c>
      <c r="J135" s="65">
        <f>I135/$I$25</f>
        <v>0</v>
      </c>
    </row>
    <row r="136" spans="1:10" x14ac:dyDescent="0.2">
      <c r="A136" s="72">
        <v>2</v>
      </c>
      <c r="B136" s="58">
        <v>2</v>
      </c>
      <c r="C136" s="58">
        <v>5</v>
      </c>
      <c r="D136" s="58">
        <v>4</v>
      </c>
      <c r="E136" s="77"/>
      <c r="F136" s="73" t="s">
        <v>127</v>
      </c>
      <c r="G136" s="59">
        <f>+'OCTUBRE '!G136+NOVIEMBRE!G136+'DICIEMBRE 2025'!G136</f>
        <v>0</v>
      </c>
      <c r="H136" s="59">
        <f>+'OCTUBRE '!H136+NOVIEMBRE!H136+'DICIEMBRE 2025'!H136</f>
        <v>0</v>
      </c>
      <c r="I136" s="59">
        <f t="shared" si="4"/>
        <v>0</v>
      </c>
      <c r="J136" s="60"/>
    </row>
    <row r="137" spans="1:10" x14ac:dyDescent="0.2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5" t="s">
        <v>127</v>
      </c>
      <c r="G137" s="64">
        <f>+'OCTUBRE '!G137+NOVIEMBRE!G137+'DICIEMBRE 2025'!G137</f>
        <v>0</v>
      </c>
      <c r="H137" s="64">
        <f>+'OCTUBRE '!H137+NOVIEMBRE!H137+'DICIEMBRE 2025'!H137</f>
        <v>0</v>
      </c>
      <c r="I137" s="64">
        <f t="shared" si="4"/>
        <v>0</v>
      </c>
      <c r="J137" s="65">
        <f>I137/$I$25</f>
        <v>0</v>
      </c>
    </row>
    <row r="138" spans="1:10" x14ac:dyDescent="0.2">
      <c r="A138" s="72">
        <v>2</v>
      </c>
      <c r="B138" s="58">
        <v>2</v>
      </c>
      <c r="C138" s="58">
        <v>5</v>
      </c>
      <c r="D138" s="58">
        <v>5</v>
      </c>
      <c r="E138" s="77"/>
      <c r="F138" s="73" t="s">
        <v>128</v>
      </c>
      <c r="G138" s="59">
        <f>+'OCTUBRE '!G138+NOVIEMBRE!G138+'DICIEMBRE 2025'!G138</f>
        <v>0</v>
      </c>
      <c r="H138" s="59">
        <f>+'OCTUBRE '!H138+NOVIEMBRE!H138+'DICIEMBRE 2025'!H138</f>
        <v>0</v>
      </c>
      <c r="I138" s="59">
        <f t="shared" si="4"/>
        <v>0</v>
      </c>
      <c r="J138" s="60"/>
    </row>
    <row r="139" spans="1:10" x14ac:dyDescent="0.2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5" t="s">
        <v>128</v>
      </c>
      <c r="G139" s="64">
        <f>+'OCTUBRE '!G139+NOVIEMBRE!G139+'DICIEMBRE 2025'!G139</f>
        <v>0</v>
      </c>
      <c r="H139" s="64">
        <f>+'OCTUBRE '!H139+NOVIEMBRE!H139+'DICIEMBRE 2025'!H139</f>
        <v>0</v>
      </c>
      <c r="I139" s="64">
        <f t="shared" si="4"/>
        <v>0</v>
      </c>
      <c r="J139" s="65">
        <f>I139/$I$25</f>
        <v>0</v>
      </c>
    </row>
    <row r="140" spans="1:10" x14ac:dyDescent="0.2">
      <c r="A140" s="72">
        <v>2</v>
      </c>
      <c r="B140" s="58">
        <v>2</v>
      </c>
      <c r="C140" s="58">
        <v>5</v>
      </c>
      <c r="D140" s="58">
        <v>6</v>
      </c>
      <c r="E140" s="77"/>
      <c r="F140" s="73" t="s">
        <v>129</v>
      </c>
      <c r="G140" s="59">
        <f>+'OCTUBRE '!G140+NOVIEMBRE!G140+'DICIEMBRE 2025'!G140</f>
        <v>0</v>
      </c>
      <c r="H140" s="59">
        <f>+'OCTUBRE '!H140+NOVIEMBRE!H140+'DICIEMBRE 2025'!H140</f>
        <v>0</v>
      </c>
      <c r="I140" s="59">
        <f t="shared" si="4"/>
        <v>0</v>
      </c>
      <c r="J140" s="60"/>
    </row>
    <row r="141" spans="1:10" x14ac:dyDescent="0.2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5" t="s">
        <v>129</v>
      </c>
      <c r="G141" s="64">
        <f>+'OCTUBRE '!G141+NOVIEMBRE!G141+'DICIEMBRE 2025'!G141</f>
        <v>0</v>
      </c>
      <c r="H141" s="64">
        <f>+'OCTUBRE '!H141+NOVIEMBRE!H141+'DICIEMBRE 2025'!H141</f>
        <v>0</v>
      </c>
      <c r="I141" s="64">
        <f t="shared" si="4"/>
        <v>0</v>
      </c>
      <c r="J141" s="65">
        <f>I141/$I$25</f>
        <v>0</v>
      </c>
    </row>
    <row r="142" spans="1:10" x14ac:dyDescent="0.2">
      <c r="A142" s="72">
        <v>2</v>
      </c>
      <c r="B142" s="58">
        <v>2</v>
      </c>
      <c r="C142" s="58">
        <v>5</v>
      </c>
      <c r="D142" s="58">
        <v>7</v>
      </c>
      <c r="E142" s="77"/>
      <c r="F142" s="73" t="s">
        <v>130</v>
      </c>
      <c r="G142" s="59">
        <f>+'OCTUBRE '!G142+NOVIEMBRE!G142+'DICIEMBRE 2025'!G142</f>
        <v>0</v>
      </c>
      <c r="H142" s="59">
        <f>+'OCTUBRE '!H142+NOVIEMBRE!H142+'DICIEMBRE 2025'!H142</f>
        <v>0</v>
      </c>
      <c r="I142" s="59">
        <f t="shared" si="4"/>
        <v>0</v>
      </c>
      <c r="J142" s="60"/>
    </row>
    <row r="143" spans="1:10" x14ac:dyDescent="0.2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5" t="s">
        <v>130</v>
      </c>
      <c r="G143" s="64">
        <f>+'OCTUBRE '!G143+NOVIEMBRE!G143+'DICIEMBRE 2025'!G143</f>
        <v>0</v>
      </c>
      <c r="H143" s="64">
        <f>+'OCTUBRE '!H143+NOVIEMBRE!H143+'DICIEMBRE 2025'!H143</f>
        <v>0</v>
      </c>
      <c r="I143" s="64">
        <f t="shared" si="4"/>
        <v>0</v>
      </c>
      <c r="J143" s="65">
        <f>I143/$I$25</f>
        <v>0</v>
      </c>
    </row>
    <row r="144" spans="1:10" x14ac:dyDescent="0.2">
      <c r="A144" s="72">
        <v>2</v>
      </c>
      <c r="B144" s="58">
        <v>2</v>
      </c>
      <c r="C144" s="58">
        <v>5</v>
      </c>
      <c r="D144" s="58">
        <v>8</v>
      </c>
      <c r="E144" s="77"/>
      <c r="F144" s="73" t="s">
        <v>131</v>
      </c>
      <c r="G144" s="59">
        <f>+'OCTUBRE '!G144+NOVIEMBRE!G144+'DICIEMBRE 2025'!G144</f>
        <v>0</v>
      </c>
      <c r="H144" s="59">
        <f>+'OCTUBRE '!H144+NOVIEMBRE!H144+'DICIEMBRE 2025'!H144</f>
        <v>0</v>
      </c>
      <c r="I144" s="59">
        <f t="shared" si="4"/>
        <v>0</v>
      </c>
      <c r="J144" s="60"/>
    </row>
    <row r="145" spans="1:10" x14ac:dyDescent="0.2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5" t="s">
        <v>131</v>
      </c>
      <c r="G145" s="64">
        <f>+'OCTUBRE '!G145+NOVIEMBRE!G145+'DICIEMBRE 2025'!G145</f>
        <v>0</v>
      </c>
      <c r="H145" s="64">
        <f>+'OCTUBRE '!H145+NOVIEMBRE!H145+'DICIEMBRE 2025'!H145</f>
        <v>0</v>
      </c>
      <c r="I145" s="64">
        <f t="shared" si="4"/>
        <v>0</v>
      </c>
      <c r="J145" s="65">
        <f>I145/$I$25</f>
        <v>0</v>
      </c>
    </row>
    <row r="146" spans="1:10" x14ac:dyDescent="0.2">
      <c r="A146" s="72">
        <v>2</v>
      </c>
      <c r="B146" s="58">
        <v>2</v>
      </c>
      <c r="C146" s="58">
        <v>5</v>
      </c>
      <c r="D146" s="58">
        <v>9</v>
      </c>
      <c r="E146" s="77"/>
      <c r="F146" s="73" t="s">
        <v>132</v>
      </c>
      <c r="G146" s="59">
        <f>+'OCTUBRE '!G146+NOVIEMBRE!G146+'DICIEMBRE 2025'!G146</f>
        <v>0</v>
      </c>
      <c r="H146" s="59">
        <f>+'OCTUBRE '!H146+NOVIEMBRE!H146+'DICIEMBRE 2025'!H146</f>
        <v>0</v>
      </c>
      <c r="I146" s="59">
        <f t="shared" si="4"/>
        <v>0</v>
      </c>
      <c r="J146" s="60"/>
    </row>
    <row r="147" spans="1:10" x14ac:dyDescent="0.2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5" t="s">
        <v>133</v>
      </c>
      <c r="G147" s="64">
        <f>+'OCTUBRE '!G147+NOVIEMBRE!G147+'DICIEMBRE 2025'!G147</f>
        <v>0</v>
      </c>
      <c r="H147" s="64">
        <f>+'OCTUBRE '!H147+NOVIEMBRE!H147+'DICIEMBRE 2025'!H147</f>
        <v>0</v>
      </c>
      <c r="I147" s="64">
        <f t="shared" si="4"/>
        <v>0</v>
      </c>
      <c r="J147" s="65">
        <f>I147/$I$25</f>
        <v>0</v>
      </c>
    </row>
    <row r="148" spans="1:10" x14ac:dyDescent="0.2">
      <c r="A148" s="54">
        <v>2</v>
      </c>
      <c r="B148" s="55">
        <v>2</v>
      </c>
      <c r="C148" s="55">
        <v>6</v>
      </c>
      <c r="D148" s="55"/>
      <c r="E148" s="55"/>
      <c r="F148" s="71" t="s">
        <v>134</v>
      </c>
      <c r="G148" s="56">
        <f>+'OCTUBRE '!G148+NOVIEMBRE!G148+'DICIEMBRE 2025'!G148</f>
        <v>0</v>
      </c>
      <c r="H148" s="56">
        <f>+'OCTUBRE '!H148+NOVIEMBRE!H148+'DICIEMBRE 2025'!H148</f>
        <v>3449.08</v>
      </c>
      <c r="I148" s="56">
        <f t="shared" si="4"/>
        <v>3449.08</v>
      </c>
      <c r="J148" s="53"/>
    </row>
    <row r="149" spans="1:10" x14ac:dyDescent="0.2">
      <c r="A149" s="72">
        <v>2</v>
      </c>
      <c r="B149" s="58">
        <v>2</v>
      </c>
      <c r="C149" s="58">
        <v>6</v>
      </c>
      <c r="D149" s="58">
        <v>1</v>
      </c>
      <c r="E149" s="77"/>
      <c r="F149" s="73" t="s">
        <v>135</v>
      </c>
      <c r="G149" s="59">
        <f>+'OCTUBRE '!G149+NOVIEMBRE!G149+'DICIEMBRE 2025'!G149</f>
        <v>0</v>
      </c>
      <c r="H149" s="59">
        <f>+'OCTUBRE '!H149+NOVIEMBRE!H149+'DICIEMBRE 2025'!H149</f>
        <v>0</v>
      </c>
      <c r="I149" s="59">
        <f t="shared" si="4"/>
        <v>0</v>
      </c>
      <c r="J149" s="60"/>
    </row>
    <row r="150" spans="1:10" x14ac:dyDescent="0.2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5" t="s">
        <v>135</v>
      </c>
      <c r="G150" s="64">
        <f>+'OCTUBRE '!G150+NOVIEMBRE!G150+'DICIEMBRE 2025'!G150</f>
        <v>0</v>
      </c>
      <c r="H150" s="64">
        <f>+'OCTUBRE '!H150+NOVIEMBRE!H150+'DICIEMBRE 2025'!H150</f>
        <v>0</v>
      </c>
      <c r="I150" s="64">
        <f t="shared" si="4"/>
        <v>0</v>
      </c>
      <c r="J150" s="65">
        <f>I150/$I$25</f>
        <v>0</v>
      </c>
    </row>
    <row r="151" spans="1:10" x14ac:dyDescent="0.2">
      <c r="A151" s="72">
        <v>2</v>
      </c>
      <c r="B151" s="58">
        <v>2</v>
      </c>
      <c r="C151" s="58">
        <v>6</v>
      </c>
      <c r="D151" s="58">
        <v>2</v>
      </c>
      <c r="E151" s="58"/>
      <c r="F151" s="73" t="s">
        <v>136</v>
      </c>
      <c r="G151" s="59">
        <f>+'OCTUBRE '!G151+NOVIEMBRE!G151+'DICIEMBRE 2025'!G151</f>
        <v>0</v>
      </c>
      <c r="H151" s="59">
        <f>+'OCTUBRE '!H151+NOVIEMBRE!H151+'DICIEMBRE 2025'!H151</f>
        <v>0</v>
      </c>
      <c r="I151" s="59">
        <f t="shared" si="4"/>
        <v>0</v>
      </c>
      <c r="J151" s="60"/>
    </row>
    <row r="152" spans="1:10" x14ac:dyDescent="0.2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5" t="s">
        <v>136</v>
      </c>
      <c r="G152" s="64">
        <f>+'OCTUBRE '!G152+NOVIEMBRE!G152+'DICIEMBRE 2025'!G152</f>
        <v>0</v>
      </c>
      <c r="H152" s="64">
        <f>+'OCTUBRE '!H152+NOVIEMBRE!H152+'DICIEMBRE 2025'!H152</f>
        <v>0</v>
      </c>
      <c r="I152" s="64">
        <f t="shared" si="4"/>
        <v>0</v>
      </c>
      <c r="J152" s="65">
        <f>I152/$I$25</f>
        <v>0</v>
      </c>
    </row>
    <row r="153" spans="1:10" x14ac:dyDescent="0.2">
      <c r="A153" s="72">
        <v>2</v>
      </c>
      <c r="B153" s="58">
        <v>2</v>
      </c>
      <c r="C153" s="58">
        <v>6</v>
      </c>
      <c r="D153" s="58">
        <v>3</v>
      </c>
      <c r="E153" s="58"/>
      <c r="F153" s="73" t="s">
        <v>137</v>
      </c>
      <c r="G153" s="59">
        <f>+'OCTUBRE '!G153+NOVIEMBRE!G153+'DICIEMBRE 2025'!G153</f>
        <v>0</v>
      </c>
      <c r="H153" s="59">
        <f>+'OCTUBRE '!H153+NOVIEMBRE!H153+'DICIEMBRE 2025'!H153</f>
        <v>3449.08</v>
      </c>
      <c r="I153" s="59">
        <f t="shared" ref="I153:I216" si="5">SUM(G153:H153)</f>
        <v>3449.08</v>
      </c>
      <c r="J153" s="60"/>
    </row>
    <row r="154" spans="1:10" x14ac:dyDescent="0.2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5" t="s">
        <v>137</v>
      </c>
      <c r="G154" s="64">
        <f>+'OCTUBRE '!G154+NOVIEMBRE!G154+'DICIEMBRE 2025'!G154</f>
        <v>0</v>
      </c>
      <c r="H154" s="64">
        <f>+'OCTUBRE '!H154+NOVIEMBRE!H154+'DICIEMBRE 2025'!H154</f>
        <v>3449.08</v>
      </c>
      <c r="I154" s="64">
        <f t="shared" si="5"/>
        <v>3449.08</v>
      </c>
      <c r="J154" s="65">
        <f>I154/$I$25</f>
        <v>7.0407801605164627E-6</v>
      </c>
    </row>
    <row r="155" spans="1:10" x14ac:dyDescent="0.2">
      <c r="A155" s="72">
        <v>2</v>
      </c>
      <c r="B155" s="58">
        <v>2</v>
      </c>
      <c r="C155" s="58">
        <v>6</v>
      </c>
      <c r="D155" s="58">
        <v>4</v>
      </c>
      <c r="E155" s="58"/>
      <c r="F155" s="73" t="s">
        <v>138</v>
      </c>
      <c r="G155" s="59">
        <f>+'OCTUBRE '!G155+NOVIEMBRE!G155+'DICIEMBRE 2025'!G155</f>
        <v>0</v>
      </c>
      <c r="H155" s="59">
        <f>+'OCTUBRE '!H155+NOVIEMBRE!H155+'DICIEMBRE 2025'!H155</f>
        <v>0</v>
      </c>
      <c r="I155" s="59">
        <f t="shared" si="5"/>
        <v>0</v>
      </c>
      <c r="J155" s="60"/>
    </row>
    <row r="156" spans="1:10" x14ac:dyDescent="0.2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5" t="s">
        <v>138</v>
      </c>
      <c r="G156" s="64">
        <f>+'OCTUBRE '!G156+NOVIEMBRE!G156+'DICIEMBRE 2025'!G156</f>
        <v>0</v>
      </c>
      <c r="H156" s="64">
        <f>+'OCTUBRE '!H156+NOVIEMBRE!H156+'DICIEMBRE 2025'!H156</f>
        <v>0</v>
      </c>
      <c r="I156" s="64">
        <f t="shared" si="5"/>
        <v>0</v>
      </c>
      <c r="J156" s="65">
        <f>I156/$I$25</f>
        <v>0</v>
      </c>
    </row>
    <row r="157" spans="1:10" ht="25.5" x14ac:dyDescent="0.2">
      <c r="A157" s="54">
        <v>2</v>
      </c>
      <c r="B157" s="55">
        <v>2</v>
      </c>
      <c r="C157" s="55">
        <v>7</v>
      </c>
      <c r="D157" s="55"/>
      <c r="E157" s="78"/>
      <c r="F157" s="79" t="s">
        <v>139</v>
      </c>
      <c r="G157" s="56">
        <f>+'OCTUBRE '!G157+NOVIEMBRE!G157+'DICIEMBRE 2025'!G157</f>
        <v>14141425.069999998</v>
      </c>
      <c r="H157" s="56">
        <f>+'OCTUBRE '!H157+NOVIEMBRE!H157+'DICIEMBRE 2025'!H157</f>
        <v>3119551.13</v>
      </c>
      <c r="I157" s="56">
        <f t="shared" si="5"/>
        <v>17260976.199999999</v>
      </c>
      <c r="J157" s="53"/>
    </row>
    <row r="158" spans="1:10" x14ac:dyDescent="0.2">
      <c r="A158" s="72">
        <v>2</v>
      </c>
      <c r="B158" s="58">
        <v>2</v>
      </c>
      <c r="C158" s="58">
        <v>7</v>
      </c>
      <c r="D158" s="58">
        <v>1</v>
      </c>
      <c r="E158" s="58"/>
      <c r="F158" s="73" t="s">
        <v>140</v>
      </c>
      <c r="G158" s="59">
        <f>+'OCTUBRE '!G158+NOVIEMBRE!G158+'DICIEMBRE 2025'!G158</f>
        <v>11780592.1</v>
      </c>
      <c r="H158" s="59">
        <f>+'OCTUBRE '!H158+NOVIEMBRE!H158+'DICIEMBRE 2025'!H158</f>
        <v>1992131.0299999998</v>
      </c>
      <c r="I158" s="59">
        <f t="shared" si="5"/>
        <v>13772723.129999999</v>
      </c>
      <c r="J158" s="60"/>
    </row>
    <row r="159" spans="1:10" x14ac:dyDescent="0.2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80" t="s">
        <v>141</v>
      </c>
      <c r="G159" s="64">
        <f>+'OCTUBRE '!G159+NOVIEMBRE!G159+'DICIEMBRE 2025'!G159</f>
        <v>11749730.57</v>
      </c>
      <c r="H159" s="64">
        <f>+'OCTUBRE '!H159+NOVIEMBRE!H159+'DICIEMBRE 2025'!H159</f>
        <v>1985631.0299999998</v>
      </c>
      <c r="I159" s="64">
        <f t="shared" si="5"/>
        <v>13735361.6</v>
      </c>
      <c r="J159" s="65">
        <f t="shared" ref="J159:J166" si="6">I159/$I$25</f>
        <v>2.8038683199809705E-2</v>
      </c>
    </row>
    <row r="160" spans="1:10" x14ac:dyDescent="0.2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80" t="s">
        <v>142</v>
      </c>
      <c r="G160" s="64">
        <f>+'OCTUBRE '!G160+NOVIEMBRE!G160+'DICIEMBRE 2025'!G160</f>
        <v>30861.53</v>
      </c>
      <c r="H160" s="64">
        <f>+'OCTUBRE '!H160+NOVIEMBRE!H160+'DICIEMBRE 2025'!H160</f>
        <v>0</v>
      </c>
      <c r="I160" s="64">
        <f t="shared" si="5"/>
        <v>30861.53</v>
      </c>
      <c r="J160" s="65">
        <f t="shared" si="6"/>
        <v>6.2999190551446649E-5</v>
      </c>
    </row>
    <row r="161" spans="1:10" x14ac:dyDescent="0.2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80" t="s">
        <v>143</v>
      </c>
      <c r="G161" s="64">
        <f>+'OCTUBRE '!G161+NOVIEMBRE!G161+'DICIEMBRE 2025'!G161</f>
        <v>0</v>
      </c>
      <c r="H161" s="64">
        <f>+'OCTUBRE '!H161+NOVIEMBRE!H161+'DICIEMBRE 2025'!H161</f>
        <v>0</v>
      </c>
      <c r="I161" s="64">
        <f t="shared" si="5"/>
        <v>0</v>
      </c>
      <c r="J161" s="65">
        <f t="shared" si="6"/>
        <v>0</v>
      </c>
    </row>
    <row r="162" spans="1:10" ht="25.5" x14ac:dyDescent="0.2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80" t="s">
        <v>144</v>
      </c>
      <c r="G162" s="64">
        <f>+'OCTUBRE '!G162+NOVIEMBRE!G162+'DICIEMBRE 2025'!G162</f>
        <v>0</v>
      </c>
      <c r="H162" s="64">
        <f>+'OCTUBRE '!H162+NOVIEMBRE!H162+'DICIEMBRE 2025'!H162</f>
        <v>0</v>
      </c>
      <c r="I162" s="64">
        <f t="shared" si="5"/>
        <v>0</v>
      </c>
      <c r="J162" s="65">
        <f t="shared" si="6"/>
        <v>0</v>
      </c>
    </row>
    <row r="163" spans="1:10" x14ac:dyDescent="0.2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80" t="s">
        <v>145</v>
      </c>
      <c r="G163" s="64">
        <f>+'OCTUBRE '!G163+NOVIEMBRE!G163+'DICIEMBRE 2025'!G163</f>
        <v>0</v>
      </c>
      <c r="H163" s="64">
        <f>+'OCTUBRE '!H163+NOVIEMBRE!H163+'DICIEMBRE 2025'!H163</f>
        <v>0</v>
      </c>
      <c r="I163" s="64">
        <f t="shared" si="5"/>
        <v>0</v>
      </c>
      <c r="J163" s="65">
        <f t="shared" si="6"/>
        <v>0</v>
      </c>
    </row>
    <row r="164" spans="1:10" x14ac:dyDescent="0.2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80" t="s">
        <v>146</v>
      </c>
      <c r="G164" s="64">
        <f>+'OCTUBRE '!G164+NOVIEMBRE!G164+'DICIEMBRE 2025'!G164</f>
        <v>0</v>
      </c>
      <c r="H164" s="64">
        <f>+'OCTUBRE '!H164+NOVIEMBRE!H164+'DICIEMBRE 2025'!H164</f>
        <v>6500</v>
      </c>
      <c r="I164" s="64">
        <f t="shared" si="5"/>
        <v>6500</v>
      </c>
      <c r="J164" s="65">
        <f t="shared" si="6"/>
        <v>1.3268776323934789E-5</v>
      </c>
    </row>
    <row r="165" spans="1:10" ht="25.5" x14ac:dyDescent="0.2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80" t="s">
        <v>147</v>
      </c>
      <c r="G165" s="64">
        <f>+'OCTUBRE '!G165+NOVIEMBRE!G165+'DICIEMBRE 2025'!G165</f>
        <v>0</v>
      </c>
      <c r="H165" s="64">
        <f>+'OCTUBRE '!H165+NOVIEMBRE!H165+'DICIEMBRE 2025'!H165</f>
        <v>0</v>
      </c>
      <c r="I165" s="64">
        <f t="shared" si="5"/>
        <v>0</v>
      </c>
      <c r="J165" s="65">
        <f t="shared" si="6"/>
        <v>0</v>
      </c>
    </row>
    <row r="166" spans="1:10" ht="25.5" x14ac:dyDescent="0.2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80" t="s">
        <v>149</v>
      </c>
      <c r="G166" s="64">
        <f>+'OCTUBRE '!G166+NOVIEMBRE!G166+'DICIEMBRE 2025'!G166</f>
        <v>0</v>
      </c>
      <c r="H166" s="64">
        <f>+'OCTUBRE '!H166+NOVIEMBRE!H166+'DICIEMBRE 2025'!H166</f>
        <v>0</v>
      </c>
      <c r="I166" s="64">
        <f t="shared" si="5"/>
        <v>0</v>
      </c>
      <c r="J166" s="65">
        <f t="shared" si="6"/>
        <v>0</v>
      </c>
    </row>
    <row r="167" spans="1:10" x14ac:dyDescent="0.2">
      <c r="A167" s="72">
        <v>2</v>
      </c>
      <c r="B167" s="58">
        <v>2</v>
      </c>
      <c r="C167" s="58">
        <v>7</v>
      </c>
      <c r="D167" s="58">
        <v>2</v>
      </c>
      <c r="E167" s="58"/>
      <c r="F167" s="73" t="s">
        <v>150</v>
      </c>
      <c r="G167" s="59">
        <f>+'OCTUBRE '!G167+NOVIEMBRE!G167+'DICIEMBRE 2025'!G167</f>
        <v>2360832.9700000002</v>
      </c>
      <c r="H167" s="59">
        <f>+'OCTUBRE '!H167+NOVIEMBRE!H167+'DICIEMBRE 2025'!H167</f>
        <v>1127420.1000000001</v>
      </c>
      <c r="I167" s="59">
        <f t="shared" si="5"/>
        <v>3488253.0700000003</v>
      </c>
      <c r="J167" s="60"/>
    </row>
    <row r="168" spans="1:10" ht="25.5" x14ac:dyDescent="0.2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80" t="s">
        <v>151</v>
      </c>
      <c r="G168" s="64">
        <f>+'OCTUBRE '!G168+NOVIEMBRE!G168+'DICIEMBRE 2025'!G168</f>
        <v>0</v>
      </c>
      <c r="H168" s="64">
        <f>+'OCTUBRE '!H168+NOVIEMBRE!H168+'DICIEMBRE 2025'!H168</f>
        <v>0</v>
      </c>
      <c r="I168" s="64">
        <f t="shared" si="5"/>
        <v>0</v>
      </c>
      <c r="J168" s="65">
        <f t="shared" ref="J168:J176" si="7">I168/$I$25</f>
        <v>0</v>
      </c>
    </row>
    <row r="169" spans="1:10" ht="25.5" x14ac:dyDescent="0.2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80" t="s">
        <v>152</v>
      </c>
      <c r="G169" s="64">
        <f>+'OCTUBRE '!G169+NOVIEMBRE!G169+'DICIEMBRE 2025'!G169</f>
        <v>0</v>
      </c>
      <c r="H169" s="64">
        <f>+'OCTUBRE '!H169+NOVIEMBRE!H169+'DICIEMBRE 2025'!H169</f>
        <v>0</v>
      </c>
      <c r="I169" s="64">
        <f t="shared" si="5"/>
        <v>0</v>
      </c>
      <c r="J169" s="65">
        <f t="shared" si="7"/>
        <v>0</v>
      </c>
    </row>
    <row r="170" spans="1:10" x14ac:dyDescent="0.2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80" t="s">
        <v>153</v>
      </c>
      <c r="G170" s="64">
        <f>+'OCTUBRE '!G170+NOVIEMBRE!G170+'DICIEMBRE 2025'!G170</f>
        <v>0</v>
      </c>
      <c r="H170" s="64">
        <f>+'OCTUBRE '!H170+NOVIEMBRE!H170+'DICIEMBRE 2025'!H170</f>
        <v>0</v>
      </c>
      <c r="I170" s="64">
        <f t="shared" si="5"/>
        <v>0</v>
      </c>
      <c r="J170" s="65">
        <f t="shared" si="7"/>
        <v>0</v>
      </c>
    </row>
    <row r="171" spans="1:10" ht="25.5" x14ac:dyDescent="0.2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80" t="s">
        <v>154</v>
      </c>
      <c r="G171" s="64">
        <f>+'OCTUBRE '!G171+NOVIEMBRE!G171+'DICIEMBRE 2025'!G171</f>
        <v>1032483.37</v>
      </c>
      <c r="H171" s="64">
        <f>+'OCTUBRE '!H171+NOVIEMBRE!H171+'DICIEMBRE 2025'!H171</f>
        <v>513300</v>
      </c>
      <c r="I171" s="64">
        <f t="shared" si="5"/>
        <v>1545783.37</v>
      </c>
      <c r="J171" s="65">
        <f t="shared" si="7"/>
        <v>3.1554851971981744E-3</v>
      </c>
    </row>
    <row r="172" spans="1:10" x14ac:dyDescent="0.2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80" t="s">
        <v>155</v>
      </c>
      <c r="G172" s="64">
        <f>+'OCTUBRE '!G172+NOVIEMBRE!G172+'DICIEMBRE 2025'!G172</f>
        <v>0</v>
      </c>
      <c r="H172" s="64">
        <f>+'OCTUBRE '!H172+NOVIEMBRE!H172+'DICIEMBRE 2025'!H172</f>
        <v>0</v>
      </c>
      <c r="I172" s="64">
        <f t="shared" si="5"/>
        <v>0</v>
      </c>
      <c r="J172" s="65">
        <f t="shared" si="7"/>
        <v>0</v>
      </c>
    </row>
    <row r="173" spans="1:10" ht="25.5" x14ac:dyDescent="0.2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f>+'OCTUBRE '!G173+NOVIEMBRE!G173+'DICIEMBRE 2025'!G173</f>
        <v>0</v>
      </c>
      <c r="H173" s="64">
        <f>+'OCTUBRE '!H173+NOVIEMBRE!H173+'DICIEMBRE 2025'!H173</f>
        <v>252741.56</v>
      </c>
      <c r="I173" s="64">
        <f t="shared" si="5"/>
        <v>252741.56</v>
      </c>
      <c r="J173" s="65">
        <f t="shared" si="7"/>
        <v>5.1593403498497597E-4</v>
      </c>
    </row>
    <row r="174" spans="1:10" ht="25.5" x14ac:dyDescent="0.2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+'OCTUBRE '!G174+NOVIEMBRE!G174+'DICIEMBRE 2025'!G174</f>
        <v>0</v>
      </c>
      <c r="H174" s="64">
        <f>+'OCTUBRE '!H174+NOVIEMBRE!H174+'DICIEMBRE 2025'!H174</f>
        <v>0</v>
      </c>
      <c r="I174" s="64">
        <f t="shared" si="5"/>
        <v>0</v>
      </c>
      <c r="J174" s="65">
        <f t="shared" si="7"/>
        <v>0</v>
      </c>
    </row>
    <row r="175" spans="1:10" x14ac:dyDescent="0.2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f>+'OCTUBRE '!G175+NOVIEMBRE!G175+'DICIEMBRE 2025'!G175</f>
        <v>1328349.6000000001</v>
      </c>
      <c r="H175" s="64">
        <f>+'OCTUBRE '!H175+NOVIEMBRE!H175+'DICIEMBRE 2025'!H175</f>
        <v>361378.54</v>
      </c>
      <c r="I175" s="64">
        <f t="shared" si="5"/>
        <v>1689728.1400000001</v>
      </c>
      <c r="J175" s="65">
        <f t="shared" si="7"/>
        <v>3.4493268827566728E-3</v>
      </c>
    </row>
    <row r="176" spans="1:10" ht="25.5" x14ac:dyDescent="0.2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+'OCTUBRE '!G176+NOVIEMBRE!G176+'DICIEMBRE 2025'!G176</f>
        <v>0</v>
      </c>
      <c r="H176" s="64">
        <f>+'OCTUBRE '!H176+NOVIEMBRE!H176+'DICIEMBRE 2025'!H176</f>
        <v>0</v>
      </c>
      <c r="I176" s="64">
        <f t="shared" si="5"/>
        <v>0</v>
      </c>
      <c r="J176" s="65">
        <f t="shared" si="7"/>
        <v>0</v>
      </c>
    </row>
    <row r="177" spans="1:10" x14ac:dyDescent="0.2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+'OCTUBRE '!G177+NOVIEMBRE!G177+'DICIEMBRE 2025'!G177</f>
        <v>0</v>
      </c>
      <c r="H177" s="59">
        <f>+'OCTUBRE '!H177+NOVIEMBRE!H177+'DICIEMBRE 2025'!H177</f>
        <v>0</v>
      </c>
      <c r="I177" s="59">
        <f t="shared" si="5"/>
        <v>0</v>
      </c>
      <c r="J177" s="60"/>
    </row>
    <row r="178" spans="1:10" x14ac:dyDescent="0.2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+'OCTUBRE '!G178+NOVIEMBRE!G178+'DICIEMBRE 2025'!G178</f>
        <v>0</v>
      </c>
      <c r="H178" s="64">
        <f>+'OCTUBRE '!H178+NOVIEMBRE!H178+'DICIEMBRE 2025'!H178</f>
        <v>0</v>
      </c>
      <c r="I178" s="64">
        <f t="shared" si="5"/>
        <v>0</v>
      </c>
      <c r="J178" s="65">
        <f>I178/$I$25</f>
        <v>0</v>
      </c>
    </row>
    <row r="179" spans="1:10" x14ac:dyDescent="0.2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+'OCTUBRE '!G179+NOVIEMBRE!G179+'DICIEMBRE 2025'!G179</f>
        <v>547000</v>
      </c>
      <c r="H179" s="56">
        <f>+'OCTUBRE '!H179+NOVIEMBRE!H179+'DICIEMBRE 2025'!H179</f>
        <v>1998629.85</v>
      </c>
      <c r="I179" s="56">
        <f t="shared" si="5"/>
        <v>2545629.85</v>
      </c>
      <c r="J179" s="53"/>
    </row>
    <row r="180" spans="1:10" x14ac:dyDescent="0.2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+'OCTUBRE '!G180+NOVIEMBRE!G180+'DICIEMBRE 2025'!G180</f>
        <v>0</v>
      </c>
      <c r="H180" s="59">
        <f>+'OCTUBRE '!H180+NOVIEMBRE!H180+'DICIEMBRE 2025'!H180</f>
        <v>0</v>
      </c>
      <c r="I180" s="59">
        <f t="shared" si="5"/>
        <v>0</v>
      </c>
      <c r="J180" s="60"/>
    </row>
    <row r="181" spans="1:10" x14ac:dyDescent="0.2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+'OCTUBRE '!G181+NOVIEMBRE!G181+'DICIEMBRE 2025'!G181</f>
        <v>0</v>
      </c>
      <c r="H181" s="64">
        <f>+'OCTUBRE '!H181+NOVIEMBRE!H181+'DICIEMBRE 2025'!H181</f>
        <v>0</v>
      </c>
      <c r="I181" s="64">
        <f t="shared" si="5"/>
        <v>0</v>
      </c>
      <c r="J181" s="65">
        <f>I181/$I$25</f>
        <v>0</v>
      </c>
    </row>
    <row r="182" spans="1:10" x14ac:dyDescent="0.2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+'OCTUBRE '!G182+NOVIEMBRE!G182+'DICIEMBRE 2025'!G182</f>
        <v>0</v>
      </c>
      <c r="H182" s="59">
        <f>+'OCTUBRE '!H182+NOVIEMBRE!H182+'DICIEMBRE 2025'!H182</f>
        <v>0</v>
      </c>
      <c r="I182" s="59">
        <f t="shared" si="5"/>
        <v>0</v>
      </c>
      <c r="J182" s="60"/>
    </row>
    <row r="183" spans="1:10" x14ac:dyDescent="0.2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+'OCTUBRE '!G183+NOVIEMBRE!G183+'DICIEMBRE 2025'!G183</f>
        <v>0</v>
      </c>
      <c r="H183" s="64">
        <f>+'OCTUBRE '!H183+NOVIEMBRE!H183+'DICIEMBRE 2025'!H183</f>
        <v>0</v>
      </c>
      <c r="I183" s="64">
        <f t="shared" si="5"/>
        <v>0</v>
      </c>
      <c r="J183" s="65">
        <f>I183/$I$25</f>
        <v>0</v>
      </c>
    </row>
    <row r="184" spans="1:10" x14ac:dyDescent="0.2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+'OCTUBRE '!G184+NOVIEMBRE!G184+'DICIEMBRE 2025'!G184</f>
        <v>224500</v>
      </c>
      <c r="H184" s="59">
        <f>+'OCTUBRE '!H184+NOVIEMBRE!H184+'DICIEMBRE 2025'!H184</f>
        <v>15000</v>
      </c>
      <c r="I184" s="59">
        <f t="shared" si="5"/>
        <v>239500</v>
      </c>
      <c r="J184" s="60"/>
    </row>
    <row r="185" spans="1:10" x14ac:dyDescent="0.2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+'OCTUBRE '!G185+NOVIEMBRE!G185+'DICIEMBRE 2025'!G185</f>
        <v>224500</v>
      </c>
      <c r="H185" s="64">
        <f>+'OCTUBRE '!H185+NOVIEMBRE!H185+'DICIEMBRE 2025'!H185</f>
        <v>15000</v>
      </c>
      <c r="I185" s="64">
        <f t="shared" si="5"/>
        <v>239500</v>
      </c>
      <c r="J185" s="65">
        <f>I185/$I$25</f>
        <v>4.8890337378190501E-4</v>
      </c>
    </row>
    <row r="186" spans="1:10" x14ac:dyDescent="0.2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+'OCTUBRE '!G186+NOVIEMBRE!G186+'DICIEMBRE 2025'!G186</f>
        <v>0</v>
      </c>
      <c r="H186" s="59">
        <f>+'OCTUBRE '!H186+NOVIEMBRE!H186+'DICIEMBRE 2025'!H186</f>
        <v>0</v>
      </c>
      <c r="I186" s="59">
        <f t="shared" si="5"/>
        <v>0</v>
      </c>
      <c r="J186" s="60"/>
    </row>
    <row r="187" spans="1:10" x14ac:dyDescent="0.2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+'OCTUBRE '!G187+NOVIEMBRE!G187+'DICIEMBRE 2025'!G187</f>
        <v>0</v>
      </c>
      <c r="H187" s="64">
        <f>+'OCTUBRE '!H187+NOVIEMBRE!H187+'DICIEMBRE 2025'!H187</f>
        <v>0</v>
      </c>
      <c r="I187" s="64">
        <f t="shared" si="5"/>
        <v>0</v>
      </c>
      <c r="J187" s="65">
        <f>I187/$I$25</f>
        <v>0</v>
      </c>
    </row>
    <row r="188" spans="1:10" x14ac:dyDescent="0.2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+'OCTUBRE '!G188+NOVIEMBRE!G188+'DICIEMBRE 2025'!G188</f>
        <v>0</v>
      </c>
      <c r="H188" s="59">
        <f>+'OCTUBRE '!H188+NOVIEMBRE!H188+'DICIEMBRE 2025'!H188</f>
        <v>860361.61</v>
      </c>
      <c r="I188" s="59">
        <f t="shared" si="5"/>
        <v>860361.61</v>
      </c>
      <c r="J188" s="60"/>
    </row>
    <row r="189" spans="1:10" x14ac:dyDescent="0.2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+'OCTUBRE '!G189+NOVIEMBRE!G189+'DICIEMBRE 2025'!G189</f>
        <v>0</v>
      </c>
      <c r="H189" s="64">
        <f>+'OCTUBRE '!H189+NOVIEMBRE!H189+'DICIEMBRE 2025'!H189</f>
        <v>202960</v>
      </c>
      <c r="I189" s="64">
        <f t="shared" si="5"/>
        <v>202960</v>
      </c>
      <c r="J189" s="65">
        <f>I189/$I$25</f>
        <v>4.1431243733935463E-4</v>
      </c>
    </row>
    <row r="190" spans="1:10" x14ac:dyDescent="0.2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+'OCTUBRE '!G190+NOVIEMBRE!G190+'DICIEMBRE 2025'!G190</f>
        <v>0</v>
      </c>
      <c r="H190" s="64">
        <f>+'OCTUBRE '!H190+NOVIEMBRE!H190+'DICIEMBRE 2025'!H190</f>
        <v>0</v>
      </c>
      <c r="I190" s="64">
        <f t="shared" si="5"/>
        <v>0</v>
      </c>
      <c r="J190" s="65">
        <f>I190/$I$25</f>
        <v>0</v>
      </c>
    </row>
    <row r="191" spans="1:10" x14ac:dyDescent="0.2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+'OCTUBRE '!G191+NOVIEMBRE!G191+'DICIEMBRE 2025'!G191</f>
        <v>0</v>
      </c>
      <c r="H191" s="64">
        <f>+'OCTUBRE '!H191+NOVIEMBRE!H191+'DICIEMBRE 2025'!H191</f>
        <v>657401.61</v>
      </c>
      <c r="I191" s="64">
        <f t="shared" si="5"/>
        <v>657401.61</v>
      </c>
      <c r="J191" s="65">
        <f>I191/$I$25</f>
        <v>1.3419869104745556E-3</v>
      </c>
    </row>
    <row r="192" spans="1:10" x14ac:dyDescent="0.2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+'OCTUBRE '!G192+NOVIEMBRE!G192+'DICIEMBRE 2025'!G192</f>
        <v>0</v>
      </c>
      <c r="H192" s="59">
        <f>+'OCTUBRE '!H192+NOVIEMBRE!H192+'DICIEMBRE 2025'!H192</f>
        <v>86730</v>
      </c>
      <c r="I192" s="59">
        <f t="shared" si="5"/>
        <v>86730</v>
      </c>
      <c r="J192" s="60"/>
    </row>
    <row r="193" spans="1:10" x14ac:dyDescent="0.2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+'OCTUBRE '!G193+NOVIEMBRE!G193+'DICIEMBRE 2025'!G193</f>
        <v>0</v>
      </c>
      <c r="H193" s="64">
        <f>+'OCTUBRE '!H193+NOVIEMBRE!H193+'DICIEMBRE 2025'!H193</f>
        <v>86730</v>
      </c>
      <c r="I193" s="64">
        <f t="shared" si="5"/>
        <v>86730</v>
      </c>
      <c r="J193" s="65">
        <f>I193/$I$25</f>
        <v>1.7704630316536376E-4</v>
      </c>
    </row>
    <row r="194" spans="1:10" x14ac:dyDescent="0.2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+'OCTUBRE '!G194+NOVIEMBRE!G194+'DICIEMBRE 2025'!G194</f>
        <v>0</v>
      </c>
      <c r="H194" s="64">
        <f>+'OCTUBRE '!H194+NOVIEMBRE!H194+'DICIEMBRE 2025'!H194</f>
        <v>0</v>
      </c>
      <c r="I194" s="64">
        <f t="shared" si="5"/>
        <v>0</v>
      </c>
      <c r="J194" s="65">
        <f>I194/$I$25</f>
        <v>0</v>
      </c>
    </row>
    <row r="195" spans="1:10" x14ac:dyDescent="0.2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+'OCTUBRE '!G195+NOVIEMBRE!G195+'DICIEMBRE 2025'!G195</f>
        <v>0</v>
      </c>
      <c r="H195" s="64">
        <f>+'OCTUBRE '!H195+NOVIEMBRE!H195+'DICIEMBRE 2025'!H195</f>
        <v>0</v>
      </c>
      <c r="I195" s="64">
        <f t="shared" si="5"/>
        <v>0</v>
      </c>
      <c r="J195" s="65">
        <f>I195/$I$25</f>
        <v>0</v>
      </c>
    </row>
    <row r="196" spans="1:10" x14ac:dyDescent="0.2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+'OCTUBRE '!G196+NOVIEMBRE!G196+'DICIEMBRE 2025'!G196</f>
        <v>0</v>
      </c>
      <c r="H196" s="64">
        <f>+'OCTUBRE '!H196+NOVIEMBRE!H196+'DICIEMBRE 2025'!H196</f>
        <v>0</v>
      </c>
      <c r="I196" s="64">
        <f t="shared" si="5"/>
        <v>0</v>
      </c>
      <c r="J196" s="65">
        <f>I196/$I$25</f>
        <v>0</v>
      </c>
    </row>
    <row r="197" spans="1:10" x14ac:dyDescent="0.2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+'OCTUBRE '!G197+NOVIEMBRE!G197+'DICIEMBRE 2025'!G197</f>
        <v>322500</v>
      </c>
      <c r="H197" s="59">
        <f>+'OCTUBRE '!H197+NOVIEMBRE!H197+'DICIEMBRE 2025'!H197</f>
        <v>1011601</v>
      </c>
      <c r="I197" s="59">
        <f t="shared" si="5"/>
        <v>1334101</v>
      </c>
      <c r="J197" s="60"/>
    </row>
    <row r="198" spans="1:10" x14ac:dyDescent="0.2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f>+'OCTUBRE '!G198+NOVIEMBRE!G198+'DICIEMBRE 2025'!G198</f>
        <v>0</v>
      </c>
      <c r="H198" s="64">
        <f>+'OCTUBRE '!H198+NOVIEMBRE!H198+'DICIEMBRE 2025'!H198</f>
        <v>0</v>
      </c>
      <c r="I198" s="64">
        <f t="shared" si="5"/>
        <v>0</v>
      </c>
      <c r="J198" s="65">
        <f t="shared" ref="J198:J203" si="8">I198/$I$25</f>
        <v>0</v>
      </c>
    </row>
    <row r="199" spans="1:10" x14ac:dyDescent="0.2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+'OCTUBRE '!G199+NOVIEMBRE!G199+'DICIEMBRE 2025'!G199</f>
        <v>0</v>
      </c>
      <c r="H199" s="64">
        <f>+'OCTUBRE '!H199+NOVIEMBRE!H199+'DICIEMBRE 2025'!H199</f>
        <v>17700</v>
      </c>
      <c r="I199" s="64">
        <f t="shared" si="5"/>
        <v>17700</v>
      </c>
      <c r="J199" s="65">
        <f t="shared" si="8"/>
        <v>3.6131898605176276E-5</v>
      </c>
    </row>
    <row r="200" spans="1:10" x14ac:dyDescent="0.2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+'OCTUBRE '!G200+NOVIEMBRE!G200+'DICIEMBRE 2025'!G200</f>
        <v>0</v>
      </c>
      <c r="H200" s="64">
        <f>+'OCTUBRE '!H200+NOVIEMBRE!H200+'DICIEMBRE 2025'!H200</f>
        <v>0</v>
      </c>
      <c r="I200" s="64">
        <f t="shared" si="5"/>
        <v>0</v>
      </c>
      <c r="J200" s="65">
        <f t="shared" si="8"/>
        <v>0</v>
      </c>
    </row>
    <row r="201" spans="1:10" x14ac:dyDescent="0.2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+'OCTUBRE '!G201+NOVIEMBRE!G201+'DICIEMBRE 2025'!G201</f>
        <v>0</v>
      </c>
      <c r="H201" s="64">
        <f>+'OCTUBRE '!H201+NOVIEMBRE!H201+'DICIEMBRE 2025'!H201</f>
        <v>0</v>
      </c>
      <c r="I201" s="64">
        <f t="shared" si="5"/>
        <v>0</v>
      </c>
      <c r="J201" s="65">
        <f t="shared" si="8"/>
        <v>0</v>
      </c>
    </row>
    <row r="202" spans="1:10" x14ac:dyDescent="0.2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+'OCTUBRE '!G202+NOVIEMBRE!G202+'DICIEMBRE 2025'!G202</f>
        <v>0</v>
      </c>
      <c r="H202" s="64">
        <f>+'OCTUBRE '!H202+NOVIEMBRE!H202+'DICIEMBRE 2025'!H202</f>
        <v>390816</v>
      </c>
      <c r="I202" s="64">
        <f t="shared" si="5"/>
        <v>390816</v>
      </c>
      <c r="J202" s="65">
        <f t="shared" si="8"/>
        <v>7.9779232120229216E-4</v>
      </c>
    </row>
    <row r="203" spans="1:10" x14ac:dyDescent="0.2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+'OCTUBRE '!G203+NOVIEMBRE!G203+'DICIEMBRE 2025'!G203</f>
        <v>322500</v>
      </c>
      <c r="H203" s="64">
        <f>+'OCTUBRE '!H203+NOVIEMBRE!H203+'DICIEMBRE 2025'!H203</f>
        <v>603085</v>
      </c>
      <c r="I203" s="64">
        <f t="shared" si="5"/>
        <v>925585</v>
      </c>
      <c r="J203" s="65">
        <f t="shared" si="8"/>
        <v>1.8894431282752589E-3</v>
      </c>
    </row>
    <row r="204" spans="1:10" x14ac:dyDescent="0.2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+'OCTUBRE '!G204+NOVIEMBRE!G204+'DICIEMBRE 2025'!G204</f>
        <v>0</v>
      </c>
      <c r="H204" s="59">
        <f>+'OCTUBRE '!H204+NOVIEMBRE!H204+'DICIEMBRE 2025'!H204</f>
        <v>24937.239999999998</v>
      </c>
      <c r="I204" s="59">
        <f t="shared" si="5"/>
        <v>24937.239999999998</v>
      </c>
      <c r="J204" s="60"/>
    </row>
    <row r="205" spans="1:10" x14ac:dyDescent="0.2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+'OCTUBRE '!G205+NOVIEMBRE!G205+'DICIEMBRE 2025'!G205</f>
        <v>0</v>
      </c>
      <c r="H205" s="64">
        <f>+'OCTUBRE '!H205+NOVIEMBRE!H205+'DICIEMBRE 2025'!H205</f>
        <v>24937.239999999998</v>
      </c>
      <c r="I205" s="64">
        <f t="shared" si="5"/>
        <v>24937.239999999998</v>
      </c>
      <c r="J205" s="65">
        <f>I205/$I$25</f>
        <v>5.0905639953273779E-5</v>
      </c>
    </row>
    <row r="206" spans="1:10" x14ac:dyDescent="0.2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+'OCTUBRE '!G206+NOVIEMBRE!G206+'DICIEMBRE 2025'!G206</f>
        <v>0</v>
      </c>
      <c r="H206" s="64">
        <f>+'OCTUBRE '!H206+NOVIEMBRE!H206+'DICIEMBRE 2025'!H206</f>
        <v>0</v>
      </c>
      <c r="I206" s="64">
        <f t="shared" si="5"/>
        <v>0</v>
      </c>
      <c r="J206" s="65">
        <f>I206/$I$25</f>
        <v>0</v>
      </c>
    </row>
    <row r="207" spans="1:10" x14ac:dyDescent="0.2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+'OCTUBRE '!G207+NOVIEMBRE!G207+'DICIEMBRE 2025'!G207</f>
        <v>0</v>
      </c>
      <c r="H207" s="64">
        <f>+'OCTUBRE '!H207+NOVIEMBRE!H207+'DICIEMBRE 2025'!H207</f>
        <v>0</v>
      </c>
      <c r="I207" s="64">
        <f t="shared" si="5"/>
        <v>0</v>
      </c>
      <c r="J207" s="65">
        <f>I207/$I$25</f>
        <v>0</v>
      </c>
    </row>
    <row r="208" spans="1:10" x14ac:dyDescent="0.2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+'OCTUBRE '!G208+NOVIEMBRE!G208+'DICIEMBRE 2025'!G208</f>
        <v>0</v>
      </c>
      <c r="H208" s="56">
        <f>+'OCTUBRE '!H208+NOVIEMBRE!H208+'DICIEMBRE 2025'!H208</f>
        <v>1734600</v>
      </c>
      <c r="I208" s="56">
        <f t="shared" si="5"/>
        <v>1734600</v>
      </c>
      <c r="J208" s="53"/>
    </row>
    <row r="209" spans="1:10" x14ac:dyDescent="0.2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+'OCTUBRE '!G209+NOVIEMBRE!G209+'DICIEMBRE 2025'!G209</f>
        <v>0</v>
      </c>
      <c r="H209" s="59">
        <f>+'OCTUBRE '!H209+NOVIEMBRE!H209+'DICIEMBRE 2025'!H209</f>
        <v>1734600</v>
      </c>
      <c r="I209" s="59">
        <f t="shared" si="5"/>
        <v>1734600</v>
      </c>
      <c r="J209" s="60"/>
    </row>
    <row r="210" spans="1:10" x14ac:dyDescent="0.2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f>+'OCTUBRE '!G210+NOVIEMBRE!G210+'DICIEMBRE 2025'!G210</f>
        <v>0</v>
      </c>
      <c r="H210" s="64">
        <f>+'OCTUBRE '!H210+NOVIEMBRE!H210+'DICIEMBRE 2025'!H210</f>
        <v>0</v>
      </c>
      <c r="I210" s="64">
        <f t="shared" si="5"/>
        <v>0</v>
      </c>
      <c r="J210" s="65">
        <f>I210/$I$25</f>
        <v>0</v>
      </c>
    </row>
    <row r="211" spans="1:10" x14ac:dyDescent="0.2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f>+'OCTUBRE '!G211+NOVIEMBRE!G211+'DICIEMBRE 2025'!G211</f>
        <v>0</v>
      </c>
      <c r="H211" s="64">
        <f>+'OCTUBRE '!H211+NOVIEMBRE!H211+'DICIEMBRE 2025'!H211</f>
        <v>1734600</v>
      </c>
      <c r="I211" s="64">
        <f t="shared" si="5"/>
        <v>1734600</v>
      </c>
      <c r="J211" s="65">
        <f>I211/$I$25</f>
        <v>3.540926063307275E-3</v>
      </c>
    </row>
    <row r="212" spans="1:10" x14ac:dyDescent="0.2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+'OCTUBRE '!G212+NOVIEMBRE!G212+'DICIEMBRE 2025'!G212</f>
        <v>117385204.33</v>
      </c>
      <c r="H212" s="56">
        <f>+'OCTUBRE '!H212+NOVIEMBRE!H212+'DICIEMBRE 2025'!H212</f>
        <v>19205451.41</v>
      </c>
      <c r="I212" s="56">
        <f t="shared" si="5"/>
        <v>136590655.74000001</v>
      </c>
      <c r="J212" s="53">
        <f>I212/$I$25</f>
        <v>0.27882936291594457</v>
      </c>
    </row>
    <row r="213" spans="1:10" x14ac:dyDescent="0.2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+'OCTUBRE '!G213+NOVIEMBRE!G213+'DICIEMBRE 2025'!G213</f>
        <v>7244630.0800000001</v>
      </c>
      <c r="H213" s="56">
        <f>+'OCTUBRE '!H213+NOVIEMBRE!H213+'DICIEMBRE 2025'!H213</f>
        <v>645867</v>
      </c>
      <c r="I213" s="56">
        <f t="shared" si="5"/>
        <v>7890497.0800000001</v>
      </c>
      <c r="J213" s="53"/>
    </row>
    <row r="214" spans="1:10" x14ac:dyDescent="0.2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+'OCTUBRE '!G214+NOVIEMBRE!G214+'DICIEMBRE 2025'!G214</f>
        <v>7244630.0800000001</v>
      </c>
      <c r="H214" s="59">
        <f>+'OCTUBRE '!H214+NOVIEMBRE!H214+'DICIEMBRE 2025'!H214</f>
        <v>645867</v>
      </c>
      <c r="I214" s="59">
        <f t="shared" si="5"/>
        <v>7890497.0800000001</v>
      </c>
      <c r="J214" s="60"/>
    </row>
    <row r="215" spans="1:10" x14ac:dyDescent="0.2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f>+'OCTUBRE '!G215+NOVIEMBRE!G215+'DICIEMBRE 2025'!G215</f>
        <v>7244630.0800000001</v>
      </c>
      <c r="H215" s="64">
        <f>+'OCTUBRE '!H215+NOVIEMBRE!H215+'DICIEMBRE 2025'!H215</f>
        <v>645867</v>
      </c>
      <c r="I215" s="64">
        <f t="shared" si="5"/>
        <v>7890497.0800000001</v>
      </c>
      <c r="J215" s="65">
        <f>I215/$I$25</f>
        <v>1.6107267821412398E-2</v>
      </c>
    </row>
    <row r="216" spans="1:10" x14ac:dyDescent="0.2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+'OCTUBRE '!G216+NOVIEMBRE!G216+'DICIEMBRE 2025'!G216</f>
        <v>0</v>
      </c>
      <c r="H216" s="64">
        <f>+'OCTUBRE '!H216+NOVIEMBRE!H216+'DICIEMBRE 2025'!H216</f>
        <v>0</v>
      </c>
      <c r="I216" s="64">
        <f t="shared" si="5"/>
        <v>0</v>
      </c>
      <c r="J216" s="65">
        <f>I216/$I$25</f>
        <v>0</v>
      </c>
    </row>
    <row r="217" spans="1:10" x14ac:dyDescent="0.2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+'OCTUBRE '!G217+NOVIEMBRE!G217+'DICIEMBRE 2025'!G217</f>
        <v>0</v>
      </c>
      <c r="H217" s="59">
        <f>+'OCTUBRE '!H217+NOVIEMBRE!H217+'DICIEMBRE 2025'!H217</f>
        <v>0</v>
      </c>
      <c r="I217" s="59">
        <f t="shared" ref="I217:I280" si="9">SUM(G217:H217)</f>
        <v>0</v>
      </c>
      <c r="J217" s="60"/>
    </row>
    <row r="218" spans="1:10" x14ac:dyDescent="0.2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+'OCTUBRE '!G218+NOVIEMBRE!G218+'DICIEMBRE 2025'!G218</f>
        <v>0</v>
      </c>
      <c r="H218" s="64">
        <f>+'OCTUBRE '!H218+NOVIEMBRE!H218+'DICIEMBRE 2025'!H218</f>
        <v>0</v>
      </c>
      <c r="I218" s="64">
        <f t="shared" si="9"/>
        <v>0</v>
      </c>
      <c r="J218" s="65">
        <f>I218/$I$25</f>
        <v>0</v>
      </c>
    </row>
    <row r="219" spans="1:10" x14ac:dyDescent="0.2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+'OCTUBRE '!G219+NOVIEMBRE!G219+'DICIEMBRE 2025'!G219</f>
        <v>0</v>
      </c>
      <c r="H219" s="59">
        <f>+'OCTUBRE '!H219+NOVIEMBRE!H219+'DICIEMBRE 2025'!H219</f>
        <v>0</v>
      </c>
      <c r="I219" s="59">
        <f t="shared" si="9"/>
        <v>0</v>
      </c>
      <c r="J219" s="60"/>
    </row>
    <row r="220" spans="1:10" x14ac:dyDescent="0.2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+'OCTUBRE '!G220+NOVIEMBRE!G220+'DICIEMBRE 2025'!G220</f>
        <v>0</v>
      </c>
      <c r="H220" s="64">
        <f>+'OCTUBRE '!H220+NOVIEMBRE!H220+'DICIEMBRE 2025'!H220</f>
        <v>0</v>
      </c>
      <c r="I220" s="64">
        <f t="shared" si="9"/>
        <v>0</v>
      </c>
      <c r="J220" s="65">
        <f>I220/$I$25</f>
        <v>0</v>
      </c>
    </row>
    <row r="221" spans="1:10" x14ac:dyDescent="0.2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+'OCTUBRE '!G221+NOVIEMBRE!G221+'DICIEMBRE 2025'!G221</f>
        <v>0</v>
      </c>
      <c r="H221" s="64">
        <f>+'OCTUBRE '!H221+NOVIEMBRE!H221+'DICIEMBRE 2025'!H221</f>
        <v>0</v>
      </c>
      <c r="I221" s="64">
        <f t="shared" si="9"/>
        <v>0</v>
      </c>
      <c r="J221" s="65">
        <f>I221/$I$25</f>
        <v>0</v>
      </c>
    </row>
    <row r="222" spans="1:10" x14ac:dyDescent="0.2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+'OCTUBRE '!G222+NOVIEMBRE!G222+'DICIEMBRE 2025'!G222</f>
        <v>0</v>
      </c>
      <c r="H222" s="64">
        <f>+'OCTUBRE '!H222+NOVIEMBRE!H222+'DICIEMBRE 2025'!H222</f>
        <v>0</v>
      </c>
      <c r="I222" s="64">
        <f t="shared" si="9"/>
        <v>0</v>
      </c>
      <c r="J222" s="65">
        <f>I222/$I$25</f>
        <v>0</v>
      </c>
    </row>
    <row r="223" spans="1:10" x14ac:dyDescent="0.2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+'OCTUBRE '!G223+NOVIEMBRE!G223+'DICIEMBRE 2025'!G223</f>
        <v>0</v>
      </c>
      <c r="H223" s="59">
        <f>+'OCTUBRE '!H223+NOVIEMBRE!H223+'DICIEMBRE 2025'!H223</f>
        <v>0</v>
      </c>
      <c r="I223" s="59">
        <f t="shared" si="9"/>
        <v>0</v>
      </c>
      <c r="J223" s="60"/>
    </row>
    <row r="224" spans="1:10" x14ac:dyDescent="0.2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+'OCTUBRE '!G224+NOVIEMBRE!G224+'DICIEMBRE 2025'!G224</f>
        <v>0</v>
      </c>
      <c r="H224" s="64">
        <f>+'OCTUBRE '!H224+NOVIEMBRE!H224+'DICIEMBRE 2025'!H224</f>
        <v>0</v>
      </c>
      <c r="I224" s="64">
        <f t="shared" si="9"/>
        <v>0</v>
      </c>
      <c r="J224" s="65">
        <f>I224/$I$25</f>
        <v>0</v>
      </c>
    </row>
    <row r="225" spans="1:10" x14ac:dyDescent="0.2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+'OCTUBRE '!G225+NOVIEMBRE!G225+'DICIEMBRE 2025'!G225</f>
        <v>942481.03</v>
      </c>
      <c r="H225" s="56">
        <f>+'OCTUBRE '!H225+NOVIEMBRE!H225+'DICIEMBRE 2025'!H225</f>
        <v>623449.22</v>
      </c>
      <c r="I225" s="56">
        <f t="shared" si="9"/>
        <v>1565930.25</v>
      </c>
      <c r="J225" s="53"/>
    </row>
    <row r="226" spans="1:10" x14ac:dyDescent="0.2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+'OCTUBRE '!G226+NOVIEMBRE!G226+'DICIEMBRE 2025'!G226</f>
        <v>557734.03</v>
      </c>
      <c r="H226" s="59">
        <f>+'OCTUBRE '!H226+NOVIEMBRE!H226+'DICIEMBRE 2025'!H226</f>
        <v>0</v>
      </c>
      <c r="I226" s="59">
        <f t="shared" si="9"/>
        <v>557734.03</v>
      </c>
      <c r="J226" s="60"/>
    </row>
    <row r="227" spans="1:10" x14ac:dyDescent="0.2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+'OCTUBRE '!G227+NOVIEMBRE!G227+'DICIEMBRE 2025'!G227</f>
        <v>557734.03</v>
      </c>
      <c r="H227" s="64">
        <f>+'OCTUBRE '!H227+NOVIEMBRE!H227+'DICIEMBRE 2025'!H227</f>
        <v>0</v>
      </c>
      <c r="I227" s="64">
        <f t="shared" si="9"/>
        <v>557734.03</v>
      </c>
      <c r="J227" s="65">
        <f>I227/$I$25</f>
        <v>1.1385304757410364E-3</v>
      </c>
    </row>
    <row r="228" spans="1:10" x14ac:dyDescent="0.2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+'OCTUBRE '!G228+NOVIEMBRE!G228+'DICIEMBRE 2025'!G228</f>
        <v>317487</v>
      </c>
      <c r="H228" s="59">
        <f>+'OCTUBRE '!H228+NOVIEMBRE!H228+'DICIEMBRE 2025'!H228</f>
        <v>623449.22</v>
      </c>
      <c r="I228" s="59">
        <f t="shared" si="9"/>
        <v>940936.22</v>
      </c>
      <c r="J228" s="60"/>
    </row>
    <row r="229" spans="1:10" x14ac:dyDescent="0.2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f>+'OCTUBRE '!G229+NOVIEMBRE!G229+'DICIEMBRE 2025'!G229</f>
        <v>317487</v>
      </c>
      <c r="H229" s="64">
        <f>+'OCTUBRE '!H229+NOVIEMBRE!H229+'DICIEMBRE 2025'!H229</f>
        <v>623449.22</v>
      </c>
      <c r="I229" s="64">
        <f t="shared" si="9"/>
        <v>940936.22</v>
      </c>
      <c r="J229" s="65">
        <f>I229/$I$25</f>
        <v>1.9207803443490302E-3</v>
      </c>
    </row>
    <row r="230" spans="1:10" x14ac:dyDescent="0.2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+'OCTUBRE '!G230+NOVIEMBRE!G230+'DICIEMBRE 2025'!G230</f>
        <v>67260</v>
      </c>
      <c r="H230" s="59">
        <f>+'OCTUBRE '!H230+NOVIEMBRE!H230+'DICIEMBRE 2025'!H230</f>
        <v>0</v>
      </c>
      <c r="I230" s="59">
        <f t="shared" si="9"/>
        <v>67260</v>
      </c>
      <c r="J230" s="60"/>
    </row>
    <row r="231" spans="1:10" x14ac:dyDescent="0.2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+'OCTUBRE '!G231+NOVIEMBRE!G231+'DICIEMBRE 2025'!G231</f>
        <v>67260</v>
      </c>
      <c r="H231" s="64">
        <f>+'OCTUBRE '!H231+NOVIEMBRE!H231+'DICIEMBRE 2025'!H231</f>
        <v>0</v>
      </c>
      <c r="I231" s="64">
        <f t="shared" si="9"/>
        <v>67260</v>
      </c>
      <c r="J231" s="65">
        <f>I231/$I$25</f>
        <v>1.3730121469966985E-4</v>
      </c>
    </row>
    <row r="232" spans="1:10" x14ac:dyDescent="0.2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+'OCTUBRE '!G232+NOVIEMBRE!G232+'DICIEMBRE 2025'!G232</f>
        <v>2867525.21</v>
      </c>
      <c r="H232" s="56">
        <f>+'OCTUBRE '!H232+NOVIEMBRE!H232+'DICIEMBRE 2025'!H232</f>
        <v>289100</v>
      </c>
      <c r="I232" s="56">
        <f t="shared" si="9"/>
        <v>3156625.21</v>
      </c>
      <c r="J232" s="53"/>
    </row>
    <row r="233" spans="1:10" x14ac:dyDescent="0.2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+'OCTUBRE '!G233+NOVIEMBRE!G233+'DICIEMBRE 2025'!G233</f>
        <v>14868</v>
      </c>
      <c r="H233" s="59">
        <f>+'OCTUBRE '!H233+NOVIEMBRE!H233+'DICIEMBRE 2025'!H233</f>
        <v>0</v>
      </c>
      <c r="I233" s="59">
        <f t="shared" si="9"/>
        <v>14868</v>
      </c>
      <c r="J233" s="60"/>
    </row>
    <row r="234" spans="1:10" x14ac:dyDescent="0.2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f>+'OCTUBRE '!G234+NOVIEMBRE!G234+'DICIEMBRE 2025'!G234</f>
        <v>14868</v>
      </c>
      <c r="H234" s="64">
        <f>+'OCTUBRE '!H234+NOVIEMBRE!H234+'DICIEMBRE 2025'!H234</f>
        <v>0</v>
      </c>
      <c r="I234" s="64">
        <f t="shared" si="9"/>
        <v>14868</v>
      </c>
      <c r="J234" s="65">
        <f>I234/$I$25</f>
        <v>3.0350794828348072E-5</v>
      </c>
    </row>
    <row r="235" spans="1:10" x14ac:dyDescent="0.2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+'OCTUBRE '!G235+NOVIEMBRE!G235+'DICIEMBRE 2025'!G235</f>
        <v>1755257.21</v>
      </c>
      <c r="H235" s="59">
        <f>+'OCTUBRE '!H235+NOVIEMBRE!H235+'DICIEMBRE 2025'!H235</f>
        <v>0</v>
      </c>
      <c r="I235" s="59">
        <f t="shared" si="9"/>
        <v>1755257.21</v>
      </c>
      <c r="J235" s="60"/>
    </row>
    <row r="236" spans="1:10" x14ac:dyDescent="0.2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f>+'OCTUBRE '!G236+NOVIEMBRE!G236+'DICIEMBRE 2025'!G236</f>
        <v>1755257.21</v>
      </c>
      <c r="H236" s="64">
        <f>+'OCTUBRE '!H236+NOVIEMBRE!H236+'DICIEMBRE 2025'!H236</f>
        <v>0</v>
      </c>
      <c r="I236" s="64">
        <f t="shared" si="9"/>
        <v>1755257.21</v>
      </c>
      <c r="J236" s="65">
        <f>I236/$I$25</f>
        <v>3.5830946631482826E-3</v>
      </c>
    </row>
    <row r="237" spans="1:10" x14ac:dyDescent="0.2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+'OCTUBRE '!G237+NOVIEMBRE!G237+'DICIEMBRE 2025'!G237</f>
        <v>1097400</v>
      </c>
      <c r="H237" s="59">
        <f>+'OCTUBRE '!H237+NOVIEMBRE!H237+'DICIEMBRE 2025'!H237</f>
        <v>289100</v>
      </c>
      <c r="I237" s="59">
        <f t="shared" si="9"/>
        <v>1386500</v>
      </c>
      <c r="J237" s="60"/>
    </row>
    <row r="238" spans="1:10" x14ac:dyDescent="0.2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f>+'OCTUBRE '!G238+NOVIEMBRE!G238+'DICIEMBRE 2025'!G238</f>
        <v>1097400</v>
      </c>
      <c r="H238" s="64">
        <f>+'OCTUBRE '!H238+NOVIEMBRE!H238+'DICIEMBRE 2025'!H238</f>
        <v>289100</v>
      </c>
      <c r="I238" s="64">
        <f t="shared" si="9"/>
        <v>1386500</v>
      </c>
      <c r="J238" s="65">
        <f>I238/$I$25</f>
        <v>2.830332057405475E-3</v>
      </c>
    </row>
    <row r="239" spans="1:10" x14ac:dyDescent="0.2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+'OCTUBRE '!G239+NOVIEMBRE!G239+'DICIEMBRE 2025'!G239</f>
        <v>0</v>
      </c>
      <c r="H239" s="59">
        <f>+'OCTUBRE '!H239+NOVIEMBRE!H239+'DICIEMBRE 2025'!H239</f>
        <v>0</v>
      </c>
      <c r="I239" s="59">
        <f t="shared" si="9"/>
        <v>0</v>
      </c>
      <c r="J239" s="60"/>
    </row>
    <row r="240" spans="1:10" x14ac:dyDescent="0.2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+'OCTUBRE '!G240+NOVIEMBRE!G240+'DICIEMBRE 2025'!G240</f>
        <v>0</v>
      </c>
      <c r="H240" s="64">
        <f>+'OCTUBRE '!H240+NOVIEMBRE!H240+'DICIEMBRE 2025'!H240</f>
        <v>0</v>
      </c>
      <c r="I240" s="64">
        <f t="shared" si="9"/>
        <v>0</v>
      </c>
      <c r="J240" s="65">
        <f>I240/$I$25</f>
        <v>0</v>
      </c>
    </row>
    <row r="241" spans="1:10" x14ac:dyDescent="0.2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+'OCTUBRE '!G241+NOVIEMBRE!G241+'DICIEMBRE 2025'!G241</f>
        <v>0</v>
      </c>
      <c r="H241" s="59">
        <f>+'OCTUBRE '!H241+NOVIEMBRE!H241+'DICIEMBRE 2025'!H241</f>
        <v>0</v>
      </c>
      <c r="I241" s="59">
        <f t="shared" si="9"/>
        <v>0</v>
      </c>
      <c r="J241" s="60"/>
    </row>
    <row r="242" spans="1:10" x14ac:dyDescent="0.2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+'OCTUBRE '!G242+NOVIEMBRE!G242+'DICIEMBRE 2025'!G242</f>
        <v>0</v>
      </c>
      <c r="H242" s="64">
        <f>+'OCTUBRE '!H242+NOVIEMBRE!H242+'DICIEMBRE 2025'!H242</f>
        <v>0</v>
      </c>
      <c r="I242" s="64">
        <f t="shared" si="9"/>
        <v>0</v>
      </c>
      <c r="J242" s="65">
        <f>I242/$I$25</f>
        <v>0</v>
      </c>
    </row>
    <row r="243" spans="1:10" x14ac:dyDescent="0.2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+'OCTUBRE '!G243+NOVIEMBRE!G243+'DICIEMBRE 2025'!G243</f>
        <v>0</v>
      </c>
      <c r="H243" s="59">
        <f>+'OCTUBRE '!H243+NOVIEMBRE!H243+'DICIEMBRE 2025'!H243</f>
        <v>0</v>
      </c>
      <c r="I243" s="59">
        <f t="shared" si="9"/>
        <v>0</v>
      </c>
      <c r="J243" s="60"/>
    </row>
    <row r="244" spans="1:10" x14ac:dyDescent="0.2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+'OCTUBRE '!G244+NOVIEMBRE!G244+'DICIEMBRE 2025'!G244</f>
        <v>0</v>
      </c>
      <c r="H244" s="64">
        <f>+'OCTUBRE '!H244+NOVIEMBRE!H244+'DICIEMBRE 2025'!H244</f>
        <v>0</v>
      </c>
      <c r="I244" s="64">
        <f t="shared" si="9"/>
        <v>0</v>
      </c>
      <c r="J244" s="65">
        <f>I244/$I$25</f>
        <v>0</v>
      </c>
    </row>
    <row r="245" spans="1:10" x14ac:dyDescent="0.2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+'OCTUBRE '!G245+NOVIEMBRE!G245+'DICIEMBRE 2025'!G245</f>
        <v>26157448.800000001</v>
      </c>
      <c r="H245" s="56">
        <f>+'OCTUBRE '!H245+NOVIEMBRE!H245+'DICIEMBRE 2025'!H245</f>
        <v>3021621.65</v>
      </c>
      <c r="I245" s="56">
        <f t="shared" si="9"/>
        <v>29179070.449999999</v>
      </c>
      <c r="J245" s="53"/>
    </row>
    <row r="246" spans="1:10" x14ac:dyDescent="0.2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+'OCTUBRE '!G246+NOVIEMBRE!G246+'DICIEMBRE 2025'!G246</f>
        <v>26157448.800000001</v>
      </c>
      <c r="H246" s="59">
        <f>+'OCTUBRE '!H246+NOVIEMBRE!H246+'DICIEMBRE 2025'!H246</f>
        <v>3021621.65</v>
      </c>
      <c r="I246" s="59">
        <f t="shared" si="9"/>
        <v>29179070.449999999</v>
      </c>
      <c r="J246" s="60"/>
    </row>
    <row r="247" spans="1:10" x14ac:dyDescent="0.2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f>+'OCTUBRE '!G247+NOVIEMBRE!G247+'DICIEMBRE 2025'!G247</f>
        <v>26157448.800000001</v>
      </c>
      <c r="H247" s="64">
        <f>+'OCTUBRE '!H247+NOVIEMBRE!H247+'DICIEMBRE 2025'!H247</f>
        <v>3021621.65</v>
      </c>
      <c r="I247" s="64">
        <f t="shared" si="9"/>
        <v>29179070.449999999</v>
      </c>
      <c r="J247" s="65">
        <f>I247/$I$25</f>
        <v>5.9564701406366966E-2</v>
      </c>
    </row>
    <row r="248" spans="1:10" x14ac:dyDescent="0.2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+'OCTUBRE '!G248+NOVIEMBRE!G248+'DICIEMBRE 2025'!G248</f>
        <v>0</v>
      </c>
      <c r="H248" s="59">
        <f>+'OCTUBRE '!H248+NOVIEMBRE!H248+'DICIEMBRE 2025'!H248</f>
        <v>0</v>
      </c>
      <c r="I248" s="59">
        <f t="shared" si="9"/>
        <v>0</v>
      </c>
      <c r="J248" s="60"/>
    </row>
    <row r="249" spans="1:10" x14ac:dyDescent="0.2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+'OCTUBRE '!G249+NOVIEMBRE!G249+'DICIEMBRE 2025'!G249</f>
        <v>0</v>
      </c>
      <c r="H249" s="64">
        <f>+'OCTUBRE '!H249+NOVIEMBRE!H249+'DICIEMBRE 2025'!H249</f>
        <v>0</v>
      </c>
      <c r="I249" s="64">
        <f t="shared" si="9"/>
        <v>0</v>
      </c>
      <c r="J249" s="65">
        <f>I249/$I$25</f>
        <v>0</v>
      </c>
    </row>
    <row r="250" spans="1:10" x14ac:dyDescent="0.2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+'OCTUBRE '!G250+NOVIEMBRE!G250+'DICIEMBRE 2025'!G250</f>
        <v>909070.94000000006</v>
      </c>
      <c r="H250" s="56">
        <f>+'OCTUBRE '!H250+NOVIEMBRE!H250+'DICIEMBRE 2025'!H250</f>
        <v>309532.13</v>
      </c>
      <c r="I250" s="56">
        <f t="shared" si="9"/>
        <v>1218603.07</v>
      </c>
      <c r="J250" s="53"/>
    </row>
    <row r="251" spans="1:10" x14ac:dyDescent="0.2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+'OCTUBRE '!G251+NOVIEMBRE!G251+'DICIEMBRE 2025'!G251</f>
        <v>0</v>
      </c>
      <c r="H251" s="59">
        <f>+'OCTUBRE '!H251+NOVIEMBRE!H251+'DICIEMBRE 2025'!H251</f>
        <v>0</v>
      </c>
      <c r="I251" s="59">
        <f t="shared" si="9"/>
        <v>0</v>
      </c>
      <c r="J251" s="60"/>
    </row>
    <row r="252" spans="1:10" x14ac:dyDescent="0.2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+'OCTUBRE '!G252+NOVIEMBRE!G252+'DICIEMBRE 2025'!G252</f>
        <v>0</v>
      </c>
      <c r="H252" s="64">
        <f>+'OCTUBRE '!H252+NOVIEMBRE!H252+'DICIEMBRE 2025'!H252</f>
        <v>0</v>
      </c>
      <c r="I252" s="64">
        <f t="shared" si="9"/>
        <v>0</v>
      </c>
      <c r="J252" s="65">
        <f>I252/$I$25</f>
        <v>0</v>
      </c>
    </row>
    <row r="253" spans="1:10" x14ac:dyDescent="0.2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+'OCTUBRE '!G253+NOVIEMBRE!G253+'DICIEMBRE 2025'!G253</f>
        <v>0</v>
      </c>
      <c r="H253" s="59">
        <f>+'OCTUBRE '!H253+NOVIEMBRE!H253+'DICIEMBRE 2025'!H253</f>
        <v>0</v>
      </c>
      <c r="I253" s="59">
        <f t="shared" si="9"/>
        <v>0</v>
      </c>
      <c r="J253" s="60"/>
    </row>
    <row r="254" spans="1:10" x14ac:dyDescent="0.2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+'OCTUBRE '!G254+NOVIEMBRE!G254+'DICIEMBRE 2025'!G254</f>
        <v>0</v>
      </c>
      <c r="H254" s="64">
        <f>+'OCTUBRE '!H254+NOVIEMBRE!H254+'DICIEMBRE 2025'!H254</f>
        <v>0</v>
      </c>
      <c r="I254" s="64">
        <f t="shared" si="9"/>
        <v>0</v>
      </c>
      <c r="J254" s="65">
        <f>I254/$I$25</f>
        <v>0</v>
      </c>
    </row>
    <row r="255" spans="1:10" x14ac:dyDescent="0.2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+'OCTUBRE '!G255+NOVIEMBRE!G255+'DICIEMBRE 2025'!G255</f>
        <v>0</v>
      </c>
      <c r="H255" s="59">
        <f>+'OCTUBRE '!H255+NOVIEMBRE!H255+'DICIEMBRE 2025'!H255</f>
        <v>298561.91999999998</v>
      </c>
      <c r="I255" s="59">
        <f t="shared" si="9"/>
        <v>298561.91999999998</v>
      </c>
      <c r="J255" s="60"/>
    </row>
    <row r="256" spans="1:10" x14ac:dyDescent="0.2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+'OCTUBRE '!G256+NOVIEMBRE!G256+'DICIEMBRE 2025'!G256</f>
        <v>0</v>
      </c>
      <c r="H256" s="64">
        <f>+'OCTUBRE '!H256+NOVIEMBRE!H256+'DICIEMBRE 2025'!H256</f>
        <v>298561.91999999998</v>
      </c>
      <c r="I256" s="64">
        <f t="shared" si="9"/>
        <v>298561.91999999998</v>
      </c>
      <c r="J256" s="65">
        <f>I256/$I$25</f>
        <v>6.094694362037712E-4</v>
      </c>
    </row>
    <row r="257" spans="1:10" x14ac:dyDescent="0.2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+'OCTUBRE '!G257+NOVIEMBRE!G257+'DICIEMBRE 2025'!G257</f>
        <v>10400.030000000001</v>
      </c>
      <c r="H257" s="59">
        <f>+'OCTUBRE '!H257+NOVIEMBRE!H257+'DICIEMBRE 2025'!H257</f>
        <v>0</v>
      </c>
      <c r="I257" s="59">
        <f t="shared" si="9"/>
        <v>10400.030000000001</v>
      </c>
      <c r="J257" s="60"/>
    </row>
    <row r="258" spans="1:10" x14ac:dyDescent="0.2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f>+'OCTUBRE '!G258+NOVIEMBRE!G258+'DICIEMBRE 2025'!G258</f>
        <v>10400.030000000001</v>
      </c>
      <c r="H258" s="64">
        <f>+'OCTUBRE '!H258+NOVIEMBRE!H258+'DICIEMBRE 2025'!H258</f>
        <v>0</v>
      </c>
      <c r="I258" s="64">
        <f t="shared" si="9"/>
        <v>10400.030000000001</v>
      </c>
      <c r="J258" s="65">
        <f>I258/$I$25</f>
        <v>2.1230103358801778E-5</v>
      </c>
    </row>
    <row r="259" spans="1:10" x14ac:dyDescent="0.2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+'OCTUBRE '!G259+NOVIEMBRE!G259+'DICIEMBRE 2025'!G259</f>
        <v>898670.91</v>
      </c>
      <c r="H259" s="59">
        <f>+'OCTUBRE '!H259+NOVIEMBRE!H259+'DICIEMBRE 2025'!H259</f>
        <v>10970.210000000001</v>
      </c>
      <c r="I259" s="59">
        <f t="shared" si="9"/>
        <v>909641.12</v>
      </c>
      <c r="J259" s="60"/>
    </row>
    <row r="260" spans="1:10" x14ac:dyDescent="0.2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f>+'OCTUBRE '!G260+NOVIEMBRE!G260+'DICIEMBRE 2025'!G260</f>
        <v>898670.91</v>
      </c>
      <c r="H260" s="64">
        <f>+'OCTUBRE '!H260+NOVIEMBRE!H260+'DICIEMBRE 2025'!H260</f>
        <v>10970.210000000001</v>
      </c>
      <c r="I260" s="64">
        <f t="shared" si="9"/>
        <v>909641.12</v>
      </c>
      <c r="J260" s="65">
        <f>I260/$I$25</f>
        <v>1.8568960855897731E-3</v>
      </c>
    </row>
    <row r="261" spans="1:10" x14ac:dyDescent="0.2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+'OCTUBRE '!G261+NOVIEMBRE!G261+'DICIEMBRE 2025'!G261</f>
        <v>273899.93</v>
      </c>
      <c r="H261" s="56">
        <f>+'OCTUBRE '!H261+NOVIEMBRE!H261+'DICIEMBRE 2025'!H261</f>
        <v>185489.50000000003</v>
      </c>
      <c r="I261" s="56">
        <f t="shared" si="9"/>
        <v>459389.43000000005</v>
      </c>
      <c r="J261" s="53"/>
    </row>
    <row r="262" spans="1:10" x14ac:dyDescent="0.2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+'OCTUBRE '!G262+NOVIEMBRE!G262+'DICIEMBRE 2025'!G262</f>
        <v>1800.09</v>
      </c>
      <c r="H262" s="59">
        <f>+'OCTUBRE '!H262+NOVIEMBRE!H262+'DICIEMBRE 2025'!H262</f>
        <v>0</v>
      </c>
      <c r="I262" s="59">
        <f t="shared" si="9"/>
        <v>1800.09</v>
      </c>
      <c r="J262" s="60"/>
    </row>
    <row r="263" spans="1:10" x14ac:dyDescent="0.2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+'OCTUBRE '!G263+NOVIEMBRE!G263+'DICIEMBRE 2025'!G263</f>
        <v>1800.09</v>
      </c>
      <c r="H263" s="64">
        <f>+'OCTUBRE '!H263+NOVIEMBRE!H263+'DICIEMBRE 2025'!H263</f>
        <v>0</v>
      </c>
      <c r="I263" s="64">
        <f t="shared" si="9"/>
        <v>1800.09</v>
      </c>
      <c r="J263" s="65">
        <f>I263/$I$25</f>
        <v>3.6746140881464268E-6</v>
      </c>
    </row>
    <row r="264" spans="1:10" x14ac:dyDescent="0.2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+'OCTUBRE '!G264+NOVIEMBRE!G264+'DICIEMBRE 2025'!G264</f>
        <v>0</v>
      </c>
      <c r="H264" s="64">
        <f>+'OCTUBRE '!H264+NOVIEMBRE!H264+'DICIEMBRE 2025'!H264</f>
        <v>0</v>
      </c>
      <c r="I264" s="64">
        <f t="shared" si="9"/>
        <v>0</v>
      </c>
      <c r="J264" s="65">
        <f>I264/$I$25</f>
        <v>0</v>
      </c>
    </row>
    <row r="265" spans="1:10" x14ac:dyDescent="0.2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+'OCTUBRE '!G265+NOVIEMBRE!G265+'DICIEMBRE 2025'!G265</f>
        <v>0</v>
      </c>
      <c r="H265" s="64">
        <f>+'OCTUBRE '!H265+NOVIEMBRE!H265+'DICIEMBRE 2025'!H265</f>
        <v>0</v>
      </c>
      <c r="I265" s="64">
        <f t="shared" si="9"/>
        <v>0</v>
      </c>
      <c r="J265" s="65">
        <f>I265/$I$25</f>
        <v>0</v>
      </c>
    </row>
    <row r="266" spans="1:10" x14ac:dyDescent="0.2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f>+'OCTUBRE '!G266+NOVIEMBRE!G266+'DICIEMBRE 2025'!G266</f>
        <v>0</v>
      </c>
      <c r="H266" s="64">
        <f>+'OCTUBRE '!H266+NOVIEMBRE!H266+'DICIEMBRE 2025'!H266</f>
        <v>0</v>
      </c>
      <c r="I266" s="64">
        <f t="shared" si="9"/>
        <v>0</v>
      </c>
      <c r="J266" s="65">
        <f>I266/$I$25</f>
        <v>0</v>
      </c>
    </row>
    <row r="267" spans="1:10" x14ac:dyDescent="0.2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+'OCTUBRE '!G267+NOVIEMBRE!G267+'DICIEMBRE 2025'!G267</f>
        <v>0</v>
      </c>
      <c r="H267" s="64">
        <f>+'OCTUBRE '!H267+NOVIEMBRE!H267+'DICIEMBRE 2025'!H267</f>
        <v>0</v>
      </c>
      <c r="I267" s="64">
        <f t="shared" si="9"/>
        <v>0</v>
      </c>
      <c r="J267" s="65">
        <f>I267/$I$25</f>
        <v>0</v>
      </c>
    </row>
    <row r="268" spans="1:10" x14ac:dyDescent="0.2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+'OCTUBRE '!G268+NOVIEMBRE!G268+'DICIEMBRE 2025'!G268</f>
        <v>126210.64000000001</v>
      </c>
      <c r="H268" s="59">
        <f>+'OCTUBRE '!H268+NOVIEMBRE!H268+'DICIEMBRE 2025'!H268</f>
        <v>17746.010000000002</v>
      </c>
      <c r="I268" s="59">
        <f t="shared" si="9"/>
        <v>143956.65000000002</v>
      </c>
      <c r="J268" s="60"/>
    </row>
    <row r="269" spans="1:10" x14ac:dyDescent="0.2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f>+'OCTUBRE '!G269+NOVIEMBRE!G269+'DICIEMBRE 2025'!G269</f>
        <v>81590.63</v>
      </c>
      <c r="H269" s="64">
        <f>+'OCTUBRE '!H269+NOVIEMBRE!H269+'DICIEMBRE 2025'!H269</f>
        <v>9246.01</v>
      </c>
      <c r="I269" s="64">
        <f t="shared" si="9"/>
        <v>90836.64</v>
      </c>
      <c r="J269" s="65">
        <f>I269/$I$25</f>
        <v>1.8542939356581351E-4</v>
      </c>
    </row>
    <row r="270" spans="1:10" x14ac:dyDescent="0.2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+'OCTUBRE '!G270+NOVIEMBRE!G270+'DICIEMBRE 2025'!G270</f>
        <v>0</v>
      </c>
      <c r="H270" s="64">
        <f>+'OCTUBRE '!H270+NOVIEMBRE!H270+'DICIEMBRE 2025'!H270</f>
        <v>0</v>
      </c>
      <c r="I270" s="64">
        <f t="shared" si="9"/>
        <v>0</v>
      </c>
      <c r="J270" s="65">
        <f>I270/$I$25</f>
        <v>0</v>
      </c>
    </row>
    <row r="271" spans="1:10" x14ac:dyDescent="0.2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f>+'OCTUBRE '!G271+NOVIEMBRE!G271+'DICIEMBRE 2025'!G271</f>
        <v>44620.01</v>
      </c>
      <c r="H271" s="64">
        <f>+'OCTUBRE '!H271+NOVIEMBRE!H271+'DICIEMBRE 2025'!H271</f>
        <v>8500</v>
      </c>
      <c r="I271" s="64">
        <f t="shared" si="9"/>
        <v>53120.01</v>
      </c>
      <c r="J271" s="65">
        <f>I271/$I$25</f>
        <v>1.0843654323310451E-4</v>
      </c>
    </row>
    <row r="272" spans="1:10" x14ac:dyDescent="0.2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+'OCTUBRE '!G272+NOVIEMBRE!G272+'DICIEMBRE 2025'!G272</f>
        <v>145889.20000000001</v>
      </c>
      <c r="H272" s="59">
        <f>+'OCTUBRE '!H272+NOVIEMBRE!H272+'DICIEMBRE 2025'!H272</f>
        <v>163993.57</v>
      </c>
      <c r="I272" s="59">
        <f t="shared" si="9"/>
        <v>309882.77</v>
      </c>
      <c r="J272" s="60"/>
    </row>
    <row r="273" spans="1:10" x14ac:dyDescent="0.2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f>+'OCTUBRE '!G273+NOVIEMBRE!G273+'DICIEMBRE 2025'!G273</f>
        <v>26400.379999999997</v>
      </c>
      <c r="H273" s="64">
        <f>+'OCTUBRE '!H273+NOVIEMBRE!H273+'DICIEMBRE 2025'!H273</f>
        <v>78291.990000000005</v>
      </c>
      <c r="I273" s="64">
        <f t="shared" si="9"/>
        <v>104692.37</v>
      </c>
      <c r="J273" s="65">
        <f>I273/$I$25</f>
        <v>2.1371379082348014E-4</v>
      </c>
    </row>
    <row r="274" spans="1:10" x14ac:dyDescent="0.2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+'OCTUBRE '!G274+NOVIEMBRE!G274+'DICIEMBRE 2025'!G274</f>
        <v>0</v>
      </c>
      <c r="H274" s="64">
        <f>+'OCTUBRE '!H274+NOVIEMBRE!H274+'DICIEMBRE 2025'!H274</f>
        <v>0</v>
      </c>
      <c r="I274" s="64">
        <f t="shared" si="9"/>
        <v>0</v>
      </c>
      <c r="J274" s="65">
        <f>I274/$I$25</f>
        <v>0</v>
      </c>
    </row>
    <row r="275" spans="1:10" x14ac:dyDescent="0.2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f>+'OCTUBRE '!G275+NOVIEMBRE!G275+'DICIEMBRE 2025'!G275</f>
        <v>119488.81999999999</v>
      </c>
      <c r="H275" s="64">
        <f>+'OCTUBRE '!H275+NOVIEMBRE!H275+'DICIEMBRE 2025'!H275</f>
        <v>85701.58</v>
      </c>
      <c r="I275" s="64">
        <f t="shared" si="9"/>
        <v>205190.39999999999</v>
      </c>
      <c r="J275" s="65">
        <f>I275/$I$25</f>
        <v>4.1886546483364757E-4</v>
      </c>
    </row>
    <row r="276" spans="1:10" x14ac:dyDescent="0.2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+'OCTUBRE '!G276+NOVIEMBRE!G276+'DICIEMBRE 2025'!G276</f>
        <v>0</v>
      </c>
      <c r="H276" s="59">
        <f>+'OCTUBRE '!H276+NOVIEMBRE!H276+'DICIEMBRE 2025'!H276</f>
        <v>0</v>
      </c>
      <c r="I276" s="59">
        <f t="shared" si="9"/>
        <v>0</v>
      </c>
      <c r="J276" s="60"/>
    </row>
    <row r="277" spans="1:10" x14ac:dyDescent="0.2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+'OCTUBRE '!G277+NOVIEMBRE!G277+'DICIEMBRE 2025'!G277</f>
        <v>0</v>
      </c>
      <c r="H277" s="64">
        <f>+'OCTUBRE '!H277+NOVIEMBRE!H277+'DICIEMBRE 2025'!H277</f>
        <v>0</v>
      </c>
      <c r="I277" s="64">
        <f t="shared" si="9"/>
        <v>0</v>
      </c>
      <c r="J277" s="65">
        <f t="shared" ref="J277:J283" si="10">I277/$I$25</f>
        <v>0</v>
      </c>
    </row>
    <row r="278" spans="1:10" x14ac:dyDescent="0.2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+'OCTUBRE '!G278+NOVIEMBRE!G278+'DICIEMBRE 2025'!G278</f>
        <v>0</v>
      </c>
      <c r="H278" s="64">
        <f>+'OCTUBRE '!H278+NOVIEMBRE!H278+'DICIEMBRE 2025'!H278</f>
        <v>0</v>
      </c>
      <c r="I278" s="64">
        <f t="shared" si="9"/>
        <v>0</v>
      </c>
      <c r="J278" s="65">
        <f t="shared" si="10"/>
        <v>0</v>
      </c>
    </row>
    <row r="279" spans="1:10" x14ac:dyDescent="0.2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+'OCTUBRE '!G279+NOVIEMBRE!G279+'DICIEMBRE 2025'!G279</f>
        <v>0</v>
      </c>
      <c r="H279" s="64">
        <f>+'OCTUBRE '!H279+NOVIEMBRE!H279+'DICIEMBRE 2025'!H279</f>
        <v>0</v>
      </c>
      <c r="I279" s="64">
        <f t="shared" si="9"/>
        <v>0</v>
      </c>
      <c r="J279" s="65">
        <f t="shared" si="10"/>
        <v>0</v>
      </c>
    </row>
    <row r="280" spans="1:10" x14ac:dyDescent="0.2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+'OCTUBRE '!G280+NOVIEMBRE!G280+'DICIEMBRE 2025'!G280</f>
        <v>0</v>
      </c>
      <c r="H280" s="64">
        <f>+'OCTUBRE '!H280+NOVIEMBRE!H280+'DICIEMBRE 2025'!H280</f>
        <v>0</v>
      </c>
      <c r="I280" s="64">
        <f t="shared" si="9"/>
        <v>0</v>
      </c>
      <c r="J280" s="65">
        <f t="shared" si="10"/>
        <v>0</v>
      </c>
    </row>
    <row r="281" spans="1:10" x14ac:dyDescent="0.2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+'OCTUBRE '!G281+NOVIEMBRE!G281+'DICIEMBRE 2025'!G281</f>
        <v>0</v>
      </c>
      <c r="H281" s="64">
        <f>+'OCTUBRE '!H281+NOVIEMBRE!H281+'DICIEMBRE 2025'!H281</f>
        <v>0</v>
      </c>
      <c r="I281" s="64">
        <f t="shared" ref="I281:I344" si="11">SUM(G281:H281)</f>
        <v>0</v>
      </c>
      <c r="J281" s="65">
        <f t="shared" si="10"/>
        <v>0</v>
      </c>
    </row>
    <row r="282" spans="1:10" x14ac:dyDescent="0.2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+'OCTUBRE '!G282+NOVIEMBRE!G282+'DICIEMBRE 2025'!G282</f>
        <v>0</v>
      </c>
      <c r="H282" s="64">
        <f>+'OCTUBRE '!H282+NOVIEMBRE!H282+'DICIEMBRE 2025'!H282</f>
        <v>0</v>
      </c>
      <c r="I282" s="64">
        <f t="shared" si="11"/>
        <v>0</v>
      </c>
      <c r="J282" s="65">
        <f t="shared" si="10"/>
        <v>0</v>
      </c>
    </row>
    <row r="283" spans="1:10" x14ac:dyDescent="0.2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+'OCTUBRE '!G283+NOVIEMBRE!G283+'DICIEMBRE 2025'!G283</f>
        <v>0</v>
      </c>
      <c r="H283" s="64">
        <f>+'OCTUBRE '!H283+NOVIEMBRE!H283+'DICIEMBRE 2025'!H283</f>
        <v>0</v>
      </c>
      <c r="I283" s="64">
        <f t="shared" si="11"/>
        <v>0</v>
      </c>
      <c r="J283" s="65">
        <f t="shared" si="10"/>
        <v>0</v>
      </c>
    </row>
    <row r="284" spans="1:10" x14ac:dyDescent="0.2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+'OCTUBRE '!G284+NOVIEMBRE!G284+'DICIEMBRE 2025'!G284</f>
        <v>0</v>
      </c>
      <c r="H284" s="59">
        <f>+'OCTUBRE '!H284+NOVIEMBRE!H284+'DICIEMBRE 2025'!H284</f>
        <v>3749.92</v>
      </c>
      <c r="I284" s="59">
        <f t="shared" si="11"/>
        <v>3749.92</v>
      </c>
      <c r="J284" s="60"/>
    </row>
    <row r="285" spans="1:10" x14ac:dyDescent="0.2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+'OCTUBRE '!G285+NOVIEMBRE!G285+'DICIEMBRE 2025'!G285</f>
        <v>0</v>
      </c>
      <c r="H285" s="64">
        <f>+'OCTUBRE '!H285+NOVIEMBRE!H285+'DICIEMBRE 2025'!H285</f>
        <v>3749.92</v>
      </c>
      <c r="I285" s="64">
        <f t="shared" si="11"/>
        <v>3749.92</v>
      </c>
      <c r="J285" s="65">
        <f>I285/$I$25</f>
        <v>7.6548999557922377E-6</v>
      </c>
    </row>
    <row r="286" spans="1:10" ht="25.5" x14ac:dyDescent="0.2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+'OCTUBRE '!G286+NOVIEMBRE!G286+'DICIEMBRE 2025'!G286</f>
        <v>33935788.950000003</v>
      </c>
      <c r="H286" s="56">
        <f>+'OCTUBRE '!H286+NOVIEMBRE!H286+'DICIEMBRE 2025'!H286</f>
        <v>4327322</v>
      </c>
      <c r="I286" s="56">
        <f t="shared" si="11"/>
        <v>38263110.950000003</v>
      </c>
      <c r="J286" s="53"/>
    </row>
    <row r="287" spans="1:10" x14ac:dyDescent="0.2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+'OCTUBRE '!G287+NOVIEMBRE!G287+'DICIEMBRE 2025'!G287</f>
        <v>664800</v>
      </c>
      <c r="H287" s="59">
        <f>+'OCTUBRE '!H287+NOVIEMBRE!H287+'DICIEMBRE 2025'!H287</f>
        <v>1579132</v>
      </c>
      <c r="I287" s="59">
        <f t="shared" si="11"/>
        <v>2243932</v>
      </c>
      <c r="J287" s="60"/>
    </row>
    <row r="288" spans="1:10" x14ac:dyDescent="0.2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+'OCTUBRE '!G288+NOVIEMBRE!G288+'DICIEMBRE 2025'!G288</f>
        <v>0</v>
      </c>
      <c r="H288" s="64">
        <f>+'OCTUBRE '!H288+NOVIEMBRE!H288+'DICIEMBRE 2025'!H288</f>
        <v>344000</v>
      </c>
      <c r="I288" s="64">
        <f t="shared" si="11"/>
        <v>344000</v>
      </c>
      <c r="J288" s="65">
        <f t="shared" ref="J288:J294" si="12">I288/$I$25</f>
        <v>7.0222447006670278E-4</v>
      </c>
    </row>
    <row r="289" spans="1:10" x14ac:dyDescent="0.2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f>+'OCTUBRE '!G289+NOVIEMBRE!G289+'DICIEMBRE 2025'!G289</f>
        <v>664800</v>
      </c>
      <c r="H289" s="64">
        <f>+'OCTUBRE '!H289+NOVIEMBRE!H289+'DICIEMBRE 2025'!H289</f>
        <v>1124000</v>
      </c>
      <c r="I289" s="64">
        <f t="shared" si="11"/>
        <v>1788800</v>
      </c>
      <c r="J289" s="65">
        <f t="shared" si="12"/>
        <v>3.651567244346854E-3</v>
      </c>
    </row>
    <row r="290" spans="1:10" x14ac:dyDescent="0.2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+'OCTUBRE '!G290+NOVIEMBRE!G290+'DICIEMBRE 2025'!G290</f>
        <v>0</v>
      </c>
      <c r="H290" s="64">
        <f>+'OCTUBRE '!H290+NOVIEMBRE!H290+'DICIEMBRE 2025'!H290</f>
        <v>0</v>
      </c>
      <c r="I290" s="64">
        <f t="shared" si="11"/>
        <v>0</v>
      </c>
      <c r="J290" s="65">
        <f t="shared" si="12"/>
        <v>0</v>
      </c>
    </row>
    <row r="291" spans="1:10" x14ac:dyDescent="0.2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+'OCTUBRE '!G291+NOVIEMBRE!G291+'DICIEMBRE 2025'!G291</f>
        <v>0</v>
      </c>
      <c r="H291" s="64">
        <f>+'OCTUBRE '!H291+NOVIEMBRE!H291+'DICIEMBRE 2025'!H291</f>
        <v>111132</v>
      </c>
      <c r="I291" s="64">
        <f t="shared" si="11"/>
        <v>111132</v>
      </c>
      <c r="J291" s="65">
        <f t="shared" si="12"/>
        <v>2.2685933083561863E-4</v>
      </c>
    </row>
    <row r="292" spans="1:10" x14ac:dyDescent="0.2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+'OCTUBRE '!G292+NOVIEMBRE!G292+'DICIEMBRE 2025'!G292</f>
        <v>0</v>
      </c>
      <c r="H292" s="64">
        <f>+'OCTUBRE '!H292+NOVIEMBRE!H292+'DICIEMBRE 2025'!H292</f>
        <v>0</v>
      </c>
      <c r="I292" s="64">
        <f t="shared" si="11"/>
        <v>0</v>
      </c>
      <c r="J292" s="65">
        <f t="shared" si="12"/>
        <v>0</v>
      </c>
    </row>
    <row r="293" spans="1:10" x14ac:dyDescent="0.2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+'OCTUBRE '!G293+NOVIEMBRE!G293+'DICIEMBRE 2025'!G293</f>
        <v>0</v>
      </c>
      <c r="H293" s="64">
        <f>+'OCTUBRE '!H293+NOVIEMBRE!H293+'DICIEMBRE 2025'!H293</f>
        <v>0</v>
      </c>
      <c r="I293" s="64">
        <f t="shared" si="11"/>
        <v>0</v>
      </c>
      <c r="J293" s="65">
        <f t="shared" si="12"/>
        <v>0</v>
      </c>
    </row>
    <row r="294" spans="1:10" x14ac:dyDescent="0.2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+'OCTUBRE '!G294+NOVIEMBRE!G294+'DICIEMBRE 2025'!G294</f>
        <v>0</v>
      </c>
      <c r="H294" s="64">
        <f>+'OCTUBRE '!H294+NOVIEMBRE!H294+'DICIEMBRE 2025'!H294</f>
        <v>0</v>
      </c>
      <c r="I294" s="64">
        <f t="shared" si="11"/>
        <v>0</v>
      </c>
      <c r="J294" s="65">
        <f t="shared" si="12"/>
        <v>0</v>
      </c>
    </row>
    <row r="295" spans="1:10" x14ac:dyDescent="0.2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+'OCTUBRE '!G295+NOVIEMBRE!G295+'DICIEMBRE 2025'!G295</f>
        <v>33270988.950000003</v>
      </c>
      <c r="H295" s="59">
        <f>+'OCTUBRE '!H295+NOVIEMBRE!H295+'DICIEMBRE 2025'!H295</f>
        <v>2748190</v>
      </c>
      <c r="I295" s="59">
        <f t="shared" si="11"/>
        <v>36019178.950000003</v>
      </c>
      <c r="J295" s="60"/>
    </row>
    <row r="296" spans="1:10" x14ac:dyDescent="0.2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f>+'OCTUBRE '!G296+NOVIEMBRE!G296+'DICIEMBRE 2025'!G296</f>
        <v>0</v>
      </c>
      <c r="H296" s="64">
        <f>+'OCTUBRE '!H296+NOVIEMBRE!H296+'DICIEMBRE 2025'!H296</f>
        <v>0</v>
      </c>
      <c r="I296" s="64">
        <f t="shared" si="11"/>
        <v>0</v>
      </c>
      <c r="J296" s="65">
        <f t="shared" ref="J296:J302" si="13">I296/$I$25</f>
        <v>0</v>
      </c>
    </row>
    <row r="297" spans="1:10" x14ac:dyDescent="0.2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+'OCTUBRE '!G297+NOVIEMBRE!G297+'DICIEMBRE 2025'!G297</f>
        <v>0</v>
      </c>
      <c r="H297" s="64">
        <f>+'OCTUBRE '!H297+NOVIEMBRE!H297+'DICIEMBRE 2025'!H297</f>
        <v>0</v>
      </c>
      <c r="I297" s="64">
        <f t="shared" si="11"/>
        <v>0</v>
      </c>
      <c r="J297" s="65">
        <f t="shared" si="13"/>
        <v>0</v>
      </c>
    </row>
    <row r="298" spans="1:10" x14ac:dyDescent="0.2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f>+'OCTUBRE '!G298+NOVIEMBRE!G298+'DICIEMBRE 2025'!G298</f>
        <v>32223518.009999998</v>
      </c>
      <c r="H298" s="64">
        <f>+'OCTUBRE '!H298+NOVIEMBRE!H298+'DICIEMBRE 2025'!H298</f>
        <v>246733</v>
      </c>
      <c r="I298" s="64">
        <f t="shared" si="11"/>
        <v>32470251.009999998</v>
      </c>
      <c r="J298" s="65">
        <f t="shared" si="13"/>
        <v>6.6283153512878099E-2</v>
      </c>
    </row>
    <row r="299" spans="1:10" x14ac:dyDescent="0.2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+'OCTUBRE '!G299+NOVIEMBRE!G299+'DICIEMBRE 2025'!G299</f>
        <v>0</v>
      </c>
      <c r="H299" s="64">
        <f>+'OCTUBRE '!H299+NOVIEMBRE!H299+'DICIEMBRE 2025'!H299</f>
        <v>0</v>
      </c>
      <c r="I299" s="64">
        <f t="shared" si="11"/>
        <v>0</v>
      </c>
      <c r="J299" s="65">
        <f t="shared" si="13"/>
        <v>0</v>
      </c>
    </row>
    <row r="300" spans="1:10" x14ac:dyDescent="0.2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+'OCTUBRE '!G300+NOVIEMBRE!G300+'DICIEMBRE 2025'!G300</f>
        <v>0</v>
      </c>
      <c r="H300" s="64">
        <f>+'OCTUBRE '!H300+NOVIEMBRE!H300+'DICIEMBRE 2025'!H300</f>
        <v>0</v>
      </c>
      <c r="I300" s="64">
        <f t="shared" si="11"/>
        <v>0</v>
      </c>
      <c r="J300" s="65">
        <f t="shared" si="13"/>
        <v>0</v>
      </c>
    </row>
    <row r="301" spans="1:10" ht="25.5" x14ac:dyDescent="0.2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f>+'OCTUBRE '!G301+NOVIEMBRE!G301+'DICIEMBRE 2025'!G301</f>
        <v>677734.87</v>
      </c>
      <c r="H301" s="64">
        <f>+'OCTUBRE '!H301+NOVIEMBRE!H301+'DICIEMBRE 2025'!H301</f>
        <v>0</v>
      </c>
      <c r="I301" s="64">
        <f t="shared" si="11"/>
        <v>677734.87</v>
      </c>
      <c r="J301" s="65">
        <f t="shared" si="13"/>
        <v>1.3834942149170805E-3</v>
      </c>
    </row>
    <row r="302" spans="1:10" x14ac:dyDescent="0.2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f>+'OCTUBRE '!G302+NOVIEMBRE!G302+'DICIEMBRE 2025'!G302</f>
        <v>369736.07</v>
      </c>
      <c r="H302" s="64">
        <f>+'OCTUBRE '!H302+NOVIEMBRE!H302+'DICIEMBRE 2025'!H302</f>
        <v>2501457</v>
      </c>
      <c r="I302" s="64">
        <f t="shared" si="11"/>
        <v>2871193.07</v>
      </c>
      <c r="J302" s="65">
        <f t="shared" si="13"/>
        <v>5.8611105582556371E-3</v>
      </c>
    </row>
    <row r="303" spans="1:10" ht="25.5" x14ac:dyDescent="0.2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+'OCTUBRE '!G303+NOVIEMBRE!G303+'DICIEMBRE 2025'!G303</f>
        <v>0</v>
      </c>
      <c r="H303" s="56">
        <f>+'OCTUBRE '!H303+NOVIEMBRE!H303+'DICIEMBRE 2025'!H303</f>
        <v>0</v>
      </c>
      <c r="I303" s="56">
        <f t="shared" si="11"/>
        <v>0</v>
      </c>
      <c r="J303" s="53"/>
    </row>
    <row r="304" spans="1:10" x14ac:dyDescent="0.2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+'OCTUBRE '!G304+NOVIEMBRE!G304+'DICIEMBRE 2025'!G304</f>
        <v>0</v>
      </c>
      <c r="H304" s="59">
        <f>+'OCTUBRE '!H304+NOVIEMBRE!H304+'DICIEMBRE 2025'!H304</f>
        <v>0</v>
      </c>
      <c r="I304" s="59">
        <f t="shared" si="11"/>
        <v>0</v>
      </c>
      <c r="J304" s="60"/>
    </row>
    <row r="305" spans="1:10" x14ac:dyDescent="0.2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+'OCTUBRE '!G305+NOVIEMBRE!G305+'DICIEMBRE 2025'!G305</f>
        <v>0</v>
      </c>
      <c r="H305" s="64">
        <f>+'OCTUBRE '!H305+NOVIEMBRE!H305+'DICIEMBRE 2025'!H305</f>
        <v>0</v>
      </c>
      <c r="I305" s="64">
        <f t="shared" si="11"/>
        <v>0</v>
      </c>
      <c r="J305" s="65">
        <f>I305/$I$25</f>
        <v>0</v>
      </c>
    </row>
    <row r="306" spans="1:10" ht="25.5" x14ac:dyDescent="0.2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+'OCTUBRE '!G306+NOVIEMBRE!G306+'DICIEMBRE 2025'!G306</f>
        <v>0</v>
      </c>
      <c r="H306" s="59">
        <f>+'OCTUBRE '!H306+NOVIEMBRE!H306+'DICIEMBRE 2025'!H306</f>
        <v>0</v>
      </c>
      <c r="I306" s="59">
        <f t="shared" si="11"/>
        <v>0</v>
      </c>
      <c r="J306" s="60"/>
    </row>
    <row r="307" spans="1:10" ht="25.5" x14ac:dyDescent="0.2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+'OCTUBRE '!G307+NOVIEMBRE!G307+'DICIEMBRE 2025'!G307</f>
        <v>0</v>
      </c>
      <c r="H307" s="64">
        <f>+'OCTUBRE '!H307+NOVIEMBRE!H307+'DICIEMBRE 2025'!H307</f>
        <v>0</v>
      </c>
      <c r="I307" s="64">
        <f t="shared" si="11"/>
        <v>0</v>
      </c>
      <c r="J307" s="65">
        <f>I307/$I$25</f>
        <v>0</v>
      </c>
    </row>
    <row r="308" spans="1:10" x14ac:dyDescent="0.2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+'OCTUBRE '!G308+NOVIEMBRE!G308+'DICIEMBRE 2025'!G308</f>
        <v>45054359.390000001</v>
      </c>
      <c r="H308" s="56">
        <f>+'OCTUBRE '!H308+NOVIEMBRE!H308+'DICIEMBRE 2025'!H308</f>
        <v>9803069.9100000001</v>
      </c>
      <c r="I308" s="56">
        <f t="shared" si="11"/>
        <v>54857429.299999997</v>
      </c>
      <c r="J308" s="53"/>
    </row>
    <row r="309" spans="1:10" x14ac:dyDescent="0.2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+'OCTUBRE '!G309+NOVIEMBRE!G309+'DICIEMBRE 2025'!G309</f>
        <v>3564296.3</v>
      </c>
      <c r="H309" s="59">
        <f>+'OCTUBRE '!H309+NOVIEMBRE!H309+'DICIEMBRE 2025'!H309</f>
        <v>1134295.8</v>
      </c>
      <c r="I309" s="59">
        <f t="shared" si="11"/>
        <v>4698592.0999999996</v>
      </c>
      <c r="J309" s="60"/>
    </row>
    <row r="310" spans="1:10" x14ac:dyDescent="0.2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f>+'OCTUBRE '!G310+NOVIEMBRE!G310+'DICIEMBRE 2025'!G310</f>
        <v>3564296.3</v>
      </c>
      <c r="H310" s="64">
        <f>+'OCTUBRE '!H310+NOVIEMBRE!H310+'DICIEMBRE 2025'!H310</f>
        <v>1134295.8</v>
      </c>
      <c r="I310" s="64">
        <f t="shared" si="11"/>
        <v>4698592.0999999996</v>
      </c>
      <c r="J310" s="65">
        <f>I310/$I$25</f>
        <v>9.5914719403549301E-3</v>
      </c>
    </row>
    <row r="311" spans="1:10" x14ac:dyDescent="0.2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+'OCTUBRE '!G311+NOVIEMBRE!G311+'DICIEMBRE 2025'!G311</f>
        <v>0</v>
      </c>
      <c r="H311" s="64">
        <f>+'OCTUBRE '!H311+NOVIEMBRE!H311+'DICIEMBRE 2025'!H311</f>
        <v>0</v>
      </c>
      <c r="I311" s="64">
        <f t="shared" si="11"/>
        <v>0</v>
      </c>
      <c r="J311" s="65">
        <f>I311/$I$25</f>
        <v>0</v>
      </c>
    </row>
    <row r="312" spans="1:10" x14ac:dyDescent="0.2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+'OCTUBRE '!G312+NOVIEMBRE!G312+'DICIEMBRE 2025'!G312</f>
        <v>925535</v>
      </c>
      <c r="H312" s="59">
        <f>+'OCTUBRE '!H312+NOVIEMBRE!H312+'DICIEMBRE 2025'!H312</f>
        <v>93868.950000000012</v>
      </c>
      <c r="I312" s="59">
        <f t="shared" si="11"/>
        <v>1019403.95</v>
      </c>
      <c r="J312" s="60"/>
    </row>
    <row r="313" spans="1:10" x14ac:dyDescent="0.2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+'OCTUBRE '!G313+NOVIEMBRE!G313+'DICIEMBRE 2025'!G313</f>
        <v>925535</v>
      </c>
      <c r="H313" s="64">
        <f>+'OCTUBRE '!H313+NOVIEMBRE!H313+'DICIEMBRE 2025'!H313</f>
        <v>93868.950000000012</v>
      </c>
      <c r="I313" s="64">
        <f t="shared" si="11"/>
        <v>1019403.95</v>
      </c>
      <c r="J313" s="65">
        <f>I313/$I$25</f>
        <v>2.080960460967016E-3</v>
      </c>
    </row>
    <row r="314" spans="1:10" x14ac:dyDescent="0.2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+'OCTUBRE '!G314+NOVIEMBRE!G314+'DICIEMBRE 2025'!G314</f>
        <v>39000514.609999999</v>
      </c>
      <c r="H314" s="59">
        <f>+'OCTUBRE '!H314+NOVIEMBRE!H314+'DICIEMBRE 2025'!H314</f>
        <v>5122885.9800000004</v>
      </c>
      <c r="I314" s="59">
        <f t="shared" si="11"/>
        <v>44123400.590000004</v>
      </c>
      <c r="J314" s="60"/>
    </row>
    <row r="315" spans="1:10" x14ac:dyDescent="0.2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f>+'OCTUBRE '!G315+NOVIEMBRE!G315+'DICIEMBRE 2025'!G315</f>
        <v>39000514.609999999</v>
      </c>
      <c r="H315" s="64">
        <f>+'OCTUBRE '!H315+NOVIEMBRE!H315+'DICIEMBRE 2025'!H315</f>
        <v>5122885.9800000004</v>
      </c>
      <c r="I315" s="64">
        <f t="shared" si="11"/>
        <v>44123400.590000004</v>
      </c>
      <c r="J315" s="65">
        <f>I315/$I$25</f>
        <v>9.0071312781551144E-2</v>
      </c>
    </row>
    <row r="316" spans="1:10" x14ac:dyDescent="0.2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+'OCTUBRE '!G316+NOVIEMBRE!G316+'DICIEMBRE 2025'!G316</f>
        <v>0</v>
      </c>
      <c r="H316" s="59">
        <f>+'OCTUBRE '!H316+NOVIEMBRE!H316+'DICIEMBRE 2025'!H316</f>
        <v>50870.39</v>
      </c>
      <c r="I316" s="59">
        <f t="shared" si="11"/>
        <v>50870.39</v>
      </c>
      <c r="J316" s="60"/>
    </row>
    <row r="317" spans="1:10" x14ac:dyDescent="0.2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+'OCTUBRE '!G317+NOVIEMBRE!G317+'DICIEMBRE 2025'!G317</f>
        <v>0</v>
      </c>
      <c r="H317" s="64">
        <f>+'OCTUBRE '!H317+NOVIEMBRE!H317+'DICIEMBRE 2025'!H317</f>
        <v>50870.39</v>
      </c>
      <c r="I317" s="64">
        <f t="shared" si="11"/>
        <v>50870.39</v>
      </c>
      <c r="J317" s="65">
        <f>I317/$I$25</f>
        <v>1.0384428098789679E-4</v>
      </c>
    </row>
    <row r="318" spans="1:10" x14ac:dyDescent="0.2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+'OCTUBRE '!G318+NOVIEMBRE!G318+'DICIEMBRE 2025'!G318</f>
        <v>31152</v>
      </c>
      <c r="H318" s="59">
        <f>+'OCTUBRE '!H318+NOVIEMBRE!H318+'DICIEMBRE 2025'!H318</f>
        <v>0</v>
      </c>
      <c r="I318" s="59">
        <f t="shared" si="11"/>
        <v>31152</v>
      </c>
      <c r="J318" s="60"/>
    </row>
    <row r="319" spans="1:10" x14ac:dyDescent="0.2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+'OCTUBRE '!G319+NOVIEMBRE!G319+'DICIEMBRE 2025'!G319</f>
        <v>31152</v>
      </c>
      <c r="H319" s="64">
        <f>+'OCTUBRE '!H319+NOVIEMBRE!H319+'DICIEMBRE 2025'!H319</f>
        <v>0</v>
      </c>
      <c r="I319" s="64">
        <f t="shared" si="11"/>
        <v>31152</v>
      </c>
      <c r="J319" s="65">
        <f>I319/$I$25</f>
        <v>6.3592141545110238E-5</v>
      </c>
    </row>
    <row r="320" spans="1:10" x14ac:dyDescent="0.2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+'OCTUBRE '!G320+NOVIEMBRE!G320+'DICIEMBRE 2025'!G320</f>
        <v>687442.16</v>
      </c>
      <c r="H320" s="59">
        <f>+'OCTUBRE '!H320+NOVIEMBRE!H320+'DICIEMBRE 2025'!H320</f>
        <v>347711.44</v>
      </c>
      <c r="I320" s="59">
        <f t="shared" si="11"/>
        <v>1035153.6000000001</v>
      </c>
      <c r="J320" s="60"/>
    </row>
    <row r="321" spans="1:10" x14ac:dyDescent="0.2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f>+'OCTUBRE '!G321+NOVIEMBRE!G321+'DICIEMBRE 2025'!G321</f>
        <v>687442.16</v>
      </c>
      <c r="H321" s="64">
        <f>+'OCTUBRE '!H321+NOVIEMBRE!H321+'DICIEMBRE 2025'!H321</f>
        <v>347711.44</v>
      </c>
      <c r="I321" s="64">
        <f t="shared" si="11"/>
        <v>1035153.6000000001</v>
      </c>
      <c r="J321" s="65">
        <f>I321/$I$25</f>
        <v>2.1131110122024409E-3</v>
      </c>
    </row>
    <row r="322" spans="1:10" x14ac:dyDescent="0.2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+'OCTUBRE '!G322+NOVIEMBRE!G322+'DICIEMBRE 2025'!G322</f>
        <v>0</v>
      </c>
      <c r="H322" s="59">
        <f>+'OCTUBRE '!H322+NOVIEMBRE!H322+'DICIEMBRE 2025'!H322</f>
        <v>0</v>
      </c>
      <c r="I322" s="59">
        <f t="shared" si="11"/>
        <v>0</v>
      </c>
      <c r="J322" s="60"/>
    </row>
    <row r="323" spans="1:10" x14ac:dyDescent="0.2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+'OCTUBRE '!G323+NOVIEMBRE!G323+'DICIEMBRE 2025'!G323</f>
        <v>0</v>
      </c>
      <c r="H323" s="64">
        <f>+'OCTUBRE '!H323+NOVIEMBRE!H323+'DICIEMBRE 2025'!H323</f>
        <v>0</v>
      </c>
      <c r="I323" s="64">
        <f t="shared" si="11"/>
        <v>0</v>
      </c>
      <c r="J323" s="65">
        <f>I323/$I$25</f>
        <v>0</v>
      </c>
    </row>
    <row r="324" spans="1:10" x14ac:dyDescent="0.2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+'OCTUBRE '!G324+NOVIEMBRE!G324+'DICIEMBRE 2025'!G324</f>
        <v>702045.41</v>
      </c>
      <c r="H324" s="59">
        <f>+'OCTUBRE '!H324+NOVIEMBRE!H324+'DICIEMBRE 2025'!H324</f>
        <v>1791490.21</v>
      </c>
      <c r="I324" s="59">
        <f t="shared" si="11"/>
        <v>2493535.62</v>
      </c>
      <c r="J324" s="60"/>
    </row>
    <row r="325" spans="1:10" x14ac:dyDescent="0.2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f>+'OCTUBRE '!G325+NOVIEMBRE!G325+'DICIEMBRE 2025'!G325</f>
        <v>0</v>
      </c>
      <c r="H325" s="64">
        <f>+'OCTUBRE '!H325+NOVIEMBRE!H325+'DICIEMBRE 2025'!H325</f>
        <v>1387459.34</v>
      </c>
      <c r="I325" s="64">
        <f t="shared" si="11"/>
        <v>1387459.34</v>
      </c>
      <c r="J325" s="65">
        <f>I325/$I$25</f>
        <v>2.8322904063098754E-3</v>
      </c>
    </row>
    <row r="326" spans="1:10" x14ac:dyDescent="0.2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f>+'OCTUBRE '!G326+NOVIEMBRE!G326+'DICIEMBRE 2025'!G326</f>
        <v>702045.41</v>
      </c>
      <c r="H326" s="64">
        <f>+'OCTUBRE '!H326+NOVIEMBRE!H326+'DICIEMBRE 2025'!H326</f>
        <v>404030.87</v>
      </c>
      <c r="I326" s="64">
        <f t="shared" si="11"/>
        <v>1106076.28</v>
      </c>
      <c r="J326" s="65">
        <f>I326/$I$25</f>
        <v>2.2578890394661334E-3</v>
      </c>
    </row>
    <row r="327" spans="1:10" x14ac:dyDescent="0.2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+'OCTUBRE '!G327+NOVIEMBRE!G327+'DICIEMBRE 2025'!G327</f>
        <v>143373.91</v>
      </c>
      <c r="H327" s="59">
        <f>+'OCTUBRE '!H327+NOVIEMBRE!H327+'DICIEMBRE 2025'!H327</f>
        <v>1261947.1400000001</v>
      </c>
      <c r="I327" s="59">
        <f t="shared" si="11"/>
        <v>1405321.05</v>
      </c>
      <c r="J327" s="60"/>
    </row>
    <row r="328" spans="1:10" x14ac:dyDescent="0.2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+'OCTUBRE '!G328+NOVIEMBRE!G328+'DICIEMBRE 2025'!G328</f>
        <v>34813.910000000003</v>
      </c>
      <c r="H328" s="64">
        <f>+'OCTUBRE '!H328+NOVIEMBRE!H328+'DICIEMBRE 2025'!H328</f>
        <v>169864.53</v>
      </c>
      <c r="I328" s="64">
        <f t="shared" si="11"/>
        <v>204678.44</v>
      </c>
      <c r="J328" s="65">
        <f>I328/$I$25</f>
        <v>4.1782037518337038E-4</v>
      </c>
    </row>
    <row r="329" spans="1:10" x14ac:dyDescent="0.2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+'OCTUBRE '!G329+NOVIEMBRE!G329+'DICIEMBRE 2025'!G329</f>
        <v>108560</v>
      </c>
      <c r="H329" s="64">
        <f>+'OCTUBRE '!H329+NOVIEMBRE!H329+'DICIEMBRE 2025'!H329</f>
        <v>1092082.6100000001</v>
      </c>
      <c r="I329" s="64">
        <f t="shared" si="11"/>
        <v>1200642.6100000001</v>
      </c>
      <c r="J329" s="65">
        <f>I329/$I$25</f>
        <v>2.4509320364731191E-3</v>
      </c>
    </row>
    <row r="330" spans="1:10" x14ac:dyDescent="0.2">
      <c r="A330" s="70">
        <v>2</v>
      </c>
      <c r="B330" s="55">
        <v>4</v>
      </c>
      <c r="C330" s="55">
        <v>1</v>
      </c>
      <c r="D330" s="55">
        <v>2</v>
      </c>
      <c r="E330" s="55"/>
      <c r="F330" s="85" t="s">
        <v>281</v>
      </c>
      <c r="G330" s="56">
        <f>+'OCTUBRE '!G330+NOVIEMBRE!G330+'DICIEMBRE 2025'!G330</f>
        <v>0</v>
      </c>
      <c r="H330" s="56">
        <f>+'OCTUBRE '!H330+NOVIEMBRE!H330+'DICIEMBRE 2025'!H330</f>
        <v>19600</v>
      </c>
      <c r="I330" s="56">
        <f t="shared" si="11"/>
        <v>19600</v>
      </c>
      <c r="J330" s="53">
        <f>+I330/I25</f>
        <v>4.0010463992172596E-5</v>
      </c>
    </row>
    <row r="331" spans="1:10" x14ac:dyDescent="0.2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+'OCTUBRE '!G331+NOVIEMBRE!G331+'DICIEMBRE 2025'!G331</f>
        <v>0</v>
      </c>
      <c r="H331" s="64">
        <f>+'OCTUBRE '!H331+NOVIEMBRE!H331+'DICIEMBRE 2025'!H331</f>
        <v>7200</v>
      </c>
      <c r="I331" s="64">
        <f t="shared" si="11"/>
        <v>7200</v>
      </c>
      <c r="J331" s="65">
        <f t="shared" ref="J331:J336" si="14">I331/$I$25</f>
        <v>1.4697721466512383E-5</v>
      </c>
    </row>
    <row r="332" spans="1:10" x14ac:dyDescent="0.2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+'OCTUBRE '!G332+NOVIEMBRE!G332+'DICIEMBRE 2025'!G332</f>
        <v>0</v>
      </c>
      <c r="H332" s="64">
        <f>+'OCTUBRE '!H332+NOVIEMBRE!H332+'DICIEMBRE 2025'!H332</f>
        <v>12400</v>
      </c>
      <c r="I332" s="64">
        <f t="shared" si="11"/>
        <v>12400</v>
      </c>
      <c r="J332" s="65">
        <f t="shared" si="14"/>
        <v>2.5312742525660215E-5</v>
      </c>
    </row>
    <row r="333" spans="1:10" x14ac:dyDescent="0.2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+'OCTUBRE '!G333+NOVIEMBRE!G333+'DICIEMBRE 2025'!G333</f>
        <v>0</v>
      </c>
      <c r="H333" s="64">
        <f>+'OCTUBRE '!H333+NOVIEMBRE!H333+'DICIEMBRE 2025'!H333</f>
        <v>0</v>
      </c>
      <c r="I333" s="64">
        <f t="shared" si="11"/>
        <v>0</v>
      </c>
      <c r="J333" s="65">
        <f t="shared" si="14"/>
        <v>0</v>
      </c>
    </row>
    <row r="334" spans="1:10" x14ac:dyDescent="0.2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+'OCTUBRE '!G334+NOVIEMBRE!G334+'DICIEMBRE 2025'!G334</f>
        <v>0</v>
      </c>
      <c r="H334" s="64">
        <f>+'OCTUBRE '!H334+NOVIEMBRE!H334+'DICIEMBRE 2025'!H334</f>
        <v>0</v>
      </c>
      <c r="I334" s="64">
        <f t="shared" si="11"/>
        <v>0</v>
      </c>
      <c r="J334" s="65">
        <f t="shared" si="14"/>
        <v>0</v>
      </c>
    </row>
    <row r="335" spans="1:10" x14ac:dyDescent="0.2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+'OCTUBRE '!G335+NOVIEMBRE!G335+'DICIEMBRE 2025'!G335</f>
        <v>0</v>
      </c>
      <c r="H335" s="64">
        <f>+'OCTUBRE '!H335+NOVIEMBRE!H335+'DICIEMBRE 2025'!H335</f>
        <v>0</v>
      </c>
      <c r="I335" s="64">
        <f t="shared" si="11"/>
        <v>0</v>
      </c>
      <c r="J335" s="65">
        <f t="shared" si="14"/>
        <v>0</v>
      </c>
    </row>
    <row r="336" spans="1:10" x14ac:dyDescent="0.2">
      <c r="A336" s="70">
        <v>2</v>
      </c>
      <c r="B336" s="55">
        <v>6</v>
      </c>
      <c r="C336" s="55"/>
      <c r="D336" s="55"/>
      <c r="E336" s="55"/>
      <c r="F336" s="85" t="s">
        <v>287</v>
      </c>
      <c r="G336" s="56">
        <f>+'OCTUBRE '!G336+NOVIEMBRE!G336+'DICIEMBRE 2025'!G336</f>
        <v>29442717.409999996</v>
      </c>
      <c r="H336" s="56">
        <f>+'OCTUBRE '!H336+NOVIEMBRE!H336+'DICIEMBRE 2025'!H336</f>
        <v>7416727.6099999994</v>
      </c>
      <c r="I336" s="56">
        <f t="shared" si="11"/>
        <v>36859445.019999996</v>
      </c>
      <c r="J336" s="53">
        <f t="shared" si="14"/>
        <v>7.5243035599192626E-2</v>
      </c>
    </row>
    <row r="337" spans="1:10" x14ac:dyDescent="0.2">
      <c r="A337" s="54">
        <v>2</v>
      </c>
      <c r="B337" s="55">
        <v>6</v>
      </c>
      <c r="C337" s="55">
        <v>1</v>
      </c>
      <c r="D337" s="55"/>
      <c r="E337" s="55"/>
      <c r="F337" s="85" t="s">
        <v>288</v>
      </c>
      <c r="G337" s="56">
        <f>+'OCTUBRE '!G337+NOVIEMBRE!G337+'DICIEMBRE 2025'!G337</f>
        <v>5728171.7400000002</v>
      </c>
      <c r="H337" s="56">
        <f>+'OCTUBRE '!H337+NOVIEMBRE!H337+'DICIEMBRE 2025'!H337</f>
        <v>743554.02</v>
      </c>
      <c r="I337" s="56">
        <f t="shared" si="11"/>
        <v>6471725.7599999998</v>
      </c>
      <c r="J337" s="53"/>
    </row>
    <row r="338" spans="1:10" x14ac:dyDescent="0.2">
      <c r="A338" s="57">
        <v>2</v>
      </c>
      <c r="B338" s="58">
        <v>6</v>
      </c>
      <c r="C338" s="58">
        <v>1</v>
      </c>
      <c r="D338" s="58">
        <v>1</v>
      </c>
      <c r="E338" s="58"/>
      <c r="F338" s="86" t="s">
        <v>289</v>
      </c>
      <c r="G338" s="59">
        <f>+'OCTUBRE '!G338+NOVIEMBRE!G338+'DICIEMBRE 2025'!G338</f>
        <v>1830764.53</v>
      </c>
      <c r="H338" s="59">
        <f>+'OCTUBRE '!H338+NOVIEMBRE!H338+'DICIEMBRE 2025'!H338</f>
        <v>628926.44999999995</v>
      </c>
      <c r="I338" s="59">
        <f t="shared" si="11"/>
        <v>2459690.98</v>
      </c>
      <c r="J338" s="60"/>
    </row>
    <row r="339" spans="1:10" x14ac:dyDescent="0.2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69" t="s">
        <v>289</v>
      </c>
      <c r="G339" s="64">
        <f>+'OCTUBRE '!G339+NOVIEMBRE!G339+'DICIEMBRE 2025'!G339</f>
        <v>1830764.53</v>
      </c>
      <c r="H339" s="64">
        <f>+'OCTUBRE '!H339+NOVIEMBRE!H339+'DICIEMBRE 2025'!H339</f>
        <v>628926.44999999995</v>
      </c>
      <c r="I339" s="64">
        <f t="shared" si="11"/>
        <v>2459690.98</v>
      </c>
      <c r="J339" s="65">
        <f>I339/$I$25</f>
        <v>5.0210906830184558E-3</v>
      </c>
    </row>
    <row r="340" spans="1:10" x14ac:dyDescent="0.2">
      <c r="A340" s="57">
        <v>2</v>
      </c>
      <c r="B340" s="58">
        <v>6</v>
      </c>
      <c r="C340" s="58">
        <v>1</v>
      </c>
      <c r="D340" s="58">
        <v>2</v>
      </c>
      <c r="E340" s="58"/>
      <c r="F340" s="86" t="s">
        <v>290</v>
      </c>
      <c r="G340" s="59">
        <f>+'OCTUBRE '!G340+NOVIEMBRE!G340+'DICIEMBRE 2025'!G340</f>
        <v>0</v>
      </c>
      <c r="H340" s="59">
        <f>+'OCTUBRE '!H340+NOVIEMBRE!H340+'DICIEMBRE 2025'!H340</f>
        <v>46091.27</v>
      </c>
      <c r="I340" s="59">
        <f t="shared" si="11"/>
        <v>46091.27</v>
      </c>
      <c r="J340" s="60"/>
    </row>
    <row r="341" spans="1:10" x14ac:dyDescent="0.2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69" t="s">
        <v>290</v>
      </c>
      <c r="G341" s="64">
        <f>+'OCTUBRE '!G341+NOVIEMBRE!G341+'DICIEMBRE 2025'!G341</f>
        <v>0</v>
      </c>
      <c r="H341" s="64">
        <f>+'OCTUBRE '!H341+NOVIEMBRE!H341+'DICIEMBRE 2025'!H341</f>
        <v>46091.27</v>
      </c>
      <c r="I341" s="64">
        <f t="shared" si="11"/>
        <v>46091.27</v>
      </c>
      <c r="J341" s="65">
        <f>I341/$I$25</f>
        <v>9.408842340247474E-5</v>
      </c>
    </row>
    <row r="342" spans="1:10" x14ac:dyDescent="0.2">
      <c r="A342" s="57">
        <v>2</v>
      </c>
      <c r="B342" s="58">
        <v>6</v>
      </c>
      <c r="C342" s="58">
        <v>1</v>
      </c>
      <c r="D342" s="58">
        <v>3</v>
      </c>
      <c r="E342" s="58"/>
      <c r="F342" s="86" t="s">
        <v>291</v>
      </c>
      <c r="G342" s="59">
        <f>+'OCTUBRE '!G342+NOVIEMBRE!G342+'DICIEMBRE 2025'!G342</f>
        <v>3298613.4</v>
      </c>
      <c r="H342" s="59">
        <f>+'OCTUBRE '!H342+NOVIEMBRE!H342+'DICIEMBRE 2025'!H342</f>
        <v>0</v>
      </c>
      <c r="I342" s="59">
        <f t="shared" si="11"/>
        <v>3298613.4</v>
      </c>
      <c r="J342" s="60"/>
    </row>
    <row r="343" spans="1:10" x14ac:dyDescent="0.2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69" t="s">
        <v>291</v>
      </c>
      <c r="G343" s="64">
        <f>+'OCTUBRE '!G343+NOVIEMBRE!G343+'DICIEMBRE 2025'!G343</f>
        <v>3298613.4</v>
      </c>
      <c r="H343" s="64">
        <f>+'OCTUBRE '!H343+NOVIEMBRE!H343+'DICIEMBRE 2025'!H343</f>
        <v>0</v>
      </c>
      <c r="I343" s="64">
        <f t="shared" si="11"/>
        <v>3298613.4</v>
      </c>
      <c r="J343" s="65">
        <f>I343/$I$25</f>
        <v>6.7336251359590826E-3</v>
      </c>
    </row>
    <row r="344" spans="1:10" x14ac:dyDescent="0.2">
      <c r="A344" s="57">
        <v>2</v>
      </c>
      <c r="B344" s="58">
        <v>6</v>
      </c>
      <c r="C344" s="58">
        <v>1</v>
      </c>
      <c r="D344" s="58">
        <v>4</v>
      </c>
      <c r="E344" s="58"/>
      <c r="F344" s="86" t="s">
        <v>292</v>
      </c>
      <c r="G344" s="59">
        <f>+'OCTUBRE '!G344+NOVIEMBRE!G344+'DICIEMBRE 2025'!G344</f>
        <v>543693.14</v>
      </c>
      <c r="H344" s="59">
        <f>+'OCTUBRE '!H344+NOVIEMBRE!H344+'DICIEMBRE 2025'!H344</f>
        <v>68536.3</v>
      </c>
      <c r="I344" s="59">
        <f t="shared" si="11"/>
        <v>612229.44000000006</v>
      </c>
      <c r="J344" s="60"/>
    </row>
    <row r="345" spans="1:10" x14ac:dyDescent="0.2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69" t="s">
        <v>292</v>
      </c>
      <c r="G345" s="64">
        <f>+'OCTUBRE '!G345+NOVIEMBRE!G345+'DICIEMBRE 2025'!G345</f>
        <v>543693.14</v>
      </c>
      <c r="H345" s="64">
        <f>+'OCTUBRE '!H345+NOVIEMBRE!H345+'DICIEMBRE 2025'!H345</f>
        <v>68536.3</v>
      </c>
      <c r="I345" s="64">
        <f t="shared" ref="I345:I408" si="15">SUM(G345:H345)</f>
        <v>612229.44000000006</v>
      </c>
      <c r="J345" s="65">
        <f>I345/$I$25</f>
        <v>1.2497746920442855E-3</v>
      </c>
    </row>
    <row r="346" spans="1:10" ht="25.5" x14ac:dyDescent="0.2">
      <c r="A346" s="57">
        <v>2</v>
      </c>
      <c r="B346" s="58">
        <v>6</v>
      </c>
      <c r="C346" s="58">
        <v>1</v>
      </c>
      <c r="D346" s="58">
        <v>9</v>
      </c>
      <c r="E346" s="58"/>
      <c r="F346" s="86" t="s">
        <v>293</v>
      </c>
      <c r="G346" s="59">
        <f>+'OCTUBRE '!G346+NOVIEMBRE!G346+'DICIEMBRE 2025'!G346</f>
        <v>55100.67</v>
      </c>
      <c r="H346" s="59">
        <f>+'OCTUBRE '!H346+NOVIEMBRE!H346+'DICIEMBRE 2025'!H346</f>
        <v>0</v>
      </c>
      <c r="I346" s="59">
        <f t="shared" si="15"/>
        <v>55100.67</v>
      </c>
      <c r="J346" s="60"/>
    </row>
    <row r="347" spans="1:10" ht="25.5" x14ac:dyDescent="0.2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69" t="s">
        <v>293</v>
      </c>
      <c r="G347" s="64">
        <f>+'OCTUBRE '!G347+NOVIEMBRE!G347+'DICIEMBRE 2025'!G347</f>
        <v>55100.67</v>
      </c>
      <c r="H347" s="64">
        <f>+'OCTUBRE '!H347+NOVIEMBRE!H347+'DICIEMBRE 2025'!H347</f>
        <v>0</v>
      </c>
      <c r="I347" s="64">
        <f t="shared" si="15"/>
        <v>55100.67</v>
      </c>
      <c r="J347" s="65">
        <f>I347/$I$25</f>
        <v>1.1247976392752984E-4</v>
      </c>
    </row>
    <row r="348" spans="1:10" x14ac:dyDescent="0.2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+'OCTUBRE '!G348+NOVIEMBRE!G348+'DICIEMBRE 2025'!G348</f>
        <v>0</v>
      </c>
      <c r="H348" s="56">
        <f>+'OCTUBRE '!H348+NOVIEMBRE!H348+'DICIEMBRE 2025'!H348</f>
        <v>0</v>
      </c>
      <c r="I348" s="56">
        <f t="shared" si="15"/>
        <v>0</v>
      </c>
      <c r="J348" s="53"/>
    </row>
    <row r="349" spans="1:10" x14ac:dyDescent="0.2">
      <c r="A349" s="72">
        <v>2</v>
      </c>
      <c r="B349" s="58">
        <v>6</v>
      </c>
      <c r="C349" s="58">
        <v>2</v>
      </c>
      <c r="D349" s="58">
        <v>1</v>
      </c>
      <c r="E349" s="77"/>
      <c r="F349" s="86" t="s">
        <v>295</v>
      </c>
      <c r="G349" s="59">
        <f>+'OCTUBRE '!G349+NOVIEMBRE!G349+'DICIEMBRE 2025'!G349</f>
        <v>0</v>
      </c>
      <c r="H349" s="59">
        <f>+'OCTUBRE '!H349+NOVIEMBRE!H349+'DICIEMBRE 2025'!H349</f>
        <v>0</v>
      </c>
      <c r="I349" s="59">
        <f t="shared" si="15"/>
        <v>0</v>
      </c>
      <c r="J349" s="60"/>
    </row>
    <row r="350" spans="1:10" x14ac:dyDescent="0.2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69" t="s">
        <v>295</v>
      </c>
      <c r="G350" s="64">
        <f>+'OCTUBRE '!G350+NOVIEMBRE!G350+'DICIEMBRE 2025'!G350</f>
        <v>0</v>
      </c>
      <c r="H350" s="64">
        <f>+'OCTUBRE '!H350+NOVIEMBRE!H350+'DICIEMBRE 2025'!H350</f>
        <v>0</v>
      </c>
      <c r="I350" s="64">
        <f t="shared" si="15"/>
        <v>0</v>
      </c>
      <c r="J350" s="65">
        <f>I350/$I$25</f>
        <v>0</v>
      </c>
    </row>
    <row r="351" spans="1:10" x14ac:dyDescent="0.2">
      <c r="A351" s="72">
        <v>2</v>
      </c>
      <c r="B351" s="58">
        <v>6</v>
      </c>
      <c r="C351" s="58">
        <v>2</v>
      </c>
      <c r="D351" s="58">
        <v>2</v>
      </c>
      <c r="E351" s="77"/>
      <c r="F351" s="86" t="s">
        <v>296</v>
      </c>
      <c r="G351" s="59">
        <f>+'OCTUBRE '!G351+NOVIEMBRE!G351+'DICIEMBRE 2025'!G351</f>
        <v>0</v>
      </c>
      <c r="H351" s="59">
        <f>+'OCTUBRE '!H351+NOVIEMBRE!H351+'DICIEMBRE 2025'!H351</f>
        <v>0</v>
      </c>
      <c r="I351" s="59">
        <f t="shared" si="15"/>
        <v>0</v>
      </c>
      <c r="J351" s="60"/>
    </row>
    <row r="352" spans="1:10" x14ac:dyDescent="0.2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69" t="s">
        <v>296</v>
      </c>
      <c r="G352" s="64">
        <f>+'OCTUBRE '!G352+NOVIEMBRE!G352+'DICIEMBRE 2025'!G352</f>
        <v>0</v>
      </c>
      <c r="H352" s="64">
        <f>+'OCTUBRE '!H352+NOVIEMBRE!H352+'DICIEMBRE 2025'!H352</f>
        <v>0</v>
      </c>
      <c r="I352" s="64">
        <f t="shared" si="15"/>
        <v>0</v>
      </c>
      <c r="J352" s="65">
        <f>I352/$I$25</f>
        <v>0</v>
      </c>
    </row>
    <row r="353" spans="1:10" x14ac:dyDescent="0.2">
      <c r="A353" s="72">
        <v>2</v>
      </c>
      <c r="B353" s="58">
        <v>6</v>
      </c>
      <c r="C353" s="58">
        <v>2</v>
      </c>
      <c r="D353" s="58">
        <v>3</v>
      </c>
      <c r="E353" s="77"/>
      <c r="F353" s="86" t="s">
        <v>297</v>
      </c>
      <c r="G353" s="59">
        <f>+'OCTUBRE '!G353+NOVIEMBRE!G353+'DICIEMBRE 2025'!G353</f>
        <v>0</v>
      </c>
      <c r="H353" s="59">
        <f>+'OCTUBRE '!H353+NOVIEMBRE!H353+'DICIEMBRE 2025'!H353</f>
        <v>0</v>
      </c>
      <c r="I353" s="59">
        <f t="shared" si="15"/>
        <v>0</v>
      </c>
      <c r="J353" s="60"/>
    </row>
    <row r="354" spans="1:10" x14ac:dyDescent="0.2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69" t="s">
        <v>297</v>
      </c>
      <c r="G354" s="64">
        <f>+'OCTUBRE '!G354+NOVIEMBRE!G354+'DICIEMBRE 2025'!G354</f>
        <v>0</v>
      </c>
      <c r="H354" s="64">
        <f>+'OCTUBRE '!H354+NOVIEMBRE!H354+'DICIEMBRE 2025'!H354</f>
        <v>0</v>
      </c>
      <c r="I354" s="64">
        <f t="shared" si="15"/>
        <v>0</v>
      </c>
      <c r="J354" s="65">
        <f>I354/$I$25</f>
        <v>0</v>
      </c>
    </row>
    <row r="355" spans="1:10" x14ac:dyDescent="0.2">
      <c r="A355" s="72">
        <v>2</v>
      </c>
      <c r="B355" s="58">
        <v>6</v>
      </c>
      <c r="C355" s="58">
        <v>2</v>
      </c>
      <c r="D355" s="58">
        <v>4</v>
      </c>
      <c r="E355" s="77"/>
      <c r="F355" s="86" t="s">
        <v>298</v>
      </c>
      <c r="G355" s="59">
        <f>+'OCTUBRE '!G355+NOVIEMBRE!G355+'DICIEMBRE 2025'!G355</f>
        <v>0</v>
      </c>
      <c r="H355" s="59">
        <f>+'OCTUBRE '!H355+NOVIEMBRE!H355+'DICIEMBRE 2025'!H355</f>
        <v>0</v>
      </c>
      <c r="I355" s="59">
        <f t="shared" si="15"/>
        <v>0</v>
      </c>
      <c r="J355" s="60"/>
    </row>
    <row r="356" spans="1:10" x14ac:dyDescent="0.2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69" t="s">
        <v>298</v>
      </c>
      <c r="G356" s="64">
        <f>+'OCTUBRE '!G356+NOVIEMBRE!G356+'DICIEMBRE 2025'!G356</f>
        <v>0</v>
      </c>
      <c r="H356" s="64">
        <f>+'OCTUBRE '!H356+NOVIEMBRE!H356+'DICIEMBRE 2025'!H356</f>
        <v>0</v>
      </c>
      <c r="I356" s="64">
        <f t="shared" si="15"/>
        <v>0</v>
      </c>
      <c r="J356" s="65">
        <f>I356/$I$25</f>
        <v>0</v>
      </c>
    </row>
    <row r="357" spans="1:10" x14ac:dyDescent="0.2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+'OCTUBRE '!G357+NOVIEMBRE!G357+'DICIEMBRE 2025'!G357</f>
        <v>22645763.799999997</v>
      </c>
      <c r="H357" s="56">
        <f>+'OCTUBRE '!H357+NOVIEMBRE!H357+'DICIEMBRE 2025'!H357</f>
        <v>4975655.26</v>
      </c>
      <c r="I357" s="56">
        <f t="shared" si="15"/>
        <v>27621419.059999995</v>
      </c>
      <c r="J357" s="53"/>
    </row>
    <row r="358" spans="1:10" x14ac:dyDescent="0.2">
      <c r="A358" s="72">
        <v>2</v>
      </c>
      <c r="B358" s="58">
        <v>6</v>
      </c>
      <c r="C358" s="58">
        <v>3</v>
      </c>
      <c r="D358" s="58">
        <v>1</v>
      </c>
      <c r="E358" s="77"/>
      <c r="F358" s="86" t="s">
        <v>300</v>
      </c>
      <c r="G358" s="59">
        <f>+'OCTUBRE '!G358+NOVIEMBRE!G358+'DICIEMBRE 2025'!G358</f>
        <v>19498541.619999997</v>
      </c>
      <c r="H358" s="59">
        <f>+'OCTUBRE '!H358+NOVIEMBRE!H358+'DICIEMBRE 2025'!H358</f>
        <v>2792655.2600000002</v>
      </c>
      <c r="I358" s="59">
        <f t="shared" si="15"/>
        <v>22291196.879999999</v>
      </c>
      <c r="J358" s="60"/>
    </row>
    <row r="359" spans="1:10" x14ac:dyDescent="0.2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69" t="s">
        <v>300</v>
      </c>
      <c r="G359" s="64">
        <f>+'OCTUBRE '!G359+NOVIEMBRE!G359+'DICIEMBRE 2025'!G359</f>
        <v>19498541.619999997</v>
      </c>
      <c r="H359" s="64">
        <f>+'OCTUBRE '!H359+NOVIEMBRE!H359+'DICIEMBRE 2025'!H359</f>
        <v>2792655.2600000002</v>
      </c>
      <c r="I359" s="64">
        <f t="shared" si="15"/>
        <v>22291196.879999999</v>
      </c>
      <c r="J359" s="65">
        <f>I359/$I$25</f>
        <v>4.5504139291309698E-2</v>
      </c>
    </row>
    <row r="360" spans="1:10" x14ac:dyDescent="0.2">
      <c r="A360" s="72">
        <v>2</v>
      </c>
      <c r="B360" s="58">
        <v>6</v>
      </c>
      <c r="C360" s="58">
        <v>3</v>
      </c>
      <c r="D360" s="58">
        <v>2</v>
      </c>
      <c r="E360" s="77"/>
      <c r="F360" s="86" t="s">
        <v>301</v>
      </c>
      <c r="G360" s="59">
        <f>+'OCTUBRE '!G360+NOVIEMBRE!G360+'DICIEMBRE 2025'!G360</f>
        <v>1690928.96</v>
      </c>
      <c r="H360" s="59">
        <f>+'OCTUBRE '!H360+NOVIEMBRE!H360+'DICIEMBRE 2025'!H360</f>
        <v>2183000</v>
      </c>
      <c r="I360" s="59">
        <f t="shared" si="15"/>
        <v>3873928.96</v>
      </c>
      <c r="J360" s="60"/>
    </row>
    <row r="361" spans="1:10" x14ac:dyDescent="0.2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69" t="s">
        <v>301</v>
      </c>
      <c r="G361" s="64">
        <f>+'OCTUBRE '!G361+NOVIEMBRE!G361+'DICIEMBRE 2025'!G361</f>
        <v>1690928.96</v>
      </c>
      <c r="H361" s="64">
        <f>+'OCTUBRE '!H361+NOVIEMBRE!H361+'DICIEMBRE 2025'!H361</f>
        <v>2183000</v>
      </c>
      <c r="I361" s="64">
        <f t="shared" si="15"/>
        <v>3873928.96</v>
      </c>
      <c r="J361" s="65">
        <f>I361/$I$25</f>
        <v>7.9080456715466645E-3</v>
      </c>
    </row>
    <row r="362" spans="1:10" x14ac:dyDescent="0.2">
      <c r="A362" s="72">
        <v>2</v>
      </c>
      <c r="B362" s="58">
        <v>6</v>
      </c>
      <c r="C362" s="58">
        <v>3</v>
      </c>
      <c r="D362" s="58">
        <v>3</v>
      </c>
      <c r="E362" s="77"/>
      <c r="F362" s="86" t="s">
        <v>302</v>
      </c>
      <c r="G362" s="59">
        <f>+'OCTUBRE '!G362+NOVIEMBRE!G362+'DICIEMBRE 2025'!G362</f>
        <v>0</v>
      </c>
      <c r="H362" s="59">
        <f>+'OCTUBRE '!H362+NOVIEMBRE!H362+'DICIEMBRE 2025'!H362</f>
        <v>0</v>
      </c>
      <c r="I362" s="59">
        <f t="shared" si="15"/>
        <v>0</v>
      </c>
      <c r="J362" s="60"/>
    </row>
    <row r="363" spans="1:10" x14ac:dyDescent="0.2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69" t="s">
        <v>302</v>
      </c>
      <c r="G363" s="64">
        <f>+'OCTUBRE '!G363+NOVIEMBRE!G363+'DICIEMBRE 2025'!G363</f>
        <v>0</v>
      </c>
      <c r="H363" s="64">
        <f>+'OCTUBRE '!H363+NOVIEMBRE!H363+'DICIEMBRE 2025'!H363</f>
        <v>0</v>
      </c>
      <c r="I363" s="64">
        <f t="shared" si="15"/>
        <v>0</v>
      </c>
      <c r="J363" s="65">
        <f>I363/$I$25</f>
        <v>0</v>
      </c>
    </row>
    <row r="364" spans="1:10" x14ac:dyDescent="0.2">
      <c r="A364" s="72">
        <v>2</v>
      </c>
      <c r="B364" s="58">
        <v>6</v>
      </c>
      <c r="C364" s="58">
        <v>3</v>
      </c>
      <c r="D364" s="58">
        <v>4</v>
      </c>
      <c r="E364" s="58"/>
      <c r="F364" s="86" t="s">
        <v>303</v>
      </c>
      <c r="G364" s="59">
        <f>+'OCTUBRE '!G364+NOVIEMBRE!G364+'DICIEMBRE 2025'!G364</f>
        <v>1456293.22</v>
      </c>
      <c r="H364" s="59">
        <f>+'OCTUBRE '!H364+NOVIEMBRE!H364+'DICIEMBRE 2025'!H364</f>
        <v>0</v>
      </c>
      <c r="I364" s="59">
        <f t="shared" si="15"/>
        <v>1456293.22</v>
      </c>
      <c r="J364" s="60"/>
    </row>
    <row r="365" spans="1:10" x14ac:dyDescent="0.2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69" t="s">
        <v>303</v>
      </c>
      <c r="G365" s="64">
        <f>+'OCTUBRE '!G365+NOVIEMBRE!G365+'DICIEMBRE 2025'!G365</f>
        <v>1456293.22</v>
      </c>
      <c r="H365" s="64">
        <f>+'OCTUBRE '!H365+NOVIEMBRE!H365+'DICIEMBRE 2025'!H365</f>
        <v>0</v>
      </c>
      <c r="I365" s="64">
        <f t="shared" si="15"/>
        <v>1456293.22</v>
      </c>
      <c r="J365" s="65">
        <f>I365/$I$25</f>
        <v>2.9728044612681165E-3</v>
      </c>
    </row>
    <row r="366" spans="1:10" x14ac:dyDescent="0.2">
      <c r="A366" s="54">
        <v>2</v>
      </c>
      <c r="B366" s="55">
        <v>6</v>
      </c>
      <c r="C366" s="55">
        <v>4</v>
      </c>
      <c r="D366" s="55"/>
      <c r="E366" s="78"/>
      <c r="F366" s="85" t="s">
        <v>304</v>
      </c>
      <c r="G366" s="56">
        <f>+'OCTUBRE '!G366+NOVIEMBRE!G366+'DICIEMBRE 2025'!G366</f>
        <v>0</v>
      </c>
      <c r="H366" s="56">
        <f>+'OCTUBRE '!H366+NOVIEMBRE!H366+'DICIEMBRE 2025'!H366</f>
        <v>0</v>
      </c>
      <c r="I366" s="56">
        <f t="shared" si="15"/>
        <v>0</v>
      </c>
      <c r="J366" s="53"/>
    </row>
    <row r="367" spans="1:10" x14ac:dyDescent="0.2">
      <c r="A367" s="72">
        <v>2</v>
      </c>
      <c r="B367" s="58">
        <v>6</v>
      </c>
      <c r="C367" s="58">
        <v>4</v>
      </c>
      <c r="D367" s="58">
        <v>1</v>
      </c>
      <c r="E367" s="58"/>
      <c r="F367" s="86" t="s">
        <v>305</v>
      </c>
      <c r="G367" s="59">
        <f>+'OCTUBRE '!G367+NOVIEMBRE!G367+'DICIEMBRE 2025'!G367</f>
        <v>0</v>
      </c>
      <c r="H367" s="59">
        <f>+'OCTUBRE '!H367+NOVIEMBRE!H367+'DICIEMBRE 2025'!H367</f>
        <v>0</v>
      </c>
      <c r="I367" s="59">
        <f t="shared" si="15"/>
        <v>0</v>
      </c>
      <c r="J367" s="60"/>
    </row>
    <row r="368" spans="1:10" x14ac:dyDescent="0.2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69" t="s">
        <v>305</v>
      </c>
      <c r="G368" s="64">
        <f>+'OCTUBRE '!G368+NOVIEMBRE!G368+'DICIEMBRE 2025'!G368</f>
        <v>0</v>
      </c>
      <c r="H368" s="64">
        <f>+'OCTUBRE '!H368+NOVIEMBRE!H368+'DICIEMBRE 2025'!H368</f>
        <v>0</v>
      </c>
      <c r="I368" s="64">
        <f t="shared" si="15"/>
        <v>0</v>
      </c>
      <c r="J368" s="65">
        <f>I368/$I$25</f>
        <v>0</v>
      </c>
    </row>
    <row r="369" spans="1:10" x14ac:dyDescent="0.2">
      <c r="A369" s="72">
        <v>2</v>
      </c>
      <c r="B369" s="58">
        <v>6</v>
      </c>
      <c r="C369" s="58">
        <v>4</v>
      </c>
      <c r="D369" s="58">
        <v>2</v>
      </c>
      <c r="E369" s="58"/>
      <c r="F369" s="86" t="s">
        <v>306</v>
      </c>
      <c r="G369" s="59">
        <f>+'OCTUBRE '!G369+NOVIEMBRE!G369+'DICIEMBRE 2025'!G369</f>
        <v>0</v>
      </c>
      <c r="H369" s="59">
        <f>+'OCTUBRE '!H369+NOVIEMBRE!H369+'DICIEMBRE 2025'!H369</f>
        <v>0</v>
      </c>
      <c r="I369" s="59">
        <f t="shared" si="15"/>
        <v>0</v>
      </c>
      <c r="J369" s="60"/>
    </row>
    <row r="370" spans="1:10" x14ac:dyDescent="0.2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69" t="s">
        <v>306</v>
      </c>
      <c r="G370" s="64">
        <f>+'OCTUBRE '!G370+NOVIEMBRE!G370+'DICIEMBRE 2025'!G370</f>
        <v>0</v>
      </c>
      <c r="H370" s="64">
        <f>+'OCTUBRE '!H370+NOVIEMBRE!H370+'DICIEMBRE 2025'!H370</f>
        <v>0</v>
      </c>
      <c r="I370" s="64">
        <f t="shared" si="15"/>
        <v>0</v>
      </c>
      <c r="J370" s="65">
        <f>I370/$I$25</f>
        <v>0</v>
      </c>
    </row>
    <row r="371" spans="1:10" x14ac:dyDescent="0.2">
      <c r="A371" s="72">
        <v>2</v>
      </c>
      <c r="B371" s="58">
        <v>6</v>
      </c>
      <c r="C371" s="58">
        <v>4</v>
      </c>
      <c r="D371" s="58">
        <v>3</v>
      </c>
      <c r="E371" s="58"/>
      <c r="F371" s="86" t="s">
        <v>307</v>
      </c>
      <c r="G371" s="59">
        <f>+'OCTUBRE '!G371+NOVIEMBRE!G371+'DICIEMBRE 2025'!G371</f>
        <v>0</v>
      </c>
      <c r="H371" s="59">
        <f>+'OCTUBRE '!H371+NOVIEMBRE!H371+'DICIEMBRE 2025'!H371</f>
        <v>0</v>
      </c>
      <c r="I371" s="59">
        <f t="shared" si="15"/>
        <v>0</v>
      </c>
      <c r="J371" s="60"/>
    </row>
    <row r="372" spans="1:10" x14ac:dyDescent="0.2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69" t="s">
        <v>307</v>
      </c>
      <c r="G372" s="64">
        <f>+'OCTUBRE '!G372+NOVIEMBRE!G372+'DICIEMBRE 2025'!G372</f>
        <v>0</v>
      </c>
      <c r="H372" s="64">
        <f>+'OCTUBRE '!H372+NOVIEMBRE!H372+'DICIEMBRE 2025'!H372</f>
        <v>0</v>
      </c>
      <c r="I372" s="64">
        <f t="shared" si="15"/>
        <v>0</v>
      </c>
      <c r="J372" s="65">
        <f>I372/$I$25</f>
        <v>0</v>
      </c>
    </row>
    <row r="373" spans="1:10" x14ac:dyDescent="0.2">
      <c r="A373" s="72">
        <v>2</v>
      </c>
      <c r="B373" s="58">
        <v>6</v>
      </c>
      <c r="C373" s="58">
        <v>4</v>
      </c>
      <c r="D373" s="58">
        <v>4</v>
      </c>
      <c r="E373" s="58"/>
      <c r="F373" s="86" t="s">
        <v>308</v>
      </c>
      <c r="G373" s="59">
        <f>+'OCTUBRE '!G373+NOVIEMBRE!G373+'DICIEMBRE 2025'!G373</f>
        <v>0</v>
      </c>
      <c r="H373" s="59">
        <f>+'OCTUBRE '!H373+NOVIEMBRE!H373+'DICIEMBRE 2025'!H373</f>
        <v>0</v>
      </c>
      <c r="I373" s="59">
        <f t="shared" si="15"/>
        <v>0</v>
      </c>
      <c r="J373" s="60"/>
    </row>
    <row r="374" spans="1:10" x14ac:dyDescent="0.2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69" t="s">
        <v>308</v>
      </c>
      <c r="G374" s="64">
        <f>+'OCTUBRE '!G374+NOVIEMBRE!G374+'DICIEMBRE 2025'!G374</f>
        <v>0</v>
      </c>
      <c r="H374" s="64">
        <f>+'OCTUBRE '!H374+NOVIEMBRE!H374+'DICIEMBRE 2025'!H374</f>
        <v>0</v>
      </c>
      <c r="I374" s="64">
        <f t="shared" si="15"/>
        <v>0</v>
      </c>
      <c r="J374" s="65">
        <f>I374/$I$25</f>
        <v>0</v>
      </c>
    </row>
    <row r="375" spans="1:10" x14ac:dyDescent="0.2">
      <c r="A375" s="72">
        <v>2</v>
      </c>
      <c r="B375" s="58">
        <v>6</v>
      </c>
      <c r="C375" s="58">
        <v>4</v>
      </c>
      <c r="D375" s="58">
        <v>5</v>
      </c>
      <c r="E375" s="58"/>
      <c r="F375" s="86" t="s">
        <v>309</v>
      </c>
      <c r="G375" s="59">
        <f>+'OCTUBRE '!G375+NOVIEMBRE!G375+'DICIEMBRE 2025'!G375</f>
        <v>0</v>
      </c>
      <c r="H375" s="59">
        <f>+'OCTUBRE '!H375+NOVIEMBRE!H375+'DICIEMBRE 2025'!H375</f>
        <v>0</v>
      </c>
      <c r="I375" s="59">
        <f t="shared" si="15"/>
        <v>0</v>
      </c>
      <c r="J375" s="60"/>
    </row>
    <row r="376" spans="1:10" x14ac:dyDescent="0.2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69" t="s">
        <v>309</v>
      </c>
      <c r="G376" s="64">
        <f>+'OCTUBRE '!G376+NOVIEMBRE!G376+'DICIEMBRE 2025'!G376</f>
        <v>0</v>
      </c>
      <c r="H376" s="64">
        <f>+'OCTUBRE '!H376+NOVIEMBRE!H376+'DICIEMBRE 2025'!H376</f>
        <v>0</v>
      </c>
      <c r="I376" s="64">
        <f t="shared" si="15"/>
        <v>0</v>
      </c>
      <c r="J376" s="65">
        <f>I376/$I$25</f>
        <v>0</v>
      </c>
    </row>
    <row r="377" spans="1:10" x14ac:dyDescent="0.2">
      <c r="A377" s="72">
        <v>2</v>
      </c>
      <c r="B377" s="58">
        <v>6</v>
      </c>
      <c r="C377" s="58">
        <v>4</v>
      </c>
      <c r="D377" s="58">
        <v>6</v>
      </c>
      <c r="E377" s="58"/>
      <c r="F377" s="86" t="s">
        <v>310</v>
      </c>
      <c r="G377" s="59">
        <f>+'OCTUBRE '!G377+NOVIEMBRE!G377+'DICIEMBRE 2025'!G377</f>
        <v>0</v>
      </c>
      <c r="H377" s="59">
        <f>+'OCTUBRE '!H377+NOVIEMBRE!H377+'DICIEMBRE 2025'!H377</f>
        <v>0</v>
      </c>
      <c r="I377" s="59">
        <f t="shared" si="15"/>
        <v>0</v>
      </c>
      <c r="J377" s="60"/>
    </row>
    <row r="378" spans="1:10" x14ac:dyDescent="0.2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69" t="s">
        <v>310</v>
      </c>
      <c r="G378" s="64">
        <f>+'OCTUBRE '!G378+NOVIEMBRE!G378+'DICIEMBRE 2025'!G378</f>
        <v>0</v>
      </c>
      <c r="H378" s="64">
        <f>+'OCTUBRE '!H378+NOVIEMBRE!H378+'DICIEMBRE 2025'!H378</f>
        <v>0</v>
      </c>
      <c r="I378" s="64">
        <f t="shared" si="15"/>
        <v>0</v>
      </c>
      <c r="J378" s="65">
        <f>I378/$I$25</f>
        <v>0</v>
      </c>
    </row>
    <row r="379" spans="1:10" x14ac:dyDescent="0.2">
      <c r="A379" s="72">
        <v>2</v>
      </c>
      <c r="B379" s="58">
        <v>6</v>
      </c>
      <c r="C379" s="58">
        <v>4</v>
      </c>
      <c r="D379" s="58">
        <v>7</v>
      </c>
      <c r="E379" s="58"/>
      <c r="F379" s="86" t="s">
        <v>311</v>
      </c>
      <c r="G379" s="59">
        <f>+'OCTUBRE '!G379+NOVIEMBRE!G379+'DICIEMBRE 2025'!G379</f>
        <v>0</v>
      </c>
      <c r="H379" s="59">
        <f>+'OCTUBRE '!H379+NOVIEMBRE!H379+'DICIEMBRE 2025'!H379</f>
        <v>0</v>
      </c>
      <c r="I379" s="59">
        <f t="shared" si="15"/>
        <v>0</v>
      </c>
      <c r="J379" s="60"/>
    </row>
    <row r="380" spans="1:10" x14ac:dyDescent="0.2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69" t="s">
        <v>311</v>
      </c>
      <c r="G380" s="64">
        <f>+'OCTUBRE '!G380+NOVIEMBRE!G380+'DICIEMBRE 2025'!G380</f>
        <v>0</v>
      </c>
      <c r="H380" s="64">
        <f>+'OCTUBRE '!H380+NOVIEMBRE!H380+'DICIEMBRE 2025'!H380</f>
        <v>0</v>
      </c>
      <c r="I380" s="64">
        <f t="shared" si="15"/>
        <v>0</v>
      </c>
      <c r="J380" s="65">
        <f>I380/$I$25</f>
        <v>0</v>
      </c>
    </row>
    <row r="381" spans="1:10" x14ac:dyDescent="0.2">
      <c r="A381" s="72">
        <v>2</v>
      </c>
      <c r="B381" s="58">
        <v>6</v>
      </c>
      <c r="C381" s="58">
        <v>4</v>
      </c>
      <c r="D381" s="58">
        <v>8</v>
      </c>
      <c r="E381" s="58"/>
      <c r="F381" s="86" t="s">
        <v>312</v>
      </c>
      <c r="G381" s="59">
        <f>+'OCTUBRE '!G381+NOVIEMBRE!G381+'DICIEMBRE 2025'!G381</f>
        <v>0</v>
      </c>
      <c r="H381" s="59">
        <f>+'OCTUBRE '!H381+NOVIEMBRE!H381+'DICIEMBRE 2025'!H381</f>
        <v>0</v>
      </c>
      <c r="I381" s="59">
        <f t="shared" si="15"/>
        <v>0</v>
      </c>
      <c r="J381" s="60"/>
    </row>
    <row r="382" spans="1:10" x14ac:dyDescent="0.2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69" t="s">
        <v>312</v>
      </c>
      <c r="G382" s="64">
        <f>+'OCTUBRE '!G382+NOVIEMBRE!G382+'DICIEMBRE 2025'!G382</f>
        <v>0</v>
      </c>
      <c r="H382" s="64">
        <f>+'OCTUBRE '!H382+NOVIEMBRE!H382+'DICIEMBRE 2025'!H382</f>
        <v>0</v>
      </c>
      <c r="I382" s="64">
        <f t="shared" si="15"/>
        <v>0</v>
      </c>
      <c r="J382" s="65">
        <f>I382/$I$25</f>
        <v>0</v>
      </c>
    </row>
    <row r="383" spans="1:10" x14ac:dyDescent="0.2">
      <c r="A383" s="54">
        <v>2</v>
      </c>
      <c r="B383" s="55">
        <v>6</v>
      </c>
      <c r="C383" s="55">
        <v>5</v>
      </c>
      <c r="D383" s="55"/>
      <c r="E383" s="78"/>
      <c r="F383" s="85" t="s">
        <v>313</v>
      </c>
      <c r="G383" s="56">
        <f>+'OCTUBRE '!G383+NOVIEMBRE!G383+'DICIEMBRE 2025'!G383</f>
        <v>1068781.8700000001</v>
      </c>
      <c r="H383" s="56">
        <f>+'OCTUBRE '!H383+NOVIEMBRE!H383+'DICIEMBRE 2025'!H383</f>
        <v>1356458.08</v>
      </c>
      <c r="I383" s="56">
        <f t="shared" si="15"/>
        <v>2425239.9500000002</v>
      </c>
      <c r="J383" s="53"/>
    </row>
    <row r="384" spans="1:10" x14ac:dyDescent="0.2">
      <c r="A384" s="57">
        <v>2</v>
      </c>
      <c r="B384" s="58">
        <v>6</v>
      </c>
      <c r="C384" s="58">
        <v>5</v>
      </c>
      <c r="D384" s="58">
        <v>1</v>
      </c>
      <c r="E384" s="58"/>
      <c r="F384" s="86" t="s">
        <v>314</v>
      </c>
      <c r="G384" s="59">
        <f>+'OCTUBRE '!G384+NOVIEMBRE!G384+'DICIEMBRE 2025'!G384</f>
        <v>0</v>
      </c>
      <c r="H384" s="59">
        <f>+'OCTUBRE '!H384+NOVIEMBRE!H384+'DICIEMBRE 2025'!H384</f>
        <v>0</v>
      </c>
      <c r="I384" s="59">
        <f t="shared" si="15"/>
        <v>0</v>
      </c>
      <c r="J384" s="60"/>
    </row>
    <row r="385" spans="1:10" x14ac:dyDescent="0.2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69" t="s">
        <v>314</v>
      </c>
      <c r="G385" s="64">
        <f>+'OCTUBRE '!G385+NOVIEMBRE!G385+'DICIEMBRE 2025'!G385</f>
        <v>0</v>
      </c>
      <c r="H385" s="64">
        <f>+'OCTUBRE '!H385+NOVIEMBRE!H385+'DICIEMBRE 2025'!H385</f>
        <v>0</v>
      </c>
      <c r="I385" s="64">
        <f t="shared" si="15"/>
        <v>0</v>
      </c>
      <c r="J385" s="65">
        <f>I385/$I$25</f>
        <v>0</v>
      </c>
    </row>
    <row r="386" spans="1:10" x14ac:dyDescent="0.2">
      <c r="A386" s="57">
        <v>2</v>
      </c>
      <c r="B386" s="58">
        <v>6</v>
      </c>
      <c r="C386" s="58">
        <v>5</v>
      </c>
      <c r="D386" s="58">
        <v>2</v>
      </c>
      <c r="E386" s="58"/>
      <c r="F386" s="86" t="s">
        <v>315</v>
      </c>
      <c r="G386" s="59">
        <f>+'OCTUBRE '!G386+NOVIEMBRE!G386+'DICIEMBRE 2025'!G386</f>
        <v>221840</v>
      </c>
      <c r="H386" s="59">
        <f>+'OCTUBRE '!H386+NOVIEMBRE!H386+'DICIEMBRE 2025'!H386</f>
        <v>711998.01</v>
      </c>
      <c r="I386" s="59">
        <f t="shared" si="15"/>
        <v>933838.01</v>
      </c>
      <c r="J386" s="60"/>
    </row>
    <row r="387" spans="1:10" x14ac:dyDescent="0.2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69" t="s">
        <v>315</v>
      </c>
      <c r="G387" s="64">
        <f>+'OCTUBRE '!G387+NOVIEMBRE!G387+'DICIEMBRE 2025'!G387</f>
        <v>221840</v>
      </c>
      <c r="H387" s="64">
        <f>+'OCTUBRE '!H387+NOVIEMBRE!H387+'DICIEMBRE 2025'!H387</f>
        <v>711998.01</v>
      </c>
      <c r="I387" s="64">
        <f t="shared" si="15"/>
        <v>933838.01</v>
      </c>
      <c r="J387" s="65">
        <f>I387/$I$25</f>
        <v>1.9062904119197509E-3</v>
      </c>
    </row>
    <row r="388" spans="1:10" x14ac:dyDescent="0.2">
      <c r="A388" s="57">
        <v>2</v>
      </c>
      <c r="B388" s="58">
        <v>6</v>
      </c>
      <c r="C388" s="58">
        <v>5</v>
      </c>
      <c r="D388" s="58">
        <v>3</v>
      </c>
      <c r="E388" s="58"/>
      <c r="F388" s="86" t="s">
        <v>316</v>
      </c>
      <c r="G388" s="59">
        <f>+'OCTUBRE '!G388+NOVIEMBRE!G388+'DICIEMBRE 2025'!G388</f>
        <v>0</v>
      </c>
      <c r="H388" s="59">
        <f>+'OCTUBRE '!H388+NOVIEMBRE!H388+'DICIEMBRE 2025'!H388</f>
        <v>0</v>
      </c>
      <c r="I388" s="59">
        <f t="shared" si="15"/>
        <v>0</v>
      </c>
      <c r="J388" s="60"/>
    </row>
    <row r="389" spans="1:10" x14ac:dyDescent="0.2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69" t="s">
        <v>316</v>
      </c>
      <c r="G389" s="64">
        <f>+'OCTUBRE '!G389+NOVIEMBRE!G389+'DICIEMBRE 2025'!G389</f>
        <v>0</v>
      </c>
      <c r="H389" s="64">
        <f>+'OCTUBRE '!H389+NOVIEMBRE!H389+'DICIEMBRE 2025'!H389</f>
        <v>0</v>
      </c>
      <c r="I389" s="64">
        <f t="shared" si="15"/>
        <v>0</v>
      </c>
      <c r="J389" s="65">
        <f>I389/$I$25</f>
        <v>0</v>
      </c>
    </row>
    <row r="390" spans="1:10" x14ac:dyDescent="0.2">
      <c r="A390" s="57">
        <v>2</v>
      </c>
      <c r="B390" s="58">
        <v>6</v>
      </c>
      <c r="C390" s="58">
        <v>5</v>
      </c>
      <c r="D390" s="58">
        <v>4</v>
      </c>
      <c r="E390" s="58"/>
      <c r="F390" s="86" t="s">
        <v>317</v>
      </c>
      <c r="G390" s="59">
        <f>+'OCTUBRE '!G390+NOVIEMBRE!G390+'DICIEMBRE 2025'!G390</f>
        <v>291226.65999999997</v>
      </c>
      <c r="H390" s="59">
        <f>+'OCTUBRE '!H390+NOVIEMBRE!H390+'DICIEMBRE 2025'!H390</f>
        <v>190450.01</v>
      </c>
      <c r="I390" s="59">
        <f t="shared" si="15"/>
        <v>481676.67</v>
      </c>
      <c r="J390" s="60"/>
    </row>
    <row r="391" spans="1:10" x14ac:dyDescent="0.2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69" t="s">
        <v>317</v>
      </c>
      <c r="G391" s="64">
        <f>+'OCTUBRE '!G391+NOVIEMBRE!G391+'DICIEMBRE 2025'!G391</f>
        <v>291226.65999999997</v>
      </c>
      <c r="H391" s="64">
        <f>+'OCTUBRE '!H391+NOVIEMBRE!H391+'DICIEMBRE 2025'!H391</f>
        <v>190450.01</v>
      </c>
      <c r="I391" s="64">
        <f t="shared" si="15"/>
        <v>481676.67</v>
      </c>
      <c r="J391" s="65">
        <f>I391/$I$25</f>
        <v>9.8327076841350021E-4</v>
      </c>
    </row>
    <row r="392" spans="1:10" ht="25.5" x14ac:dyDescent="0.2">
      <c r="A392" s="57">
        <v>2</v>
      </c>
      <c r="B392" s="58">
        <v>6</v>
      </c>
      <c r="C392" s="58">
        <v>5</v>
      </c>
      <c r="D392" s="58">
        <v>5</v>
      </c>
      <c r="E392" s="58"/>
      <c r="F392" s="86" t="s">
        <v>318</v>
      </c>
      <c r="G392" s="59">
        <f>+'OCTUBRE '!G392+NOVIEMBRE!G392+'DICIEMBRE 2025'!G392</f>
        <v>520380</v>
      </c>
      <c r="H392" s="59">
        <f>+'OCTUBRE '!H392+NOVIEMBRE!H392+'DICIEMBRE 2025'!H392</f>
        <v>0</v>
      </c>
      <c r="I392" s="59">
        <f t="shared" si="15"/>
        <v>520380</v>
      </c>
      <c r="J392" s="60"/>
    </row>
    <row r="393" spans="1:10" ht="25.5" x14ac:dyDescent="0.2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69" t="s">
        <v>318</v>
      </c>
      <c r="G393" s="64">
        <f>+'OCTUBRE '!G393+NOVIEMBRE!G393+'DICIEMBRE 2025'!G393</f>
        <v>520380</v>
      </c>
      <c r="H393" s="64">
        <f>+'OCTUBRE '!H393+NOVIEMBRE!H393+'DICIEMBRE 2025'!H393</f>
        <v>0</v>
      </c>
      <c r="I393" s="64">
        <f t="shared" si="15"/>
        <v>520380</v>
      </c>
      <c r="J393" s="65">
        <f>I393/$I$25</f>
        <v>1.0622778189921824E-3</v>
      </c>
    </row>
    <row r="394" spans="1:10" x14ac:dyDescent="0.2">
      <c r="A394" s="57">
        <v>2</v>
      </c>
      <c r="B394" s="58">
        <v>6</v>
      </c>
      <c r="C394" s="58">
        <v>5</v>
      </c>
      <c r="D394" s="58">
        <v>6</v>
      </c>
      <c r="E394" s="58"/>
      <c r="F394" s="86" t="s">
        <v>319</v>
      </c>
      <c r="G394" s="59">
        <f>+'OCTUBRE '!G394+NOVIEMBRE!G394+'DICIEMBRE 2025'!G394</f>
        <v>0</v>
      </c>
      <c r="H394" s="59">
        <f>+'OCTUBRE '!H394+NOVIEMBRE!H394+'DICIEMBRE 2025'!H394</f>
        <v>413000</v>
      </c>
      <c r="I394" s="59">
        <f t="shared" si="15"/>
        <v>413000</v>
      </c>
      <c r="J394" s="60"/>
    </row>
    <row r="395" spans="1:10" x14ac:dyDescent="0.2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69" t="s">
        <v>319</v>
      </c>
      <c r="G395" s="64">
        <f>+'OCTUBRE '!G395+NOVIEMBRE!G395+'DICIEMBRE 2025'!G395</f>
        <v>0</v>
      </c>
      <c r="H395" s="64">
        <f>+'OCTUBRE '!H395+NOVIEMBRE!H395+'DICIEMBRE 2025'!H395</f>
        <v>413000</v>
      </c>
      <c r="I395" s="64">
        <f t="shared" si="15"/>
        <v>413000</v>
      </c>
      <c r="J395" s="65">
        <f>I395/$I$25</f>
        <v>8.4307763412077978E-4</v>
      </c>
    </row>
    <row r="396" spans="1:10" x14ac:dyDescent="0.2">
      <c r="A396" s="57">
        <v>2</v>
      </c>
      <c r="B396" s="58">
        <v>6</v>
      </c>
      <c r="C396" s="58">
        <v>5</v>
      </c>
      <c r="D396" s="58">
        <v>7</v>
      </c>
      <c r="E396" s="58"/>
      <c r="F396" s="86" t="s">
        <v>320</v>
      </c>
      <c r="G396" s="59">
        <f>+'OCTUBRE '!G396+NOVIEMBRE!G396+'DICIEMBRE 2025'!G396</f>
        <v>35335.21</v>
      </c>
      <c r="H396" s="59">
        <f>+'OCTUBRE '!H396+NOVIEMBRE!H396+'DICIEMBRE 2025'!H396</f>
        <v>41010.06</v>
      </c>
      <c r="I396" s="59">
        <f t="shared" si="15"/>
        <v>76345.26999999999</v>
      </c>
      <c r="J396" s="60"/>
    </row>
    <row r="397" spans="1:10" x14ac:dyDescent="0.2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69" t="s">
        <v>320</v>
      </c>
      <c r="G397" s="64">
        <f>+'OCTUBRE '!G397+NOVIEMBRE!G397+'DICIEMBRE 2025'!G397</f>
        <v>35335.21</v>
      </c>
      <c r="H397" s="64">
        <f>+'OCTUBRE '!H397+NOVIEMBRE!H397+'DICIEMBRE 2025'!H397</f>
        <v>41010.06</v>
      </c>
      <c r="I397" s="64">
        <f t="shared" si="15"/>
        <v>76345.26999999999</v>
      </c>
      <c r="J397" s="65">
        <f>I397/$I$25</f>
        <v>1.558474324646783E-4</v>
      </c>
    </row>
    <row r="398" spans="1:10" x14ac:dyDescent="0.2">
      <c r="A398" s="57">
        <v>2</v>
      </c>
      <c r="B398" s="58">
        <v>6</v>
      </c>
      <c r="C398" s="58">
        <v>5</v>
      </c>
      <c r="D398" s="58">
        <v>8</v>
      </c>
      <c r="E398" s="58"/>
      <c r="F398" s="86" t="s">
        <v>321</v>
      </c>
      <c r="G398" s="59">
        <f>+'OCTUBRE '!G398+NOVIEMBRE!G398+'DICIEMBRE 2025'!G398</f>
        <v>0</v>
      </c>
      <c r="H398" s="59">
        <f>+'OCTUBRE '!H398+NOVIEMBRE!H398+'DICIEMBRE 2025'!H398</f>
        <v>0</v>
      </c>
      <c r="I398" s="59">
        <f t="shared" si="15"/>
        <v>0</v>
      </c>
      <c r="J398" s="60"/>
    </row>
    <row r="399" spans="1:10" x14ac:dyDescent="0.2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69" t="s">
        <v>321</v>
      </c>
      <c r="G399" s="64">
        <f>+'OCTUBRE '!G399+NOVIEMBRE!G399+'DICIEMBRE 2025'!G399</f>
        <v>0</v>
      </c>
      <c r="H399" s="64">
        <f>+'OCTUBRE '!H399+NOVIEMBRE!H399+'DICIEMBRE 2025'!H399</f>
        <v>0</v>
      </c>
      <c r="I399" s="64">
        <f t="shared" si="15"/>
        <v>0</v>
      </c>
      <c r="J399" s="65">
        <f>I399/$I$25</f>
        <v>0</v>
      </c>
    </row>
    <row r="400" spans="1:10" x14ac:dyDescent="0.2">
      <c r="A400" s="70">
        <v>2</v>
      </c>
      <c r="B400" s="55">
        <v>6</v>
      </c>
      <c r="C400" s="55">
        <v>6</v>
      </c>
      <c r="D400" s="55"/>
      <c r="E400" s="55"/>
      <c r="F400" s="85" t="s">
        <v>322</v>
      </c>
      <c r="G400" s="56">
        <f>+'OCTUBRE '!G400+NOVIEMBRE!G400+'DICIEMBRE 2025'!G400</f>
        <v>0</v>
      </c>
      <c r="H400" s="56">
        <f>+'OCTUBRE '!H400+NOVIEMBRE!H400+'DICIEMBRE 2025'!H400</f>
        <v>186179.05</v>
      </c>
      <c r="I400" s="56">
        <f t="shared" si="15"/>
        <v>186179.05</v>
      </c>
      <c r="J400" s="53">
        <f>I400/$I$25</f>
        <v>3.8005664163887249E-4</v>
      </c>
    </row>
    <row r="401" spans="1:10" x14ac:dyDescent="0.2">
      <c r="A401" s="72">
        <v>2</v>
      </c>
      <c r="B401" s="58">
        <v>6</v>
      </c>
      <c r="C401" s="58">
        <v>6</v>
      </c>
      <c r="D401" s="58">
        <v>1</v>
      </c>
      <c r="E401" s="77"/>
      <c r="F401" s="86" t="s">
        <v>323</v>
      </c>
      <c r="G401" s="59">
        <f>+'OCTUBRE '!G401+NOVIEMBRE!G401+'DICIEMBRE 2025'!G401</f>
        <v>0</v>
      </c>
      <c r="H401" s="59">
        <f>+'OCTUBRE '!H401+NOVIEMBRE!H401+'DICIEMBRE 2025'!H401</f>
        <v>0</v>
      </c>
      <c r="I401" s="59">
        <f t="shared" si="15"/>
        <v>0</v>
      </c>
      <c r="J401" s="60"/>
    </row>
    <row r="402" spans="1:10" x14ac:dyDescent="0.2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69" t="s">
        <v>323</v>
      </c>
      <c r="G402" s="64">
        <f>+'OCTUBRE '!G402+NOVIEMBRE!G402+'DICIEMBRE 2025'!G402</f>
        <v>0</v>
      </c>
      <c r="H402" s="64">
        <f>+'OCTUBRE '!H402+NOVIEMBRE!H402+'DICIEMBRE 2025'!H402</f>
        <v>0</v>
      </c>
      <c r="I402" s="64">
        <f t="shared" si="15"/>
        <v>0</v>
      </c>
      <c r="J402" s="65">
        <f>I402/$I$25</f>
        <v>0</v>
      </c>
    </row>
    <row r="403" spans="1:10" x14ac:dyDescent="0.2">
      <c r="A403" s="72">
        <v>2</v>
      </c>
      <c r="B403" s="58">
        <v>6</v>
      </c>
      <c r="C403" s="58">
        <v>6</v>
      </c>
      <c r="D403" s="58">
        <v>2</v>
      </c>
      <c r="E403" s="77"/>
      <c r="F403" s="86" t="s">
        <v>325</v>
      </c>
      <c r="G403" s="59">
        <f>+'OCTUBRE '!G403+NOVIEMBRE!G403+'DICIEMBRE 2025'!G403</f>
        <v>0</v>
      </c>
      <c r="H403" s="59">
        <f>+'OCTUBRE '!H403+NOVIEMBRE!H403+'DICIEMBRE 2025'!H403</f>
        <v>186179.05</v>
      </c>
      <c r="I403" s="59">
        <f t="shared" si="15"/>
        <v>186179.05</v>
      </c>
      <c r="J403" s="60"/>
    </row>
    <row r="404" spans="1:10" x14ac:dyDescent="0.2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69" t="s">
        <v>325</v>
      </c>
      <c r="G404" s="64">
        <f>+'OCTUBRE '!G404+NOVIEMBRE!G404+'DICIEMBRE 2025'!G404</f>
        <v>0</v>
      </c>
      <c r="H404" s="64">
        <f>+'OCTUBRE '!H404+NOVIEMBRE!H404+'DICIEMBRE 2025'!H404</f>
        <v>186179.05</v>
      </c>
      <c r="I404" s="64">
        <f t="shared" si="15"/>
        <v>186179.05</v>
      </c>
      <c r="J404" s="65">
        <f>I404/$I$25</f>
        <v>3.8005664163887249E-4</v>
      </c>
    </row>
    <row r="405" spans="1:10" x14ac:dyDescent="0.2">
      <c r="A405" s="54">
        <v>2</v>
      </c>
      <c r="B405" s="55">
        <v>6</v>
      </c>
      <c r="C405" s="55">
        <v>7</v>
      </c>
      <c r="D405" s="55"/>
      <c r="E405" s="78"/>
      <c r="F405" s="85" t="s">
        <v>326</v>
      </c>
      <c r="G405" s="56">
        <f>+'OCTUBRE '!G405+NOVIEMBRE!G405+'DICIEMBRE 2025'!G405</f>
        <v>0</v>
      </c>
      <c r="H405" s="56">
        <f>+'OCTUBRE '!H405+NOVIEMBRE!H405+'DICIEMBRE 2025'!H405</f>
        <v>0</v>
      </c>
      <c r="I405" s="56">
        <f t="shared" si="15"/>
        <v>0</v>
      </c>
      <c r="J405" s="53"/>
    </row>
    <row r="406" spans="1:10" x14ac:dyDescent="0.2">
      <c r="A406" s="57">
        <v>2</v>
      </c>
      <c r="B406" s="58">
        <v>6</v>
      </c>
      <c r="C406" s="58">
        <v>7</v>
      </c>
      <c r="D406" s="58">
        <v>1</v>
      </c>
      <c r="E406" s="58"/>
      <c r="F406" s="86" t="s">
        <v>327</v>
      </c>
      <c r="G406" s="59">
        <f>+'OCTUBRE '!G406+NOVIEMBRE!G406+'DICIEMBRE 2025'!G406</f>
        <v>0</v>
      </c>
      <c r="H406" s="59">
        <f>+'OCTUBRE '!H406+NOVIEMBRE!H406+'DICIEMBRE 2025'!H406</f>
        <v>0</v>
      </c>
      <c r="I406" s="59">
        <f t="shared" si="15"/>
        <v>0</v>
      </c>
      <c r="J406" s="60"/>
    </row>
    <row r="407" spans="1:10" x14ac:dyDescent="0.2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69" t="s">
        <v>327</v>
      </c>
      <c r="G407" s="64">
        <f>+'OCTUBRE '!G407+NOVIEMBRE!G407+'DICIEMBRE 2025'!G407</f>
        <v>0</v>
      </c>
      <c r="H407" s="64">
        <f>+'OCTUBRE '!H407+NOVIEMBRE!H407+'DICIEMBRE 2025'!H407</f>
        <v>0</v>
      </c>
      <c r="I407" s="64">
        <f t="shared" si="15"/>
        <v>0</v>
      </c>
      <c r="J407" s="65">
        <f>I407/$I$25</f>
        <v>0</v>
      </c>
    </row>
    <row r="408" spans="1:10" x14ac:dyDescent="0.2">
      <c r="A408" s="72">
        <v>2</v>
      </c>
      <c r="B408" s="58">
        <v>6</v>
      </c>
      <c r="C408" s="58">
        <v>7</v>
      </c>
      <c r="D408" s="58">
        <v>2</v>
      </c>
      <c r="E408" s="58"/>
      <c r="F408" s="86" t="s">
        <v>328</v>
      </c>
      <c r="G408" s="59">
        <f>+'OCTUBRE '!G408+NOVIEMBRE!G408+'DICIEMBRE 2025'!G408</f>
        <v>0</v>
      </c>
      <c r="H408" s="59">
        <f>+'OCTUBRE '!H408+NOVIEMBRE!H408+'DICIEMBRE 2025'!H408</f>
        <v>0</v>
      </c>
      <c r="I408" s="59">
        <f t="shared" si="15"/>
        <v>0</v>
      </c>
      <c r="J408" s="60"/>
    </row>
    <row r="409" spans="1:10" x14ac:dyDescent="0.2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69" t="s">
        <v>328</v>
      </c>
      <c r="G409" s="64">
        <f>+'OCTUBRE '!G409+NOVIEMBRE!G409+'DICIEMBRE 2025'!G409</f>
        <v>0</v>
      </c>
      <c r="H409" s="64">
        <f>+'OCTUBRE '!H409+NOVIEMBRE!H409+'DICIEMBRE 2025'!H409</f>
        <v>0</v>
      </c>
      <c r="I409" s="64">
        <f t="shared" ref="I409:I472" si="16">SUM(G409:H409)</f>
        <v>0</v>
      </c>
      <c r="J409" s="65">
        <f>I409/$I$25</f>
        <v>0</v>
      </c>
    </row>
    <row r="410" spans="1:10" x14ac:dyDescent="0.2">
      <c r="A410" s="72">
        <v>2</v>
      </c>
      <c r="B410" s="58">
        <v>6</v>
      </c>
      <c r="C410" s="58">
        <v>7</v>
      </c>
      <c r="D410" s="58">
        <v>3</v>
      </c>
      <c r="E410" s="58"/>
      <c r="F410" s="86" t="s">
        <v>329</v>
      </c>
      <c r="G410" s="59">
        <f>+'OCTUBRE '!G410+NOVIEMBRE!G410+'DICIEMBRE 2025'!G410</f>
        <v>0</v>
      </c>
      <c r="H410" s="59">
        <f>+'OCTUBRE '!H410+NOVIEMBRE!H410+'DICIEMBRE 2025'!H410</f>
        <v>0</v>
      </c>
      <c r="I410" s="59">
        <f t="shared" si="16"/>
        <v>0</v>
      </c>
      <c r="J410" s="60"/>
    </row>
    <row r="411" spans="1:10" x14ac:dyDescent="0.2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69" t="s">
        <v>329</v>
      </c>
      <c r="G411" s="64">
        <f>+'OCTUBRE '!G411+NOVIEMBRE!G411+'DICIEMBRE 2025'!G411</f>
        <v>0</v>
      </c>
      <c r="H411" s="64">
        <f>+'OCTUBRE '!H411+NOVIEMBRE!H411+'DICIEMBRE 2025'!H411</f>
        <v>0</v>
      </c>
      <c r="I411" s="64">
        <f t="shared" si="16"/>
        <v>0</v>
      </c>
      <c r="J411" s="65">
        <f>I411/$I$25</f>
        <v>0</v>
      </c>
    </row>
    <row r="412" spans="1:10" x14ac:dyDescent="0.2">
      <c r="A412" s="72">
        <v>2</v>
      </c>
      <c r="B412" s="58">
        <v>6</v>
      </c>
      <c r="C412" s="58">
        <v>7</v>
      </c>
      <c r="D412" s="58">
        <v>4</v>
      </c>
      <c r="E412" s="58"/>
      <c r="F412" s="86" t="s">
        <v>330</v>
      </c>
      <c r="G412" s="59">
        <f>+'OCTUBRE '!G412+NOVIEMBRE!G412+'DICIEMBRE 2025'!G412</f>
        <v>0</v>
      </c>
      <c r="H412" s="59">
        <f>+'OCTUBRE '!H412+NOVIEMBRE!H412+'DICIEMBRE 2025'!H412</f>
        <v>0</v>
      </c>
      <c r="I412" s="59">
        <f t="shared" si="16"/>
        <v>0</v>
      </c>
      <c r="J412" s="60"/>
    </row>
    <row r="413" spans="1:10" x14ac:dyDescent="0.2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69" t="s">
        <v>330</v>
      </c>
      <c r="G413" s="64">
        <f>+'OCTUBRE '!G413+NOVIEMBRE!G413+'DICIEMBRE 2025'!G413</f>
        <v>0</v>
      </c>
      <c r="H413" s="64">
        <f>+'OCTUBRE '!H413+NOVIEMBRE!H413+'DICIEMBRE 2025'!H413</f>
        <v>0</v>
      </c>
      <c r="I413" s="64">
        <f t="shared" si="16"/>
        <v>0</v>
      </c>
      <c r="J413" s="65">
        <f>I413/$I$25</f>
        <v>0</v>
      </c>
    </row>
    <row r="414" spans="1:10" x14ac:dyDescent="0.2">
      <c r="A414" s="72">
        <v>2</v>
      </c>
      <c r="B414" s="58">
        <v>6</v>
      </c>
      <c r="C414" s="58">
        <v>7</v>
      </c>
      <c r="D414" s="58">
        <v>5</v>
      </c>
      <c r="E414" s="58"/>
      <c r="F414" s="86" t="s">
        <v>331</v>
      </c>
      <c r="G414" s="59">
        <f>+'OCTUBRE '!G414+NOVIEMBRE!G414+'DICIEMBRE 2025'!G414</f>
        <v>0</v>
      </c>
      <c r="H414" s="59">
        <f>+'OCTUBRE '!H414+NOVIEMBRE!H414+'DICIEMBRE 2025'!H414</f>
        <v>0</v>
      </c>
      <c r="I414" s="59">
        <f t="shared" si="16"/>
        <v>0</v>
      </c>
      <c r="J414" s="60"/>
    </row>
    <row r="415" spans="1:10" x14ac:dyDescent="0.2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69" t="s">
        <v>331</v>
      </c>
      <c r="G415" s="64">
        <f>+'OCTUBRE '!G415+NOVIEMBRE!G415+'DICIEMBRE 2025'!G415</f>
        <v>0</v>
      </c>
      <c r="H415" s="64">
        <f>+'OCTUBRE '!H415+NOVIEMBRE!H415+'DICIEMBRE 2025'!H415</f>
        <v>0</v>
      </c>
      <c r="I415" s="64">
        <f t="shared" si="16"/>
        <v>0</v>
      </c>
      <c r="J415" s="65">
        <f>I415/$I$25</f>
        <v>0</v>
      </c>
    </row>
    <row r="416" spans="1:10" x14ac:dyDescent="0.2">
      <c r="A416" s="72">
        <v>2</v>
      </c>
      <c r="B416" s="58">
        <v>6</v>
      </c>
      <c r="C416" s="58">
        <v>7</v>
      </c>
      <c r="D416" s="58">
        <v>6</v>
      </c>
      <c r="E416" s="58"/>
      <c r="F416" s="86" t="s">
        <v>332</v>
      </c>
      <c r="G416" s="59">
        <f>+'OCTUBRE '!G416+NOVIEMBRE!G416+'DICIEMBRE 2025'!G416</f>
        <v>0</v>
      </c>
      <c r="H416" s="59">
        <f>+'OCTUBRE '!H416+NOVIEMBRE!H416+'DICIEMBRE 2025'!H416</f>
        <v>0</v>
      </c>
      <c r="I416" s="59">
        <f t="shared" si="16"/>
        <v>0</v>
      </c>
      <c r="J416" s="60"/>
    </row>
    <row r="417" spans="1:10" x14ac:dyDescent="0.2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69" t="s">
        <v>332</v>
      </c>
      <c r="G417" s="64">
        <f>+'OCTUBRE '!G417+NOVIEMBRE!G417+'DICIEMBRE 2025'!G417</f>
        <v>0</v>
      </c>
      <c r="H417" s="64">
        <f>+'OCTUBRE '!H417+NOVIEMBRE!H417+'DICIEMBRE 2025'!H417</f>
        <v>0</v>
      </c>
      <c r="I417" s="64">
        <f t="shared" si="16"/>
        <v>0</v>
      </c>
      <c r="J417" s="65">
        <f>I417/$I$25</f>
        <v>0</v>
      </c>
    </row>
    <row r="418" spans="1:10" x14ac:dyDescent="0.2">
      <c r="A418" s="72">
        <v>2</v>
      </c>
      <c r="B418" s="58">
        <v>6</v>
      </c>
      <c r="C418" s="58">
        <v>7</v>
      </c>
      <c r="D418" s="58">
        <v>7</v>
      </c>
      <c r="E418" s="58"/>
      <c r="F418" s="86" t="s">
        <v>333</v>
      </c>
      <c r="G418" s="59">
        <f>+'OCTUBRE '!G418+NOVIEMBRE!G418+'DICIEMBRE 2025'!G418</f>
        <v>0</v>
      </c>
      <c r="H418" s="59">
        <f>+'OCTUBRE '!H418+NOVIEMBRE!H418+'DICIEMBRE 2025'!H418</f>
        <v>0</v>
      </c>
      <c r="I418" s="59">
        <f t="shared" si="16"/>
        <v>0</v>
      </c>
      <c r="J418" s="60"/>
    </row>
    <row r="419" spans="1:10" x14ac:dyDescent="0.2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69" t="s">
        <v>333</v>
      </c>
      <c r="G419" s="64">
        <f>+'OCTUBRE '!G419+NOVIEMBRE!G419+'DICIEMBRE 2025'!G419</f>
        <v>0</v>
      </c>
      <c r="H419" s="64">
        <f>+'OCTUBRE '!H419+NOVIEMBRE!H419+'DICIEMBRE 2025'!H419</f>
        <v>0</v>
      </c>
      <c r="I419" s="64">
        <f t="shared" si="16"/>
        <v>0</v>
      </c>
      <c r="J419" s="65">
        <f>I419/$I$25</f>
        <v>0</v>
      </c>
    </row>
    <row r="420" spans="1:10" x14ac:dyDescent="0.2">
      <c r="A420" s="72">
        <v>2</v>
      </c>
      <c r="B420" s="58">
        <v>6</v>
      </c>
      <c r="C420" s="58">
        <v>7</v>
      </c>
      <c r="D420" s="58">
        <v>8</v>
      </c>
      <c r="E420" s="58"/>
      <c r="F420" s="86" t="s">
        <v>334</v>
      </c>
      <c r="G420" s="59">
        <f>+'OCTUBRE '!G420+NOVIEMBRE!G420+'DICIEMBRE 2025'!G420</f>
        <v>0</v>
      </c>
      <c r="H420" s="59">
        <f>+'OCTUBRE '!H420+NOVIEMBRE!H420+'DICIEMBRE 2025'!H420</f>
        <v>0</v>
      </c>
      <c r="I420" s="59">
        <f t="shared" si="16"/>
        <v>0</v>
      </c>
      <c r="J420" s="60"/>
    </row>
    <row r="421" spans="1:10" x14ac:dyDescent="0.2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69" t="s">
        <v>334</v>
      </c>
      <c r="G421" s="64">
        <f>+'OCTUBRE '!G421+NOVIEMBRE!G421+'DICIEMBRE 2025'!G421</f>
        <v>0</v>
      </c>
      <c r="H421" s="64">
        <f>+'OCTUBRE '!H421+NOVIEMBRE!H421+'DICIEMBRE 2025'!H421</f>
        <v>0</v>
      </c>
      <c r="I421" s="64">
        <f t="shared" si="16"/>
        <v>0</v>
      </c>
      <c r="J421" s="65">
        <f>I421/$I$25</f>
        <v>0</v>
      </c>
    </row>
    <row r="422" spans="1:10" ht="25.5" x14ac:dyDescent="0.2">
      <c r="A422" s="72">
        <v>2</v>
      </c>
      <c r="B422" s="58">
        <v>6</v>
      </c>
      <c r="C422" s="58">
        <v>7</v>
      </c>
      <c r="D422" s="58">
        <v>9</v>
      </c>
      <c r="E422" s="58"/>
      <c r="F422" s="86" t="s">
        <v>335</v>
      </c>
      <c r="G422" s="59">
        <f>+'OCTUBRE '!G422+NOVIEMBRE!G422+'DICIEMBRE 2025'!G422</f>
        <v>0</v>
      </c>
      <c r="H422" s="59">
        <f>+'OCTUBRE '!H422+NOVIEMBRE!H422+'DICIEMBRE 2025'!H422</f>
        <v>0</v>
      </c>
      <c r="I422" s="59">
        <f t="shared" si="16"/>
        <v>0</v>
      </c>
      <c r="J422" s="60"/>
    </row>
    <row r="423" spans="1:10" ht="25.5" x14ac:dyDescent="0.2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69" t="s">
        <v>335</v>
      </c>
      <c r="G423" s="64">
        <f>+'OCTUBRE '!G423+NOVIEMBRE!G423+'DICIEMBRE 2025'!G423</f>
        <v>0</v>
      </c>
      <c r="H423" s="64">
        <f>+'OCTUBRE '!H423+NOVIEMBRE!H423+'DICIEMBRE 2025'!H423</f>
        <v>0</v>
      </c>
      <c r="I423" s="64">
        <f t="shared" si="16"/>
        <v>0</v>
      </c>
      <c r="J423" s="65">
        <f>I423/$I$25</f>
        <v>0</v>
      </c>
    </row>
    <row r="424" spans="1:10" x14ac:dyDescent="0.2">
      <c r="A424" s="70">
        <v>2</v>
      </c>
      <c r="B424" s="55">
        <v>6</v>
      </c>
      <c r="C424" s="55">
        <v>8</v>
      </c>
      <c r="D424" s="55"/>
      <c r="E424" s="55"/>
      <c r="F424" s="85" t="s">
        <v>336</v>
      </c>
      <c r="G424" s="56">
        <f>+'OCTUBRE '!G424+NOVIEMBRE!G424+'DICIEMBRE 2025'!G424</f>
        <v>0</v>
      </c>
      <c r="H424" s="56">
        <f>+'OCTUBRE '!H424+NOVIEMBRE!H424+'DICIEMBRE 2025'!H424</f>
        <v>0</v>
      </c>
      <c r="I424" s="56">
        <f t="shared" si="16"/>
        <v>0</v>
      </c>
      <c r="J424" s="53"/>
    </row>
    <row r="425" spans="1:10" x14ac:dyDescent="0.2">
      <c r="A425" s="72">
        <v>2</v>
      </c>
      <c r="B425" s="58">
        <v>6</v>
      </c>
      <c r="C425" s="58">
        <v>8</v>
      </c>
      <c r="D425" s="58">
        <v>1</v>
      </c>
      <c r="E425" s="58"/>
      <c r="F425" s="86" t="s">
        <v>337</v>
      </c>
      <c r="G425" s="59">
        <f>+'OCTUBRE '!G425+NOVIEMBRE!G425+'DICIEMBRE 2025'!G425</f>
        <v>0</v>
      </c>
      <c r="H425" s="59">
        <f>+'OCTUBRE '!H425+NOVIEMBRE!H425+'DICIEMBRE 2025'!H425</f>
        <v>0</v>
      </c>
      <c r="I425" s="59">
        <f t="shared" si="16"/>
        <v>0</v>
      </c>
      <c r="J425" s="60"/>
    </row>
    <row r="426" spans="1:10" x14ac:dyDescent="0.2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69" t="s">
        <v>337</v>
      </c>
      <c r="G426" s="64">
        <f>+'OCTUBRE '!G426+NOVIEMBRE!G426+'DICIEMBRE 2025'!G426</f>
        <v>0</v>
      </c>
      <c r="H426" s="64">
        <f>+'OCTUBRE '!H426+NOVIEMBRE!H426+'DICIEMBRE 2025'!H426</f>
        <v>0</v>
      </c>
      <c r="I426" s="64">
        <f t="shared" si="16"/>
        <v>0</v>
      </c>
      <c r="J426" s="65">
        <f>I426/$I$25</f>
        <v>0</v>
      </c>
    </row>
    <row r="427" spans="1:10" x14ac:dyDescent="0.2">
      <c r="A427" s="72">
        <v>2</v>
      </c>
      <c r="B427" s="58">
        <v>6</v>
      </c>
      <c r="C427" s="58">
        <v>8</v>
      </c>
      <c r="D427" s="58">
        <v>2</v>
      </c>
      <c r="E427" s="58"/>
      <c r="F427" s="86" t="s">
        <v>338</v>
      </c>
      <c r="G427" s="59">
        <f>+'OCTUBRE '!G427+NOVIEMBRE!G427+'DICIEMBRE 2025'!G427</f>
        <v>0</v>
      </c>
      <c r="H427" s="59">
        <f>+'OCTUBRE '!H427+NOVIEMBRE!H427+'DICIEMBRE 2025'!H427</f>
        <v>0</v>
      </c>
      <c r="I427" s="59">
        <f t="shared" si="16"/>
        <v>0</v>
      </c>
      <c r="J427" s="60"/>
    </row>
    <row r="428" spans="1:10" x14ac:dyDescent="0.2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69" t="s">
        <v>338</v>
      </c>
      <c r="G428" s="64">
        <f>+'OCTUBRE '!G428+NOVIEMBRE!G428+'DICIEMBRE 2025'!G428</f>
        <v>0</v>
      </c>
      <c r="H428" s="64">
        <f>+'OCTUBRE '!H428+NOVIEMBRE!H428+'DICIEMBRE 2025'!H428</f>
        <v>0</v>
      </c>
      <c r="I428" s="64">
        <f t="shared" si="16"/>
        <v>0</v>
      </c>
      <c r="J428" s="65">
        <f>I428/$I$25</f>
        <v>0</v>
      </c>
    </row>
    <row r="429" spans="1:10" x14ac:dyDescent="0.2">
      <c r="A429" s="72">
        <v>2</v>
      </c>
      <c r="B429" s="58">
        <v>6</v>
      </c>
      <c r="C429" s="58">
        <v>8</v>
      </c>
      <c r="D429" s="58">
        <v>3</v>
      </c>
      <c r="E429" s="58"/>
      <c r="F429" s="86" t="s">
        <v>339</v>
      </c>
      <c r="G429" s="59">
        <f>+'OCTUBRE '!G429+NOVIEMBRE!G429+'DICIEMBRE 2025'!G429</f>
        <v>0</v>
      </c>
      <c r="H429" s="59">
        <f>+'OCTUBRE '!H429+NOVIEMBRE!H429+'DICIEMBRE 2025'!H429</f>
        <v>0</v>
      </c>
      <c r="I429" s="59">
        <f t="shared" si="16"/>
        <v>0</v>
      </c>
      <c r="J429" s="60"/>
    </row>
    <row r="430" spans="1:10" x14ac:dyDescent="0.2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69" t="s">
        <v>340</v>
      </c>
      <c r="G430" s="64">
        <f>+'OCTUBRE '!G430+NOVIEMBRE!G430+'DICIEMBRE 2025'!G430</f>
        <v>0</v>
      </c>
      <c r="H430" s="64">
        <f>+'OCTUBRE '!H430+NOVIEMBRE!H430+'DICIEMBRE 2025'!H430</f>
        <v>0</v>
      </c>
      <c r="I430" s="64">
        <f t="shared" si="16"/>
        <v>0</v>
      </c>
      <c r="J430" s="65">
        <f>I430/$I$25</f>
        <v>0</v>
      </c>
    </row>
    <row r="431" spans="1:10" x14ac:dyDescent="0.2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69" t="s">
        <v>341</v>
      </c>
      <c r="G431" s="64">
        <f>+'OCTUBRE '!G431+NOVIEMBRE!G431+'DICIEMBRE 2025'!G431</f>
        <v>0</v>
      </c>
      <c r="H431" s="64">
        <f>+'OCTUBRE '!H431+NOVIEMBRE!H431+'DICIEMBRE 2025'!H431</f>
        <v>0</v>
      </c>
      <c r="I431" s="64">
        <f t="shared" si="16"/>
        <v>0</v>
      </c>
      <c r="J431" s="65">
        <f>I431/$I$25</f>
        <v>0</v>
      </c>
    </row>
    <row r="432" spans="1:10" x14ac:dyDescent="0.2">
      <c r="A432" s="72">
        <v>2</v>
      </c>
      <c r="B432" s="58">
        <v>6</v>
      </c>
      <c r="C432" s="58">
        <v>8</v>
      </c>
      <c r="D432" s="58">
        <v>4</v>
      </c>
      <c r="E432" s="58"/>
      <c r="F432" s="86" t="s">
        <v>342</v>
      </c>
      <c r="G432" s="59">
        <f>+'OCTUBRE '!G432+NOVIEMBRE!G432+'DICIEMBRE 2025'!G432</f>
        <v>0</v>
      </c>
      <c r="H432" s="59">
        <f>+'OCTUBRE '!H432+NOVIEMBRE!H432+'DICIEMBRE 2025'!H432</f>
        <v>0</v>
      </c>
      <c r="I432" s="59">
        <f t="shared" si="16"/>
        <v>0</v>
      </c>
      <c r="J432" s="60"/>
    </row>
    <row r="433" spans="1:10" x14ac:dyDescent="0.2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69" t="s">
        <v>342</v>
      </c>
      <c r="G433" s="64">
        <f>+'OCTUBRE '!G433+NOVIEMBRE!G433+'DICIEMBRE 2025'!G433</f>
        <v>0</v>
      </c>
      <c r="H433" s="64">
        <f>+'OCTUBRE '!H433+NOVIEMBRE!H433+'DICIEMBRE 2025'!H433</f>
        <v>0</v>
      </c>
      <c r="I433" s="64">
        <f t="shared" si="16"/>
        <v>0</v>
      </c>
      <c r="J433" s="65">
        <f>I433/$I$25</f>
        <v>0</v>
      </c>
    </row>
    <row r="434" spans="1:10" x14ac:dyDescent="0.2">
      <c r="A434" s="72">
        <v>2</v>
      </c>
      <c r="B434" s="58">
        <v>6</v>
      </c>
      <c r="C434" s="58">
        <v>8</v>
      </c>
      <c r="D434" s="58">
        <v>5</v>
      </c>
      <c r="E434" s="58"/>
      <c r="F434" s="86" t="s">
        <v>343</v>
      </c>
      <c r="G434" s="59">
        <f>+'OCTUBRE '!G434+NOVIEMBRE!G434+'DICIEMBRE 2025'!G434</f>
        <v>0</v>
      </c>
      <c r="H434" s="59">
        <f>+'OCTUBRE '!H434+NOVIEMBRE!H434+'DICIEMBRE 2025'!H434</f>
        <v>0</v>
      </c>
      <c r="I434" s="59">
        <f t="shared" si="16"/>
        <v>0</v>
      </c>
      <c r="J434" s="60"/>
    </row>
    <row r="435" spans="1:10" x14ac:dyDescent="0.2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69" t="s">
        <v>343</v>
      </c>
      <c r="G435" s="64">
        <f>+'OCTUBRE '!G435+NOVIEMBRE!G435+'DICIEMBRE 2025'!G435</f>
        <v>0</v>
      </c>
      <c r="H435" s="64">
        <f>+'OCTUBRE '!H435+NOVIEMBRE!H435+'DICIEMBRE 2025'!H435</f>
        <v>0</v>
      </c>
      <c r="I435" s="64">
        <f t="shared" si="16"/>
        <v>0</v>
      </c>
      <c r="J435" s="65">
        <f>I435/$I$25</f>
        <v>0</v>
      </c>
    </row>
    <row r="436" spans="1:10" x14ac:dyDescent="0.2">
      <c r="A436" s="72">
        <v>2</v>
      </c>
      <c r="B436" s="58">
        <v>6</v>
      </c>
      <c r="C436" s="58">
        <v>8</v>
      </c>
      <c r="D436" s="58">
        <v>6</v>
      </c>
      <c r="E436" s="58"/>
      <c r="F436" s="86" t="s">
        <v>344</v>
      </c>
      <c r="G436" s="59">
        <f>+'OCTUBRE '!G436+NOVIEMBRE!G436+'DICIEMBRE 2025'!G436</f>
        <v>0</v>
      </c>
      <c r="H436" s="59">
        <f>+'OCTUBRE '!H436+NOVIEMBRE!H436+'DICIEMBRE 2025'!H436</f>
        <v>0</v>
      </c>
      <c r="I436" s="59">
        <f t="shared" si="16"/>
        <v>0</v>
      </c>
      <c r="J436" s="60"/>
    </row>
    <row r="437" spans="1:10" x14ac:dyDescent="0.2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69" t="s">
        <v>344</v>
      </c>
      <c r="G437" s="64">
        <f>+'OCTUBRE '!G437+NOVIEMBRE!G437+'DICIEMBRE 2025'!G437</f>
        <v>0</v>
      </c>
      <c r="H437" s="64">
        <f>+'OCTUBRE '!H437+NOVIEMBRE!H437+'DICIEMBRE 2025'!H437</f>
        <v>0</v>
      </c>
      <c r="I437" s="64">
        <f t="shared" si="16"/>
        <v>0</v>
      </c>
      <c r="J437" s="65">
        <f>I437/$I$25</f>
        <v>0</v>
      </c>
    </row>
    <row r="438" spans="1:10" x14ac:dyDescent="0.2">
      <c r="A438" s="72">
        <v>2</v>
      </c>
      <c r="B438" s="58">
        <v>6</v>
      </c>
      <c r="C438" s="58">
        <v>8</v>
      </c>
      <c r="D438" s="58">
        <v>7</v>
      </c>
      <c r="E438" s="58"/>
      <c r="F438" s="86" t="s">
        <v>345</v>
      </c>
      <c r="G438" s="59">
        <f>+'OCTUBRE '!G438+NOVIEMBRE!G438+'DICIEMBRE 2025'!G438</f>
        <v>0</v>
      </c>
      <c r="H438" s="59">
        <f>+'OCTUBRE '!H438+NOVIEMBRE!H438+'DICIEMBRE 2025'!H438</f>
        <v>0</v>
      </c>
      <c r="I438" s="59">
        <f t="shared" si="16"/>
        <v>0</v>
      </c>
      <c r="J438" s="60"/>
    </row>
    <row r="439" spans="1:10" x14ac:dyDescent="0.2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69" t="s">
        <v>345</v>
      </c>
      <c r="G439" s="64">
        <f>+'OCTUBRE '!G439+NOVIEMBRE!G439+'DICIEMBRE 2025'!G439</f>
        <v>0</v>
      </c>
      <c r="H439" s="64">
        <f>+'OCTUBRE '!H439+NOVIEMBRE!H439+'DICIEMBRE 2025'!H439</f>
        <v>0</v>
      </c>
      <c r="I439" s="64">
        <f t="shared" si="16"/>
        <v>0</v>
      </c>
      <c r="J439" s="65">
        <f>I439/$I$25</f>
        <v>0</v>
      </c>
    </row>
    <row r="440" spans="1:10" x14ac:dyDescent="0.2">
      <c r="A440" s="57">
        <v>2</v>
      </c>
      <c r="B440" s="58">
        <v>6</v>
      </c>
      <c r="C440" s="58">
        <v>8</v>
      </c>
      <c r="D440" s="58">
        <v>8</v>
      </c>
      <c r="E440" s="58"/>
      <c r="F440" s="86" t="s">
        <v>346</v>
      </c>
      <c r="G440" s="59">
        <f>+'OCTUBRE '!G440+NOVIEMBRE!G440+'DICIEMBRE 2025'!G440</f>
        <v>0</v>
      </c>
      <c r="H440" s="59">
        <f>+'OCTUBRE '!H440+NOVIEMBRE!H440+'DICIEMBRE 2025'!H440</f>
        <v>0</v>
      </c>
      <c r="I440" s="59">
        <f t="shared" si="16"/>
        <v>0</v>
      </c>
      <c r="J440" s="60"/>
    </row>
    <row r="441" spans="1:10" x14ac:dyDescent="0.2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69" t="s">
        <v>348</v>
      </c>
      <c r="G441" s="64">
        <f>+'OCTUBRE '!G441+NOVIEMBRE!G441+'DICIEMBRE 2025'!G441</f>
        <v>0</v>
      </c>
      <c r="H441" s="64">
        <f>+'OCTUBRE '!H441+NOVIEMBRE!H441+'DICIEMBRE 2025'!H441</f>
        <v>0</v>
      </c>
      <c r="I441" s="64">
        <f t="shared" si="16"/>
        <v>0</v>
      </c>
      <c r="J441" s="65">
        <f>I441/$I$25</f>
        <v>0</v>
      </c>
    </row>
    <row r="442" spans="1:10" x14ac:dyDescent="0.2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69" t="s">
        <v>350</v>
      </c>
      <c r="G442" s="64">
        <f>+'OCTUBRE '!G442+NOVIEMBRE!G442+'DICIEMBRE 2025'!G442</f>
        <v>0</v>
      </c>
      <c r="H442" s="64">
        <f>+'OCTUBRE '!H442+NOVIEMBRE!H442+'DICIEMBRE 2025'!H442</f>
        <v>0</v>
      </c>
      <c r="I442" s="64">
        <f t="shared" si="16"/>
        <v>0</v>
      </c>
      <c r="J442" s="65">
        <f>I442/$I$25</f>
        <v>0</v>
      </c>
    </row>
    <row r="443" spans="1:10" x14ac:dyDescent="0.2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69" t="s">
        <v>352</v>
      </c>
      <c r="G443" s="64">
        <f>+'OCTUBRE '!G443+NOVIEMBRE!G443+'DICIEMBRE 2025'!G443</f>
        <v>0</v>
      </c>
      <c r="H443" s="64">
        <f>+'OCTUBRE '!H443+NOVIEMBRE!H443+'DICIEMBRE 2025'!H443</f>
        <v>0</v>
      </c>
      <c r="I443" s="64">
        <f t="shared" si="16"/>
        <v>0</v>
      </c>
      <c r="J443" s="65">
        <f>I443/$I$25</f>
        <v>0</v>
      </c>
    </row>
    <row r="444" spans="1:10" x14ac:dyDescent="0.2">
      <c r="A444" s="72">
        <v>2</v>
      </c>
      <c r="B444" s="58">
        <v>6</v>
      </c>
      <c r="C444" s="58">
        <v>8</v>
      </c>
      <c r="D444" s="58">
        <v>9</v>
      </c>
      <c r="E444" s="58"/>
      <c r="F444" s="86" t="s">
        <v>353</v>
      </c>
      <c r="G444" s="59">
        <f>+'OCTUBRE '!G444+NOVIEMBRE!G444+'DICIEMBRE 2025'!G444</f>
        <v>0</v>
      </c>
      <c r="H444" s="59">
        <f>+'OCTUBRE '!H444+NOVIEMBRE!H444+'DICIEMBRE 2025'!H444</f>
        <v>0</v>
      </c>
      <c r="I444" s="59">
        <f t="shared" si="16"/>
        <v>0</v>
      </c>
      <c r="J444" s="60"/>
    </row>
    <row r="445" spans="1:10" x14ac:dyDescent="0.2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69" t="s">
        <v>353</v>
      </c>
      <c r="G445" s="64">
        <f>+'OCTUBRE '!G445+NOVIEMBRE!G445+'DICIEMBRE 2025'!G445</f>
        <v>0</v>
      </c>
      <c r="H445" s="64">
        <f>+'OCTUBRE '!H445+NOVIEMBRE!H445+'DICIEMBRE 2025'!H445</f>
        <v>0</v>
      </c>
      <c r="I445" s="64">
        <f t="shared" si="16"/>
        <v>0</v>
      </c>
      <c r="J445" s="65">
        <f>I445/$I$25</f>
        <v>0</v>
      </c>
    </row>
    <row r="446" spans="1:10" x14ac:dyDescent="0.2">
      <c r="A446" s="54">
        <v>2</v>
      </c>
      <c r="B446" s="55">
        <v>6</v>
      </c>
      <c r="C446" s="55">
        <v>9</v>
      </c>
      <c r="D446" s="55"/>
      <c r="E446" s="78"/>
      <c r="F446" s="85" t="s">
        <v>354</v>
      </c>
      <c r="G446" s="56">
        <f>+'OCTUBRE '!G446+NOVIEMBRE!G446+'DICIEMBRE 2025'!G446</f>
        <v>0</v>
      </c>
      <c r="H446" s="56">
        <f>+'OCTUBRE '!H446+NOVIEMBRE!H446+'DICIEMBRE 2025'!H446</f>
        <v>154881.20000000001</v>
      </c>
      <c r="I446" s="56">
        <f t="shared" si="16"/>
        <v>154881.20000000001</v>
      </c>
      <c r="J446" s="53"/>
    </row>
    <row r="447" spans="1:10" x14ac:dyDescent="0.2">
      <c r="A447" s="72">
        <v>2</v>
      </c>
      <c r="B447" s="58">
        <v>6</v>
      </c>
      <c r="C447" s="58">
        <v>9</v>
      </c>
      <c r="D447" s="58">
        <v>1</v>
      </c>
      <c r="E447" s="58"/>
      <c r="F447" s="86" t="s">
        <v>355</v>
      </c>
      <c r="G447" s="59">
        <f>+'OCTUBRE '!G447+NOVIEMBRE!G447+'DICIEMBRE 2025'!G447</f>
        <v>0</v>
      </c>
      <c r="H447" s="59">
        <f>+'OCTUBRE '!H447+NOVIEMBRE!H447+'DICIEMBRE 2025'!H447</f>
        <v>0</v>
      </c>
      <c r="I447" s="59">
        <f t="shared" si="16"/>
        <v>0</v>
      </c>
      <c r="J447" s="59"/>
    </row>
    <row r="448" spans="1:10" x14ac:dyDescent="0.2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91" t="s">
        <v>355</v>
      </c>
      <c r="G448" s="92">
        <f>+'OCTUBRE '!G448+NOVIEMBRE!G448+'DICIEMBRE 2025'!G448</f>
        <v>0</v>
      </c>
      <c r="H448" s="92">
        <f>+'OCTUBRE '!H448+NOVIEMBRE!H448+'DICIEMBRE 2025'!H448</f>
        <v>0</v>
      </c>
      <c r="I448" s="92">
        <f t="shared" si="16"/>
        <v>0</v>
      </c>
      <c r="J448" s="65">
        <f>I448/$I$25</f>
        <v>0</v>
      </c>
    </row>
    <row r="449" spans="1:10" x14ac:dyDescent="0.2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91" t="s">
        <v>356</v>
      </c>
      <c r="G449" s="92">
        <f>+'OCTUBRE '!G449+NOVIEMBRE!G449+'DICIEMBRE 2025'!G449</f>
        <v>0</v>
      </c>
      <c r="H449" s="92">
        <f>+'OCTUBRE '!H449+NOVIEMBRE!H449+'DICIEMBRE 2025'!H449</f>
        <v>0</v>
      </c>
      <c r="I449" s="92">
        <f t="shared" si="16"/>
        <v>0</v>
      </c>
      <c r="J449" s="65">
        <f>I449/$I$25</f>
        <v>0</v>
      </c>
    </row>
    <row r="450" spans="1:10" x14ac:dyDescent="0.2">
      <c r="A450" s="72">
        <v>2</v>
      </c>
      <c r="B450" s="58">
        <v>6</v>
      </c>
      <c r="C450" s="58">
        <v>9</v>
      </c>
      <c r="D450" s="58">
        <v>2</v>
      </c>
      <c r="E450" s="58"/>
      <c r="F450" s="86" t="s">
        <v>357</v>
      </c>
      <c r="G450" s="59">
        <f>+'OCTUBRE '!G450+NOVIEMBRE!G450+'DICIEMBRE 2025'!G450</f>
        <v>0</v>
      </c>
      <c r="H450" s="59">
        <f>+'OCTUBRE '!H450+NOVIEMBRE!H450+'DICIEMBRE 2025'!H450</f>
        <v>0</v>
      </c>
      <c r="I450" s="59">
        <f t="shared" si="16"/>
        <v>0</v>
      </c>
      <c r="J450" s="60"/>
    </row>
    <row r="451" spans="1:10" x14ac:dyDescent="0.2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69" t="s">
        <v>357</v>
      </c>
      <c r="G451" s="64">
        <f>+'OCTUBRE '!G451+NOVIEMBRE!G451+'DICIEMBRE 2025'!G451</f>
        <v>0</v>
      </c>
      <c r="H451" s="64">
        <f>+'OCTUBRE '!H451+NOVIEMBRE!H451+'DICIEMBRE 2025'!H451</f>
        <v>0</v>
      </c>
      <c r="I451" s="64">
        <f t="shared" si="16"/>
        <v>0</v>
      </c>
      <c r="J451" s="65">
        <f>I451/$I$25</f>
        <v>0</v>
      </c>
    </row>
    <row r="452" spans="1:10" x14ac:dyDescent="0.2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69" t="s">
        <v>358</v>
      </c>
      <c r="G452" s="64">
        <f>+'OCTUBRE '!G452+NOVIEMBRE!G452+'DICIEMBRE 2025'!G452</f>
        <v>0</v>
      </c>
      <c r="H452" s="64">
        <f>+'OCTUBRE '!H452+NOVIEMBRE!H452+'DICIEMBRE 2025'!H452</f>
        <v>0</v>
      </c>
      <c r="I452" s="64">
        <f t="shared" si="16"/>
        <v>0</v>
      </c>
      <c r="J452" s="65">
        <f>I452/$I$25</f>
        <v>0</v>
      </c>
    </row>
    <row r="453" spans="1:10" x14ac:dyDescent="0.2">
      <c r="A453" s="72">
        <v>2</v>
      </c>
      <c r="B453" s="58">
        <v>6</v>
      </c>
      <c r="C453" s="58">
        <v>9</v>
      </c>
      <c r="D453" s="58">
        <v>3</v>
      </c>
      <c r="E453" s="58"/>
      <c r="F453" s="86" t="s">
        <v>359</v>
      </c>
      <c r="G453" s="59">
        <f>+'OCTUBRE '!G453+NOVIEMBRE!G453+'DICIEMBRE 2025'!G453</f>
        <v>0</v>
      </c>
      <c r="H453" s="59">
        <f>+'OCTUBRE '!H453+NOVIEMBRE!H453+'DICIEMBRE 2025'!H453</f>
        <v>0</v>
      </c>
      <c r="I453" s="59">
        <f t="shared" si="16"/>
        <v>0</v>
      </c>
      <c r="J453" s="59"/>
    </row>
    <row r="454" spans="1:10" x14ac:dyDescent="0.2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69" t="s">
        <v>359</v>
      </c>
      <c r="G454" s="64">
        <f>+'OCTUBRE '!G454+NOVIEMBRE!G454+'DICIEMBRE 2025'!G454</f>
        <v>0</v>
      </c>
      <c r="H454" s="64">
        <f>+'OCTUBRE '!H454+NOVIEMBRE!H454+'DICIEMBRE 2025'!H454</f>
        <v>0</v>
      </c>
      <c r="I454" s="64">
        <f t="shared" si="16"/>
        <v>0</v>
      </c>
      <c r="J454" s="65">
        <f>I454/$I$25</f>
        <v>0</v>
      </c>
    </row>
    <row r="455" spans="1:10" x14ac:dyDescent="0.2">
      <c r="A455" s="72">
        <v>2</v>
      </c>
      <c r="B455" s="58">
        <v>6</v>
      </c>
      <c r="C455" s="58">
        <v>9</v>
      </c>
      <c r="D455" s="58">
        <v>4</v>
      </c>
      <c r="E455" s="58"/>
      <c r="F455" s="86" t="s">
        <v>360</v>
      </c>
      <c r="G455" s="59">
        <f>+'OCTUBRE '!G455+NOVIEMBRE!G455+'DICIEMBRE 2025'!G455</f>
        <v>0</v>
      </c>
      <c r="H455" s="59">
        <f>+'OCTUBRE '!H455+NOVIEMBRE!H455+'DICIEMBRE 2025'!H455</f>
        <v>0</v>
      </c>
      <c r="I455" s="59">
        <f t="shared" si="16"/>
        <v>0</v>
      </c>
      <c r="J455" s="60"/>
    </row>
    <row r="456" spans="1:10" x14ac:dyDescent="0.2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69" t="s">
        <v>360</v>
      </c>
      <c r="G456" s="64">
        <f>+'OCTUBRE '!G456+NOVIEMBRE!G456+'DICIEMBRE 2025'!G456</f>
        <v>0</v>
      </c>
      <c r="H456" s="64">
        <f>+'OCTUBRE '!H456+NOVIEMBRE!H456+'DICIEMBRE 2025'!H456</f>
        <v>0</v>
      </c>
      <c r="I456" s="64">
        <f t="shared" si="16"/>
        <v>0</v>
      </c>
      <c r="J456" s="65">
        <f>I456/$I$25</f>
        <v>0</v>
      </c>
    </row>
    <row r="457" spans="1:10" x14ac:dyDescent="0.2">
      <c r="A457" s="72">
        <v>2</v>
      </c>
      <c r="B457" s="58">
        <v>6</v>
      </c>
      <c r="C457" s="58">
        <v>9</v>
      </c>
      <c r="D457" s="58">
        <v>5</v>
      </c>
      <c r="E457" s="58"/>
      <c r="F457" s="86" t="s">
        <v>361</v>
      </c>
      <c r="G457" s="59">
        <f>+'OCTUBRE '!G457+NOVIEMBRE!G457+'DICIEMBRE 2025'!G457</f>
        <v>0</v>
      </c>
      <c r="H457" s="59">
        <f>+'OCTUBRE '!H457+NOVIEMBRE!H457+'DICIEMBRE 2025'!H457</f>
        <v>154881.20000000001</v>
      </c>
      <c r="I457" s="59">
        <f t="shared" si="16"/>
        <v>154881.20000000001</v>
      </c>
      <c r="J457" s="60"/>
    </row>
    <row r="458" spans="1:10" x14ac:dyDescent="0.2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69" t="s">
        <v>362</v>
      </c>
      <c r="G458" s="64">
        <f>+'OCTUBRE '!G458+NOVIEMBRE!G458+'DICIEMBRE 2025'!G458</f>
        <v>0</v>
      </c>
      <c r="H458" s="64">
        <f>+'OCTUBRE '!H458+NOVIEMBRE!H458+'DICIEMBRE 2025'!H458</f>
        <v>0</v>
      </c>
      <c r="I458" s="64">
        <f t="shared" si="16"/>
        <v>0</v>
      </c>
      <c r="J458" s="65">
        <f>I458/$I$25</f>
        <v>0</v>
      </c>
    </row>
    <row r="459" spans="1:10" x14ac:dyDescent="0.2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69" t="s">
        <v>363</v>
      </c>
      <c r="G459" s="64">
        <f>+'OCTUBRE '!G459+NOVIEMBRE!G459+'DICIEMBRE 2025'!G459</f>
        <v>0</v>
      </c>
      <c r="H459" s="64">
        <f>+'OCTUBRE '!H459+NOVIEMBRE!H459+'DICIEMBRE 2025'!H459</f>
        <v>154881.20000000001</v>
      </c>
      <c r="I459" s="64">
        <f t="shared" si="16"/>
        <v>154881.20000000001</v>
      </c>
      <c r="J459" s="65">
        <f>I459/$I$25</f>
        <v>3.1616676916655526E-4</v>
      </c>
    </row>
    <row r="460" spans="1:10" x14ac:dyDescent="0.2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69" t="s">
        <v>364</v>
      </c>
      <c r="G460" s="64">
        <f>+'OCTUBRE '!G460+NOVIEMBRE!G460+'DICIEMBRE 2025'!G460</f>
        <v>0</v>
      </c>
      <c r="H460" s="64">
        <f>+'OCTUBRE '!H460+NOVIEMBRE!H460+'DICIEMBRE 2025'!H460</f>
        <v>0</v>
      </c>
      <c r="I460" s="64">
        <f t="shared" si="16"/>
        <v>0</v>
      </c>
      <c r="J460" s="65">
        <f>I460/$I$25</f>
        <v>0</v>
      </c>
    </row>
    <row r="461" spans="1:10" x14ac:dyDescent="0.2">
      <c r="A461" s="72">
        <v>2</v>
      </c>
      <c r="B461" s="58">
        <v>6</v>
      </c>
      <c r="C461" s="58">
        <v>9</v>
      </c>
      <c r="D461" s="58">
        <v>9</v>
      </c>
      <c r="E461" s="58"/>
      <c r="F461" s="86" t="s">
        <v>365</v>
      </c>
      <c r="G461" s="59">
        <f>+'OCTUBRE '!G461+NOVIEMBRE!G461+'DICIEMBRE 2025'!G461</f>
        <v>0</v>
      </c>
      <c r="H461" s="59">
        <f>+'OCTUBRE '!H461+NOVIEMBRE!H461+'DICIEMBRE 2025'!H461</f>
        <v>0</v>
      </c>
      <c r="I461" s="59">
        <f t="shared" si="16"/>
        <v>0</v>
      </c>
      <c r="J461" s="60"/>
    </row>
    <row r="462" spans="1:10" x14ac:dyDescent="0.2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69" t="s">
        <v>365</v>
      </c>
      <c r="G462" s="64">
        <f>+'OCTUBRE '!G462+NOVIEMBRE!G462+'DICIEMBRE 2025'!G462</f>
        <v>0</v>
      </c>
      <c r="H462" s="64">
        <f>+'OCTUBRE '!H462+NOVIEMBRE!H462+'DICIEMBRE 2025'!H462</f>
        <v>0</v>
      </c>
      <c r="I462" s="64">
        <f t="shared" si="16"/>
        <v>0</v>
      </c>
      <c r="J462" s="65">
        <f>I462/$I$25</f>
        <v>0</v>
      </c>
    </row>
    <row r="463" spans="1:10" x14ac:dyDescent="0.2">
      <c r="A463" s="70">
        <v>2</v>
      </c>
      <c r="B463" s="55">
        <v>7</v>
      </c>
      <c r="C463" s="55"/>
      <c r="D463" s="55"/>
      <c r="E463" s="55"/>
      <c r="F463" s="85" t="s">
        <v>366</v>
      </c>
      <c r="G463" s="56">
        <f>+'OCTUBRE '!G463+NOVIEMBRE!G463+'DICIEMBRE 2025'!G463</f>
        <v>0</v>
      </c>
      <c r="H463" s="56">
        <f>+'OCTUBRE '!H463+NOVIEMBRE!H463+'DICIEMBRE 2025'!H463</f>
        <v>0</v>
      </c>
      <c r="I463" s="56">
        <f t="shared" si="16"/>
        <v>0</v>
      </c>
      <c r="J463" s="53">
        <f>I463/$I$25</f>
        <v>0</v>
      </c>
    </row>
    <row r="464" spans="1:10" x14ac:dyDescent="0.2">
      <c r="A464" s="70">
        <v>2</v>
      </c>
      <c r="B464" s="55">
        <v>7</v>
      </c>
      <c r="C464" s="55">
        <v>1</v>
      </c>
      <c r="D464" s="55"/>
      <c r="E464" s="55"/>
      <c r="F464" s="85" t="s">
        <v>367</v>
      </c>
      <c r="G464" s="56">
        <f>+'OCTUBRE '!G464+NOVIEMBRE!G464+'DICIEMBRE 2025'!G464</f>
        <v>0</v>
      </c>
      <c r="H464" s="56">
        <f>+'OCTUBRE '!H464+NOVIEMBRE!H464+'DICIEMBRE 2025'!H464</f>
        <v>0</v>
      </c>
      <c r="I464" s="56">
        <f t="shared" si="16"/>
        <v>0</v>
      </c>
      <c r="J464" s="53"/>
    </row>
    <row r="465" spans="1:10" x14ac:dyDescent="0.2">
      <c r="A465" s="72">
        <v>2</v>
      </c>
      <c r="B465" s="58">
        <v>7</v>
      </c>
      <c r="C465" s="58">
        <v>1</v>
      </c>
      <c r="D465" s="58">
        <v>1</v>
      </c>
      <c r="E465" s="77"/>
      <c r="F465" s="86" t="s">
        <v>368</v>
      </c>
      <c r="G465" s="59">
        <f>+'OCTUBRE '!G465+NOVIEMBRE!G465+'DICIEMBRE 2025'!G465</f>
        <v>0</v>
      </c>
      <c r="H465" s="59">
        <f>+'OCTUBRE '!H465+NOVIEMBRE!H465+'DICIEMBRE 2025'!H465</f>
        <v>0</v>
      </c>
      <c r="I465" s="59">
        <f t="shared" si="16"/>
        <v>0</v>
      </c>
      <c r="J465" s="60"/>
    </row>
    <row r="466" spans="1:10" x14ac:dyDescent="0.2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69" t="s">
        <v>368</v>
      </c>
      <c r="G466" s="64">
        <f>+'OCTUBRE '!G466+NOVIEMBRE!G466+'DICIEMBRE 2025'!G466</f>
        <v>0</v>
      </c>
      <c r="H466" s="64">
        <f>+'OCTUBRE '!H466+NOVIEMBRE!H466+'DICIEMBRE 2025'!H466</f>
        <v>0</v>
      </c>
      <c r="I466" s="64">
        <f t="shared" si="16"/>
        <v>0</v>
      </c>
      <c r="J466" s="65">
        <f>I466/$I$25</f>
        <v>0</v>
      </c>
    </row>
    <row r="467" spans="1:10" x14ac:dyDescent="0.2">
      <c r="A467" s="72">
        <v>2</v>
      </c>
      <c r="B467" s="58">
        <v>7</v>
      </c>
      <c r="C467" s="58">
        <v>1</v>
      </c>
      <c r="D467" s="58">
        <v>2</v>
      </c>
      <c r="E467" s="77"/>
      <c r="F467" s="86" t="s">
        <v>369</v>
      </c>
      <c r="G467" s="59">
        <f>+'OCTUBRE '!G467+NOVIEMBRE!G467+'DICIEMBRE 2025'!G467</f>
        <v>0</v>
      </c>
      <c r="H467" s="59">
        <f>+'OCTUBRE '!H467+NOVIEMBRE!H467+'DICIEMBRE 2025'!H467</f>
        <v>0</v>
      </c>
      <c r="I467" s="59">
        <f t="shared" si="16"/>
        <v>0</v>
      </c>
      <c r="J467" s="60"/>
    </row>
    <row r="468" spans="1:10" x14ac:dyDescent="0.2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69" t="s">
        <v>369</v>
      </c>
      <c r="G468" s="64">
        <f>+'OCTUBRE '!G468+NOVIEMBRE!G468+'DICIEMBRE 2025'!G468</f>
        <v>0</v>
      </c>
      <c r="H468" s="64">
        <f>+'OCTUBRE '!H468+NOVIEMBRE!H468+'DICIEMBRE 2025'!H468</f>
        <v>0</v>
      </c>
      <c r="I468" s="64">
        <f t="shared" si="16"/>
        <v>0</v>
      </c>
      <c r="J468" s="65">
        <f>I468/$I$25</f>
        <v>0</v>
      </c>
    </row>
    <row r="469" spans="1:10" x14ac:dyDescent="0.2">
      <c r="A469" s="72">
        <v>2</v>
      </c>
      <c r="B469" s="58">
        <v>7</v>
      </c>
      <c r="C469" s="58">
        <v>1</v>
      </c>
      <c r="D469" s="58">
        <v>3</v>
      </c>
      <c r="E469" s="77"/>
      <c r="F469" s="86" t="s">
        <v>370</v>
      </c>
      <c r="G469" s="59">
        <f>+'OCTUBRE '!G469+NOVIEMBRE!G469+'DICIEMBRE 2025'!G469</f>
        <v>0</v>
      </c>
      <c r="H469" s="59">
        <f>+'OCTUBRE '!H469+NOVIEMBRE!H469+'DICIEMBRE 2025'!H469</f>
        <v>0</v>
      </c>
      <c r="I469" s="59">
        <f t="shared" si="16"/>
        <v>0</v>
      </c>
      <c r="J469" s="60"/>
    </row>
    <row r="470" spans="1:10" x14ac:dyDescent="0.2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69" t="s">
        <v>370</v>
      </c>
      <c r="G470" s="64">
        <f>+'OCTUBRE '!G470+NOVIEMBRE!G470+'DICIEMBRE 2025'!G470</f>
        <v>0</v>
      </c>
      <c r="H470" s="64">
        <f>+'OCTUBRE '!H470+NOVIEMBRE!H470+'DICIEMBRE 2025'!H470</f>
        <v>0</v>
      </c>
      <c r="I470" s="64">
        <f t="shared" si="16"/>
        <v>0</v>
      </c>
      <c r="J470" s="65">
        <f>I470/$I$25</f>
        <v>0</v>
      </c>
    </row>
    <row r="471" spans="1:10" x14ac:dyDescent="0.2">
      <c r="A471" s="72">
        <v>2</v>
      </c>
      <c r="B471" s="58">
        <v>7</v>
      </c>
      <c r="C471" s="58">
        <v>1</v>
      </c>
      <c r="D471" s="58">
        <v>4</v>
      </c>
      <c r="E471" s="77"/>
      <c r="F471" s="86" t="s">
        <v>371</v>
      </c>
      <c r="G471" s="59">
        <f>+'OCTUBRE '!G471+NOVIEMBRE!G471+'DICIEMBRE 2025'!G471</f>
        <v>0</v>
      </c>
      <c r="H471" s="59">
        <f>+'OCTUBRE '!H471+NOVIEMBRE!H471+'DICIEMBRE 2025'!H471</f>
        <v>0</v>
      </c>
      <c r="I471" s="59">
        <f t="shared" si="16"/>
        <v>0</v>
      </c>
      <c r="J471" s="60"/>
    </row>
    <row r="472" spans="1:10" x14ac:dyDescent="0.2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69" t="s">
        <v>371</v>
      </c>
      <c r="G472" s="64">
        <f>+'OCTUBRE '!G472+NOVIEMBRE!G472+'DICIEMBRE 2025'!G472</f>
        <v>0</v>
      </c>
      <c r="H472" s="64">
        <f>+'OCTUBRE '!H472+NOVIEMBRE!H472+'DICIEMBRE 2025'!H472</f>
        <v>0</v>
      </c>
      <c r="I472" s="64">
        <f t="shared" si="16"/>
        <v>0</v>
      </c>
      <c r="J472" s="65">
        <f>I472/$I$25</f>
        <v>0</v>
      </c>
    </row>
    <row r="473" spans="1:10" x14ac:dyDescent="0.2">
      <c r="A473" s="70">
        <v>2</v>
      </c>
      <c r="B473" s="55">
        <v>7</v>
      </c>
      <c r="C473" s="55">
        <v>2</v>
      </c>
      <c r="D473" s="55"/>
      <c r="E473" s="55"/>
      <c r="F473" s="85" t="s">
        <v>372</v>
      </c>
      <c r="G473" s="56">
        <f>+'OCTUBRE '!G473+NOVIEMBRE!G473+'DICIEMBRE 2025'!G473</f>
        <v>0</v>
      </c>
      <c r="H473" s="56">
        <f>+'OCTUBRE '!H473+NOVIEMBRE!H473+'DICIEMBRE 2025'!H473</f>
        <v>0</v>
      </c>
      <c r="I473" s="56">
        <f t="shared" ref="I473:I501" si="17">SUM(G473:H473)</f>
        <v>0</v>
      </c>
      <c r="J473" s="53"/>
    </row>
    <row r="474" spans="1:10" x14ac:dyDescent="0.2">
      <c r="A474" s="72">
        <v>2</v>
      </c>
      <c r="B474" s="58">
        <v>7</v>
      </c>
      <c r="C474" s="58">
        <v>2</v>
      </c>
      <c r="D474" s="58">
        <v>1</v>
      </c>
      <c r="E474" s="77"/>
      <c r="F474" s="86" t="s">
        <v>373</v>
      </c>
      <c r="G474" s="59">
        <f>+'OCTUBRE '!G474+NOVIEMBRE!G474+'DICIEMBRE 2025'!G474</f>
        <v>0</v>
      </c>
      <c r="H474" s="59">
        <f>+'OCTUBRE '!H474+NOVIEMBRE!H474+'DICIEMBRE 2025'!H474</f>
        <v>0</v>
      </c>
      <c r="I474" s="59">
        <f t="shared" si="17"/>
        <v>0</v>
      </c>
      <c r="J474" s="60"/>
    </row>
    <row r="475" spans="1:10" x14ac:dyDescent="0.2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69" t="s">
        <v>373</v>
      </c>
      <c r="G475" s="64">
        <f>+'OCTUBRE '!G475+NOVIEMBRE!G475+'DICIEMBRE 2025'!G475</f>
        <v>0</v>
      </c>
      <c r="H475" s="64">
        <f>+'OCTUBRE '!H475+NOVIEMBRE!H475+'DICIEMBRE 2025'!H475</f>
        <v>0</v>
      </c>
      <c r="I475" s="64">
        <f t="shared" si="17"/>
        <v>0</v>
      </c>
      <c r="J475" s="65">
        <f>I475/$I$25</f>
        <v>0</v>
      </c>
    </row>
    <row r="476" spans="1:10" x14ac:dyDescent="0.2">
      <c r="A476" s="72">
        <v>2</v>
      </c>
      <c r="B476" s="58">
        <v>7</v>
      </c>
      <c r="C476" s="58">
        <v>2</v>
      </c>
      <c r="D476" s="58">
        <v>2</v>
      </c>
      <c r="E476" s="77"/>
      <c r="F476" s="86" t="s">
        <v>374</v>
      </c>
      <c r="G476" s="59">
        <f>+'OCTUBRE '!G476+NOVIEMBRE!G476+'DICIEMBRE 2025'!G476</f>
        <v>0</v>
      </c>
      <c r="H476" s="59">
        <f>+'OCTUBRE '!H476+NOVIEMBRE!H476+'DICIEMBRE 2025'!H476</f>
        <v>0</v>
      </c>
      <c r="I476" s="59">
        <f t="shared" si="17"/>
        <v>0</v>
      </c>
      <c r="J476" s="60"/>
    </row>
    <row r="477" spans="1:10" x14ac:dyDescent="0.2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69" t="s">
        <v>374</v>
      </c>
      <c r="G477" s="64">
        <f>+'OCTUBRE '!G477+NOVIEMBRE!G477+'DICIEMBRE 2025'!G477</f>
        <v>0</v>
      </c>
      <c r="H477" s="64">
        <f>+'OCTUBRE '!H477+NOVIEMBRE!H477+'DICIEMBRE 2025'!H477</f>
        <v>0</v>
      </c>
      <c r="I477" s="64">
        <f t="shared" si="17"/>
        <v>0</v>
      </c>
      <c r="J477" s="65">
        <f>I477/$I$25</f>
        <v>0</v>
      </c>
    </row>
    <row r="478" spans="1:10" x14ac:dyDescent="0.2">
      <c r="A478" s="72">
        <v>2</v>
      </c>
      <c r="B478" s="58">
        <v>7</v>
      </c>
      <c r="C478" s="58">
        <v>2</v>
      </c>
      <c r="D478" s="58">
        <v>3</v>
      </c>
      <c r="E478" s="77"/>
      <c r="F478" s="86" t="s">
        <v>375</v>
      </c>
      <c r="G478" s="59">
        <f>+'OCTUBRE '!G478+NOVIEMBRE!G478+'DICIEMBRE 2025'!G478</f>
        <v>0</v>
      </c>
      <c r="H478" s="59">
        <f>+'OCTUBRE '!H478+NOVIEMBRE!H478+'DICIEMBRE 2025'!H478</f>
        <v>0</v>
      </c>
      <c r="I478" s="59">
        <f t="shared" si="17"/>
        <v>0</v>
      </c>
      <c r="J478" s="60"/>
    </row>
    <row r="479" spans="1:10" x14ac:dyDescent="0.2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69" t="s">
        <v>375</v>
      </c>
      <c r="G479" s="64">
        <f>+'OCTUBRE '!G479+NOVIEMBRE!G479+'DICIEMBRE 2025'!G479</f>
        <v>0</v>
      </c>
      <c r="H479" s="64">
        <f>+'OCTUBRE '!H479+NOVIEMBRE!H479+'DICIEMBRE 2025'!H479</f>
        <v>0</v>
      </c>
      <c r="I479" s="64">
        <f t="shared" si="17"/>
        <v>0</v>
      </c>
      <c r="J479" s="65">
        <f>I479/$I$25</f>
        <v>0</v>
      </c>
    </row>
    <row r="480" spans="1:10" x14ac:dyDescent="0.2">
      <c r="A480" s="72">
        <v>2</v>
      </c>
      <c r="B480" s="58">
        <v>7</v>
      </c>
      <c r="C480" s="58">
        <v>2</v>
      </c>
      <c r="D480" s="58">
        <v>4</v>
      </c>
      <c r="E480" s="77"/>
      <c r="F480" s="86" t="s">
        <v>376</v>
      </c>
      <c r="G480" s="59">
        <f>+'OCTUBRE '!G480+NOVIEMBRE!G480+'DICIEMBRE 2025'!G480</f>
        <v>0</v>
      </c>
      <c r="H480" s="59">
        <f>+'OCTUBRE '!H480+NOVIEMBRE!H480+'DICIEMBRE 2025'!H480</f>
        <v>0</v>
      </c>
      <c r="I480" s="59">
        <f t="shared" si="17"/>
        <v>0</v>
      </c>
      <c r="J480" s="60"/>
    </row>
    <row r="481" spans="1:10" x14ac:dyDescent="0.2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69" t="s">
        <v>376</v>
      </c>
      <c r="G481" s="64">
        <f>+'OCTUBRE '!G481+NOVIEMBRE!G481+'DICIEMBRE 2025'!G481</f>
        <v>0</v>
      </c>
      <c r="H481" s="64">
        <f>+'OCTUBRE '!H481+NOVIEMBRE!H481+'DICIEMBRE 2025'!H481</f>
        <v>0</v>
      </c>
      <c r="I481" s="64">
        <f t="shared" si="17"/>
        <v>0</v>
      </c>
      <c r="J481" s="65">
        <f>I481/$I$25</f>
        <v>0</v>
      </c>
    </row>
    <row r="482" spans="1:10" x14ac:dyDescent="0.2">
      <c r="A482" s="72">
        <v>2</v>
      </c>
      <c r="B482" s="58">
        <v>7</v>
      </c>
      <c r="C482" s="58">
        <v>2</v>
      </c>
      <c r="D482" s="58">
        <v>5</v>
      </c>
      <c r="E482" s="77"/>
      <c r="F482" s="86" t="s">
        <v>377</v>
      </c>
      <c r="G482" s="59">
        <f>+'OCTUBRE '!G482+NOVIEMBRE!G482+'DICIEMBRE 2025'!G482</f>
        <v>0</v>
      </c>
      <c r="H482" s="59">
        <f>+'OCTUBRE '!H482+NOVIEMBRE!H482+'DICIEMBRE 2025'!H482</f>
        <v>0</v>
      </c>
      <c r="I482" s="59">
        <f t="shared" si="17"/>
        <v>0</v>
      </c>
      <c r="J482" s="60"/>
    </row>
    <row r="483" spans="1:10" x14ac:dyDescent="0.2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69" t="s">
        <v>377</v>
      </c>
      <c r="G483" s="64">
        <f>+'OCTUBRE '!G483+NOVIEMBRE!G483+'DICIEMBRE 2025'!G483</f>
        <v>0</v>
      </c>
      <c r="H483" s="64">
        <f>+'OCTUBRE '!H483+NOVIEMBRE!H483+'DICIEMBRE 2025'!H483</f>
        <v>0</v>
      </c>
      <c r="I483" s="64">
        <f t="shared" si="17"/>
        <v>0</v>
      </c>
      <c r="J483" s="65">
        <f>I483/$I$25</f>
        <v>0</v>
      </c>
    </row>
    <row r="484" spans="1:10" x14ac:dyDescent="0.2">
      <c r="A484" s="72">
        <v>2</v>
      </c>
      <c r="B484" s="58">
        <v>7</v>
      </c>
      <c r="C484" s="58">
        <v>2</v>
      </c>
      <c r="D484" s="58">
        <v>6</v>
      </c>
      <c r="E484" s="77"/>
      <c r="F484" s="86" t="s">
        <v>378</v>
      </c>
      <c r="G484" s="59">
        <f>+'OCTUBRE '!G484+NOVIEMBRE!G484+'DICIEMBRE 2025'!G484</f>
        <v>0</v>
      </c>
      <c r="H484" s="59">
        <f>+'OCTUBRE '!H484+NOVIEMBRE!H484+'DICIEMBRE 2025'!H484</f>
        <v>0</v>
      </c>
      <c r="I484" s="59">
        <f t="shared" si="17"/>
        <v>0</v>
      </c>
      <c r="J484" s="60"/>
    </row>
    <row r="485" spans="1:10" x14ac:dyDescent="0.2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69" t="s">
        <v>378</v>
      </c>
      <c r="G485" s="64">
        <f>+'OCTUBRE '!G485+NOVIEMBRE!G485+'DICIEMBRE 2025'!G485</f>
        <v>0</v>
      </c>
      <c r="H485" s="64">
        <f>+'OCTUBRE '!H485+NOVIEMBRE!H485+'DICIEMBRE 2025'!H485</f>
        <v>0</v>
      </c>
      <c r="I485" s="64">
        <f t="shared" si="17"/>
        <v>0</v>
      </c>
      <c r="J485" s="65">
        <f>I485/$I$25</f>
        <v>0</v>
      </c>
    </row>
    <row r="486" spans="1:10" x14ac:dyDescent="0.2">
      <c r="A486" s="72">
        <v>2</v>
      </c>
      <c r="B486" s="58">
        <v>7</v>
      </c>
      <c r="C486" s="58">
        <v>2</v>
      </c>
      <c r="D486" s="58">
        <v>7</v>
      </c>
      <c r="E486" s="77"/>
      <c r="F486" s="86" t="s">
        <v>379</v>
      </c>
      <c r="G486" s="59">
        <f>+'OCTUBRE '!G486+NOVIEMBRE!G486+'DICIEMBRE 2025'!G486</f>
        <v>0</v>
      </c>
      <c r="H486" s="59">
        <f>+'OCTUBRE '!H486+NOVIEMBRE!H486+'DICIEMBRE 2025'!H486</f>
        <v>0</v>
      </c>
      <c r="I486" s="59">
        <f t="shared" si="17"/>
        <v>0</v>
      </c>
      <c r="J486" s="60"/>
    </row>
    <row r="487" spans="1:10" x14ac:dyDescent="0.2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69" t="s">
        <v>379</v>
      </c>
      <c r="G487" s="64">
        <f>+'OCTUBRE '!G487+NOVIEMBRE!G487+'DICIEMBRE 2025'!G487</f>
        <v>0</v>
      </c>
      <c r="H487" s="64">
        <f>+'OCTUBRE '!H487+NOVIEMBRE!H487+'DICIEMBRE 2025'!H487</f>
        <v>0</v>
      </c>
      <c r="I487" s="64">
        <f t="shared" si="17"/>
        <v>0</v>
      </c>
      <c r="J487" s="65">
        <f>I487/$I$25</f>
        <v>0</v>
      </c>
    </row>
    <row r="488" spans="1:10" x14ac:dyDescent="0.2">
      <c r="A488" s="72">
        <v>2</v>
      </c>
      <c r="B488" s="58">
        <v>7</v>
      </c>
      <c r="C488" s="58">
        <v>2</v>
      </c>
      <c r="D488" s="58">
        <v>8</v>
      </c>
      <c r="E488" s="77"/>
      <c r="F488" s="86" t="s">
        <v>380</v>
      </c>
      <c r="G488" s="59">
        <f>+'OCTUBRE '!G488+NOVIEMBRE!G488+'DICIEMBRE 2025'!G488</f>
        <v>0</v>
      </c>
      <c r="H488" s="59">
        <f>+'OCTUBRE '!H488+NOVIEMBRE!H488+'DICIEMBRE 2025'!H488</f>
        <v>0</v>
      </c>
      <c r="I488" s="59">
        <f t="shared" si="17"/>
        <v>0</v>
      </c>
      <c r="J488" s="60"/>
    </row>
    <row r="489" spans="1:10" x14ac:dyDescent="0.2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69" t="s">
        <v>380</v>
      </c>
      <c r="G489" s="64">
        <f>+'OCTUBRE '!G489+NOVIEMBRE!G489+'DICIEMBRE 2025'!G489</f>
        <v>0</v>
      </c>
      <c r="H489" s="64">
        <f>+'OCTUBRE '!H489+NOVIEMBRE!H489+'DICIEMBRE 2025'!H489</f>
        <v>0</v>
      </c>
      <c r="I489" s="64">
        <f t="shared" si="17"/>
        <v>0</v>
      </c>
      <c r="J489" s="65">
        <f>I489/$I$25</f>
        <v>0</v>
      </c>
    </row>
    <row r="490" spans="1:10" x14ac:dyDescent="0.2">
      <c r="A490" s="72">
        <v>2</v>
      </c>
      <c r="B490" s="58">
        <v>7</v>
      </c>
      <c r="C490" s="58">
        <v>2</v>
      </c>
      <c r="D490" s="58">
        <v>9</v>
      </c>
      <c r="E490" s="77"/>
      <c r="F490" s="86" t="s">
        <v>381</v>
      </c>
      <c r="G490" s="59">
        <f>+'OCTUBRE '!G490+NOVIEMBRE!G490+'DICIEMBRE 2025'!G490</f>
        <v>0</v>
      </c>
      <c r="H490" s="59">
        <f>+'OCTUBRE '!H490+NOVIEMBRE!H490+'DICIEMBRE 2025'!H490</f>
        <v>0</v>
      </c>
      <c r="I490" s="59">
        <f t="shared" si="17"/>
        <v>0</v>
      </c>
      <c r="J490" s="60"/>
    </row>
    <row r="491" spans="1:10" x14ac:dyDescent="0.2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69" t="s">
        <v>381</v>
      </c>
      <c r="G491" s="64">
        <f>+'OCTUBRE '!G491+NOVIEMBRE!G491+'DICIEMBRE 2025'!G491</f>
        <v>0</v>
      </c>
      <c r="H491" s="64">
        <f>+'OCTUBRE '!H491+NOVIEMBRE!H491+'DICIEMBRE 2025'!H491</f>
        <v>0</v>
      </c>
      <c r="I491" s="64">
        <f t="shared" si="17"/>
        <v>0</v>
      </c>
      <c r="J491" s="65">
        <f>I491/$I$25</f>
        <v>0</v>
      </c>
    </row>
    <row r="492" spans="1:10" x14ac:dyDescent="0.2">
      <c r="A492" s="70">
        <v>2</v>
      </c>
      <c r="B492" s="55">
        <v>7</v>
      </c>
      <c r="C492" s="55">
        <v>3</v>
      </c>
      <c r="D492" s="55"/>
      <c r="E492" s="55"/>
      <c r="F492" s="85" t="s">
        <v>382</v>
      </c>
      <c r="G492" s="56">
        <f>+'OCTUBRE '!G492+NOVIEMBRE!G492+'DICIEMBRE 2025'!G492</f>
        <v>0</v>
      </c>
      <c r="H492" s="56">
        <f>+'OCTUBRE '!H492+NOVIEMBRE!H492+'DICIEMBRE 2025'!H492</f>
        <v>0</v>
      </c>
      <c r="I492" s="56">
        <f t="shared" si="17"/>
        <v>0</v>
      </c>
      <c r="J492" s="53"/>
    </row>
    <row r="493" spans="1:10" x14ac:dyDescent="0.2">
      <c r="A493" s="72">
        <v>2</v>
      </c>
      <c r="B493" s="58">
        <v>7</v>
      </c>
      <c r="C493" s="58">
        <v>3</v>
      </c>
      <c r="D493" s="58">
        <v>1</v>
      </c>
      <c r="E493" s="77"/>
      <c r="F493" s="86" t="s">
        <v>383</v>
      </c>
      <c r="G493" s="59">
        <f>+'OCTUBRE '!G493+NOVIEMBRE!G493+'DICIEMBRE 2025'!G493</f>
        <v>0</v>
      </c>
      <c r="H493" s="59">
        <f>+'OCTUBRE '!H493+NOVIEMBRE!H493+'DICIEMBRE 2025'!H493</f>
        <v>0</v>
      </c>
      <c r="I493" s="59">
        <f t="shared" si="17"/>
        <v>0</v>
      </c>
      <c r="J493" s="60"/>
    </row>
    <row r="494" spans="1:10" x14ac:dyDescent="0.2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69" t="s">
        <v>383</v>
      </c>
      <c r="G494" s="64">
        <f>+'OCTUBRE '!G494+NOVIEMBRE!G494+'DICIEMBRE 2025'!G494</f>
        <v>0</v>
      </c>
      <c r="H494" s="64">
        <f>+'OCTUBRE '!H494+NOVIEMBRE!H494+'DICIEMBRE 2025'!H494</f>
        <v>0</v>
      </c>
      <c r="I494" s="64">
        <f t="shared" si="17"/>
        <v>0</v>
      </c>
      <c r="J494" s="65">
        <f>I494/$I$25</f>
        <v>0</v>
      </c>
    </row>
    <row r="495" spans="1:10" x14ac:dyDescent="0.2">
      <c r="A495" s="72">
        <v>2</v>
      </c>
      <c r="B495" s="58">
        <v>7</v>
      </c>
      <c r="C495" s="58">
        <v>3</v>
      </c>
      <c r="D495" s="58">
        <v>2</v>
      </c>
      <c r="E495" s="77"/>
      <c r="F495" s="86" t="s">
        <v>384</v>
      </c>
      <c r="G495" s="59">
        <f>+'OCTUBRE '!G495+NOVIEMBRE!G495+'DICIEMBRE 2025'!G495</f>
        <v>0</v>
      </c>
      <c r="H495" s="59">
        <f>+'OCTUBRE '!H495+NOVIEMBRE!H495+'DICIEMBRE 2025'!H495</f>
        <v>0</v>
      </c>
      <c r="I495" s="59">
        <f t="shared" si="17"/>
        <v>0</v>
      </c>
      <c r="J495" s="60"/>
    </row>
    <row r="496" spans="1:10" x14ac:dyDescent="0.2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69" t="s">
        <v>384</v>
      </c>
      <c r="G496" s="64">
        <f>+'OCTUBRE '!G496+NOVIEMBRE!G496+'DICIEMBRE 2025'!G496</f>
        <v>0</v>
      </c>
      <c r="H496" s="64">
        <f>+'OCTUBRE '!H496+NOVIEMBRE!H496+'DICIEMBRE 2025'!H496</f>
        <v>0</v>
      </c>
      <c r="I496" s="64">
        <f t="shared" si="17"/>
        <v>0</v>
      </c>
      <c r="J496" s="65">
        <f>I496/$I$25</f>
        <v>0</v>
      </c>
    </row>
    <row r="497" spans="1:10" ht="25.5" x14ac:dyDescent="0.2">
      <c r="A497" s="70">
        <v>2</v>
      </c>
      <c r="B497" s="55">
        <v>7</v>
      </c>
      <c r="C497" s="55">
        <v>4</v>
      </c>
      <c r="D497" s="55"/>
      <c r="E497" s="55"/>
      <c r="F497" s="85" t="s">
        <v>385</v>
      </c>
      <c r="G497" s="56">
        <f>+'OCTUBRE '!G497+NOVIEMBRE!G497+'DICIEMBRE 2025'!G497</f>
        <v>0</v>
      </c>
      <c r="H497" s="56">
        <f>+'OCTUBRE '!H497+NOVIEMBRE!H497+'DICIEMBRE 2025'!H497</f>
        <v>0</v>
      </c>
      <c r="I497" s="56">
        <f t="shared" si="17"/>
        <v>0</v>
      </c>
      <c r="J497" s="53"/>
    </row>
    <row r="498" spans="1:10" x14ac:dyDescent="0.2">
      <c r="A498" s="72">
        <v>2</v>
      </c>
      <c r="B498" s="58">
        <v>7</v>
      </c>
      <c r="C498" s="58">
        <v>4</v>
      </c>
      <c r="D498" s="58">
        <v>1</v>
      </c>
      <c r="E498" s="77"/>
      <c r="F498" s="86" t="s">
        <v>386</v>
      </c>
      <c r="G498" s="59">
        <f>+'OCTUBRE '!G498+NOVIEMBRE!G498+'DICIEMBRE 2025'!G498</f>
        <v>0</v>
      </c>
      <c r="H498" s="59">
        <f>+'OCTUBRE '!H498+NOVIEMBRE!H498+'DICIEMBRE 2025'!H498</f>
        <v>0</v>
      </c>
      <c r="I498" s="59">
        <f t="shared" si="17"/>
        <v>0</v>
      </c>
      <c r="J498" s="60"/>
    </row>
    <row r="499" spans="1:10" x14ac:dyDescent="0.2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69" t="s">
        <v>386</v>
      </c>
      <c r="G499" s="64">
        <f>+'OCTUBRE '!G499+NOVIEMBRE!G499+'DICIEMBRE 2025'!G499</f>
        <v>0</v>
      </c>
      <c r="H499" s="64">
        <f>+'OCTUBRE '!H499+NOVIEMBRE!H499+'DICIEMBRE 2025'!H499</f>
        <v>0</v>
      </c>
      <c r="I499" s="64">
        <f t="shared" si="17"/>
        <v>0</v>
      </c>
      <c r="J499" s="65">
        <f>I499/$I$25</f>
        <v>0</v>
      </c>
    </row>
    <row r="500" spans="1:10" ht="25.5" x14ac:dyDescent="0.2">
      <c r="A500" s="57">
        <v>2</v>
      </c>
      <c r="B500" s="58">
        <v>7</v>
      </c>
      <c r="C500" s="58">
        <v>4</v>
      </c>
      <c r="D500" s="58">
        <v>2</v>
      </c>
      <c r="E500" s="77"/>
      <c r="F500" s="86" t="s">
        <v>387</v>
      </c>
      <c r="G500" s="59">
        <f>+'OCTUBRE '!G500+NOVIEMBRE!G500+'DICIEMBRE 2025'!G500</f>
        <v>0</v>
      </c>
      <c r="H500" s="59">
        <f>+'OCTUBRE '!H500+NOVIEMBRE!H500+'DICIEMBRE 2025'!H500</f>
        <v>0</v>
      </c>
      <c r="I500" s="59">
        <f t="shared" si="17"/>
        <v>0</v>
      </c>
      <c r="J500" s="60"/>
    </row>
    <row r="501" spans="1:10" ht="25.5" x14ac:dyDescent="0.2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69" t="s">
        <v>387</v>
      </c>
      <c r="G501" s="64">
        <f>+'OCTUBRE '!G501+NOVIEMBRE!G501+'DICIEMBRE 2025'!G501</f>
        <v>0</v>
      </c>
      <c r="H501" s="64">
        <f>+'OCTUBRE '!H501+NOVIEMBRE!H501+'DICIEMBRE 2025'!H501</f>
        <v>0</v>
      </c>
      <c r="I501" s="64">
        <f t="shared" si="17"/>
        <v>0</v>
      </c>
      <c r="J501" s="65">
        <f>I501/$I$25</f>
        <v>0</v>
      </c>
    </row>
    <row r="502" spans="1:10" ht="15" x14ac:dyDescent="0.25">
      <c r="A502" s="93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5" x14ac:dyDescent="0.25">
      <c r="A503" s="93"/>
      <c r="B503" s="93"/>
      <c r="C503" s="93"/>
      <c r="D503" s="93"/>
      <c r="E503" s="93"/>
      <c r="F503" s="93"/>
      <c r="G503" s="93"/>
      <c r="H503" s="93"/>
      <c r="I503" s="93"/>
      <c r="J503" s="93"/>
    </row>
    <row r="504" spans="1:10" ht="15" x14ac:dyDescent="0.25">
      <c r="A504" s="93"/>
      <c r="B504" s="93"/>
      <c r="C504" s="93"/>
      <c r="D504" s="93"/>
      <c r="E504" s="93"/>
      <c r="F504" s="93"/>
      <c r="G504" s="93"/>
      <c r="H504" s="93"/>
      <c r="I504" s="93"/>
      <c r="J504" s="93"/>
    </row>
    <row r="505" spans="1:10" ht="15" x14ac:dyDescent="0.25">
      <c r="A505" s="93"/>
      <c r="B505" s="93"/>
      <c r="C505" s="93"/>
      <c r="D505" s="93"/>
      <c r="E505" s="93"/>
      <c r="F505" s="93"/>
      <c r="G505" s="93"/>
      <c r="H505" s="93"/>
      <c r="I505" s="93"/>
      <c r="J505" s="93"/>
    </row>
    <row r="506" spans="1:10" ht="15" x14ac:dyDescent="0.25">
      <c r="A506" s="93"/>
      <c r="B506" s="93"/>
      <c r="C506" s="93"/>
      <c r="D506" s="93"/>
      <c r="E506" s="93"/>
      <c r="F506" s="93"/>
      <c r="G506" s="93"/>
      <c r="H506" s="93"/>
      <c r="I506" s="93"/>
      <c r="J506" s="93"/>
    </row>
    <row r="507" spans="1:10" ht="15" x14ac:dyDescent="0.25">
      <c r="A507" s="93"/>
      <c r="B507" s="93"/>
      <c r="C507" s="93"/>
      <c r="D507" s="93"/>
      <c r="E507" s="93"/>
      <c r="F507" s="93"/>
      <c r="G507" s="93"/>
      <c r="H507" s="93"/>
      <c r="I507" s="93"/>
      <c r="J507" s="93"/>
    </row>
    <row r="508" spans="1:10" ht="15" x14ac:dyDescent="0.25">
      <c r="A508" s="93"/>
      <c r="B508" s="93"/>
      <c r="C508" s="93"/>
      <c r="D508" s="93"/>
      <c r="E508" s="93"/>
      <c r="F508" s="93"/>
      <c r="G508" s="93"/>
      <c r="H508" s="93"/>
      <c r="I508" s="93"/>
      <c r="J508" s="93"/>
    </row>
    <row r="509" spans="1:10" ht="15" x14ac:dyDescent="0.25">
      <c r="A509" s="93"/>
      <c r="B509" s="93"/>
      <c r="C509" s="93"/>
      <c r="D509" s="93"/>
      <c r="E509" s="93"/>
      <c r="F509" s="93"/>
      <c r="G509" s="93"/>
      <c r="H509" s="93"/>
      <c r="I509" s="93"/>
      <c r="J509" s="93"/>
    </row>
    <row r="510" spans="1:10" ht="15" x14ac:dyDescent="0.25">
      <c r="A510" s="93"/>
      <c r="B510" s="93"/>
      <c r="C510" s="93"/>
      <c r="D510" s="93"/>
      <c r="E510" s="93"/>
      <c r="F510" s="93"/>
      <c r="G510" s="93"/>
      <c r="H510" s="93"/>
      <c r="I510" s="93"/>
      <c r="J510" s="93"/>
    </row>
    <row r="511" spans="1:10" ht="15" x14ac:dyDescent="0.25">
      <c r="A511" s="93"/>
      <c r="B511" s="93"/>
      <c r="C511" s="93"/>
      <c r="D511" s="93"/>
      <c r="E511" s="93"/>
      <c r="F511" s="93"/>
      <c r="G511" s="93"/>
      <c r="H511" s="93"/>
      <c r="I511" s="93"/>
      <c r="J511" s="93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D919-0F57-4ED5-BE25-798F6FA39428}">
  <dimension ref="A1:K501"/>
  <sheetViews>
    <sheetView topLeftCell="A7" workbookViewId="0">
      <selection sqref="A1:K501"/>
    </sheetView>
  </sheetViews>
  <sheetFormatPr baseColWidth="10" defaultRowHeight="15" x14ac:dyDescent="0.25"/>
  <cols>
    <col min="7" max="7" width="13.7109375" bestFit="1" customWidth="1"/>
    <col min="8" max="8" width="18.28515625" customWidth="1"/>
    <col min="10" max="10" width="13.7109375" bestFit="1" customWidth="1"/>
  </cols>
  <sheetData>
    <row r="1" spans="1:11" x14ac:dyDescent="0.2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3"/>
      <c r="K1" s="134"/>
    </row>
    <row r="2" spans="1:11" ht="23.25" x14ac:dyDescent="0.35">
      <c r="A2" s="222"/>
      <c r="B2" s="223"/>
      <c r="C2" s="223"/>
      <c r="D2" s="223"/>
      <c r="E2" s="223"/>
      <c r="F2" s="223"/>
      <c r="G2" s="223"/>
      <c r="H2" s="223"/>
      <c r="I2" s="223"/>
      <c r="J2" s="135"/>
      <c r="K2" s="136"/>
    </row>
    <row r="3" spans="1:11" ht="26.25" x14ac:dyDescent="0.4">
      <c r="A3" s="224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6"/>
    </row>
    <row r="4" spans="1:11" ht="18.75" x14ac:dyDescent="0.3">
      <c r="A4" s="227" t="s">
        <v>2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</row>
    <row r="5" spans="1:11" x14ac:dyDescent="0.25">
      <c r="A5" s="230" t="s">
        <v>3</v>
      </c>
      <c r="B5" s="231"/>
      <c r="C5" s="231"/>
      <c r="D5" s="231"/>
      <c r="E5" s="231"/>
      <c r="F5" s="231"/>
      <c r="G5" s="231"/>
      <c r="H5" s="231"/>
      <c r="I5" s="231"/>
      <c r="J5" s="231"/>
      <c r="K5" s="232"/>
    </row>
    <row r="6" spans="1:11" ht="15.75" x14ac:dyDescent="0.25">
      <c r="A6" s="233" t="s">
        <v>4</v>
      </c>
      <c r="B6" s="234"/>
      <c r="C6" s="234"/>
      <c r="D6" s="234"/>
      <c r="E6" s="234"/>
      <c r="F6" s="234"/>
      <c r="G6" s="234"/>
      <c r="H6" s="234"/>
      <c r="I6" s="234"/>
      <c r="J6" s="234"/>
      <c r="K6" s="235"/>
    </row>
    <row r="7" spans="1:11" ht="15.75" x14ac:dyDescent="0.25">
      <c r="A7" s="219" t="s">
        <v>392</v>
      </c>
      <c r="B7" s="220"/>
      <c r="C7" s="220"/>
      <c r="D7" s="220"/>
      <c r="E7" s="220"/>
      <c r="F7" s="220"/>
      <c r="G7" s="220"/>
      <c r="H7" s="220"/>
      <c r="I7" s="220"/>
      <c r="J7" s="220"/>
      <c r="K7" s="221"/>
    </row>
    <row r="8" spans="1:11" ht="15.75" x14ac:dyDescent="0.25">
      <c r="A8" s="137"/>
      <c r="B8" s="138"/>
      <c r="C8" s="138" t="s">
        <v>6</v>
      </c>
      <c r="D8" s="138"/>
      <c r="E8" s="138"/>
      <c r="F8" s="138"/>
      <c r="G8" s="138"/>
      <c r="H8" s="138"/>
      <c r="I8" s="138"/>
      <c r="J8" s="138"/>
      <c r="K8" s="139"/>
    </row>
    <row r="9" spans="1:11" ht="15.75" x14ac:dyDescent="0.25">
      <c r="A9" s="140"/>
      <c r="B9" s="141"/>
      <c r="C9" s="141"/>
      <c r="D9" s="141"/>
      <c r="E9" s="142" t="s">
        <v>7</v>
      </c>
      <c r="F9" s="143"/>
      <c r="G9" s="144"/>
      <c r="H9" s="144"/>
      <c r="I9" s="144"/>
      <c r="J9" s="144"/>
      <c r="K9" s="145"/>
    </row>
    <row r="10" spans="1:11" ht="15.75" x14ac:dyDescent="0.25">
      <c r="A10" s="140"/>
      <c r="B10" s="141"/>
      <c r="C10" s="141"/>
      <c r="D10" s="141"/>
      <c r="E10" s="146" t="s">
        <v>8</v>
      </c>
      <c r="F10" s="143"/>
      <c r="G10" s="147">
        <v>0</v>
      </c>
      <c r="H10" s="148" t="s">
        <v>9</v>
      </c>
      <c r="I10" s="148"/>
      <c r="J10" s="147"/>
      <c r="K10" s="145"/>
    </row>
    <row r="11" spans="1:11" ht="15.75" x14ac:dyDescent="0.25">
      <c r="A11" s="140"/>
      <c r="B11" s="141"/>
      <c r="C11" s="141"/>
      <c r="D11" s="141"/>
      <c r="E11" s="146" t="s">
        <v>11</v>
      </c>
      <c r="F11" s="143"/>
      <c r="G11" s="147">
        <v>0</v>
      </c>
      <c r="H11" s="149"/>
      <c r="I11" s="148"/>
      <c r="J11" s="150"/>
      <c r="K11" s="145"/>
    </row>
    <row r="12" spans="1:11" ht="15.75" x14ac:dyDescent="0.25">
      <c r="A12" s="140"/>
      <c r="B12" s="141"/>
      <c r="C12" s="141"/>
      <c r="D12" s="141"/>
      <c r="E12" s="146" t="s">
        <v>12</v>
      </c>
      <c r="F12" s="143"/>
      <c r="G12" s="151"/>
      <c r="H12" s="152"/>
      <c r="I12" s="152"/>
      <c r="J12" s="150"/>
      <c r="K12" s="145"/>
    </row>
    <row r="13" spans="1:11" ht="15.75" x14ac:dyDescent="0.25">
      <c r="A13" s="140"/>
      <c r="B13" s="141"/>
      <c r="C13" s="141"/>
      <c r="D13" s="141"/>
      <c r="E13" s="153" t="s">
        <v>13</v>
      </c>
      <c r="F13" s="143"/>
      <c r="G13" s="150"/>
      <c r="H13" s="150"/>
      <c r="I13" s="150"/>
      <c r="J13" s="150"/>
      <c r="K13" s="145"/>
    </row>
    <row r="14" spans="1:11" ht="15.75" x14ac:dyDescent="0.25">
      <c r="A14" s="140"/>
      <c r="B14" s="141"/>
      <c r="C14" s="141"/>
      <c r="D14" s="141"/>
      <c r="E14" s="146" t="s">
        <v>8</v>
      </c>
      <c r="F14" s="143"/>
      <c r="G14" s="147"/>
      <c r="H14" s="148" t="s">
        <v>9</v>
      </c>
      <c r="I14" s="148"/>
      <c r="J14" s="147"/>
      <c r="K14" s="145"/>
    </row>
    <row r="15" spans="1:11" ht="15.75" x14ac:dyDescent="0.25">
      <c r="A15" s="140"/>
      <c r="B15" s="141"/>
      <c r="C15" s="141"/>
      <c r="D15" s="141"/>
      <c r="E15" s="146" t="s">
        <v>11</v>
      </c>
      <c r="F15" s="143"/>
      <c r="G15" s="151"/>
      <c r="H15" s="152" t="s">
        <v>17</v>
      </c>
      <c r="I15" s="152"/>
      <c r="J15" s="147"/>
      <c r="K15" s="154"/>
    </row>
    <row r="16" spans="1:11" ht="15.75" x14ac:dyDescent="0.25">
      <c r="A16" s="140"/>
      <c r="B16" s="141"/>
      <c r="C16" s="141"/>
      <c r="D16" s="141"/>
      <c r="E16" s="146" t="s">
        <v>12</v>
      </c>
      <c r="F16" s="143"/>
      <c r="G16" s="151"/>
      <c r="H16" s="152"/>
      <c r="I16" s="152"/>
      <c r="J16" s="150"/>
      <c r="K16" s="145"/>
    </row>
    <row r="17" spans="1:11" ht="15.75" x14ac:dyDescent="0.25">
      <c r="A17" s="140"/>
      <c r="B17" s="141"/>
      <c r="C17" s="141"/>
      <c r="D17" s="141"/>
      <c r="E17" s="146"/>
      <c r="F17" s="143"/>
      <c r="G17" s="155"/>
      <c r="H17" s="29" t="s">
        <v>18</v>
      </c>
      <c r="I17" s="156"/>
      <c r="J17" s="147">
        <f>+G10+G11+G12+J10+G14+G15+G16+J14+J15</f>
        <v>0</v>
      </c>
      <c r="K17" s="145"/>
    </row>
    <row r="18" spans="1:11" ht="15.75" x14ac:dyDescent="0.25">
      <c r="A18" s="140"/>
      <c r="B18" s="141"/>
      <c r="C18" s="141"/>
      <c r="D18" s="141"/>
      <c r="E18" s="157"/>
      <c r="F18" s="158"/>
      <c r="G18" s="159"/>
      <c r="H18" s="159"/>
      <c r="I18" s="143"/>
      <c r="J18" s="143"/>
      <c r="K18" s="145"/>
    </row>
    <row r="19" spans="1:11" ht="15.75" x14ac:dyDescent="0.25">
      <c r="A19" s="160"/>
      <c r="B19" s="161"/>
      <c r="C19" s="162"/>
      <c r="D19" s="161"/>
      <c r="E19" s="163"/>
      <c r="F19" s="164"/>
      <c r="G19" s="164"/>
      <c r="H19" s="164"/>
      <c r="I19" s="165"/>
      <c r="J19" s="165"/>
      <c r="K19" s="166"/>
    </row>
    <row r="20" spans="1:11" x14ac:dyDescent="0.25">
      <c r="A20" s="167"/>
      <c r="B20" s="143"/>
      <c r="C20" s="143"/>
      <c r="D20" s="143"/>
      <c r="E20" s="143"/>
      <c r="F20" s="143"/>
      <c r="G20" s="143"/>
      <c r="H20" s="143"/>
      <c r="I20" s="143"/>
      <c r="J20" s="143"/>
      <c r="K20" s="145"/>
    </row>
    <row r="21" spans="1:11" x14ac:dyDescent="0.25">
      <c r="A21" s="209">
        <v>1</v>
      </c>
      <c r="B21" s="209"/>
      <c r="C21" s="209"/>
      <c r="D21" s="209"/>
      <c r="E21" s="209"/>
      <c r="F21" s="130">
        <v>2</v>
      </c>
      <c r="G21" s="210">
        <v>3</v>
      </c>
      <c r="H21" s="211"/>
      <c r="I21" s="211"/>
      <c r="J21" s="42">
        <v>4</v>
      </c>
      <c r="K21" s="42">
        <v>5</v>
      </c>
    </row>
    <row r="22" spans="1:11" x14ac:dyDescent="0.25">
      <c r="A22" s="236" t="s">
        <v>19</v>
      </c>
      <c r="B22" s="236"/>
      <c r="C22" s="236"/>
      <c r="D22" s="236"/>
      <c r="E22" s="236"/>
      <c r="F22" s="237" t="s">
        <v>20</v>
      </c>
      <c r="G22" s="240" t="s">
        <v>21</v>
      </c>
      <c r="H22" s="241"/>
      <c r="I22" s="242"/>
      <c r="J22" s="201" t="s">
        <v>22</v>
      </c>
      <c r="K22" s="204" t="s">
        <v>23</v>
      </c>
    </row>
    <row r="23" spans="1:11" x14ac:dyDescent="0.25">
      <c r="A23" s="207" t="s">
        <v>24</v>
      </c>
      <c r="B23" s="207" t="s">
        <v>25</v>
      </c>
      <c r="C23" s="207" t="s">
        <v>26</v>
      </c>
      <c r="D23" s="207" t="s">
        <v>27</v>
      </c>
      <c r="E23" s="207" t="s">
        <v>28</v>
      </c>
      <c r="F23" s="238"/>
      <c r="G23" s="243" t="s">
        <v>29</v>
      </c>
      <c r="H23" s="245" t="s">
        <v>30</v>
      </c>
      <c r="I23" s="245" t="s">
        <v>17</v>
      </c>
      <c r="J23" s="202"/>
      <c r="K23" s="205"/>
    </row>
    <row r="24" spans="1:11" x14ac:dyDescent="0.25">
      <c r="A24" s="208"/>
      <c r="B24" s="208"/>
      <c r="C24" s="208"/>
      <c r="D24" s="208"/>
      <c r="E24" s="208"/>
      <c r="F24" s="239"/>
      <c r="G24" s="244"/>
      <c r="H24" s="246"/>
      <c r="I24" s="246"/>
      <c r="J24" s="203"/>
      <c r="K24" s="206"/>
    </row>
    <row r="25" spans="1:11" ht="15.75" thickBot="1" x14ac:dyDescent="0.3">
      <c r="A25" s="44">
        <v>2</v>
      </c>
      <c r="B25" s="45"/>
      <c r="C25" s="45"/>
      <c r="D25" s="45"/>
      <c r="E25" s="45"/>
      <c r="F25" s="46" t="s">
        <v>31</v>
      </c>
      <c r="G25" s="47">
        <f>+G26+G87+G212+G330+G336+G463</f>
        <v>544712241.54999995</v>
      </c>
      <c r="H25" s="47">
        <f>+'[5]junio 2025'!H25+'[5]mayo 2025'!H25+[5]abril!H25+[5]marzo!H25+[5]febrero!H25+'[5]enero '!H25</f>
        <v>46624959.5</v>
      </c>
      <c r="I25" s="47">
        <f>+I26+I87+I212+I330+I336+I463</f>
        <v>0</v>
      </c>
      <c r="J25" s="47">
        <f>SUM(G25:I25)</f>
        <v>591337201.04999995</v>
      </c>
      <c r="K25" s="48">
        <f>+K26+K87+K212+K330+K336+K463</f>
        <v>1</v>
      </c>
    </row>
    <row r="26" spans="1:11" ht="15.75" thickTop="1" x14ac:dyDescent="0.25">
      <c r="A26" s="49">
        <v>2</v>
      </c>
      <c r="B26" s="50">
        <v>1</v>
      </c>
      <c r="C26" s="50"/>
      <c r="D26" s="50"/>
      <c r="E26" s="50"/>
      <c r="F26" s="51" t="s">
        <v>32</v>
      </c>
      <c r="G26" s="52">
        <f>+G27+G51+G64+G71+G78</f>
        <v>398331057.49000001</v>
      </c>
      <c r="H26" s="52">
        <f>+'[5]junio 2025'!H26+'[5]mayo 2025'!H26+[5]abril!H26+[5]marzo!H26+[5]febrero!H26+'[5]enero '!H26</f>
        <v>5231553.59</v>
      </c>
      <c r="I26" s="52">
        <f>+I27+I51+I64+I71+I78</f>
        <v>0</v>
      </c>
      <c r="J26" s="52">
        <f t="shared" ref="J26:J87" si="0">SUM(G26:I26)</f>
        <v>403562611.07999998</v>
      </c>
      <c r="K26" s="53">
        <f t="shared" ref="K26:K34" si="1">J26/$J$25</f>
        <v>0.6824576745102785</v>
      </c>
    </row>
    <row r="27" spans="1:11" x14ac:dyDescent="0.25">
      <c r="A27" s="54">
        <v>2</v>
      </c>
      <c r="B27" s="55">
        <v>1</v>
      </c>
      <c r="C27" s="55">
        <v>1</v>
      </c>
      <c r="D27" s="55"/>
      <c r="E27" s="55"/>
      <c r="F27" s="54" t="s">
        <v>33</v>
      </c>
      <c r="G27" s="56">
        <f>+G28+G35+G42+G44+G46</f>
        <v>328029985.28000003</v>
      </c>
      <c r="H27" s="56">
        <f>+'[5]junio 2025'!H27+'[5]mayo 2025'!H27+[5]abril!H27+[5]marzo!H27+[5]febrero!H27+'[5]enero '!H27</f>
        <v>0</v>
      </c>
      <c r="I27" s="56">
        <f>+I28+I35+I42+I44+I46</f>
        <v>0</v>
      </c>
      <c r="J27" s="56">
        <f t="shared" si="0"/>
        <v>328029985.28000003</v>
      </c>
      <c r="K27" s="53">
        <f t="shared" si="1"/>
        <v>0.5547257718566293</v>
      </c>
    </row>
    <row r="28" spans="1:11" x14ac:dyDescent="0.25">
      <c r="A28" s="57">
        <v>2</v>
      </c>
      <c r="B28" s="58">
        <v>1</v>
      </c>
      <c r="C28" s="58">
        <v>1</v>
      </c>
      <c r="D28" s="58">
        <v>1</v>
      </c>
      <c r="E28" s="58"/>
      <c r="F28" s="57" t="s">
        <v>34</v>
      </c>
      <c r="G28" s="59">
        <f>SUM(G29:G34)</f>
        <v>319507465.36000001</v>
      </c>
      <c r="H28" s="59">
        <f>+'[5]junio 2025'!H28+'[5]mayo 2025'!H28+[5]abril!H28+[5]marzo!H28+[5]febrero!H28+'[5]enero '!H28</f>
        <v>0</v>
      </c>
      <c r="I28" s="59">
        <f>SUM(I29:I34)</f>
        <v>0</v>
      </c>
      <c r="J28" s="59">
        <f>SUM(G28:I28)</f>
        <v>319507465.36000001</v>
      </c>
      <c r="K28" s="116">
        <f t="shared" si="1"/>
        <v>0.54031348745296404</v>
      </c>
    </row>
    <row r="29" spans="1:11" x14ac:dyDescent="0.25">
      <c r="A29" s="61">
        <v>2</v>
      </c>
      <c r="B29" s="62">
        <v>1</v>
      </c>
      <c r="C29" s="62">
        <v>1</v>
      </c>
      <c r="D29" s="62">
        <v>1</v>
      </c>
      <c r="E29" s="63" t="s">
        <v>35</v>
      </c>
      <c r="F29" s="61" t="s">
        <v>36</v>
      </c>
      <c r="G29" s="64">
        <v>319507465.36000001</v>
      </c>
      <c r="H29" s="64">
        <f>+'[5]junio 2025'!H29+'[5]mayo 2025'!H29+[5]abril!H29+[5]marzo!H29+[5]febrero!H29+'[5]enero '!H29</f>
        <v>0</v>
      </c>
      <c r="I29" s="64">
        <f>'[6]CUENTA T NOMINA SNS'!A58</f>
        <v>0</v>
      </c>
      <c r="J29" s="64">
        <f t="shared" si="0"/>
        <v>319507465.36000001</v>
      </c>
      <c r="K29" s="168">
        <f t="shared" si="1"/>
        <v>0.54031348745296404</v>
      </c>
    </row>
    <row r="30" spans="1:11" x14ac:dyDescent="0.25">
      <c r="A30" s="61">
        <v>2</v>
      </c>
      <c r="B30" s="62">
        <v>1</v>
      </c>
      <c r="C30" s="62">
        <v>1</v>
      </c>
      <c r="D30" s="62">
        <v>1</v>
      </c>
      <c r="E30" s="63" t="s">
        <v>37</v>
      </c>
      <c r="F30" s="61" t="s">
        <v>38</v>
      </c>
      <c r="G30" s="64">
        <f>'[6]CUENTA T FONDO 100'!B288</f>
        <v>0</v>
      </c>
      <c r="H30" s="64">
        <f>+'[5]junio 2025'!H30+'[5]mayo 2025'!H30+[5]abril!H30+[5]marzo!H30+[5]febrero!H30+'[5]enero '!H30</f>
        <v>0</v>
      </c>
      <c r="I30" s="64">
        <f>'[6]CUENTA T NOMINA SNS'!B58</f>
        <v>0</v>
      </c>
      <c r="J30" s="64">
        <f t="shared" si="0"/>
        <v>0</v>
      </c>
      <c r="K30" s="168">
        <f t="shared" si="1"/>
        <v>0</v>
      </c>
    </row>
    <row r="31" spans="1:11" x14ac:dyDescent="0.25">
      <c r="A31" s="61">
        <v>2</v>
      </c>
      <c r="B31" s="62">
        <v>1</v>
      </c>
      <c r="C31" s="62">
        <v>1</v>
      </c>
      <c r="D31" s="62">
        <v>1</v>
      </c>
      <c r="E31" s="63" t="s">
        <v>39</v>
      </c>
      <c r="F31" s="61" t="s">
        <v>40</v>
      </c>
      <c r="G31" s="64">
        <f>'[6]CUENTA T FONDO 100'!C288</f>
        <v>0</v>
      </c>
      <c r="H31" s="64">
        <f>+'[5]junio 2025'!H31+'[5]mayo 2025'!H31+[5]abril!H31+[5]marzo!H31+[5]febrero!H31+'[5]enero '!H31</f>
        <v>0</v>
      </c>
      <c r="I31" s="64">
        <f>'[6]CUENTA T NOMINA SNS'!C58</f>
        <v>0</v>
      </c>
      <c r="J31" s="64">
        <f t="shared" si="0"/>
        <v>0</v>
      </c>
      <c r="K31" s="168">
        <f t="shared" si="1"/>
        <v>0</v>
      </c>
    </row>
    <row r="32" spans="1:11" x14ac:dyDescent="0.25">
      <c r="A32" s="61">
        <v>2</v>
      </c>
      <c r="B32" s="62">
        <v>1</v>
      </c>
      <c r="C32" s="62">
        <v>1</v>
      </c>
      <c r="D32" s="62">
        <v>1</v>
      </c>
      <c r="E32" s="63" t="s">
        <v>41</v>
      </c>
      <c r="F32" s="61" t="s">
        <v>42</v>
      </c>
      <c r="G32" s="64">
        <f>'[6]CUENTA T FONDO 100'!D288</f>
        <v>0</v>
      </c>
      <c r="H32" s="64">
        <f>+'[5]junio 2025'!H32+'[5]mayo 2025'!H32+[5]abril!H32+[5]marzo!H32+[5]febrero!H32+'[5]enero '!H32</f>
        <v>0</v>
      </c>
      <c r="I32" s="64">
        <f>'[6]CUENTA T NOMINA SNS'!D58</f>
        <v>0</v>
      </c>
      <c r="J32" s="64">
        <f t="shared" si="0"/>
        <v>0</v>
      </c>
      <c r="K32" s="65">
        <f t="shared" si="1"/>
        <v>0</v>
      </c>
    </row>
    <row r="33" spans="1:11" x14ac:dyDescent="0.25">
      <c r="A33" s="61">
        <v>2</v>
      </c>
      <c r="B33" s="62">
        <v>1</v>
      </c>
      <c r="C33" s="62">
        <v>1</v>
      </c>
      <c r="D33" s="62">
        <v>1</v>
      </c>
      <c r="E33" s="63" t="s">
        <v>43</v>
      </c>
      <c r="F33" s="61" t="s">
        <v>44</v>
      </c>
      <c r="G33" s="64">
        <f>'[6]CUENTA T FONDO 100'!E288</f>
        <v>0</v>
      </c>
      <c r="H33" s="64">
        <f>+'[5]junio 2025'!H33+'[5]mayo 2025'!H33+[5]abril!H33+[5]marzo!H33+[5]febrero!H33+'[5]enero '!H33</f>
        <v>0</v>
      </c>
      <c r="I33" s="64">
        <f>'[6]CUENTA T NOMINA SNS'!E58</f>
        <v>0</v>
      </c>
      <c r="J33" s="64">
        <f t="shared" si="0"/>
        <v>0</v>
      </c>
      <c r="K33" s="65">
        <f t="shared" si="1"/>
        <v>0</v>
      </c>
    </row>
    <row r="34" spans="1:11" x14ac:dyDescent="0.25">
      <c r="A34" s="61">
        <v>2</v>
      </c>
      <c r="B34" s="62">
        <v>1</v>
      </c>
      <c r="C34" s="62">
        <v>1</v>
      </c>
      <c r="D34" s="62">
        <v>1</v>
      </c>
      <c r="E34" s="63" t="s">
        <v>45</v>
      </c>
      <c r="F34" s="61" t="s">
        <v>46</v>
      </c>
      <c r="G34" s="64">
        <f>'[6]CUENTA T FONDO 100'!F288</f>
        <v>0</v>
      </c>
      <c r="H34" s="64">
        <f>+'[5]junio 2025'!H34+'[5]mayo 2025'!H34+[5]abril!H34+[5]marzo!H34+[5]febrero!H34+'[5]enero '!H34</f>
        <v>0</v>
      </c>
      <c r="I34" s="64">
        <f>'[6]CUENTA T NOMINA SNS'!F58</f>
        <v>0</v>
      </c>
      <c r="J34" s="64">
        <f t="shared" si="0"/>
        <v>0</v>
      </c>
      <c r="K34" s="65">
        <f t="shared" si="1"/>
        <v>0</v>
      </c>
    </row>
    <row r="35" spans="1:11" x14ac:dyDescent="0.25">
      <c r="A35" s="57">
        <v>2</v>
      </c>
      <c r="B35" s="58">
        <v>1</v>
      </c>
      <c r="C35" s="58">
        <v>1</v>
      </c>
      <c r="D35" s="58">
        <v>2</v>
      </c>
      <c r="E35" s="58"/>
      <c r="F35" s="57" t="s">
        <v>47</v>
      </c>
      <c r="G35" s="59">
        <f>SUM(G36:G41)</f>
        <v>6546186.1799999997</v>
      </c>
      <c r="H35" s="59">
        <f>+'[5]junio 2025'!H35+'[5]mayo 2025'!H35+[5]abril!H35+[5]marzo!H35+[5]febrero!H35+'[5]enero '!H35</f>
        <v>0</v>
      </c>
      <c r="I35" s="59">
        <f>SUM(I36:I41)</f>
        <v>0</v>
      </c>
      <c r="J35" s="59">
        <f>SUM(G35:I35)</f>
        <v>6546186.1799999997</v>
      </c>
      <c r="K35" s="60"/>
    </row>
    <row r="36" spans="1:11" x14ac:dyDescent="0.25">
      <c r="A36" s="61">
        <v>2</v>
      </c>
      <c r="B36" s="62">
        <v>1</v>
      </c>
      <c r="C36" s="62">
        <v>1</v>
      </c>
      <c r="D36" s="62">
        <v>2</v>
      </c>
      <c r="E36" s="63" t="s">
        <v>39</v>
      </c>
      <c r="F36" s="61" t="s">
        <v>48</v>
      </c>
      <c r="G36" s="64">
        <f>'[6]CUENTA T FONDO 100'!G288</f>
        <v>0</v>
      </c>
      <c r="H36" s="64">
        <f>+'[5]junio 2025'!H36+'[5]mayo 2025'!H36+[5]abril!H36+[5]marzo!H36+[5]febrero!H36+'[5]enero '!H36</f>
        <v>0</v>
      </c>
      <c r="I36" s="64">
        <f>'[6]CUENTA T NOMINA SNS'!G58</f>
        <v>0</v>
      </c>
      <c r="J36" s="64">
        <f t="shared" si="0"/>
        <v>0</v>
      </c>
      <c r="K36" s="65">
        <f t="shared" ref="K36:K41" si="2">J36/$J$25</f>
        <v>0</v>
      </c>
    </row>
    <row r="37" spans="1:11" x14ac:dyDescent="0.25">
      <c r="A37" s="61">
        <v>2</v>
      </c>
      <c r="B37" s="62">
        <v>1</v>
      </c>
      <c r="C37" s="62">
        <v>1</v>
      </c>
      <c r="D37" s="62">
        <v>2</v>
      </c>
      <c r="E37" s="63" t="s">
        <v>43</v>
      </c>
      <c r="F37" s="61" t="s">
        <v>49</v>
      </c>
      <c r="G37" s="64">
        <f>'[6]CUENTA T FONDO 100'!H288</f>
        <v>0</v>
      </c>
      <c r="H37" s="64">
        <f>+'[5]junio 2025'!H37+'[5]mayo 2025'!H37+[5]abril!H37+[5]marzo!H37+[5]febrero!H37+'[5]enero '!H37</f>
        <v>0</v>
      </c>
      <c r="I37" s="64">
        <f>'[6]CUENTA T NOMINA SNS'!H58</f>
        <v>0</v>
      </c>
      <c r="J37" s="64">
        <f t="shared" si="0"/>
        <v>0</v>
      </c>
      <c r="K37" s="65">
        <f t="shared" si="2"/>
        <v>0</v>
      </c>
    </row>
    <row r="38" spans="1:11" x14ac:dyDescent="0.25">
      <c r="A38" s="61">
        <v>2</v>
      </c>
      <c r="B38" s="62">
        <v>1</v>
      </c>
      <c r="C38" s="62">
        <v>1</v>
      </c>
      <c r="D38" s="62">
        <v>2</v>
      </c>
      <c r="E38" s="63" t="s">
        <v>45</v>
      </c>
      <c r="F38" s="61" t="s">
        <v>50</v>
      </c>
      <c r="G38" s="64">
        <f>'[6]CUENTA T FONDO 100'!I288</f>
        <v>0</v>
      </c>
      <c r="H38" s="64">
        <f>+'[5]junio 2025'!H38+'[5]mayo 2025'!H38+[5]abril!H38+[5]marzo!H38+[5]febrero!H38+'[5]enero '!H38</f>
        <v>0</v>
      </c>
      <c r="I38" s="64">
        <f>'[6]CUENTA T NOMINA SNS'!I58</f>
        <v>0</v>
      </c>
      <c r="J38" s="64">
        <f t="shared" si="0"/>
        <v>0</v>
      </c>
      <c r="K38" s="65">
        <f t="shared" si="2"/>
        <v>0</v>
      </c>
    </row>
    <row r="39" spans="1:11" x14ac:dyDescent="0.25">
      <c r="A39" s="61">
        <v>2</v>
      </c>
      <c r="B39" s="62">
        <v>1</v>
      </c>
      <c r="C39" s="62">
        <v>1</v>
      </c>
      <c r="D39" s="62">
        <v>2</v>
      </c>
      <c r="E39" s="63" t="s">
        <v>51</v>
      </c>
      <c r="F39" s="61" t="s">
        <v>52</v>
      </c>
      <c r="G39" s="64">
        <v>6546186.1799999997</v>
      </c>
      <c r="H39" s="64">
        <f>+'[5]junio 2025'!H39+'[5]mayo 2025'!H39+[5]abril!H39+[5]marzo!H39+[5]febrero!H39+'[5]enero '!H39</f>
        <v>0</v>
      </c>
      <c r="I39" s="64">
        <f>'[6]CUENTA T NOMINA SNS'!J58</f>
        <v>0</v>
      </c>
      <c r="J39" s="64">
        <f t="shared" si="0"/>
        <v>6546186.1799999997</v>
      </c>
      <c r="K39" s="65">
        <f t="shared" si="2"/>
        <v>1.1070140976039309E-2</v>
      </c>
    </row>
    <row r="40" spans="1:11" x14ac:dyDescent="0.25">
      <c r="A40" s="61">
        <v>2</v>
      </c>
      <c r="B40" s="62">
        <v>1</v>
      </c>
      <c r="C40" s="62">
        <v>1</v>
      </c>
      <c r="D40" s="62">
        <v>2</v>
      </c>
      <c r="E40" s="63" t="s">
        <v>53</v>
      </c>
      <c r="F40" s="61" t="s">
        <v>54</v>
      </c>
      <c r="G40" s="64">
        <f>'[6]CUENTA T FONDO 100'!K288</f>
        <v>0</v>
      </c>
      <c r="H40" s="64">
        <f>+'[5]junio 2025'!H40+'[5]mayo 2025'!H40+[5]abril!H40+[5]marzo!H40+[5]febrero!H40+'[5]enero '!H40</f>
        <v>0</v>
      </c>
      <c r="I40" s="64">
        <f>'[6]CUENTA T NOMINA SNS'!K58</f>
        <v>0</v>
      </c>
      <c r="J40" s="64">
        <f t="shared" si="0"/>
        <v>0</v>
      </c>
      <c r="K40" s="65">
        <f t="shared" si="2"/>
        <v>0</v>
      </c>
    </row>
    <row r="41" spans="1:11" x14ac:dyDescent="0.25">
      <c r="A41" s="61">
        <v>2</v>
      </c>
      <c r="B41" s="62">
        <v>1</v>
      </c>
      <c r="C41" s="62">
        <v>1</v>
      </c>
      <c r="D41" s="62">
        <v>2</v>
      </c>
      <c r="E41" s="63" t="s">
        <v>55</v>
      </c>
      <c r="F41" s="61" t="s">
        <v>56</v>
      </c>
      <c r="G41" s="64">
        <f>'[6]CUENTA T FONDO 100'!L288</f>
        <v>0</v>
      </c>
      <c r="H41" s="64">
        <f>+'[5]junio 2025'!H41+'[5]mayo 2025'!H41+[5]abril!H41+[5]marzo!H41+[5]febrero!H41+'[5]enero '!H41</f>
        <v>0</v>
      </c>
      <c r="I41" s="64">
        <f>'[6]CUENTA T NOMINA SNS'!L58</f>
        <v>0</v>
      </c>
      <c r="J41" s="64">
        <f>SUM(G41:I41)</f>
        <v>0</v>
      </c>
      <c r="K41" s="65">
        <f t="shared" si="2"/>
        <v>0</v>
      </c>
    </row>
    <row r="42" spans="1:11" x14ac:dyDescent="0.25">
      <c r="A42" s="57">
        <v>2</v>
      </c>
      <c r="B42" s="58">
        <v>1</v>
      </c>
      <c r="C42" s="58">
        <v>1</v>
      </c>
      <c r="D42" s="58">
        <v>3</v>
      </c>
      <c r="E42" s="58"/>
      <c r="F42" s="57" t="s">
        <v>57</v>
      </c>
      <c r="G42" s="59">
        <f>SUM(G43)</f>
        <v>0</v>
      </c>
      <c r="H42" s="59">
        <f>+'[5]junio 2025'!H42+'[5]mayo 2025'!H42+[5]abril!H42+[5]marzo!H42+[5]febrero!H42+'[5]enero '!H42</f>
        <v>0</v>
      </c>
      <c r="I42" s="59">
        <f>SUM(I43)</f>
        <v>0</v>
      </c>
      <c r="J42" s="59">
        <f t="shared" si="0"/>
        <v>0</v>
      </c>
      <c r="K42" s="60"/>
    </row>
    <row r="43" spans="1:11" x14ac:dyDescent="0.25">
      <c r="A43" s="61">
        <v>2</v>
      </c>
      <c r="B43" s="62">
        <v>1</v>
      </c>
      <c r="C43" s="62">
        <v>1</v>
      </c>
      <c r="D43" s="62">
        <v>3</v>
      </c>
      <c r="E43" s="63" t="s">
        <v>35</v>
      </c>
      <c r="F43" s="61" t="s">
        <v>57</v>
      </c>
      <c r="G43" s="64">
        <f>'[6]CUENTA T FONDO 100'!M288</f>
        <v>0</v>
      </c>
      <c r="H43" s="64">
        <f>+'[5]junio 2025'!H43+'[5]mayo 2025'!H43+[5]abril!H43+[5]marzo!H43+[5]febrero!H43+'[5]enero '!H43</f>
        <v>0</v>
      </c>
      <c r="I43" s="64">
        <f>'[6]CUENTA T NOMINA SNS'!M58</f>
        <v>0</v>
      </c>
      <c r="J43" s="64">
        <f t="shared" si="0"/>
        <v>0</v>
      </c>
      <c r="K43" s="65">
        <f>J43/$J$25</f>
        <v>0</v>
      </c>
    </row>
    <row r="44" spans="1:11" x14ac:dyDescent="0.25">
      <c r="A44" s="57">
        <v>2</v>
      </c>
      <c r="B44" s="58">
        <v>1</v>
      </c>
      <c r="C44" s="58">
        <v>1</v>
      </c>
      <c r="D44" s="58">
        <v>4</v>
      </c>
      <c r="E44" s="58"/>
      <c r="F44" s="57" t="s">
        <v>58</v>
      </c>
      <c r="G44" s="59">
        <f>SUM(G45)</f>
        <v>0</v>
      </c>
      <c r="H44" s="59">
        <f>+'[5]junio 2025'!H44+'[5]mayo 2025'!H44+[5]abril!H44+[5]marzo!H44+[5]febrero!H44+'[5]enero '!H44</f>
        <v>0</v>
      </c>
      <c r="I44" s="59">
        <f>SUM(I45)</f>
        <v>0</v>
      </c>
      <c r="J44" s="59">
        <f t="shared" si="0"/>
        <v>0</v>
      </c>
      <c r="K44" s="60"/>
    </row>
    <row r="45" spans="1:11" x14ac:dyDescent="0.25">
      <c r="A45" s="61">
        <v>2</v>
      </c>
      <c r="B45" s="62">
        <v>1</v>
      </c>
      <c r="C45" s="62">
        <v>1</v>
      </c>
      <c r="D45" s="62">
        <v>4</v>
      </c>
      <c r="E45" s="63" t="s">
        <v>35</v>
      </c>
      <c r="F45" s="61" t="s">
        <v>58</v>
      </c>
      <c r="G45" s="64">
        <f>'[6]CUENTA T FONDO 100'!N288</f>
        <v>0</v>
      </c>
      <c r="H45" s="64">
        <f>+'[5]junio 2025'!H45+'[5]mayo 2025'!H45+[5]abril!H45+[5]marzo!H45+[5]febrero!H45+'[5]enero '!H45</f>
        <v>0</v>
      </c>
      <c r="I45" s="64">
        <f>'[6]CUENTA T NOMINA SNS'!N58</f>
        <v>0</v>
      </c>
      <c r="J45" s="64">
        <f t="shared" si="0"/>
        <v>0</v>
      </c>
      <c r="K45" s="65">
        <f>J45/$J$25</f>
        <v>0</v>
      </c>
    </row>
    <row r="46" spans="1:11" x14ac:dyDescent="0.25">
      <c r="A46" s="57">
        <v>2</v>
      </c>
      <c r="B46" s="58">
        <v>1</v>
      </c>
      <c r="C46" s="58">
        <v>1</v>
      </c>
      <c r="D46" s="58">
        <v>5</v>
      </c>
      <c r="E46" s="58"/>
      <c r="F46" s="57" t="s">
        <v>59</v>
      </c>
      <c r="G46" s="59">
        <f>SUM(G47:G50)</f>
        <v>1976333.7400000002</v>
      </c>
      <c r="H46" s="59">
        <f>+'[5]junio 2025'!H46+'[5]mayo 2025'!H46+[5]abril!H46+[5]marzo!H46+[5]febrero!H46+'[5]enero '!H46</f>
        <v>0</v>
      </c>
      <c r="I46" s="59">
        <f>SUM(I47:I50)</f>
        <v>0</v>
      </c>
      <c r="J46" s="59">
        <f t="shared" si="0"/>
        <v>1976333.7400000002</v>
      </c>
      <c r="K46" s="60"/>
    </row>
    <row r="47" spans="1:11" x14ac:dyDescent="0.25">
      <c r="A47" s="61">
        <v>2</v>
      </c>
      <c r="B47" s="62">
        <v>1</v>
      </c>
      <c r="C47" s="62">
        <v>1</v>
      </c>
      <c r="D47" s="62">
        <v>5</v>
      </c>
      <c r="E47" s="63" t="s">
        <v>35</v>
      </c>
      <c r="F47" s="61" t="s">
        <v>59</v>
      </c>
      <c r="G47" s="64">
        <f>'[6]CUENTA T FONDO 100'!O288</f>
        <v>0</v>
      </c>
      <c r="H47" s="64">
        <f>+'[5]junio 2025'!H47+'[5]mayo 2025'!H47+[5]abril!H47+[5]marzo!H47+[5]febrero!H47+'[5]enero '!H47</f>
        <v>0</v>
      </c>
      <c r="I47" s="64">
        <f>'[6]CUENTA T NOMINA SNS'!O58</f>
        <v>0</v>
      </c>
      <c r="J47" s="64">
        <f t="shared" si="0"/>
        <v>0</v>
      </c>
      <c r="K47" s="65">
        <f>J47/$J$25</f>
        <v>0</v>
      </c>
    </row>
    <row r="48" spans="1:11" x14ac:dyDescent="0.25">
      <c r="A48" s="61">
        <v>2</v>
      </c>
      <c r="B48" s="62">
        <v>1</v>
      </c>
      <c r="C48" s="62">
        <v>1</v>
      </c>
      <c r="D48" s="62">
        <v>5</v>
      </c>
      <c r="E48" s="63" t="s">
        <v>37</v>
      </c>
      <c r="F48" s="61" t="s">
        <v>60</v>
      </c>
      <c r="G48" s="64">
        <f>'[6]CUENTA T FONDO 100'!P288</f>
        <v>0</v>
      </c>
      <c r="H48" s="64">
        <f>+'[5]junio 2025'!H48+'[5]mayo 2025'!H48+[5]abril!H48+[5]marzo!H48+[5]febrero!H48+'[5]enero '!H48</f>
        <v>0</v>
      </c>
      <c r="I48" s="64">
        <f>'[6]CUENTA T NOMINA SNS'!P58</f>
        <v>0</v>
      </c>
      <c r="J48" s="64">
        <f t="shared" si="0"/>
        <v>0</v>
      </c>
      <c r="K48" s="65">
        <f>J48/$J$25</f>
        <v>0</v>
      </c>
    </row>
    <row r="49" spans="1:11" x14ac:dyDescent="0.25">
      <c r="A49" s="61">
        <v>2</v>
      </c>
      <c r="B49" s="62">
        <v>1</v>
      </c>
      <c r="C49" s="62">
        <v>1</v>
      </c>
      <c r="D49" s="62">
        <v>5</v>
      </c>
      <c r="E49" s="63" t="s">
        <v>39</v>
      </c>
      <c r="F49" s="61" t="s">
        <v>61</v>
      </c>
      <c r="G49" s="64">
        <v>1119133.33</v>
      </c>
      <c r="H49" s="64">
        <f>+'[5]junio 2025'!H49+'[5]mayo 2025'!H49+[5]abril!H49+[5]marzo!H49+[5]febrero!H49+'[5]enero '!H49</f>
        <v>0</v>
      </c>
      <c r="I49" s="64">
        <f>'[6]CUENTA T NOMINA SNS'!Q58</f>
        <v>0</v>
      </c>
      <c r="J49" s="64">
        <f t="shared" si="0"/>
        <v>1119133.33</v>
      </c>
      <c r="K49" s="65">
        <f>J49/$J$25</f>
        <v>1.8925468041124862E-3</v>
      </c>
    </row>
    <row r="50" spans="1:11" x14ac:dyDescent="0.25">
      <c r="A50" s="61">
        <v>2</v>
      </c>
      <c r="B50" s="62">
        <v>1</v>
      </c>
      <c r="C50" s="62">
        <v>1</v>
      </c>
      <c r="D50" s="62">
        <v>5</v>
      </c>
      <c r="E50" s="63" t="s">
        <v>41</v>
      </c>
      <c r="F50" s="61" t="s">
        <v>62</v>
      </c>
      <c r="G50" s="64">
        <v>857200.41</v>
      </c>
      <c r="H50" s="64">
        <f>+'[5]junio 2025'!H50+'[5]mayo 2025'!H50+[5]abril!H50+[5]marzo!H50+[5]febrero!H50+'[5]enero '!H50</f>
        <v>0</v>
      </c>
      <c r="I50" s="64">
        <f>'[6]CUENTA T NOMINA SNS'!R58</f>
        <v>0</v>
      </c>
      <c r="J50" s="64">
        <f t="shared" si="0"/>
        <v>857200.41</v>
      </c>
      <c r="K50" s="65">
        <f>J50/$J$25</f>
        <v>1.4495966235134939E-3</v>
      </c>
    </row>
    <row r="51" spans="1:11" x14ac:dyDescent="0.25">
      <c r="A51" s="54">
        <v>2</v>
      </c>
      <c r="B51" s="55">
        <v>1</v>
      </c>
      <c r="C51" s="55">
        <v>2</v>
      </c>
      <c r="D51" s="55"/>
      <c r="E51" s="55"/>
      <c r="F51" s="54" t="s">
        <v>63</v>
      </c>
      <c r="G51" s="56">
        <f>+G52+G54</f>
        <v>20130197.75</v>
      </c>
      <c r="H51" s="56">
        <f>+'[5]junio 2025'!H51+'[5]mayo 2025'!H51+[5]abril!H51+[5]marzo!H51+[5]febrero!H51+'[5]enero '!H51</f>
        <v>5231553.59</v>
      </c>
      <c r="I51" s="56">
        <f>+I52+I54</f>
        <v>0</v>
      </c>
      <c r="J51" s="56">
        <f t="shared" si="0"/>
        <v>25361751.34</v>
      </c>
      <c r="K51" s="53"/>
    </row>
    <row r="52" spans="1:11" x14ac:dyDescent="0.25">
      <c r="A52" s="57">
        <v>2</v>
      </c>
      <c r="B52" s="58">
        <v>1</v>
      </c>
      <c r="C52" s="58">
        <v>2</v>
      </c>
      <c r="D52" s="58">
        <v>1</v>
      </c>
      <c r="E52" s="58"/>
      <c r="F52" s="57" t="s">
        <v>64</v>
      </c>
      <c r="G52" s="59">
        <f>SUM(G53)</f>
        <v>16426618.460000001</v>
      </c>
      <c r="H52" s="59">
        <f>+'[5]junio 2025'!H52+'[5]mayo 2025'!H52+[5]abril!H52+[5]marzo!H52+[5]febrero!H52+'[5]enero '!H52</f>
        <v>0</v>
      </c>
      <c r="I52" s="59">
        <f>SUM(I53)</f>
        <v>0</v>
      </c>
      <c r="J52" s="59">
        <f t="shared" si="0"/>
        <v>16426618.460000001</v>
      </c>
      <c r="K52" s="60"/>
    </row>
    <row r="53" spans="1:11" x14ac:dyDescent="0.25">
      <c r="A53" s="61">
        <v>2</v>
      </c>
      <c r="B53" s="62">
        <v>1</v>
      </c>
      <c r="C53" s="62">
        <v>2</v>
      </c>
      <c r="D53" s="62">
        <v>1</v>
      </c>
      <c r="E53" s="63" t="s">
        <v>35</v>
      </c>
      <c r="F53" s="61" t="s">
        <v>64</v>
      </c>
      <c r="G53" s="64">
        <v>16426618.460000001</v>
      </c>
      <c r="H53" s="64">
        <f>+'[5]junio 2025'!H53+'[5]mayo 2025'!H53+[5]abril!H53+[5]marzo!H53+[5]febrero!H53+'[5]enero '!H53</f>
        <v>0</v>
      </c>
      <c r="I53" s="64">
        <f>'[6]CUENTA T NOMINA SNS'!S58</f>
        <v>0</v>
      </c>
      <c r="J53" s="64">
        <f t="shared" si="0"/>
        <v>16426618.460000001</v>
      </c>
      <c r="K53" s="65">
        <f>J53/$J$25</f>
        <v>2.7778767225928449E-2</v>
      </c>
    </row>
    <row r="54" spans="1:11" x14ac:dyDescent="0.25">
      <c r="A54" s="57">
        <v>2</v>
      </c>
      <c r="B54" s="58">
        <v>1</v>
      </c>
      <c r="C54" s="58">
        <v>2</v>
      </c>
      <c r="D54" s="58">
        <v>2</v>
      </c>
      <c r="E54" s="58"/>
      <c r="F54" s="57" t="s">
        <v>65</v>
      </c>
      <c r="G54" s="59">
        <f>SUM(G55:G63)</f>
        <v>3703579.29</v>
      </c>
      <c r="H54" s="59">
        <f>+'[5]junio 2025'!H54+'[5]mayo 2025'!H54+[5]abril!H54+[5]marzo!H54+[5]febrero!H54+'[5]enero '!H54</f>
        <v>5231553.59</v>
      </c>
      <c r="I54" s="59">
        <f>SUM(I55:I63)</f>
        <v>0</v>
      </c>
      <c r="J54" s="59">
        <f t="shared" si="0"/>
        <v>8935132.879999999</v>
      </c>
      <c r="K54" s="60"/>
    </row>
    <row r="55" spans="1:11" x14ac:dyDescent="0.25">
      <c r="A55" s="61">
        <v>2</v>
      </c>
      <c r="B55" s="62">
        <v>1</v>
      </c>
      <c r="C55" s="62">
        <v>2</v>
      </c>
      <c r="D55" s="62">
        <v>2</v>
      </c>
      <c r="E55" s="63" t="s">
        <v>35</v>
      </c>
      <c r="F55" s="61" t="s">
        <v>66</v>
      </c>
      <c r="G55" s="64">
        <f>'[6]CUENTA T FONDO 100'!T288</f>
        <v>0</v>
      </c>
      <c r="H55" s="64">
        <f>+'[5]junio 2025'!H55+'[5]mayo 2025'!H55+[5]abril!H55+[5]marzo!H55+[5]febrero!H55+'[5]enero '!H55</f>
        <v>0</v>
      </c>
      <c r="I55" s="64">
        <f>'[6]CUENTA T NOMINA SNS'!T58</f>
        <v>0</v>
      </c>
      <c r="J55" s="64">
        <f t="shared" si="0"/>
        <v>0</v>
      </c>
      <c r="K55" s="65">
        <f t="shared" ref="K55:K63" si="3">J55/$J$25</f>
        <v>0</v>
      </c>
    </row>
    <row r="56" spans="1:11" ht="51" x14ac:dyDescent="0.25">
      <c r="A56" s="61">
        <v>2</v>
      </c>
      <c r="B56" s="62">
        <v>1</v>
      </c>
      <c r="C56" s="62">
        <v>2</v>
      </c>
      <c r="D56" s="62">
        <v>2</v>
      </c>
      <c r="E56" s="63" t="s">
        <v>39</v>
      </c>
      <c r="F56" s="81" t="s">
        <v>67</v>
      </c>
      <c r="G56" s="64">
        <f>'[6]CUENTA T FONDO 100'!U288</f>
        <v>0</v>
      </c>
      <c r="H56" s="64">
        <f>+'[5]junio 2025'!H56+'[5]mayo 2025'!H56+[5]abril!H56+[5]marzo!H56+[5]febrero!H56+'[5]enero '!H56</f>
        <v>0</v>
      </c>
      <c r="I56" s="64">
        <f>'[6]CUENTA T NOMINA SNS'!U58</f>
        <v>0</v>
      </c>
      <c r="J56" s="64">
        <f t="shared" si="0"/>
        <v>0</v>
      </c>
      <c r="K56" s="65">
        <f t="shared" si="3"/>
        <v>0</v>
      </c>
    </row>
    <row r="57" spans="1:11" x14ac:dyDescent="0.25">
      <c r="A57" s="61">
        <v>2</v>
      </c>
      <c r="B57" s="62">
        <v>1</v>
      </c>
      <c r="C57" s="62">
        <v>2</v>
      </c>
      <c r="D57" s="62">
        <v>2</v>
      </c>
      <c r="E57" s="63" t="s">
        <v>41</v>
      </c>
      <c r="F57" s="61" t="s">
        <v>68</v>
      </c>
      <c r="G57" s="64">
        <f>'[6]CUENTA T FONDO 100'!V288</f>
        <v>0</v>
      </c>
      <c r="H57" s="64">
        <f>+'[5]junio 2025'!H57+'[5]mayo 2025'!H57+[5]abril!H57+[5]marzo!H57+[5]febrero!H57+'[5]enero '!H57</f>
        <v>0</v>
      </c>
      <c r="I57" s="64">
        <f>'[6]CUENTA T NOMINA SNS'!V58</f>
        <v>0</v>
      </c>
      <c r="J57" s="64">
        <f t="shared" si="0"/>
        <v>0</v>
      </c>
      <c r="K57" s="65">
        <f t="shared" si="3"/>
        <v>0</v>
      </c>
    </row>
    <row r="58" spans="1:11" x14ac:dyDescent="0.25">
      <c r="A58" s="61">
        <v>2</v>
      </c>
      <c r="B58" s="62">
        <v>1</v>
      </c>
      <c r="C58" s="62">
        <v>2</v>
      </c>
      <c r="D58" s="62">
        <v>2</v>
      </c>
      <c r="E58" s="63" t="s">
        <v>43</v>
      </c>
      <c r="F58" s="61" t="s">
        <v>69</v>
      </c>
      <c r="G58" s="64">
        <v>270000</v>
      </c>
      <c r="H58" s="64">
        <f>+'[5]junio 2025'!H58+'[5]mayo 2025'!H58+[5]abril!H58+[5]marzo!H58+[5]febrero!H58+'[5]enero '!H58</f>
        <v>0</v>
      </c>
      <c r="I58" s="64">
        <f>'[6]CUENTA T NOMINA SNS'!W58</f>
        <v>0</v>
      </c>
      <c r="J58" s="64">
        <f t="shared" si="0"/>
        <v>270000</v>
      </c>
      <c r="K58" s="65">
        <f t="shared" si="3"/>
        <v>4.5659227851820944E-4</v>
      </c>
    </row>
    <row r="59" spans="1:11" x14ac:dyDescent="0.25">
      <c r="A59" s="61">
        <v>2</v>
      </c>
      <c r="B59" s="62">
        <v>1</v>
      </c>
      <c r="C59" s="62">
        <v>2</v>
      </c>
      <c r="D59" s="62">
        <v>2</v>
      </c>
      <c r="E59" s="63" t="s">
        <v>45</v>
      </c>
      <c r="F59" s="61" t="s">
        <v>70</v>
      </c>
      <c r="G59" s="64">
        <f>'[6]CUENTA T FONDO 100'!X288</f>
        <v>0</v>
      </c>
      <c r="H59" s="64">
        <f>+'[5]junio 2025'!H59+'[5]mayo 2025'!H59+[5]abril!H59+[5]marzo!H59+[5]febrero!H59+'[5]enero '!H59</f>
        <v>5231553.59</v>
      </c>
      <c r="I59" s="64">
        <f>'[6]CUENTA T NOMINA SNS'!X58</f>
        <v>0</v>
      </c>
      <c r="J59" s="64">
        <f t="shared" si="0"/>
        <v>5231553.59</v>
      </c>
      <c r="K59" s="65">
        <f t="shared" si="3"/>
        <v>8.8469887920304396E-3</v>
      </c>
    </row>
    <row r="60" spans="1:11" x14ac:dyDescent="0.25">
      <c r="A60" s="61">
        <v>2</v>
      </c>
      <c r="B60" s="62">
        <v>1</v>
      </c>
      <c r="C60" s="62">
        <v>2</v>
      </c>
      <c r="D60" s="62">
        <v>2</v>
      </c>
      <c r="E60" s="63" t="s">
        <v>71</v>
      </c>
      <c r="F60" s="61" t="s">
        <v>72</v>
      </c>
      <c r="G60" s="64">
        <f>'[6]CUENTA T FONDO 100'!Y288</f>
        <v>0</v>
      </c>
      <c r="H60" s="64">
        <f>+'[5]junio 2025'!H60+'[5]mayo 2025'!H60+[5]abril!H60+[5]marzo!H60+[5]febrero!H60+'[5]enero '!H60</f>
        <v>0</v>
      </c>
      <c r="I60" s="64">
        <f>'[6]CUENTA T NOMINA SNS'!Y58</f>
        <v>0</v>
      </c>
      <c r="J60" s="64">
        <f t="shared" si="0"/>
        <v>0</v>
      </c>
      <c r="K60" s="65">
        <f t="shared" si="3"/>
        <v>0</v>
      </c>
    </row>
    <row r="61" spans="1:11" x14ac:dyDescent="0.25">
      <c r="A61" s="61">
        <v>2</v>
      </c>
      <c r="B61" s="62">
        <v>1</v>
      </c>
      <c r="C61" s="62">
        <v>2</v>
      </c>
      <c r="D61" s="62">
        <v>2</v>
      </c>
      <c r="E61" s="63" t="s">
        <v>51</v>
      </c>
      <c r="F61" s="61" t="s">
        <v>73</v>
      </c>
      <c r="G61" s="64">
        <v>1999000</v>
      </c>
      <c r="H61" s="64">
        <f>+'[5]junio 2025'!H61+'[5]mayo 2025'!H61+[5]abril!H61+[5]marzo!H61+[5]febrero!H61+'[5]enero '!H61</f>
        <v>0</v>
      </c>
      <c r="I61" s="64">
        <f>'[6]CUENTA T NOMINA SNS'!Z58</f>
        <v>0</v>
      </c>
      <c r="J61" s="64">
        <f t="shared" si="0"/>
        <v>1999000</v>
      </c>
      <c r="K61" s="65">
        <f t="shared" si="3"/>
        <v>3.3804739435477804E-3</v>
      </c>
    </row>
    <row r="62" spans="1:11" x14ac:dyDescent="0.25">
      <c r="A62" s="61">
        <v>2</v>
      </c>
      <c r="B62" s="62">
        <v>1</v>
      </c>
      <c r="C62" s="62">
        <v>2</v>
      </c>
      <c r="D62" s="62">
        <v>2</v>
      </c>
      <c r="E62" s="63" t="s">
        <v>53</v>
      </c>
      <c r="F62" s="61" t="s">
        <v>74</v>
      </c>
      <c r="G62" s="64">
        <v>443970.11</v>
      </c>
      <c r="H62" s="64">
        <f>+'[5]junio 2025'!H62+'[5]mayo 2025'!H62+[5]abril!H62+[5]marzo!H62+[5]febrero!H62+'[5]enero '!H62</f>
        <v>0</v>
      </c>
      <c r="I62" s="64">
        <f>'[6]CUENTA T NOMINA SNS'!AA58</f>
        <v>0</v>
      </c>
      <c r="J62" s="64">
        <f t="shared" si="0"/>
        <v>443970.11</v>
      </c>
      <c r="K62" s="65">
        <f t="shared" si="3"/>
        <v>7.5079008932918553E-4</v>
      </c>
    </row>
    <row r="63" spans="1:11" ht="63.75" x14ac:dyDescent="0.25">
      <c r="A63" s="61">
        <v>2</v>
      </c>
      <c r="B63" s="62">
        <v>1</v>
      </c>
      <c r="C63" s="62">
        <v>2</v>
      </c>
      <c r="D63" s="62">
        <v>2</v>
      </c>
      <c r="E63" s="62">
        <v>10</v>
      </c>
      <c r="F63" s="81" t="s">
        <v>75</v>
      </c>
      <c r="G63" s="64">
        <f>308018.04+682591.14</f>
        <v>990609.17999999993</v>
      </c>
      <c r="H63" s="64">
        <f>+'[5]junio 2025'!H63+'[5]mayo 2025'!H63+[5]abril!H63+[5]marzo!H63+[5]febrero!H63+'[5]enero '!H63</f>
        <v>0</v>
      </c>
      <c r="I63" s="64">
        <f>'[6]CUENTA T NOMINA SNS'!AB58</f>
        <v>0</v>
      </c>
      <c r="J63" s="64">
        <f t="shared" si="0"/>
        <v>990609.17999999993</v>
      </c>
      <c r="K63" s="65">
        <f t="shared" si="3"/>
        <v>1.6752018615453891E-3</v>
      </c>
    </row>
    <row r="64" spans="1:11" x14ac:dyDescent="0.25">
      <c r="A64" s="70">
        <v>2</v>
      </c>
      <c r="B64" s="55">
        <v>1</v>
      </c>
      <c r="C64" s="55">
        <v>3</v>
      </c>
      <c r="D64" s="55"/>
      <c r="E64" s="55"/>
      <c r="F64" s="70" t="s">
        <v>76</v>
      </c>
      <c r="G64" s="56">
        <f>+G65+G68</f>
        <v>0</v>
      </c>
      <c r="H64" s="56">
        <f>+'[5]junio 2025'!H64+'[5]mayo 2025'!H64+[5]abril!H64+[5]marzo!H64+[5]febrero!H64+'[5]enero '!H64</f>
        <v>0</v>
      </c>
      <c r="I64" s="56">
        <f>+I65+I68</f>
        <v>0</v>
      </c>
      <c r="J64" s="56">
        <f t="shared" si="0"/>
        <v>0</v>
      </c>
      <c r="K64" s="53"/>
    </row>
    <row r="65" spans="1:11" x14ac:dyDescent="0.25">
      <c r="A65" s="72">
        <v>2</v>
      </c>
      <c r="B65" s="58">
        <v>1</v>
      </c>
      <c r="C65" s="58">
        <v>3</v>
      </c>
      <c r="D65" s="58">
        <v>1</v>
      </c>
      <c r="E65" s="58"/>
      <c r="F65" s="72" t="s">
        <v>77</v>
      </c>
      <c r="G65" s="59">
        <f>SUM(G66:G67)</f>
        <v>0</v>
      </c>
      <c r="H65" s="59">
        <f>+'[5]junio 2025'!H65+'[5]mayo 2025'!H65+[5]abril!H65+[5]marzo!H65+[5]febrero!H65+'[5]enero '!H65</f>
        <v>0</v>
      </c>
      <c r="I65" s="59">
        <f>SUM(I66:I67)</f>
        <v>0</v>
      </c>
      <c r="J65" s="59">
        <f t="shared" si="0"/>
        <v>0</v>
      </c>
      <c r="K65" s="60"/>
    </row>
    <row r="66" spans="1:11" x14ac:dyDescent="0.25">
      <c r="A66" s="74">
        <v>2</v>
      </c>
      <c r="B66" s="62">
        <v>1</v>
      </c>
      <c r="C66" s="62">
        <v>3</v>
      </c>
      <c r="D66" s="62">
        <v>1</v>
      </c>
      <c r="E66" s="63" t="s">
        <v>35</v>
      </c>
      <c r="F66" s="74" t="s">
        <v>78</v>
      </c>
      <c r="G66" s="64">
        <f>'[6]CUENTA T FONDO 100'!AC288</f>
        <v>0</v>
      </c>
      <c r="H66" s="64">
        <f>+'[5]junio 2025'!H66+'[5]mayo 2025'!H66+[5]abril!H66+[5]marzo!H66+[5]febrero!H66+'[5]enero '!H66</f>
        <v>0</v>
      </c>
      <c r="I66" s="64">
        <f>'[6]CUENTA T NOMINA SNS'!AC58</f>
        <v>0</v>
      </c>
      <c r="J66" s="64">
        <f t="shared" si="0"/>
        <v>0</v>
      </c>
      <c r="K66" s="65">
        <f>J66/$J$25</f>
        <v>0</v>
      </c>
    </row>
    <row r="67" spans="1:11" x14ac:dyDescent="0.25">
      <c r="A67" s="74">
        <v>2</v>
      </c>
      <c r="B67" s="62">
        <v>1</v>
      </c>
      <c r="C67" s="62">
        <v>3</v>
      </c>
      <c r="D67" s="62">
        <v>1</v>
      </c>
      <c r="E67" s="63" t="s">
        <v>37</v>
      </c>
      <c r="F67" s="74" t="s">
        <v>79</v>
      </c>
      <c r="G67" s="64">
        <f>'[6]CUENTA T FONDO 100'!AD288</f>
        <v>0</v>
      </c>
      <c r="H67" s="64">
        <f>+'[5]junio 2025'!H67+'[5]mayo 2025'!H67+[5]abril!H67+[5]marzo!H67+[5]febrero!H67+'[5]enero '!H67</f>
        <v>0</v>
      </c>
      <c r="I67" s="64">
        <f>'[6]CUENTA T NOMINA SNS'!AD58</f>
        <v>0</v>
      </c>
      <c r="J67" s="64">
        <f t="shared" si="0"/>
        <v>0</v>
      </c>
      <c r="K67" s="65">
        <f>J67/$J$25</f>
        <v>0</v>
      </c>
    </row>
    <row r="68" spans="1:11" x14ac:dyDescent="0.25">
      <c r="A68" s="72">
        <v>2</v>
      </c>
      <c r="B68" s="58">
        <v>1</v>
      </c>
      <c r="C68" s="58">
        <v>3</v>
      </c>
      <c r="D68" s="58">
        <v>2</v>
      </c>
      <c r="E68" s="58"/>
      <c r="F68" s="72" t="s">
        <v>80</v>
      </c>
      <c r="G68" s="59">
        <f>SUM(G69:G70)</f>
        <v>0</v>
      </c>
      <c r="H68" s="59">
        <f>+'[5]junio 2025'!H68+'[5]mayo 2025'!H68+[5]abril!H68+[5]marzo!H68+[5]febrero!H68+'[5]enero '!H68</f>
        <v>0</v>
      </c>
      <c r="I68" s="59">
        <f>SUM(I69:I70)</f>
        <v>0</v>
      </c>
      <c r="J68" s="59">
        <f t="shared" si="0"/>
        <v>0</v>
      </c>
      <c r="K68" s="60"/>
    </row>
    <row r="69" spans="1:11" x14ac:dyDescent="0.25">
      <c r="A69" s="74">
        <v>2</v>
      </c>
      <c r="B69" s="62">
        <v>1</v>
      </c>
      <c r="C69" s="62">
        <v>3</v>
      </c>
      <c r="D69" s="62">
        <v>2</v>
      </c>
      <c r="E69" s="63" t="s">
        <v>35</v>
      </c>
      <c r="F69" s="74" t="s">
        <v>81</v>
      </c>
      <c r="G69" s="64">
        <f>'[6]CUENTA T FONDO 100'!AE288</f>
        <v>0</v>
      </c>
      <c r="H69" s="64">
        <f>+'[5]junio 2025'!H69+'[5]mayo 2025'!H69+[5]abril!H69+[5]marzo!H69+[5]febrero!H69+'[5]enero '!H69</f>
        <v>0</v>
      </c>
      <c r="I69" s="64">
        <f>'[6]CUENTA T NOMINA SNS'!AE58</f>
        <v>0</v>
      </c>
      <c r="J69" s="64">
        <f t="shared" si="0"/>
        <v>0</v>
      </c>
      <c r="K69" s="65">
        <f>J69/$J$25</f>
        <v>0</v>
      </c>
    </row>
    <row r="70" spans="1:11" x14ac:dyDescent="0.25">
      <c r="A70" s="74">
        <v>2</v>
      </c>
      <c r="B70" s="62">
        <v>1</v>
      </c>
      <c r="C70" s="62">
        <v>3</v>
      </c>
      <c r="D70" s="62">
        <v>2</v>
      </c>
      <c r="E70" s="63" t="s">
        <v>37</v>
      </c>
      <c r="F70" s="74" t="s">
        <v>82</v>
      </c>
      <c r="G70" s="64">
        <f>'[6]CUENTA T FONDO 100'!AF288</f>
        <v>0</v>
      </c>
      <c r="H70" s="64">
        <f>+'[5]junio 2025'!H70+'[5]mayo 2025'!H70+[5]abril!H70+[5]marzo!H70+[5]febrero!H70+'[5]enero '!H70</f>
        <v>0</v>
      </c>
      <c r="I70" s="64">
        <f>'[6]CUENTA T NOMINA SNS'!AF58</f>
        <v>0</v>
      </c>
      <c r="J70" s="64">
        <f t="shared" si="0"/>
        <v>0</v>
      </c>
      <c r="K70" s="65">
        <f>J70/$J$25</f>
        <v>0</v>
      </c>
    </row>
    <row r="71" spans="1:11" x14ac:dyDescent="0.25">
      <c r="A71" s="70">
        <v>2</v>
      </c>
      <c r="B71" s="55">
        <v>1</v>
      </c>
      <c r="C71" s="55">
        <v>4</v>
      </c>
      <c r="D71" s="55"/>
      <c r="E71" s="55"/>
      <c r="F71" s="70" t="s">
        <v>83</v>
      </c>
      <c r="G71" s="56">
        <f>+G72+G74</f>
        <v>0</v>
      </c>
      <c r="H71" s="56">
        <f>+'[5]junio 2025'!H71+'[5]mayo 2025'!H71+[5]abril!H71+[5]marzo!H71+[5]febrero!H71+'[5]enero '!H71</f>
        <v>0</v>
      </c>
      <c r="I71" s="56">
        <f>+I72+I74</f>
        <v>0</v>
      </c>
      <c r="J71" s="56">
        <f t="shared" si="0"/>
        <v>0</v>
      </c>
      <c r="K71" s="53"/>
    </row>
    <row r="72" spans="1:11" x14ac:dyDescent="0.25">
      <c r="A72" s="57">
        <v>2</v>
      </c>
      <c r="B72" s="58">
        <v>1</v>
      </c>
      <c r="C72" s="58">
        <v>4</v>
      </c>
      <c r="D72" s="58">
        <v>1</v>
      </c>
      <c r="E72" s="58"/>
      <c r="F72" s="57" t="s">
        <v>84</v>
      </c>
      <c r="G72" s="59">
        <f>SUM(G73)</f>
        <v>0</v>
      </c>
      <c r="H72" s="59">
        <f>+'[5]junio 2025'!H72+'[5]mayo 2025'!H72+[5]abril!H72+[5]marzo!H72+[5]febrero!H72+'[5]enero '!H72</f>
        <v>0</v>
      </c>
      <c r="I72" s="59">
        <f>SUM(I73)</f>
        <v>0</v>
      </c>
      <c r="J72" s="59">
        <f t="shared" si="0"/>
        <v>0</v>
      </c>
      <c r="K72" s="60"/>
    </row>
    <row r="73" spans="1:11" x14ac:dyDescent="0.25">
      <c r="A73" s="61">
        <v>2</v>
      </c>
      <c r="B73" s="62">
        <v>1</v>
      </c>
      <c r="C73" s="62">
        <v>4</v>
      </c>
      <c r="D73" s="62">
        <v>1</v>
      </c>
      <c r="E73" s="63" t="s">
        <v>35</v>
      </c>
      <c r="F73" s="61" t="s">
        <v>84</v>
      </c>
      <c r="G73" s="64">
        <f>'[6]CUENTA T FONDO 100'!AG288</f>
        <v>0</v>
      </c>
      <c r="H73" s="64">
        <f>+'[5]junio 2025'!H73+'[5]mayo 2025'!H73+[5]abril!H73+[5]marzo!H73+[5]febrero!H73+'[5]enero '!H73</f>
        <v>0</v>
      </c>
      <c r="I73" s="64">
        <f>'[6]CUENTA T NOMINA SNS'!AG58</f>
        <v>0</v>
      </c>
      <c r="J73" s="64">
        <f t="shared" si="0"/>
        <v>0</v>
      </c>
      <c r="K73" s="65">
        <f>J73/$J$25</f>
        <v>0</v>
      </c>
    </row>
    <row r="74" spans="1:11" x14ac:dyDescent="0.25">
      <c r="A74" s="57">
        <v>2</v>
      </c>
      <c r="B74" s="58">
        <v>1</v>
      </c>
      <c r="C74" s="58">
        <v>4</v>
      </c>
      <c r="D74" s="58">
        <v>2</v>
      </c>
      <c r="E74" s="58"/>
      <c r="F74" s="57" t="s">
        <v>85</v>
      </c>
      <c r="G74" s="59">
        <f>SUM(G75:G77)</f>
        <v>0</v>
      </c>
      <c r="H74" s="59">
        <f>+'[5]junio 2025'!H74+'[5]mayo 2025'!H74+[5]abril!H74+[5]marzo!H74+[5]febrero!H74+'[5]enero '!H74</f>
        <v>0</v>
      </c>
      <c r="I74" s="59">
        <f>SUM(I75:I77)</f>
        <v>0</v>
      </c>
      <c r="J74" s="59">
        <f t="shared" si="0"/>
        <v>0</v>
      </c>
      <c r="K74" s="60"/>
    </row>
    <row r="75" spans="1:11" x14ac:dyDescent="0.25">
      <c r="A75" s="61">
        <v>2</v>
      </c>
      <c r="B75" s="62">
        <v>1</v>
      </c>
      <c r="C75" s="62">
        <v>4</v>
      </c>
      <c r="D75" s="62">
        <v>2</v>
      </c>
      <c r="E75" s="63" t="s">
        <v>35</v>
      </c>
      <c r="F75" s="61" t="s">
        <v>86</v>
      </c>
      <c r="G75" s="64">
        <f>'[6]CUENTA T FONDO 100'!AH288</f>
        <v>0</v>
      </c>
      <c r="H75" s="64">
        <f>+'[5]junio 2025'!H75+'[5]mayo 2025'!H75+[5]abril!H75+[5]marzo!H75+[5]febrero!H75+'[5]enero '!H75</f>
        <v>0</v>
      </c>
      <c r="I75" s="64">
        <f>'[6]CUENTA T NOMINA SNS'!AH58</f>
        <v>0</v>
      </c>
      <c r="J75" s="64">
        <f t="shared" si="0"/>
        <v>0</v>
      </c>
      <c r="K75" s="65">
        <f>J75/$J$25</f>
        <v>0</v>
      </c>
    </row>
    <row r="76" spans="1:11" x14ac:dyDescent="0.25">
      <c r="A76" s="61">
        <v>2</v>
      </c>
      <c r="B76" s="62">
        <v>1</v>
      </c>
      <c r="C76" s="62">
        <v>4</v>
      </c>
      <c r="D76" s="62">
        <v>2</v>
      </c>
      <c r="E76" s="63" t="s">
        <v>37</v>
      </c>
      <c r="F76" s="61" t="s">
        <v>87</v>
      </c>
      <c r="G76" s="64">
        <f>'[6]CUENTA T FONDO 100'!AI288</f>
        <v>0</v>
      </c>
      <c r="H76" s="64">
        <f>+'[5]junio 2025'!H76+'[5]mayo 2025'!H76+[5]abril!H76+[5]marzo!H76+[5]febrero!H76+'[5]enero '!H76</f>
        <v>0</v>
      </c>
      <c r="I76" s="64">
        <f>'[6]CUENTA T NOMINA SNS'!AI58</f>
        <v>0</v>
      </c>
      <c r="J76" s="64">
        <f t="shared" si="0"/>
        <v>0</v>
      </c>
      <c r="K76" s="65">
        <f>J76/$J$25</f>
        <v>0</v>
      </c>
    </row>
    <row r="77" spans="1:11" x14ac:dyDescent="0.25">
      <c r="A77" s="61">
        <v>2</v>
      </c>
      <c r="B77" s="62">
        <v>1</v>
      </c>
      <c r="C77" s="62">
        <v>4</v>
      </c>
      <c r="D77" s="62">
        <v>2</v>
      </c>
      <c r="E77" s="63" t="s">
        <v>39</v>
      </c>
      <c r="F77" s="61" t="s">
        <v>88</v>
      </c>
      <c r="G77" s="64">
        <f>'[6]CUENTA T FONDO 100'!AJ288</f>
        <v>0</v>
      </c>
      <c r="H77" s="64">
        <f>+'[5]junio 2025'!H77+'[5]mayo 2025'!H77+[5]abril!H77+[5]marzo!H77+[5]febrero!H77+'[5]enero '!H77</f>
        <v>0</v>
      </c>
      <c r="I77" s="64">
        <f>'[6]CUENTA T NOMINA SNS'!AJ58</f>
        <v>0</v>
      </c>
      <c r="J77" s="64">
        <f t="shared" si="0"/>
        <v>0</v>
      </c>
      <c r="K77" s="65">
        <f>J77/$J$25</f>
        <v>0</v>
      </c>
    </row>
    <row r="78" spans="1:11" x14ac:dyDescent="0.25">
      <c r="A78" s="70">
        <v>2</v>
      </c>
      <c r="B78" s="55">
        <v>1</v>
      </c>
      <c r="C78" s="55">
        <v>5</v>
      </c>
      <c r="D78" s="55"/>
      <c r="E78" s="55"/>
      <c r="F78" s="70" t="s">
        <v>89</v>
      </c>
      <c r="G78" s="56">
        <f>+G79+G81+G83+G85</f>
        <v>50170874.460000001</v>
      </c>
      <c r="H78" s="56">
        <f>+'[5]junio 2025'!H78+'[5]mayo 2025'!H78+[5]abril!H78+[5]marzo!H78+[5]febrero!H78+'[5]enero '!H78</f>
        <v>0</v>
      </c>
      <c r="I78" s="56">
        <f>+I79+I81+I83+I85</f>
        <v>0</v>
      </c>
      <c r="J78" s="56">
        <f t="shared" si="0"/>
        <v>50170874.460000001</v>
      </c>
      <c r="K78" s="53"/>
    </row>
    <row r="79" spans="1:11" x14ac:dyDescent="0.25">
      <c r="A79" s="57">
        <v>2</v>
      </c>
      <c r="B79" s="58">
        <v>1</v>
      </c>
      <c r="C79" s="58">
        <v>5</v>
      </c>
      <c r="D79" s="58">
        <v>1</v>
      </c>
      <c r="E79" s="58"/>
      <c r="F79" s="57" t="s">
        <v>90</v>
      </c>
      <c r="G79" s="59">
        <f>SUM(G80)</f>
        <v>23117217.710000001</v>
      </c>
      <c r="H79" s="59">
        <f>+'[5]junio 2025'!H79+'[5]mayo 2025'!H79+[5]abril!H79+[5]marzo!H79+[5]febrero!H79+'[5]enero '!H79</f>
        <v>0</v>
      </c>
      <c r="I79" s="59">
        <f>SUM(I80)</f>
        <v>0</v>
      </c>
      <c r="J79" s="59">
        <f t="shared" si="0"/>
        <v>23117217.710000001</v>
      </c>
      <c r="K79" s="60"/>
    </row>
    <row r="80" spans="1:11" x14ac:dyDescent="0.25">
      <c r="A80" s="61">
        <v>2</v>
      </c>
      <c r="B80" s="62">
        <v>1</v>
      </c>
      <c r="C80" s="62">
        <v>5</v>
      </c>
      <c r="D80" s="62">
        <v>1</v>
      </c>
      <c r="E80" s="63" t="s">
        <v>35</v>
      </c>
      <c r="F80" s="61" t="s">
        <v>90</v>
      </c>
      <c r="G80" s="64">
        <v>23117217.710000001</v>
      </c>
      <c r="H80" s="64">
        <f>+'[5]junio 2025'!H80+'[5]mayo 2025'!H80+[5]abril!H80+[5]marzo!H80+[5]febrero!H80+'[5]enero '!H80</f>
        <v>0</v>
      </c>
      <c r="I80" s="64">
        <f>'[6]CUENTA T NOMINA SNS'!AK58</f>
        <v>0</v>
      </c>
      <c r="J80" s="64">
        <f t="shared" si="0"/>
        <v>23117217.710000001</v>
      </c>
      <c r="K80" s="65">
        <f>J80/$J$25</f>
        <v>3.9093122619297795E-2</v>
      </c>
    </row>
    <row r="81" spans="1:11" x14ac:dyDescent="0.25">
      <c r="A81" s="57">
        <v>2</v>
      </c>
      <c r="B81" s="58">
        <v>1</v>
      </c>
      <c r="C81" s="58">
        <v>5</v>
      </c>
      <c r="D81" s="58">
        <v>2</v>
      </c>
      <c r="E81" s="58"/>
      <c r="F81" s="57" t="s">
        <v>91</v>
      </c>
      <c r="G81" s="59">
        <f>SUM(G82)</f>
        <v>23149811.98</v>
      </c>
      <c r="H81" s="59">
        <f>+'[5]junio 2025'!H81+'[5]mayo 2025'!H81+[5]abril!H81+[5]marzo!H81+[5]febrero!H81+'[5]enero '!H81</f>
        <v>0</v>
      </c>
      <c r="I81" s="59">
        <f>SUM(I82)</f>
        <v>0</v>
      </c>
      <c r="J81" s="59">
        <f t="shared" si="0"/>
        <v>23149811.98</v>
      </c>
      <c r="K81" s="60"/>
    </row>
    <row r="82" spans="1:11" x14ac:dyDescent="0.25">
      <c r="A82" s="61">
        <v>2</v>
      </c>
      <c r="B82" s="62">
        <v>1</v>
      </c>
      <c r="C82" s="62">
        <v>5</v>
      </c>
      <c r="D82" s="62">
        <v>2</v>
      </c>
      <c r="E82" s="63" t="s">
        <v>35</v>
      </c>
      <c r="F82" s="61" t="s">
        <v>91</v>
      </c>
      <c r="G82" s="64">
        <v>23149811.98</v>
      </c>
      <c r="H82" s="64">
        <f>+'[5]junio 2025'!H82+'[5]mayo 2025'!H82+[5]abril!H82+[5]marzo!H82+[5]febrero!H82+'[5]enero '!H82</f>
        <v>0</v>
      </c>
      <c r="I82" s="64">
        <f>'[6]CUENTA T NOMINA SNS'!AL58</f>
        <v>0</v>
      </c>
      <c r="J82" s="64">
        <f t="shared" si="0"/>
        <v>23149811.98</v>
      </c>
      <c r="K82" s="65">
        <f>J82/$J$25</f>
        <v>3.9148242219319784E-2</v>
      </c>
    </row>
    <row r="83" spans="1:11" x14ac:dyDescent="0.25">
      <c r="A83" s="57">
        <v>2</v>
      </c>
      <c r="B83" s="58">
        <v>1</v>
      </c>
      <c r="C83" s="58">
        <v>5</v>
      </c>
      <c r="D83" s="58">
        <v>3</v>
      </c>
      <c r="E83" s="58"/>
      <c r="F83" s="57" t="s">
        <v>92</v>
      </c>
      <c r="G83" s="59">
        <f>SUM(G84)</f>
        <v>3903844.77</v>
      </c>
      <c r="H83" s="59">
        <f>+'[5]junio 2025'!H83+'[5]mayo 2025'!H83+[5]abril!H83+[5]marzo!H83+[5]febrero!H83+'[5]enero '!H83</f>
        <v>0</v>
      </c>
      <c r="I83" s="59">
        <f>SUM(I84)</f>
        <v>0</v>
      </c>
      <c r="J83" s="59">
        <f t="shared" si="0"/>
        <v>3903844.77</v>
      </c>
      <c r="K83" s="60"/>
    </row>
    <row r="84" spans="1:11" x14ac:dyDescent="0.25">
      <c r="A84" s="61">
        <v>2</v>
      </c>
      <c r="B84" s="62">
        <v>1</v>
      </c>
      <c r="C84" s="62">
        <v>5</v>
      </c>
      <c r="D84" s="62">
        <v>3</v>
      </c>
      <c r="E84" s="63" t="s">
        <v>35</v>
      </c>
      <c r="F84" s="61" t="s">
        <v>92</v>
      </c>
      <c r="G84" s="64">
        <v>3903844.77</v>
      </c>
      <c r="H84" s="64">
        <f>+'[5]junio 2025'!H84+'[5]mayo 2025'!H84+[5]abril!H84+[5]marzo!H84+[5]febrero!H84+'[5]enero '!H84</f>
        <v>0</v>
      </c>
      <c r="I84" s="64">
        <f>'[6]CUENTA T NOMINA SNS'!AM58</f>
        <v>0</v>
      </c>
      <c r="J84" s="64">
        <f t="shared" si="0"/>
        <v>3903844.77</v>
      </c>
      <c r="K84" s="65">
        <f>J84/$J$25</f>
        <v>6.6017236241322046E-3</v>
      </c>
    </row>
    <row r="85" spans="1:11" x14ac:dyDescent="0.25">
      <c r="A85" s="57">
        <v>2</v>
      </c>
      <c r="B85" s="58">
        <v>1</v>
      </c>
      <c r="C85" s="58">
        <v>5</v>
      </c>
      <c r="D85" s="58">
        <v>4</v>
      </c>
      <c r="E85" s="58"/>
      <c r="F85" s="57" t="s">
        <v>93</v>
      </c>
      <c r="G85" s="59">
        <f>SUM(G86)</f>
        <v>0</v>
      </c>
      <c r="H85" s="59">
        <f>+'[5]junio 2025'!H85+'[5]mayo 2025'!H85+[5]abril!H85+[5]marzo!H85+[5]febrero!H85+'[5]enero '!H85</f>
        <v>0</v>
      </c>
      <c r="I85" s="59">
        <f>SUM(I86)</f>
        <v>0</v>
      </c>
      <c r="J85" s="59">
        <f t="shared" si="0"/>
        <v>0</v>
      </c>
      <c r="K85" s="60"/>
    </row>
    <row r="86" spans="1:11" x14ac:dyDescent="0.25">
      <c r="A86" s="61">
        <v>2</v>
      </c>
      <c r="B86" s="62">
        <v>1</v>
      </c>
      <c r="C86" s="62">
        <v>5</v>
      </c>
      <c r="D86" s="62">
        <v>4</v>
      </c>
      <c r="E86" s="63" t="s">
        <v>35</v>
      </c>
      <c r="F86" s="61" t="s">
        <v>93</v>
      </c>
      <c r="G86" s="64">
        <f>'[6]CUENTA T FONDO 100'!AN288</f>
        <v>0</v>
      </c>
      <c r="H86" s="64">
        <f>+'[5]junio 2025'!H86+'[5]mayo 2025'!H86+[5]abril!H86+[5]marzo!H86+[5]febrero!H86+'[5]enero '!H86</f>
        <v>0</v>
      </c>
      <c r="I86" s="64">
        <f>'[6]CUENTA T NOMINA SNS'!AN58</f>
        <v>0</v>
      </c>
      <c r="J86" s="64">
        <f t="shared" si="0"/>
        <v>0</v>
      </c>
      <c r="K86" s="65">
        <f>J86/$J$25</f>
        <v>0</v>
      </c>
    </row>
    <row r="87" spans="1:11" x14ac:dyDescent="0.25">
      <c r="A87" s="70">
        <v>2</v>
      </c>
      <c r="B87" s="76">
        <v>2</v>
      </c>
      <c r="C87" s="55"/>
      <c r="D87" s="55"/>
      <c r="E87" s="55"/>
      <c r="F87" s="70" t="s">
        <v>94</v>
      </c>
      <c r="G87" s="56">
        <f>G88+G106+G111+G116+G125+G148+G157+G179+G208</f>
        <v>19440183.079999998</v>
      </c>
      <c r="H87" s="56">
        <f>+'[5]junio 2025'!H87+'[5]mayo 2025'!H87+[5]abril!H87+[5]marzo!H87+[5]febrero!H87+'[5]enero '!H87</f>
        <v>15572434.960000001</v>
      </c>
      <c r="I87" s="56">
        <f>I88+I106+I111+I116+I125+I148+I157+I179+I208</f>
        <v>0</v>
      </c>
      <c r="J87" s="56">
        <f t="shared" si="0"/>
        <v>35012618.039999999</v>
      </c>
      <c r="K87" s="53">
        <f>J87/$J$25</f>
        <v>5.9209226102856907E-2</v>
      </c>
    </row>
    <row r="88" spans="1:11" x14ac:dyDescent="0.25">
      <c r="A88" s="70">
        <v>2</v>
      </c>
      <c r="B88" s="55">
        <v>2</v>
      </c>
      <c r="C88" s="55">
        <v>1</v>
      </c>
      <c r="D88" s="55"/>
      <c r="E88" s="55"/>
      <c r="F88" s="70" t="s">
        <v>95</v>
      </c>
      <c r="G88" s="56">
        <f>+G89+G91+G93+G95+G97+G99+G102+G104</f>
        <v>2201629.2999999998</v>
      </c>
      <c r="H88" s="56">
        <f>+'[5]junio 2025'!H88+'[5]mayo 2025'!H88+[5]abril!H88+[5]marzo!H88+[5]febrero!H88+'[5]enero '!H88</f>
        <v>4690142.6399999997</v>
      </c>
      <c r="I88" s="56">
        <f>+I89+I91+I93+I95+I97+I99+I102+I104</f>
        <v>0</v>
      </c>
      <c r="J88" s="56">
        <f t="shared" ref="J88:J153" si="4">SUM(G88:I88)</f>
        <v>6891771.9399999995</v>
      </c>
      <c r="K88" s="53"/>
    </row>
    <row r="89" spans="1:11" x14ac:dyDescent="0.25">
      <c r="A89" s="72">
        <v>2</v>
      </c>
      <c r="B89" s="58">
        <v>2</v>
      </c>
      <c r="C89" s="58">
        <v>1</v>
      </c>
      <c r="D89" s="58">
        <v>1</v>
      </c>
      <c r="E89" s="58"/>
      <c r="F89" s="72" t="s">
        <v>96</v>
      </c>
      <c r="G89" s="59">
        <f>SUM(G90)</f>
        <v>0</v>
      </c>
      <c r="H89" s="59">
        <f>+'[5]junio 2025'!H89+'[5]mayo 2025'!H89+[5]abril!H89+[5]marzo!H89+[5]febrero!H89+'[5]enero '!H89</f>
        <v>0</v>
      </c>
      <c r="I89" s="59">
        <f>SUM(I90)</f>
        <v>0</v>
      </c>
      <c r="J89" s="59">
        <f t="shared" si="4"/>
        <v>0</v>
      </c>
      <c r="K89" s="60"/>
    </row>
    <row r="90" spans="1:11" x14ac:dyDescent="0.25">
      <c r="A90" s="74">
        <v>2</v>
      </c>
      <c r="B90" s="62">
        <v>2</v>
      </c>
      <c r="C90" s="62">
        <v>1</v>
      </c>
      <c r="D90" s="62">
        <v>1</v>
      </c>
      <c r="E90" s="63" t="s">
        <v>35</v>
      </c>
      <c r="F90" s="74" t="s">
        <v>96</v>
      </c>
      <c r="G90" s="64">
        <f>'[6]CUENTA T FONDO 100'!AO288</f>
        <v>0</v>
      </c>
      <c r="H90" s="64">
        <f>+'[5]junio 2025'!H90+'[5]mayo 2025'!H90+[5]abril!H90+[5]marzo!H90+[5]febrero!H90+'[5]enero '!H90</f>
        <v>0</v>
      </c>
      <c r="I90" s="64"/>
      <c r="J90" s="64">
        <f t="shared" si="4"/>
        <v>0</v>
      </c>
      <c r="K90" s="65">
        <f>J90/$J$25</f>
        <v>0</v>
      </c>
    </row>
    <row r="91" spans="1:11" x14ac:dyDescent="0.25">
      <c r="A91" s="72">
        <v>2</v>
      </c>
      <c r="B91" s="58">
        <v>2</v>
      </c>
      <c r="C91" s="58">
        <v>1</v>
      </c>
      <c r="D91" s="58">
        <v>2</v>
      </c>
      <c r="E91" s="58"/>
      <c r="F91" s="72" t="s">
        <v>97</v>
      </c>
      <c r="G91" s="59">
        <f>SUM(G92)</f>
        <v>0</v>
      </c>
      <c r="H91" s="59">
        <f>+'[5]junio 2025'!H91+'[5]mayo 2025'!H91+[5]abril!H91+[5]marzo!H91+[5]febrero!H91+'[5]enero '!H91</f>
        <v>0</v>
      </c>
      <c r="I91" s="59">
        <f>SUM(I92)</f>
        <v>0</v>
      </c>
      <c r="J91" s="59">
        <f t="shared" si="4"/>
        <v>0</v>
      </c>
      <c r="K91" s="60"/>
    </row>
    <row r="92" spans="1:11" x14ac:dyDescent="0.25">
      <c r="A92" s="74">
        <v>2</v>
      </c>
      <c r="B92" s="62">
        <v>2</v>
      </c>
      <c r="C92" s="62">
        <v>1</v>
      </c>
      <c r="D92" s="62">
        <v>2</v>
      </c>
      <c r="E92" s="63" t="s">
        <v>35</v>
      </c>
      <c r="F92" s="74" t="s">
        <v>97</v>
      </c>
      <c r="G92" s="64">
        <f>'[6]CUENTA T FONDO 100'!AP288</f>
        <v>0</v>
      </c>
      <c r="H92" s="64">
        <f>+'[5]junio 2025'!H92+'[5]mayo 2025'!H92+[5]abril!H92+[5]marzo!H92+[5]febrero!H92+'[5]enero '!H92</f>
        <v>0</v>
      </c>
      <c r="I92" s="64"/>
      <c r="J92" s="64">
        <f t="shared" si="4"/>
        <v>0</v>
      </c>
      <c r="K92" s="65">
        <f>J92/$J$25</f>
        <v>0</v>
      </c>
    </row>
    <row r="93" spans="1:11" x14ac:dyDescent="0.25">
      <c r="A93" s="72">
        <v>2</v>
      </c>
      <c r="B93" s="58">
        <v>2</v>
      </c>
      <c r="C93" s="58">
        <v>1</v>
      </c>
      <c r="D93" s="58">
        <v>3</v>
      </c>
      <c r="E93" s="58"/>
      <c r="F93" s="72" t="s">
        <v>98</v>
      </c>
      <c r="G93" s="59">
        <f>SUM(G94)</f>
        <v>0</v>
      </c>
      <c r="H93" s="59">
        <f>+'[5]junio 2025'!H93+'[5]mayo 2025'!H93+[5]abril!H93+[5]marzo!H93+[5]febrero!H93+'[5]enero '!H93</f>
        <v>1289676.75</v>
      </c>
      <c r="I93" s="59">
        <f>SUM(I94)</f>
        <v>0</v>
      </c>
      <c r="J93" s="59">
        <f t="shared" si="4"/>
        <v>1289676.75</v>
      </c>
      <c r="K93" s="60"/>
    </row>
    <row r="94" spans="1:11" x14ac:dyDescent="0.25">
      <c r="A94" s="74">
        <v>2</v>
      </c>
      <c r="B94" s="62">
        <v>2</v>
      </c>
      <c r="C94" s="62">
        <v>1</v>
      </c>
      <c r="D94" s="62">
        <v>3</v>
      </c>
      <c r="E94" s="63" t="s">
        <v>35</v>
      </c>
      <c r="F94" s="74" t="s">
        <v>98</v>
      </c>
      <c r="G94" s="64">
        <f>'[6]CUENTA T FONDO 100'!AQ288</f>
        <v>0</v>
      </c>
      <c r="H94" s="64">
        <f>+'[5]junio 2025'!H94+'[5]mayo 2025'!H94+[5]abril!H94+[5]marzo!H94+[5]febrero!H94+'[5]enero '!H94</f>
        <v>1289676.75</v>
      </c>
      <c r="I94" s="64"/>
      <c r="J94" s="64">
        <f t="shared" si="4"/>
        <v>1289676.75</v>
      </c>
      <c r="K94" s="65">
        <f>J94/$J$25</f>
        <v>2.1809497993868858E-3</v>
      </c>
    </row>
    <row r="95" spans="1:11" x14ac:dyDescent="0.25">
      <c r="A95" s="72">
        <v>2</v>
      </c>
      <c r="B95" s="58">
        <v>2</v>
      </c>
      <c r="C95" s="58">
        <v>1</v>
      </c>
      <c r="D95" s="58">
        <v>4</v>
      </c>
      <c r="E95" s="58"/>
      <c r="F95" s="72" t="s">
        <v>99</v>
      </c>
      <c r="G95" s="59">
        <f>SUM(G96)</f>
        <v>0</v>
      </c>
      <c r="H95" s="59">
        <f>+'[5]junio 2025'!H95+'[5]mayo 2025'!H95+[5]abril!H95+[5]marzo!H95+[5]febrero!H95+'[5]enero '!H95</f>
        <v>0</v>
      </c>
      <c r="I95" s="59">
        <f>SUM(I96)</f>
        <v>0</v>
      </c>
      <c r="J95" s="59">
        <f t="shared" si="4"/>
        <v>0</v>
      </c>
      <c r="K95" s="60"/>
    </row>
    <row r="96" spans="1:11" x14ac:dyDescent="0.25">
      <c r="A96" s="74">
        <v>2</v>
      </c>
      <c r="B96" s="62">
        <v>2</v>
      </c>
      <c r="C96" s="62">
        <v>1</v>
      </c>
      <c r="D96" s="62">
        <v>4</v>
      </c>
      <c r="E96" s="63" t="s">
        <v>35</v>
      </c>
      <c r="F96" s="74" t="s">
        <v>99</v>
      </c>
      <c r="G96" s="64">
        <f>'[6]CUENTA T FONDO 100'!AR288</f>
        <v>0</v>
      </c>
      <c r="H96" s="64">
        <f>+'[5]junio 2025'!H96+'[5]mayo 2025'!H96+[5]abril!H96+[5]marzo!H96+[5]febrero!H96+'[5]enero '!H96</f>
        <v>0</v>
      </c>
      <c r="I96" s="64"/>
      <c r="J96" s="64">
        <f t="shared" si="4"/>
        <v>0</v>
      </c>
      <c r="K96" s="65">
        <f>J96/$J$25</f>
        <v>0</v>
      </c>
    </row>
    <row r="97" spans="1:11" x14ac:dyDescent="0.25">
      <c r="A97" s="72">
        <v>2</v>
      </c>
      <c r="B97" s="58">
        <v>2</v>
      </c>
      <c r="C97" s="58">
        <v>1</v>
      </c>
      <c r="D97" s="58">
        <v>5</v>
      </c>
      <c r="E97" s="58"/>
      <c r="F97" s="72" t="s">
        <v>100</v>
      </c>
      <c r="G97" s="59">
        <f>SUM(G98)</f>
        <v>0</v>
      </c>
      <c r="H97" s="59">
        <f>+'[5]junio 2025'!H97+'[5]mayo 2025'!H97+[5]abril!H97+[5]marzo!H97+[5]febrero!H97+'[5]enero '!H97</f>
        <v>210465.89</v>
      </c>
      <c r="I97" s="59">
        <f>SUM(I98)</f>
        <v>0</v>
      </c>
      <c r="J97" s="59">
        <f t="shared" si="4"/>
        <v>210465.89</v>
      </c>
      <c r="K97" s="60"/>
    </row>
    <row r="98" spans="1:11" x14ac:dyDescent="0.25">
      <c r="A98" s="74">
        <v>2</v>
      </c>
      <c r="B98" s="62">
        <v>2</v>
      </c>
      <c r="C98" s="62">
        <v>1</v>
      </c>
      <c r="D98" s="62">
        <v>5</v>
      </c>
      <c r="E98" s="63" t="s">
        <v>35</v>
      </c>
      <c r="F98" s="74" t="s">
        <v>100</v>
      </c>
      <c r="G98" s="64">
        <f>'[6]CUENTA T FONDO 100'!AS288</f>
        <v>0</v>
      </c>
      <c r="H98" s="64">
        <f>+'[5]junio 2025'!H98+'[5]mayo 2025'!H98+[5]abril!H98+[5]marzo!H98+[5]febrero!H98+'[5]enero '!H98</f>
        <v>210465.89</v>
      </c>
      <c r="I98" s="64"/>
      <c r="J98" s="64">
        <f t="shared" si="4"/>
        <v>210465.89</v>
      </c>
      <c r="K98" s="65">
        <f>J98/$J$25</f>
        <v>3.5591518616838089E-4</v>
      </c>
    </row>
    <row r="99" spans="1:11" x14ac:dyDescent="0.25">
      <c r="A99" s="72">
        <v>2</v>
      </c>
      <c r="B99" s="58">
        <v>2</v>
      </c>
      <c r="C99" s="58">
        <v>1</v>
      </c>
      <c r="D99" s="58">
        <v>6</v>
      </c>
      <c r="E99" s="58"/>
      <c r="F99" s="72" t="s">
        <v>101</v>
      </c>
      <c r="G99" s="59">
        <f>SUM(G100:G101)</f>
        <v>0</v>
      </c>
      <c r="H99" s="59">
        <f>+'[5]junio 2025'!H99+'[5]mayo 2025'!H99+[5]abril!H99+[5]marzo!H99+[5]febrero!H99+'[5]enero '!H99</f>
        <v>0</v>
      </c>
      <c r="I99" s="59">
        <f>SUM(I100:I101)</f>
        <v>0</v>
      </c>
      <c r="J99" s="59">
        <f t="shared" si="4"/>
        <v>0</v>
      </c>
      <c r="K99" s="60"/>
    </row>
    <row r="100" spans="1:11" x14ac:dyDescent="0.25">
      <c r="A100" s="74">
        <v>2</v>
      </c>
      <c r="B100" s="62">
        <v>2</v>
      </c>
      <c r="C100" s="62">
        <v>1</v>
      </c>
      <c r="D100" s="62">
        <v>6</v>
      </c>
      <c r="E100" s="63" t="s">
        <v>35</v>
      </c>
      <c r="F100" s="74" t="s">
        <v>102</v>
      </c>
      <c r="G100" s="64">
        <f>'[6]CUENTA T FONDO 100'!AT288</f>
        <v>0</v>
      </c>
      <c r="H100" s="64">
        <f>+'[5]junio 2025'!H100+'[5]mayo 2025'!H100+[5]abril!H100+[5]marzo!H100+[5]febrero!H100+'[5]enero '!H100</f>
        <v>0</v>
      </c>
      <c r="I100" s="64"/>
      <c r="J100" s="64">
        <f t="shared" si="4"/>
        <v>0</v>
      </c>
      <c r="K100" s="65">
        <f>J100/$J$25</f>
        <v>0</v>
      </c>
    </row>
    <row r="101" spans="1:11" x14ac:dyDescent="0.25">
      <c r="A101" s="74">
        <v>2</v>
      </c>
      <c r="B101" s="62">
        <v>2</v>
      </c>
      <c r="C101" s="62">
        <v>1</v>
      </c>
      <c r="D101" s="62">
        <v>6</v>
      </c>
      <c r="E101" s="63" t="s">
        <v>37</v>
      </c>
      <c r="F101" s="74" t="s">
        <v>103</v>
      </c>
      <c r="G101" s="64">
        <f>'[6]CUENTA T FONDO 100'!AU288</f>
        <v>0</v>
      </c>
      <c r="H101" s="64">
        <f>+'[5]junio 2025'!H101+'[5]mayo 2025'!H101+[5]abril!H101+[5]marzo!H101+[5]febrero!H101+'[5]enero '!H101</f>
        <v>0</v>
      </c>
      <c r="I101" s="64"/>
      <c r="J101" s="64">
        <f t="shared" si="4"/>
        <v>0</v>
      </c>
      <c r="K101" s="65">
        <f>J101/$J$25</f>
        <v>0</v>
      </c>
    </row>
    <row r="102" spans="1:11" x14ac:dyDescent="0.25">
      <c r="A102" s="72">
        <v>2</v>
      </c>
      <c r="B102" s="58">
        <v>2</v>
      </c>
      <c r="C102" s="58">
        <v>1</v>
      </c>
      <c r="D102" s="58">
        <v>7</v>
      </c>
      <c r="E102" s="58"/>
      <c r="F102" s="72" t="s">
        <v>104</v>
      </c>
      <c r="G102" s="59">
        <f>SUM(G103)</f>
        <v>2201629.2999999998</v>
      </c>
      <c r="H102" s="59">
        <f>+'[5]junio 2025'!H102+'[5]mayo 2025'!H102+[5]abril!H102+[5]marzo!H102+[5]febrero!H102+'[5]enero '!H102</f>
        <v>0</v>
      </c>
      <c r="I102" s="59">
        <f>SUM(I103)</f>
        <v>0</v>
      </c>
      <c r="J102" s="59">
        <f t="shared" si="4"/>
        <v>2201629.2999999998</v>
      </c>
      <c r="K102" s="60"/>
    </row>
    <row r="103" spans="1:11" x14ac:dyDescent="0.25">
      <c r="A103" s="74">
        <v>2</v>
      </c>
      <c r="B103" s="62">
        <v>2</v>
      </c>
      <c r="C103" s="62">
        <v>1</v>
      </c>
      <c r="D103" s="62">
        <v>7</v>
      </c>
      <c r="E103" s="63" t="s">
        <v>35</v>
      </c>
      <c r="F103" s="74" t="s">
        <v>104</v>
      </c>
      <c r="G103" s="64">
        <v>2201629.2999999998</v>
      </c>
      <c r="H103" s="64">
        <f>+'[5]junio 2025'!H103+'[5]mayo 2025'!H103+[5]abril!H103+[5]marzo!H103+[5]febrero!H103+'[5]enero '!H103</f>
        <v>0</v>
      </c>
      <c r="I103" s="64"/>
      <c r="J103" s="64">
        <f t="shared" si="4"/>
        <v>2201629.2999999998</v>
      </c>
      <c r="K103" s="65">
        <f>J103/$J$25</f>
        <v>3.7231368094053719E-3</v>
      </c>
    </row>
    <row r="104" spans="1:11" x14ac:dyDescent="0.25">
      <c r="A104" s="72">
        <v>2</v>
      </c>
      <c r="B104" s="58">
        <v>2</v>
      </c>
      <c r="C104" s="58">
        <v>1</v>
      </c>
      <c r="D104" s="58">
        <v>8</v>
      </c>
      <c r="E104" s="58"/>
      <c r="F104" s="72" t="s">
        <v>105</v>
      </c>
      <c r="G104" s="59">
        <f>SUM(G105)</f>
        <v>0</v>
      </c>
      <c r="H104" s="59">
        <f>+'[5]junio 2025'!H104+'[5]mayo 2025'!H104+[5]abril!H104+[5]marzo!H104+[5]febrero!H104+'[5]enero '!H104</f>
        <v>3190000</v>
      </c>
      <c r="I104" s="59">
        <f>SUM(I105)</f>
        <v>0</v>
      </c>
      <c r="J104" s="59">
        <f t="shared" si="4"/>
        <v>3190000</v>
      </c>
      <c r="K104" s="60"/>
    </row>
    <row r="105" spans="1:11" x14ac:dyDescent="0.25">
      <c r="A105" s="74">
        <v>2</v>
      </c>
      <c r="B105" s="62">
        <v>2</v>
      </c>
      <c r="C105" s="62">
        <v>1</v>
      </c>
      <c r="D105" s="62">
        <v>8</v>
      </c>
      <c r="E105" s="63" t="s">
        <v>35</v>
      </c>
      <c r="F105" s="74" t="s">
        <v>105</v>
      </c>
      <c r="G105" s="64">
        <f>'[6]CUENTA T FONDO 100'!AW288</f>
        <v>0</v>
      </c>
      <c r="H105" s="64">
        <f>+'[5]junio 2025'!H105+'[5]mayo 2025'!H105+[5]abril!H105+[5]marzo!H105+[5]febrero!H105+'[5]enero '!H105</f>
        <v>3190000</v>
      </c>
      <c r="I105" s="64"/>
      <c r="J105" s="64">
        <f t="shared" si="4"/>
        <v>3190000</v>
      </c>
      <c r="K105" s="65">
        <f>J105/$J$25</f>
        <v>5.3945532165669934E-3</v>
      </c>
    </row>
    <row r="106" spans="1:11" x14ac:dyDescent="0.25">
      <c r="A106" s="70">
        <v>2</v>
      </c>
      <c r="B106" s="55">
        <v>2</v>
      </c>
      <c r="C106" s="55">
        <v>2</v>
      </c>
      <c r="D106" s="55"/>
      <c r="E106" s="55"/>
      <c r="F106" s="70" t="s">
        <v>106</v>
      </c>
      <c r="G106" s="56">
        <f>+G107+G109</f>
        <v>676200.66</v>
      </c>
      <c r="H106" s="56">
        <f>+'[5]junio 2025'!H106+'[5]mayo 2025'!H106+[5]abril!H106+[5]marzo!H106+[5]febrero!H106+'[5]enero '!H106</f>
        <v>310139.40000000002</v>
      </c>
      <c r="I106" s="56">
        <f>+I107+I109</f>
        <v>0</v>
      </c>
      <c r="J106" s="56">
        <f t="shared" si="4"/>
        <v>986340.06</v>
      </c>
      <c r="K106" s="53"/>
    </row>
    <row r="107" spans="1:11" x14ac:dyDescent="0.25">
      <c r="A107" s="72">
        <v>2</v>
      </c>
      <c r="B107" s="58">
        <v>2</v>
      </c>
      <c r="C107" s="58">
        <v>2</v>
      </c>
      <c r="D107" s="58">
        <v>1</v>
      </c>
      <c r="E107" s="58"/>
      <c r="F107" s="72" t="s">
        <v>107</v>
      </c>
      <c r="G107" s="59">
        <f>SUM(G108)</f>
        <v>0</v>
      </c>
      <c r="H107" s="59">
        <f>+'[5]junio 2025'!H107+'[5]mayo 2025'!H107+[5]abril!H107+[5]marzo!H107+[5]febrero!H107+'[5]enero '!H107</f>
        <v>0</v>
      </c>
      <c r="I107" s="59">
        <f>SUM(I108)</f>
        <v>0</v>
      </c>
      <c r="J107" s="59">
        <f t="shared" si="4"/>
        <v>0</v>
      </c>
      <c r="K107" s="60"/>
    </row>
    <row r="108" spans="1:11" x14ac:dyDescent="0.25">
      <c r="A108" s="74">
        <v>2</v>
      </c>
      <c r="B108" s="62">
        <v>2</v>
      </c>
      <c r="C108" s="62">
        <v>2</v>
      </c>
      <c r="D108" s="62">
        <v>1</v>
      </c>
      <c r="E108" s="63" t="s">
        <v>35</v>
      </c>
      <c r="F108" s="74" t="s">
        <v>107</v>
      </c>
      <c r="G108" s="64">
        <f>'[6]CUENTA T FONDO 100'!AX288</f>
        <v>0</v>
      </c>
      <c r="H108" s="64">
        <f>+'[5]junio 2025'!H108+'[5]mayo 2025'!H108+[5]abril!H108+[5]marzo!H108+[5]febrero!H108+'[5]enero '!H108</f>
        <v>0</v>
      </c>
      <c r="I108" s="64"/>
      <c r="J108" s="64">
        <f t="shared" si="4"/>
        <v>0</v>
      </c>
      <c r="K108" s="65">
        <f>J108/$J$25</f>
        <v>0</v>
      </c>
    </row>
    <row r="109" spans="1:11" x14ac:dyDescent="0.25">
      <c r="A109" s="72">
        <v>2</v>
      </c>
      <c r="B109" s="58">
        <v>2</v>
      </c>
      <c r="C109" s="58">
        <v>2</v>
      </c>
      <c r="D109" s="58">
        <v>2</v>
      </c>
      <c r="E109" s="58"/>
      <c r="F109" s="72" t="s">
        <v>108</v>
      </c>
      <c r="G109" s="59">
        <f>SUM(G110)</f>
        <v>676200.66</v>
      </c>
      <c r="H109" s="59">
        <f>+'[5]junio 2025'!H109+'[5]mayo 2025'!H109+[5]abril!H109+[5]marzo!H109+[5]febrero!H109+'[5]enero '!H109</f>
        <v>310139.40000000002</v>
      </c>
      <c r="I109" s="59">
        <f>SUM(I110)</f>
        <v>0</v>
      </c>
      <c r="J109" s="59">
        <f t="shared" si="4"/>
        <v>986340.06</v>
      </c>
      <c r="K109" s="60"/>
    </row>
    <row r="110" spans="1:11" x14ac:dyDescent="0.25">
      <c r="A110" s="74">
        <v>2</v>
      </c>
      <c r="B110" s="62">
        <v>2</v>
      </c>
      <c r="C110" s="62">
        <v>2</v>
      </c>
      <c r="D110" s="62">
        <v>2</v>
      </c>
      <c r="E110" s="63" t="s">
        <v>35</v>
      </c>
      <c r="F110" s="74" t="s">
        <v>108</v>
      </c>
      <c r="G110" s="64">
        <v>676200.66</v>
      </c>
      <c r="H110" s="64">
        <f>+'[5]junio 2025'!H110+'[5]mayo 2025'!H110+[5]abril!H110+[5]marzo!H110+[5]febrero!H110+'[5]enero '!H110</f>
        <v>310139.40000000002</v>
      </c>
      <c r="I110" s="64"/>
      <c r="J110" s="64">
        <f t="shared" si="4"/>
        <v>986340.06</v>
      </c>
      <c r="K110" s="65">
        <f>J110/$J$25</f>
        <v>1.6679824273673608E-3</v>
      </c>
    </row>
    <row r="111" spans="1:11" x14ac:dyDescent="0.25">
      <c r="A111" s="70">
        <v>2</v>
      </c>
      <c r="B111" s="55">
        <v>2</v>
      </c>
      <c r="C111" s="55">
        <v>3</v>
      </c>
      <c r="D111" s="55"/>
      <c r="E111" s="55"/>
      <c r="F111" s="70" t="s">
        <v>109</v>
      </c>
      <c r="G111" s="56">
        <f>+G112+G114</f>
        <v>0</v>
      </c>
      <c r="H111" s="56">
        <f>+'[5]junio 2025'!H111+'[5]mayo 2025'!H111+[5]abril!H111+[5]marzo!H111+[5]febrero!H111+'[5]enero '!H111</f>
        <v>0</v>
      </c>
      <c r="I111" s="56">
        <f>+I112+I114</f>
        <v>0</v>
      </c>
      <c r="J111" s="56">
        <f t="shared" si="4"/>
        <v>0</v>
      </c>
      <c r="K111" s="53"/>
    </row>
    <row r="112" spans="1:11" x14ac:dyDescent="0.25">
      <c r="A112" s="72">
        <v>2</v>
      </c>
      <c r="B112" s="58">
        <v>2</v>
      </c>
      <c r="C112" s="58">
        <v>3</v>
      </c>
      <c r="D112" s="58">
        <v>1</v>
      </c>
      <c r="E112" s="58"/>
      <c r="F112" s="72" t="s">
        <v>110</v>
      </c>
      <c r="G112" s="59">
        <f>SUM(G113)</f>
        <v>0</v>
      </c>
      <c r="H112" s="59">
        <f>+'[5]junio 2025'!H112+'[5]mayo 2025'!H112+[5]abril!H112+[5]marzo!H112+[5]febrero!H112+'[5]enero '!H112</f>
        <v>0</v>
      </c>
      <c r="I112" s="59">
        <f>SUM(I113)</f>
        <v>0</v>
      </c>
      <c r="J112" s="59">
        <f t="shared" si="4"/>
        <v>0</v>
      </c>
      <c r="K112" s="60"/>
    </row>
    <row r="113" spans="1:11" x14ac:dyDescent="0.25">
      <c r="A113" s="74">
        <v>2</v>
      </c>
      <c r="B113" s="62">
        <v>2</v>
      </c>
      <c r="C113" s="62">
        <v>3</v>
      </c>
      <c r="D113" s="62">
        <v>1</v>
      </c>
      <c r="E113" s="63" t="s">
        <v>35</v>
      </c>
      <c r="F113" s="74" t="s">
        <v>110</v>
      </c>
      <c r="G113" s="64">
        <f>'[6]CUENTA T FONDO 100'!AZ288</f>
        <v>0</v>
      </c>
      <c r="H113" s="64">
        <f>+'[5]junio 2025'!H113+'[5]mayo 2025'!H113+[5]abril!H113+[5]marzo!H113+[5]febrero!H113+'[5]enero '!H113</f>
        <v>0</v>
      </c>
      <c r="I113" s="64"/>
      <c r="J113" s="64">
        <f t="shared" si="4"/>
        <v>0</v>
      </c>
      <c r="K113" s="65">
        <f>J113/$J$25</f>
        <v>0</v>
      </c>
    </row>
    <row r="114" spans="1:11" x14ac:dyDescent="0.25">
      <c r="A114" s="72">
        <v>2</v>
      </c>
      <c r="B114" s="58">
        <v>2</v>
      </c>
      <c r="C114" s="58">
        <v>3</v>
      </c>
      <c r="D114" s="58">
        <v>2</v>
      </c>
      <c r="E114" s="58"/>
      <c r="F114" s="72" t="s">
        <v>111</v>
      </c>
      <c r="G114" s="59">
        <f>SUM(G115)</f>
        <v>0</v>
      </c>
      <c r="H114" s="59">
        <f>+'[5]junio 2025'!H114+'[5]mayo 2025'!H114+[5]abril!H114+[5]marzo!H114+[5]febrero!H114+'[5]enero '!H114</f>
        <v>0</v>
      </c>
      <c r="I114" s="59">
        <f>SUM(I115)</f>
        <v>0</v>
      </c>
      <c r="J114" s="59">
        <f t="shared" si="4"/>
        <v>0</v>
      </c>
      <c r="K114" s="60"/>
    </row>
    <row r="115" spans="1:11" x14ac:dyDescent="0.25">
      <c r="A115" s="74">
        <v>2</v>
      </c>
      <c r="B115" s="62">
        <v>2</v>
      </c>
      <c r="C115" s="62">
        <v>3</v>
      </c>
      <c r="D115" s="62">
        <v>2</v>
      </c>
      <c r="E115" s="63" t="s">
        <v>35</v>
      </c>
      <c r="F115" s="74" t="s">
        <v>111</v>
      </c>
      <c r="G115" s="64">
        <f>'[6]CUENTA T FONDO 100'!BA288</f>
        <v>0</v>
      </c>
      <c r="H115" s="64">
        <f>+'[5]junio 2025'!H115+'[5]mayo 2025'!H115+[5]abril!H115+[5]marzo!H115+[5]febrero!H115+'[5]enero '!H115</f>
        <v>0</v>
      </c>
      <c r="I115" s="64"/>
      <c r="J115" s="64">
        <f t="shared" si="4"/>
        <v>0</v>
      </c>
      <c r="K115" s="65">
        <f>J115/$J$25</f>
        <v>0</v>
      </c>
    </row>
    <row r="116" spans="1:11" x14ac:dyDescent="0.25">
      <c r="A116" s="70">
        <v>2</v>
      </c>
      <c r="B116" s="55">
        <v>2</v>
      </c>
      <c r="C116" s="55">
        <v>4</v>
      </c>
      <c r="D116" s="55"/>
      <c r="E116" s="55"/>
      <c r="F116" s="70" t="s">
        <v>112</v>
      </c>
      <c r="G116" s="56">
        <f>+G117+G119+G121+G123</f>
        <v>0</v>
      </c>
      <c r="H116" s="56">
        <f>+'[5]junio 2025'!H116+'[5]mayo 2025'!H116+[5]abril!H116+[5]marzo!H116+[5]febrero!H116+'[5]enero '!H116</f>
        <v>152000</v>
      </c>
      <c r="I116" s="56">
        <f>+I117+I119+I121+I123</f>
        <v>0</v>
      </c>
      <c r="J116" s="56">
        <f t="shared" si="4"/>
        <v>152000</v>
      </c>
      <c r="K116" s="53"/>
    </row>
    <row r="117" spans="1:11" x14ac:dyDescent="0.25">
      <c r="A117" s="72">
        <v>2</v>
      </c>
      <c r="B117" s="58">
        <v>2</v>
      </c>
      <c r="C117" s="58">
        <v>4</v>
      </c>
      <c r="D117" s="58">
        <v>1</v>
      </c>
      <c r="E117" s="58"/>
      <c r="F117" s="72" t="s">
        <v>113</v>
      </c>
      <c r="G117" s="59">
        <f>SUM(G118)</f>
        <v>0</v>
      </c>
      <c r="H117" s="59">
        <f>+'[5]junio 2025'!H117+'[5]mayo 2025'!H117+[5]abril!H117+[5]marzo!H117+[5]febrero!H117+'[5]enero '!H117</f>
        <v>20000</v>
      </c>
      <c r="I117" s="59">
        <f>SUM(I118)</f>
        <v>0</v>
      </c>
      <c r="J117" s="59">
        <f t="shared" si="4"/>
        <v>20000</v>
      </c>
      <c r="K117" s="60"/>
    </row>
    <row r="118" spans="1:11" x14ac:dyDescent="0.25">
      <c r="A118" s="74">
        <v>2</v>
      </c>
      <c r="B118" s="62">
        <v>2</v>
      </c>
      <c r="C118" s="62">
        <v>4</v>
      </c>
      <c r="D118" s="62">
        <v>1</v>
      </c>
      <c r="E118" s="63" t="s">
        <v>35</v>
      </c>
      <c r="F118" s="74" t="s">
        <v>113</v>
      </c>
      <c r="G118" s="64">
        <f>'[6]CUENTA T FONDO 100'!BB288</f>
        <v>0</v>
      </c>
      <c r="H118" s="64">
        <f>+'[5]junio 2025'!H118+'[5]mayo 2025'!H118+[5]abril!H118+[5]marzo!H118+[5]febrero!H118+'[5]enero '!H118</f>
        <v>20000</v>
      </c>
      <c r="I118" s="64"/>
      <c r="J118" s="64">
        <f t="shared" si="4"/>
        <v>20000</v>
      </c>
      <c r="K118" s="65">
        <f>J118/$J$25</f>
        <v>3.3821650260608109E-5</v>
      </c>
    </row>
    <row r="119" spans="1:11" x14ac:dyDescent="0.25">
      <c r="A119" s="72">
        <v>2</v>
      </c>
      <c r="B119" s="58">
        <v>2</v>
      </c>
      <c r="C119" s="58">
        <v>4</v>
      </c>
      <c r="D119" s="58">
        <v>2</v>
      </c>
      <c r="E119" s="58"/>
      <c r="F119" s="72" t="s">
        <v>114</v>
      </c>
      <c r="G119" s="59">
        <f>SUM(G120)</f>
        <v>0</v>
      </c>
      <c r="H119" s="59">
        <f>+'[5]junio 2025'!H119+'[5]mayo 2025'!H119+[5]abril!H119+[5]marzo!H119+[5]febrero!H119+'[5]enero '!H119</f>
        <v>132000</v>
      </c>
      <c r="I119" s="59">
        <f>SUM(I120)</f>
        <v>0</v>
      </c>
      <c r="J119" s="59">
        <f t="shared" si="4"/>
        <v>132000</v>
      </c>
      <c r="K119" s="60"/>
    </row>
    <row r="120" spans="1:11" x14ac:dyDescent="0.25">
      <c r="A120" s="74">
        <v>2</v>
      </c>
      <c r="B120" s="62">
        <v>2</v>
      </c>
      <c r="C120" s="62">
        <v>4</v>
      </c>
      <c r="D120" s="62">
        <v>2</v>
      </c>
      <c r="E120" s="63" t="s">
        <v>35</v>
      </c>
      <c r="F120" s="74" t="s">
        <v>114</v>
      </c>
      <c r="G120" s="64">
        <f>'[6]CUENTA T FONDO 100'!BC288</f>
        <v>0</v>
      </c>
      <c r="H120" s="64">
        <f>+'[5]junio 2025'!H120+'[5]mayo 2025'!H120+[5]abril!H120+[5]marzo!H120+[5]febrero!H120+'[5]enero '!H120</f>
        <v>132000</v>
      </c>
      <c r="I120" s="64"/>
      <c r="J120" s="64">
        <f t="shared" si="4"/>
        <v>132000</v>
      </c>
      <c r="K120" s="65">
        <f>J120/$J$25</f>
        <v>2.232228917200135E-4</v>
      </c>
    </row>
    <row r="121" spans="1:11" x14ac:dyDescent="0.25">
      <c r="A121" s="72">
        <v>2</v>
      </c>
      <c r="B121" s="58">
        <v>2</v>
      </c>
      <c r="C121" s="58">
        <v>4</v>
      </c>
      <c r="D121" s="58">
        <v>3</v>
      </c>
      <c r="E121" s="58"/>
      <c r="F121" s="72" t="s">
        <v>115</v>
      </c>
      <c r="G121" s="59">
        <f>SUM(G122)</f>
        <v>0</v>
      </c>
      <c r="H121" s="59">
        <f>+'[5]junio 2025'!H121+'[5]mayo 2025'!H121+[5]abril!H121+[5]marzo!H121+[5]febrero!H121+'[5]enero '!H121</f>
        <v>0</v>
      </c>
      <c r="I121" s="59">
        <f>SUM(I122)</f>
        <v>0</v>
      </c>
      <c r="J121" s="59">
        <f t="shared" si="4"/>
        <v>0</v>
      </c>
      <c r="K121" s="60"/>
    </row>
    <row r="122" spans="1:11" x14ac:dyDescent="0.25">
      <c r="A122" s="74">
        <v>2</v>
      </c>
      <c r="B122" s="62">
        <v>2</v>
      </c>
      <c r="C122" s="62">
        <v>4</v>
      </c>
      <c r="D122" s="62">
        <v>3</v>
      </c>
      <c r="E122" s="63" t="s">
        <v>35</v>
      </c>
      <c r="F122" s="74" t="s">
        <v>115</v>
      </c>
      <c r="G122" s="64">
        <f>'[6]CUENTA T FONDO 100'!BD288</f>
        <v>0</v>
      </c>
      <c r="H122" s="64">
        <f>+'[5]junio 2025'!H122+'[5]mayo 2025'!H122+[5]abril!H122+[5]marzo!H122+[5]febrero!H122+'[5]enero '!H122</f>
        <v>0</v>
      </c>
      <c r="I122" s="64"/>
      <c r="J122" s="64">
        <f t="shared" si="4"/>
        <v>0</v>
      </c>
      <c r="K122" s="65">
        <f>J122/$J$25</f>
        <v>0</v>
      </c>
    </row>
    <row r="123" spans="1:11" x14ac:dyDescent="0.25">
      <c r="A123" s="72">
        <v>2</v>
      </c>
      <c r="B123" s="58">
        <v>2</v>
      </c>
      <c r="C123" s="58">
        <v>4</v>
      </c>
      <c r="D123" s="58">
        <v>4</v>
      </c>
      <c r="E123" s="58"/>
      <c r="F123" s="72" t="s">
        <v>116</v>
      </c>
      <c r="G123" s="59">
        <f>SUM(G124)</f>
        <v>0</v>
      </c>
      <c r="H123" s="59">
        <f>+'[5]junio 2025'!H123+'[5]mayo 2025'!H123+[5]abril!H123+[5]marzo!H123+[5]febrero!H123+'[5]enero '!H123</f>
        <v>0</v>
      </c>
      <c r="I123" s="59">
        <f>SUM(I124)</f>
        <v>0</v>
      </c>
      <c r="J123" s="59">
        <f t="shared" si="4"/>
        <v>0</v>
      </c>
      <c r="K123" s="60"/>
    </row>
    <row r="124" spans="1:11" x14ac:dyDescent="0.25">
      <c r="A124" s="74">
        <v>2</v>
      </c>
      <c r="B124" s="62">
        <v>2</v>
      </c>
      <c r="C124" s="62">
        <v>4</v>
      </c>
      <c r="D124" s="62">
        <v>4</v>
      </c>
      <c r="E124" s="63" t="s">
        <v>35</v>
      </c>
      <c r="F124" s="74" t="s">
        <v>116</v>
      </c>
      <c r="G124" s="64">
        <f>'[6]CUENTA T FONDO 100'!BE288</f>
        <v>0</v>
      </c>
      <c r="H124" s="64">
        <f>+'[5]junio 2025'!H124+'[5]mayo 2025'!H124+[5]abril!H124+[5]marzo!H124+[5]febrero!H124+'[5]enero '!H124</f>
        <v>0</v>
      </c>
      <c r="I124" s="64"/>
      <c r="J124" s="64">
        <f t="shared" si="4"/>
        <v>0</v>
      </c>
      <c r="K124" s="65">
        <f>J124/$J$25</f>
        <v>0</v>
      </c>
    </row>
    <row r="125" spans="1:11" x14ac:dyDescent="0.25">
      <c r="A125" s="54">
        <v>2</v>
      </c>
      <c r="B125" s="55">
        <v>2</v>
      </c>
      <c r="C125" s="55">
        <v>5</v>
      </c>
      <c r="D125" s="55"/>
      <c r="E125" s="55"/>
      <c r="F125" s="70" t="s">
        <v>117</v>
      </c>
      <c r="G125" s="56">
        <f>+G126+G128+G130+G136+G138+G140+G142+G144+G146</f>
        <v>150000</v>
      </c>
      <c r="H125" s="56">
        <f>+'[5]junio 2025'!H125+'[5]mayo 2025'!H125+[5]abril!H125+[5]marzo!H125+[5]febrero!H125+'[5]enero '!H125</f>
        <v>1278795.58</v>
      </c>
      <c r="I125" s="56">
        <f>+I126+I128+I130+I136+I138+I140+I142+I144+I146</f>
        <v>0</v>
      </c>
      <c r="J125" s="56">
        <f>SUM(G125:I125)</f>
        <v>1428795.58</v>
      </c>
      <c r="K125" s="53"/>
    </row>
    <row r="126" spans="1:11" x14ac:dyDescent="0.25">
      <c r="A126" s="72">
        <v>2</v>
      </c>
      <c r="B126" s="58">
        <v>2</v>
      </c>
      <c r="C126" s="58">
        <v>5</v>
      </c>
      <c r="D126" s="58">
        <v>1</v>
      </c>
      <c r="E126" s="77"/>
      <c r="F126" s="72" t="s">
        <v>118</v>
      </c>
      <c r="G126" s="59">
        <f>SUM(G127)</f>
        <v>0</v>
      </c>
      <c r="H126" s="59">
        <f>+'[5]junio 2025'!H126+'[5]mayo 2025'!H126+[5]abril!H126+[5]marzo!H126+[5]febrero!H126+'[5]enero '!H126</f>
        <v>0</v>
      </c>
      <c r="I126" s="59">
        <f>SUM(I127)</f>
        <v>0</v>
      </c>
      <c r="J126" s="59">
        <f t="shared" si="4"/>
        <v>0</v>
      </c>
      <c r="K126" s="60"/>
    </row>
    <row r="127" spans="1:11" x14ac:dyDescent="0.25">
      <c r="A127" s="74">
        <v>2</v>
      </c>
      <c r="B127" s="62">
        <v>2</v>
      </c>
      <c r="C127" s="62">
        <v>5</v>
      </c>
      <c r="D127" s="62">
        <v>1</v>
      </c>
      <c r="E127" s="63" t="s">
        <v>35</v>
      </c>
      <c r="F127" s="74" t="s">
        <v>118</v>
      </c>
      <c r="G127" s="64">
        <f>'[6]CUENTA T FONDO 100'!BF288</f>
        <v>0</v>
      </c>
      <c r="H127" s="169">
        <f>+'[5]junio 2025'!H127+'[5]mayo 2025'!H127+[5]abril!H127+[5]marzo!H127+[5]febrero!H127+'[5]enero '!H127</f>
        <v>0</v>
      </c>
      <c r="I127" s="169"/>
      <c r="J127" s="64">
        <f t="shared" si="4"/>
        <v>0</v>
      </c>
      <c r="K127" s="65">
        <f>J127/$J$25</f>
        <v>0</v>
      </c>
    </row>
    <row r="128" spans="1:11" x14ac:dyDescent="0.25">
      <c r="A128" s="72">
        <v>2</v>
      </c>
      <c r="B128" s="58">
        <v>2</v>
      </c>
      <c r="C128" s="58">
        <v>5</v>
      </c>
      <c r="D128" s="58">
        <v>2</v>
      </c>
      <c r="E128" s="77"/>
      <c r="F128" s="72" t="s">
        <v>119</v>
      </c>
      <c r="G128" s="59">
        <f>SUM(G129)</f>
        <v>0</v>
      </c>
      <c r="H128" s="59">
        <f>+'[5]junio 2025'!H128+'[5]mayo 2025'!H128+[5]abril!H128+[5]marzo!H128+[5]febrero!H128+'[5]enero '!H128</f>
        <v>0</v>
      </c>
      <c r="I128" s="59">
        <f>SUM(I129)</f>
        <v>0</v>
      </c>
      <c r="J128" s="59">
        <f t="shared" si="4"/>
        <v>0</v>
      </c>
      <c r="K128" s="60"/>
    </row>
    <row r="129" spans="1:11" x14ac:dyDescent="0.25">
      <c r="A129" s="74">
        <v>2</v>
      </c>
      <c r="B129" s="62">
        <v>2</v>
      </c>
      <c r="C129" s="62">
        <v>5</v>
      </c>
      <c r="D129" s="62">
        <v>2</v>
      </c>
      <c r="E129" s="63" t="s">
        <v>35</v>
      </c>
      <c r="F129" s="74" t="s">
        <v>120</v>
      </c>
      <c r="G129" s="64">
        <f>'[6]CUENTA T FONDO 100'!BG288</f>
        <v>0</v>
      </c>
      <c r="H129" s="169">
        <f>+'[5]junio 2025'!H129+'[5]mayo 2025'!H129+[5]abril!H129+[5]marzo!H129+[5]febrero!H129+'[5]enero '!H129</f>
        <v>0</v>
      </c>
      <c r="I129" s="169"/>
      <c r="J129" s="64">
        <f t="shared" si="4"/>
        <v>0</v>
      </c>
      <c r="K129" s="65">
        <f>J129/$J$25</f>
        <v>0</v>
      </c>
    </row>
    <row r="130" spans="1:11" x14ac:dyDescent="0.25">
      <c r="A130" s="72">
        <v>2</v>
      </c>
      <c r="B130" s="58">
        <v>2</v>
      </c>
      <c r="C130" s="58">
        <v>5</v>
      </c>
      <c r="D130" s="58">
        <v>3</v>
      </c>
      <c r="E130" s="77"/>
      <c r="F130" s="72" t="s">
        <v>121</v>
      </c>
      <c r="G130" s="59">
        <f>SUM(G131:G135)</f>
        <v>0</v>
      </c>
      <c r="H130" s="59">
        <f>+'[5]junio 2025'!H130+'[5]mayo 2025'!H130+[5]abril!H130+[5]marzo!H130+[5]febrero!H130+'[5]enero '!H130</f>
        <v>1225695.58</v>
      </c>
      <c r="I130" s="59">
        <f>SUM(I131:I135)</f>
        <v>0</v>
      </c>
      <c r="J130" s="59">
        <f t="shared" si="4"/>
        <v>1225695.58</v>
      </c>
      <c r="K130" s="60"/>
    </row>
    <row r="131" spans="1:11" x14ac:dyDescent="0.25">
      <c r="A131" s="74">
        <v>2</v>
      </c>
      <c r="B131" s="62">
        <v>2</v>
      </c>
      <c r="C131" s="62">
        <v>5</v>
      </c>
      <c r="D131" s="62">
        <v>3</v>
      </c>
      <c r="E131" s="63" t="s">
        <v>35</v>
      </c>
      <c r="F131" s="74" t="s">
        <v>122</v>
      </c>
      <c r="G131" s="64">
        <f>'[6]CUENTA T FONDO 100'!BH288</f>
        <v>0</v>
      </c>
      <c r="H131" s="169">
        <f>+'[5]junio 2025'!H131+'[5]mayo 2025'!H131+[5]abril!H131+[5]marzo!H131+[5]febrero!H131+'[5]enero '!H131</f>
        <v>0</v>
      </c>
      <c r="I131" s="169"/>
      <c r="J131" s="64">
        <f t="shared" si="4"/>
        <v>0</v>
      </c>
      <c r="K131" s="65">
        <f>J131/$J$25</f>
        <v>0</v>
      </c>
    </row>
    <row r="132" spans="1:11" x14ac:dyDescent="0.25">
      <c r="A132" s="74">
        <v>2</v>
      </c>
      <c r="B132" s="62">
        <v>2</v>
      </c>
      <c r="C132" s="62">
        <v>5</v>
      </c>
      <c r="D132" s="62">
        <v>3</v>
      </c>
      <c r="E132" s="63" t="s">
        <v>37</v>
      </c>
      <c r="F132" s="74" t="s">
        <v>123</v>
      </c>
      <c r="G132" s="64">
        <f>'[6]CUENTA T FONDO 100'!BI288</f>
        <v>0</v>
      </c>
      <c r="H132" s="169">
        <f>+'[5]junio 2025'!H132+'[5]mayo 2025'!H132+[5]abril!H132+[5]marzo!H132+[5]febrero!H132+'[5]enero '!H132</f>
        <v>1225695.58</v>
      </c>
      <c r="I132" s="169"/>
      <c r="J132" s="64">
        <f t="shared" si="4"/>
        <v>1225695.58</v>
      </c>
      <c r="K132" s="65">
        <f>J132/$J$25</f>
        <v>2.0727523616366605E-3</v>
      </c>
    </row>
    <row r="133" spans="1:11" x14ac:dyDescent="0.25">
      <c r="A133" s="74">
        <v>2</v>
      </c>
      <c r="B133" s="62">
        <v>2</v>
      </c>
      <c r="C133" s="62">
        <v>5</v>
      </c>
      <c r="D133" s="62">
        <v>3</v>
      </c>
      <c r="E133" s="63" t="s">
        <v>39</v>
      </c>
      <c r="F133" s="74" t="s">
        <v>124</v>
      </c>
      <c r="G133" s="64">
        <f>'[6]CUENTA T FONDO 100'!BJ288</f>
        <v>0</v>
      </c>
      <c r="H133" s="169">
        <f>+'[5]junio 2025'!H133+'[5]mayo 2025'!H133+[5]abril!H133+[5]marzo!H133+[5]febrero!H133+'[5]enero '!H133</f>
        <v>0</v>
      </c>
      <c r="I133" s="169"/>
      <c r="J133" s="64">
        <f t="shared" si="4"/>
        <v>0</v>
      </c>
      <c r="K133" s="65">
        <f>J133/$J$25</f>
        <v>0</v>
      </c>
    </row>
    <row r="134" spans="1:11" x14ac:dyDescent="0.25">
      <c r="A134" s="74">
        <v>2</v>
      </c>
      <c r="B134" s="62">
        <v>2</v>
      </c>
      <c r="C134" s="62">
        <v>5</v>
      </c>
      <c r="D134" s="62">
        <v>3</v>
      </c>
      <c r="E134" s="63" t="s">
        <v>41</v>
      </c>
      <c r="F134" s="74" t="s">
        <v>125</v>
      </c>
      <c r="G134" s="64">
        <f>'[6]CUENTA T FONDO 100'!BK288</f>
        <v>0</v>
      </c>
      <c r="H134" s="169">
        <f>+'[5]junio 2025'!H134+'[5]mayo 2025'!H134+[5]abril!H134+[5]marzo!H134+[5]febrero!H134+'[5]enero '!H134</f>
        <v>0</v>
      </c>
      <c r="I134" s="169"/>
      <c r="J134" s="64">
        <f t="shared" si="4"/>
        <v>0</v>
      </c>
      <c r="K134" s="65">
        <f>J134/$J$25</f>
        <v>0</v>
      </c>
    </row>
    <row r="135" spans="1:11" x14ac:dyDescent="0.25">
      <c r="A135" s="74">
        <v>2</v>
      </c>
      <c r="B135" s="62">
        <v>2</v>
      </c>
      <c r="C135" s="62">
        <v>5</v>
      </c>
      <c r="D135" s="62">
        <v>3</v>
      </c>
      <c r="E135" s="63" t="s">
        <v>43</v>
      </c>
      <c r="F135" s="74" t="s">
        <v>126</v>
      </c>
      <c r="G135" s="64">
        <f>'[6]CUENTA T FONDO 100'!BL288</f>
        <v>0</v>
      </c>
      <c r="H135" s="169">
        <f>+'[5]junio 2025'!H135+'[5]mayo 2025'!H135+[5]abril!H135+[5]marzo!H135+[5]febrero!H135+'[5]enero '!H135</f>
        <v>0</v>
      </c>
      <c r="I135" s="169"/>
      <c r="J135" s="64">
        <f t="shared" si="4"/>
        <v>0</v>
      </c>
      <c r="K135" s="65">
        <f>J135/$J$25</f>
        <v>0</v>
      </c>
    </row>
    <row r="136" spans="1:11" x14ac:dyDescent="0.25">
      <c r="A136" s="72">
        <v>2</v>
      </c>
      <c r="B136" s="58">
        <v>2</v>
      </c>
      <c r="C136" s="58">
        <v>5</v>
      </c>
      <c r="D136" s="58">
        <v>4</v>
      </c>
      <c r="E136" s="77"/>
      <c r="F136" s="72" t="s">
        <v>127</v>
      </c>
      <c r="G136" s="59">
        <f>SUM(G137)</f>
        <v>0</v>
      </c>
      <c r="H136" s="59">
        <f>+'[5]junio 2025'!H136+'[5]mayo 2025'!H136+[5]abril!H136+[5]marzo!H136+[5]febrero!H136+'[5]enero '!H136</f>
        <v>0</v>
      </c>
      <c r="I136" s="59">
        <f>SUM(I137)</f>
        <v>0</v>
      </c>
      <c r="J136" s="59">
        <f t="shared" si="4"/>
        <v>0</v>
      </c>
      <c r="K136" s="60"/>
    </row>
    <row r="137" spans="1:11" x14ac:dyDescent="0.25">
      <c r="A137" s="74">
        <v>2</v>
      </c>
      <c r="B137" s="62">
        <v>2</v>
      </c>
      <c r="C137" s="62">
        <v>5</v>
      </c>
      <c r="D137" s="62">
        <v>4</v>
      </c>
      <c r="E137" s="63" t="s">
        <v>35</v>
      </c>
      <c r="F137" s="74" t="s">
        <v>127</v>
      </c>
      <c r="G137" s="64">
        <f>'[6]CUENTA T FONDO 100'!BM288</f>
        <v>0</v>
      </c>
      <c r="H137" s="169">
        <f>+'[5]junio 2025'!H137+'[5]mayo 2025'!H137+[5]abril!H137+[5]marzo!H137+[5]febrero!H137+'[5]enero '!H137</f>
        <v>0</v>
      </c>
      <c r="I137" s="169"/>
      <c r="J137" s="64">
        <f t="shared" si="4"/>
        <v>0</v>
      </c>
      <c r="K137" s="65">
        <f>J137/$J$25</f>
        <v>0</v>
      </c>
    </row>
    <row r="138" spans="1:11" x14ac:dyDescent="0.25">
      <c r="A138" s="72">
        <v>2</v>
      </c>
      <c r="B138" s="58">
        <v>2</v>
      </c>
      <c r="C138" s="58">
        <v>5</v>
      </c>
      <c r="D138" s="58">
        <v>5</v>
      </c>
      <c r="E138" s="77"/>
      <c r="F138" s="72" t="s">
        <v>128</v>
      </c>
      <c r="G138" s="59">
        <f>SUM(G139)</f>
        <v>0</v>
      </c>
      <c r="H138" s="59">
        <f>+'[5]junio 2025'!H138+'[5]mayo 2025'!H138+[5]abril!H138+[5]marzo!H138+[5]febrero!H138+'[5]enero '!H138</f>
        <v>0</v>
      </c>
      <c r="I138" s="59">
        <f>SUM(I139)</f>
        <v>0</v>
      </c>
      <c r="J138" s="59">
        <f t="shared" si="4"/>
        <v>0</v>
      </c>
      <c r="K138" s="60"/>
    </row>
    <row r="139" spans="1:11" x14ac:dyDescent="0.25">
      <c r="A139" s="74">
        <v>2</v>
      </c>
      <c r="B139" s="62">
        <v>2</v>
      </c>
      <c r="C139" s="62">
        <v>5</v>
      </c>
      <c r="D139" s="62">
        <v>5</v>
      </c>
      <c r="E139" s="63" t="s">
        <v>35</v>
      </c>
      <c r="F139" s="74" t="s">
        <v>128</v>
      </c>
      <c r="G139" s="64">
        <f>'[6]CUENTA T FONDO 100'!BN288</f>
        <v>0</v>
      </c>
      <c r="H139" s="169">
        <f>+'[5]junio 2025'!H139+'[5]mayo 2025'!H139+[5]abril!H139+[5]marzo!H139+[5]febrero!H139+'[5]enero '!H139</f>
        <v>0</v>
      </c>
      <c r="I139" s="169"/>
      <c r="J139" s="64">
        <f t="shared" si="4"/>
        <v>0</v>
      </c>
      <c r="K139" s="65">
        <f>J139/$J$25</f>
        <v>0</v>
      </c>
    </row>
    <row r="140" spans="1:11" x14ac:dyDescent="0.25">
      <c r="A140" s="72">
        <v>2</v>
      </c>
      <c r="B140" s="58">
        <v>2</v>
      </c>
      <c r="C140" s="58">
        <v>5</v>
      </c>
      <c r="D140" s="58">
        <v>6</v>
      </c>
      <c r="E140" s="77"/>
      <c r="F140" s="72" t="s">
        <v>129</v>
      </c>
      <c r="G140" s="59">
        <f>SUM(G141)</f>
        <v>0</v>
      </c>
      <c r="H140" s="59">
        <f>+'[5]junio 2025'!H140+'[5]mayo 2025'!H140+[5]abril!H140+[5]marzo!H140+[5]febrero!H140+'[5]enero '!H140</f>
        <v>0</v>
      </c>
      <c r="I140" s="59">
        <f>SUM(I141)</f>
        <v>0</v>
      </c>
      <c r="J140" s="59">
        <f t="shared" si="4"/>
        <v>0</v>
      </c>
      <c r="K140" s="60"/>
    </row>
    <row r="141" spans="1:11" x14ac:dyDescent="0.25">
      <c r="A141" s="74">
        <v>2</v>
      </c>
      <c r="B141" s="62">
        <v>2</v>
      </c>
      <c r="C141" s="62">
        <v>5</v>
      </c>
      <c r="D141" s="62">
        <v>6</v>
      </c>
      <c r="E141" s="63" t="s">
        <v>35</v>
      </c>
      <c r="F141" s="74" t="s">
        <v>129</v>
      </c>
      <c r="G141" s="64">
        <f>'[6]CUENTA T FONDO 100'!BO288</f>
        <v>0</v>
      </c>
      <c r="H141" s="169">
        <f>+'[5]junio 2025'!H141+'[5]mayo 2025'!H141+[5]abril!H141+[5]marzo!H141+[5]febrero!H141+'[5]enero '!H141</f>
        <v>0</v>
      </c>
      <c r="I141" s="169"/>
      <c r="J141" s="64">
        <f t="shared" si="4"/>
        <v>0</v>
      </c>
      <c r="K141" s="65">
        <f>J141/$J$25</f>
        <v>0</v>
      </c>
    </row>
    <row r="142" spans="1:11" x14ac:dyDescent="0.25">
      <c r="A142" s="72">
        <v>2</v>
      </c>
      <c r="B142" s="58">
        <v>2</v>
      </c>
      <c r="C142" s="58">
        <v>5</v>
      </c>
      <c r="D142" s="58">
        <v>7</v>
      </c>
      <c r="E142" s="77"/>
      <c r="F142" s="72" t="s">
        <v>130</v>
      </c>
      <c r="G142" s="59">
        <f>SUM(G143)</f>
        <v>0</v>
      </c>
      <c r="H142" s="59">
        <f>+'[5]junio 2025'!H142+'[5]mayo 2025'!H142+[5]abril!H142+[5]marzo!H142+[5]febrero!H142+'[5]enero '!H142</f>
        <v>0</v>
      </c>
      <c r="I142" s="59">
        <f>SUM(I143)</f>
        <v>0</v>
      </c>
      <c r="J142" s="59">
        <f t="shared" si="4"/>
        <v>0</v>
      </c>
      <c r="K142" s="60"/>
    </row>
    <row r="143" spans="1:11" x14ac:dyDescent="0.25">
      <c r="A143" s="74">
        <v>2</v>
      </c>
      <c r="B143" s="62">
        <v>2</v>
      </c>
      <c r="C143" s="62">
        <v>5</v>
      </c>
      <c r="D143" s="62">
        <v>7</v>
      </c>
      <c r="E143" s="63" t="s">
        <v>35</v>
      </c>
      <c r="F143" s="74" t="s">
        <v>130</v>
      </c>
      <c r="G143" s="64">
        <f>'[6]CUENTA T FONDO 100'!BP288</f>
        <v>0</v>
      </c>
      <c r="H143" s="169">
        <f>+'[5]junio 2025'!H143+'[5]mayo 2025'!H143+[5]abril!H143+[5]marzo!H143+[5]febrero!H143+'[5]enero '!H143</f>
        <v>0</v>
      </c>
      <c r="I143" s="169"/>
      <c r="J143" s="64">
        <f t="shared" si="4"/>
        <v>0</v>
      </c>
      <c r="K143" s="65">
        <f>J143/$J$25</f>
        <v>0</v>
      </c>
    </row>
    <row r="144" spans="1:11" x14ac:dyDescent="0.25">
      <c r="A144" s="72">
        <v>2</v>
      </c>
      <c r="B144" s="58">
        <v>2</v>
      </c>
      <c r="C144" s="58">
        <v>5</v>
      </c>
      <c r="D144" s="58">
        <v>8</v>
      </c>
      <c r="E144" s="77"/>
      <c r="F144" s="72" t="s">
        <v>131</v>
      </c>
      <c r="G144" s="59">
        <f>SUM(G145)</f>
        <v>0</v>
      </c>
      <c r="H144" s="59">
        <f>+'[5]junio 2025'!H144+'[5]mayo 2025'!H144+[5]abril!H144+[5]marzo!H144+[5]febrero!H144+'[5]enero '!H144</f>
        <v>53100</v>
      </c>
      <c r="I144" s="59">
        <f>SUM(I145)</f>
        <v>0</v>
      </c>
      <c r="J144" s="59">
        <f t="shared" si="4"/>
        <v>53100</v>
      </c>
      <c r="K144" s="60"/>
    </row>
    <row r="145" spans="1:11" x14ac:dyDescent="0.25">
      <c r="A145" s="74">
        <v>2</v>
      </c>
      <c r="B145" s="62">
        <v>2</v>
      </c>
      <c r="C145" s="62">
        <v>5</v>
      </c>
      <c r="D145" s="62">
        <v>8</v>
      </c>
      <c r="E145" s="63" t="s">
        <v>35</v>
      </c>
      <c r="F145" s="74" t="s">
        <v>131</v>
      </c>
      <c r="G145" s="64">
        <f>'[6]CUENTA T FONDO 100'!BQ288</f>
        <v>0</v>
      </c>
      <c r="H145" s="169">
        <f>+'[5]junio 2025'!H145+'[5]mayo 2025'!H145+[5]abril!H145+[5]marzo!H145+[5]febrero!H145+'[5]enero '!H145</f>
        <v>53100</v>
      </c>
      <c r="I145" s="169"/>
      <c r="J145" s="64">
        <f>SUM(G145:I145)</f>
        <v>53100</v>
      </c>
      <c r="K145" s="65">
        <f>J145/$J$25</f>
        <v>8.9796481441914525E-5</v>
      </c>
    </row>
    <row r="146" spans="1:11" x14ac:dyDescent="0.25">
      <c r="A146" s="72">
        <v>2</v>
      </c>
      <c r="B146" s="58">
        <v>2</v>
      </c>
      <c r="C146" s="58">
        <v>5</v>
      </c>
      <c r="D146" s="58">
        <v>9</v>
      </c>
      <c r="E146" s="77"/>
      <c r="F146" s="72" t="s">
        <v>132</v>
      </c>
      <c r="G146" s="59">
        <f>SUM(G147)</f>
        <v>150000</v>
      </c>
      <c r="H146" s="59">
        <f>+'[5]junio 2025'!H146+'[5]mayo 2025'!H146+[5]abril!H146+[5]marzo!H146+[5]febrero!H146+'[5]enero '!H146</f>
        <v>0</v>
      </c>
      <c r="I146" s="59">
        <f>SUM(I147)</f>
        <v>0</v>
      </c>
      <c r="J146" s="59">
        <f>SUM(G146:I146)</f>
        <v>150000</v>
      </c>
      <c r="K146" s="60"/>
    </row>
    <row r="147" spans="1:11" x14ac:dyDescent="0.25">
      <c r="A147" s="74">
        <v>2</v>
      </c>
      <c r="B147" s="62">
        <v>2</v>
      </c>
      <c r="C147" s="62">
        <v>5</v>
      </c>
      <c r="D147" s="62">
        <v>9</v>
      </c>
      <c r="E147" s="63" t="s">
        <v>35</v>
      </c>
      <c r="F147" s="74" t="s">
        <v>133</v>
      </c>
      <c r="G147" s="64">
        <v>150000</v>
      </c>
      <c r="H147" s="169">
        <f>+'[5]junio 2025'!H147+'[5]mayo 2025'!H147+[5]abril!H147+[5]marzo!H147+[5]febrero!H147+'[5]enero '!H147</f>
        <v>0</v>
      </c>
      <c r="I147" s="169"/>
      <c r="J147" s="64">
        <f>SUM(G147:I147)</f>
        <v>150000</v>
      </c>
      <c r="K147" s="65">
        <f>J147/$J$25</f>
        <v>2.5366237695456081E-4</v>
      </c>
    </row>
    <row r="148" spans="1:11" x14ac:dyDescent="0.25">
      <c r="A148" s="54">
        <v>2</v>
      </c>
      <c r="B148" s="55">
        <v>2</v>
      </c>
      <c r="C148" s="55">
        <v>6</v>
      </c>
      <c r="D148" s="55"/>
      <c r="E148" s="55"/>
      <c r="F148" s="70" t="s">
        <v>134</v>
      </c>
      <c r="G148" s="56">
        <f>+G149+G151+G153+G155</f>
        <v>0</v>
      </c>
      <c r="H148" s="56">
        <f>+'[5]junio 2025'!H148+'[5]mayo 2025'!H148+[5]abril!H148+[5]marzo!H148+[5]febrero!H148+'[5]enero '!H148</f>
        <v>0</v>
      </c>
      <c r="I148" s="56">
        <f>+I149+I151+I153+I155</f>
        <v>0</v>
      </c>
      <c r="J148" s="56">
        <f t="shared" si="4"/>
        <v>0</v>
      </c>
      <c r="K148" s="53"/>
    </row>
    <row r="149" spans="1:11" x14ac:dyDescent="0.25">
      <c r="A149" s="72">
        <v>2</v>
      </c>
      <c r="B149" s="58">
        <v>2</v>
      </c>
      <c r="C149" s="58">
        <v>6</v>
      </c>
      <c r="D149" s="58">
        <v>1</v>
      </c>
      <c r="E149" s="77"/>
      <c r="F149" s="72" t="s">
        <v>135</v>
      </c>
      <c r="G149" s="59">
        <f>SUM(G150)</f>
        <v>0</v>
      </c>
      <c r="H149" s="59">
        <f>+'[5]junio 2025'!H149+'[5]mayo 2025'!H149+[5]abril!H149+[5]marzo!H149+[5]febrero!H149+'[5]enero '!H149</f>
        <v>0</v>
      </c>
      <c r="I149" s="59">
        <f>SUM(I150)</f>
        <v>0</v>
      </c>
      <c r="J149" s="59">
        <f t="shared" si="4"/>
        <v>0</v>
      </c>
      <c r="K149" s="60"/>
    </row>
    <row r="150" spans="1:11" x14ac:dyDescent="0.25">
      <c r="A150" s="74">
        <v>2</v>
      </c>
      <c r="B150" s="62">
        <v>2</v>
      </c>
      <c r="C150" s="62">
        <v>6</v>
      </c>
      <c r="D150" s="62">
        <v>1</v>
      </c>
      <c r="E150" s="63" t="s">
        <v>35</v>
      </c>
      <c r="F150" s="74" t="s">
        <v>135</v>
      </c>
      <c r="G150" s="64">
        <f>'[6]CUENTA T FONDO 100'!BS288</f>
        <v>0</v>
      </c>
      <c r="H150" s="169">
        <f>+'[5]junio 2025'!H150+'[5]mayo 2025'!H150+[5]abril!H150+[5]marzo!H150+[5]febrero!H150+'[5]enero '!H150</f>
        <v>0</v>
      </c>
      <c r="I150" s="169"/>
      <c r="J150" s="64">
        <f t="shared" si="4"/>
        <v>0</v>
      </c>
      <c r="K150" s="65">
        <f>J150/$J$25</f>
        <v>0</v>
      </c>
    </row>
    <row r="151" spans="1:11" x14ac:dyDescent="0.25">
      <c r="A151" s="72">
        <v>2</v>
      </c>
      <c r="B151" s="58">
        <v>2</v>
      </c>
      <c r="C151" s="58">
        <v>6</v>
      </c>
      <c r="D151" s="58">
        <v>2</v>
      </c>
      <c r="E151" s="58"/>
      <c r="F151" s="72" t="s">
        <v>136</v>
      </c>
      <c r="G151" s="59">
        <f>SUM(G152)</f>
        <v>0</v>
      </c>
      <c r="H151" s="59">
        <f>+'[5]junio 2025'!H151+'[5]mayo 2025'!H151+[5]abril!H151+[5]marzo!H151+[5]febrero!H151+'[5]enero '!H151</f>
        <v>0</v>
      </c>
      <c r="I151" s="59">
        <f>SUM(I152)</f>
        <v>0</v>
      </c>
      <c r="J151" s="59">
        <f t="shared" si="4"/>
        <v>0</v>
      </c>
      <c r="K151" s="60"/>
    </row>
    <row r="152" spans="1:11" x14ac:dyDescent="0.25">
      <c r="A152" s="74">
        <v>2</v>
      </c>
      <c r="B152" s="62">
        <v>2</v>
      </c>
      <c r="C152" s="62">
        <v>6</v>
      </c>
      <c r="D152" s="62">
        <v>2</v>
      </c>
      <c r="E152" s="63" t="s">
        <v>35</v>
      </c>
      <c r="F152" s="74" t="s">
        <v>136</v>
      </c>
      <c r="G152" s="64">
        <f>'[6]CUENTA T FONDO 100'!BT288</f>
        <v>0</v>
      </c>
      <c r="H152" s="169">
        <f>+'[5]junio 2025'!H152+'[5]mayo 2025'!H152+[5]abril!H152+[5]marzo!H152+[5]febrero!H152+'[5]enero '!H152</f>
        <v>0</v>
      </c>
      <c r="I152" s="169"/>
      <c r="J152" s="64">
        <f t="shared" si="4"/>
        <v>0</v>
      </c>
      <c r="K152" s="65">
        <f>J152/$J$25</f>
        <v>0</v>
      </c>
    </row>
    <row r="153" spans="1:11" x14ac:dyDescent="0.25">
      <c r="A153" s="72">
        <v>2</v>
      </c>
      <c r="B153" s="58">
        <v>2</v>
      </c>
      <c r="C153" s="58">
        <v>6</v>
      </c>
      <c r="D153" s="58">
        <v>3</v>
      </c>
      <c r="E153" s="58"/>
      <c r="F153" s="72" t="s">
        <v>137</v>
      </c>
      <c r="G153" s="59">
        <f>SUM(G154)</f>
        <v>0</v>
      </c>
      <c r="H153" s="59">
        <f>+'[5]junio 2025'!H153+'[5]mayo 2025'!H153+[5]abril!H153+[5]marzo!H153+[5]febrero!H153+'[5]enero '!H153</f>
        <v>0</v>
      </c>
      <c r="I153" s="59">
        <f>SUM(I154)</f>
        <v>0</v>
      </c>
      <c r="J153" s="59">
        <f t="shared" si="4"/>
        <v>0</v>
      </c>
      <c r="K153" s="60"/>
    </row>
    <row r="154" spans="1:11" x14ac:dyDescent="0.25">
      <c r="A154" s="74">
        <v>2</v>
      </c>
      <c r="B154" s="62">
        <v>2</v>
      </c>
      <c r="C154" s="62">
        <v>6</v>
      </c>
      <c r="D154" s="62">
        <v>3</v>
      </c>
      <c r="E154" s="63" t="s">
        <v>35</v>
      </c>
      <c r="F154" s="74" t="s">
        <v>137</v>
      </c>
      <c r="G154" s="64">
        <f>'[6]CUENTA T FONDO 100'!BU288</f>
        <v>0</v>
      </c>
      <c r="H154" s="169">
        <f>+'[5]junio 2025'!H154+'[5]mayo 2025'!H154+[5]abril!H154+[5]marzo!H154+[5]febrero!H154+'[5]enero '!H154</f>
        <v>0</v>
      </c>
      <c r="I154" s="169"/>
      <c r="J154" s="64">
        <f t="shared" ref="J154:J218" si="5">SUM(G154:I154)</f>
        <v>0</v>
      </c>
      <c r="K154" s="65">
        <f>J154/$J$25</f>
        <v>0</v>
      </c>
    </row>
    <row r="155" spans="1:11" x14ac:dyDescent="0.25">
      <c r="A155" s="72">
        <v>2</v>
      </c>
      <c r="B155" s="58">
        <v>2</v>
      </c>
      <c r="C155" s="58">
        <v>6</v>
      </c>
      <c r="D155" s="58">
        <v>4</v>
      </c>
      <c r="E155" s="58"/>
      <c r="F155" s="72" t="s">
        <v>138</v>
      </c>
      <c r="G155" s="59">
        <f>SUM(G156)</f>
        <v>0</v>
      </c>
      <c r="H155" s="59">
        <f>+'[5]junio 2025'!H155+'[5]mayo 2025'!H155+[5]abril!H155+[5]marzo!H155+[5]febrero!H155+'[5]enero '!H155</f>
        <v>0</v>
      </c>
      <c r="I155" s="59">
        <f>SUM(I156)</f>
        <v>0</v>
      </c>
      <c r="J155" s="59">
        <f t="shared" si="5"/>
        <v>0</v>
      </c>
      <c r="K155" s="60"/>
    </row>
    <row r="156" spans="1:11" x14ac:dyDescent="0.25">
      <c r="A156" s="74">
        <v>2</v>
      </c>
      <c r="B156" s="62">
        <v>2</v>
      </c>
      <c r="C156" s="62">
        <v>6</v>
      </c>
      <c r="D156" s="62">
        <v>4</v>
      </c>
      <c r="E156" s="63" t="s">
        <v>35</v>
      </c>
      <c r="F156" s="74" t="s">
        <v>138</v>
      </c>
      <c r="G156" s="64">
        <f>'[6]CUENTA T FONDO 100'!BV288</f>
        <v>0</v>
      </c>
      <c r="H156" s="169">
        <f>+'[5]junio 2025'!H156+'[5]mayo 2025'!H156+[5]abril!H156+[5]marzo!H156+[5]febrero!H156+'[5]enero '!H156</f>
        <v>0</v>
      </c>
      <c r="I156" s="169"/>
      <c r="J156" s="64">
        <f t="shared" si="5"/>
        <v>0</v>
      </c>
      <c r="K156" s="65">
        <f>J156/$J$25</f>
        <v>0</v>
      </c>
    </row>
    <row r="157" spans="1:11" ht="90" x14ac:dyDescent="0.25">
      <c r="A157" s="54">
        <v>2</v>
      </c>
      <c r="B157" s="55">
        <v>2</v>
      </c>
      <c r="C157" s="55">
        <v>7</v>
      </c>
      <c r="D157" s="55"/>
      <c r="E157" s="78"/>
      <c r="F157" s="170" t="s">
        <v>139</v>
      </c>
      <c r="G157" s="56">
        <f>+G158+G167+G177</f>
        <v>12085908.08</v>
      </c>
      <c r="H157" s="56">
        <f>+'[5]junio 2025'!H157+'[5]mayo 2025'!H157+[5]abril!H157+[5]marzo!H157+[5]febrero!H157+'[5]enero '!H157</f>
        <v>5597667.6899999995</v>
      </c>
      <c r="I157" s="56">
        <f>+I158+I167+I177</f>
        <v>0</v>
      </c>
      <c r="J157" s="56">
        <f t="shared" si="5"/>
        <v>17683575.77</v>
      </c>
      <c r="K157" s="53"/>
    </row>
    <row r="158" spans="1:11" x14ac:dyDescent="0.25">
      <c r="A158" s="72">
        <v>2</v>
      </c>
      <c r="B158" s="58">
        <v>2</v>
      </c>
      <c r="C158" s="58">
        <v>7</v>
      </c>
      <c r="D158" s="58">
        <v>1</v>
      </c>
      <c r="E158" s="58"/>
      <c r="F158" s="72" t="s">
        <v>140</v>
      </c>
      <c r="G158" s="59">
        <f>SUM(G159:G166)</f>
        <v>9474679.9199999999</v>
      </c>
      <c r="H158" s="59">
        <f>+'[5]junio 2025'!H158+'[5]mayo 2025'!H158+[5]abril!H158+[5]marzo!H158+[5]febrero!H158+'[5]enero '!H158</f>
        <v>1821655.4</v>
      </c>
      <c r="I158" s="59">
        <f>SUM(I159:I166)</f>
        <v>0</v>
      </c>
      <c r="J158" s="59">
        <f t="shared" si="5"/>
        <v>11296335.32</v>
      </c>
      <c r="K158" s="60"/>
    </row>
    <row r="159" spans="1:11" ht="51.75" x14ac:dyDescent="0.25">
      <c r="A159" s="61">
        <v>2</v>
      </c>
      <c r="B159" s="62">
        <v>2</v>
      </c>
      <c r="C159" s="62">
        <v>7</v>
      </c>
      <c r="D159" s="62">
        <v>1</v>
      </c>
      <c r="E159" s="63" t="s">
        <v>35</v>
      </c>
      <c r="F159" s="171" t="s">
        <v>141</v>
      </c>
      <c r="G159" s="64">
        <v>9474679.9199999999</v>
      </c>
      <c r="H159" s="169">
        <f>+'[5]junio 2025'!H159+'[5]mayo 2025'!H159+[5]abril!H159+[5]marzo!H159+[5]febrero!H159+'[5]enero '!H159</f>
        <v>1383333.1199999999</v>
      </c>
      <c r="I159" s="169"/>
      <c r="J159" s="64">
        <f t="shared" si="5"/>
        <v>10858013.039999999</v>
      </c>
      <c r="K159" s="65">
        <f t="shared" ref="K159:K166" si="6">J159/$J$25</f>
        <v>1.8361795978200111E-2</v>
      </c>
    </row>
    <row r="160" spans="1:11" ht="77.25" x14ac:dyDescent="0.25">
      <c r="A160" s="61">
        <v>2</v>
      </c>
      <c r="B160" s="62">
        <v>2</v>
      </c>
      <c r="C160" s="62">
        <v>7</v>
      </c>
      <c r="D160" s="62">
        <v>1</v>
      </c>
      <c r="E160" s="63" t="s">
        <v>37</v>
      </c>
      <c r="F160" s="171" t="s">
        <v>142</v>
      </c>
      <c r="G160" s="64">
        <f>'[6]CUENTA T FONDO 100'!BX288</f>
        <v>0</v>
      </c>
      <c r="H160" s="169">
        <f>+'[5]junio 2025'!H160+'[5]mayo 2025'!H160+[5]abril!H160+[5]marzo!H160+[5]febrero!H160+'[5]enero '!H160</f>
        <v>346930.08</v>
      </c>
      <c r="I160" s="169"/>
      <c r="J160" s="64">
        <f t="shared" si="5"/>
        <v>346930.08</v>
      </c>
      <c r="K160" s="65">
        <f t="shared" si="6"/>
        <v>5.8668739153223959E-4</v>
      </c>
    </row>
    <row r="161" spans="1:11" ht="64.5" x14ac:dyDescent="0.25">
      <c r="A161" s="61">
        <v>2</v>
      </c>
      <c r="B161" s="62">
        <v>2</v>
      </c>
      <c r="C161" s="62">
        <v>7</v>
      </c>
      <c r="D161" s="62">
        <v>1</v>
      </c>
      <c r="E161" s="63" t="s">
        <v>39</v>
      </c>
      <c r="F161" s="171" t="s">
        <v>143</v>
      </c>
      <c r="G161" s="64">
        <f>'[6]CUENTA T FONDO 100'!BY288</f>
        <v>0</v>
      </c>
      <c r="H161" s="169">
        <f>+'[5]junio 2025'!H161+'[5]mayo 2025'!H161+[5]abril!H161+[5]marzo!H161+[5]febrero!H161+'[5]enero '!H161</f>
        <v>0</v>
      </c>
      <c r="I161" s="169"/>
      <c r="J161" s="64">
        <f t="shared" si="5"/>
        <v>0</v>
      </c>
      <c r="K161" s="65">
        <f t="shared" si="6"/>
        <v>0</v>
      </c>
    </row>
    <row r="162" spans="1:11" ht="90" x14ac:dyDescent="0.25">
      <c r="A162" s="61">
        <v>2</v>
      </c>
      <c r="B162" s="62">
        <v>2</v>
      </c>
      <c r="C162" s="62">
        <v>7</v>
      </c>
      <c r="D162" s="62">
        <v>1</v>
      </c>
      <c r="E162" s="63" t="s">
        <v>41</v>
      </c>
      <c r="F162" s="171" t="s">
        <v>144</v>
      </c>
      <c r="G162" s="64"/>
      <c r="H162" s="169">
        <f>+'[5]junio 2025'!H162+'[5]mayo 2025'!H162+[5]abril!H162+[5]marzo!H162+[5]febrero!H162+'[5]enero '!H162</f>
        <v>0</v>
      </c>
      <c r="I162" s="169"/>
      <c r="J162" s="64">
        <f t="shared" si="5"/>
        <v>0</v>
      </c>
      <c r="K162" s="65">
        <f t="shared" si="6"/>
        <v>0</v>
      </c>
    </row>
    <row r="163" spans="1:11" ht="51.75" x14ac:dyDescent="0.25">
      <c r="A163" s="61">
        <v>2</v>
      </c>
      <c r="B163" s="62">
        <v>2</v>
      </c>
      <c r="C163" s="62">
        <v>7</v>
      </c>
      <c r="D163" s="62">
        <v>1</v>
      </c>
      <c r="E163" s="63" t="s">
        <v>43</v>
      </c>
      <c r="F163" s="171" t="s">
        <v>145</v>
      </c>
      <c r="G163" s="64">
        <f>'[6]CUENTA T FONDO 100'!CA288</f>
        <v>0</v>
      </c>
      <c r="H163" s="169">
        <f>+'[5]junio 2025'!H163+'[5]mayo 2025'!H163+[5]abril!H163+[5]marzo!H163+[5]febrero!H163+'[5]enero '!H163</f>
        <v>0</v>
      </c>
      <c r="I163" s="169"/>
      <c r="J163" s="64">
        <f t="shared" si="5"/>
        <v>0</v>
      </c>
      <c r="K163" s="65">
        <f t="shared" si="6"/>
        <v>0</v>
      </c>
    </row>
    <row r="164" spans="1:11" ht="26.25" x14ac:dyDescent="0.25">
      <c r="A164" s="61">
        <v>2</v>
      </c>
      <c r="B164" s="62">
        <v>2</v>
      </c>
      <c r="C164" s="62">
        <v>7</v>
      </c>
      <c r="D164" s="62">
        <v>1</v>
      </c>
      <c r="E164" s="63" t="s">
        <v>45</v>
      </c>
      <c r="F164" s="171" t="s">
        <v>146</v>
      </c>
      <c r="G164" s="64">
        <f>'[6]CUENTA T FONDO 100'!CB288</f>
        <v>0</v>
      </c>
      <c r="H164" s="169">
        <f>+'[5]junio 2025'!H164+'[5]mayo 2025'!H164+[5]abril!H164+[5]marzo!H164+[5]febrero!H164+'[5]enero '!H164</f>
        <v>0</v>
      </c>
      <c r="I164" s="169"/>
      <c r="J164" s="64">
        <f t="shared" si="5"/>
        <v>0</v>
      </c>
      <c r="K164" s="65">
        <f t="shared" si="6"/>
        <v>0</v>
      </c>
    </row>
    <row r="165" spans="1:11" ht="77.25" x14ac:dyDescent="0.25">
      <c r="A165" s="61">
        <v>2</v>
      </c>
      <c r="B165" s="62">
        <v>2</v>
      </c>
      <c r="C165" s="62">
        <v>7</v>
      </c>
      <c r="D165" s="62">
        <v>1</v>
      </c>
      <c r="E165" s="63" t="s">
        <v>71</v>
      </c>
      <c r="F165" s="171" t="s">
        <v>147</v>
      </c>
      <c r="G165" s="64">
        <f>'[6]CUENTA T FONDO 100'!CC288</f>
        <v>0</v>
      </c>
      <c r="H165" s="169">
        <f>+'[5]junio 2025'!H165+'[5]mayo 2025'!H165+[5]abril!H165+[5]marzo!H165+[5]febrero!H165+'[5]enero '!H165</f>
        <v>0</v>
      </c>
      <c r="I165" s="169"/>
      <c r="J165" s="64">
        <f t="shared" si="5"/>
        <v>0</v>
      </c>
      <c r="K165" s="65">
        <f t="shared" si="6"/>
        <v>0</v>
      </c>
    </row>
    <row r="166" spans="1:11" ht="128.25" x14ac:dyDescent="0.25">
      <c r="A166" s="61">
        <v>2</v>
      </c>
      <c r="B166" s="62">
        <v>2</v>
      </c>
      <c r="C166" s="62">
        <v>7</v>
      </c>
      <c r="D166" s="62">
        <v>1</v>
      </c>
      <c r="E166" s="63" t="s">
        <v>148</v>
      </c>
      <c r="F166" s="171" t="s">
        <v>149</v>
      </c>
      <c r="G166" s="64">
        <f>'[6]CUENTA T FONDO 100'!CD288</f>
        <v>0</v>
      </c>
      <c r="H166" s="169">
        <f>+'[5]junio 2025'!H166+'[5]mayo 2025'!H166+[5]abril!H166+[5]marzo!H166+[5]febrero!H166+'[5]enero '!H166</f>
        <v>91392.2</v>
      </c>
      <c r="I166" s="169"/>
      <c r="J166" s="64">
        <f t="shared" si="5"/>
        <v>91392.2</v>
      </c>
      <c r="K166" s="65">
        <f t="shared" si="6"/>
        <v>1.5455175124737741E-4</v>
      </c>
    </row>
    <row r="167" spans="1:11" x14ac:dyDescent="0.25">
      <c r="A167" s="72">
        <v>2</v>
      </c>
      <c r="B167" s="58">
        <v>2</v>
      </c>
      <c r="C167" s="58">
        <v>7</v>
      </c>
      <c r="D167" s="58">
        <v>2</v>
      </c>
      <c r="E167" s="58"/>
      <c r="F167" s="72" t="s">
        <v>150</v>
      </c>
      <c r="G167" s="59">
        <f>SUM(G168:G176)</f>
        <v>2611228.16</v>
      </c>
      <c r="H167" s="59">
        <f>+'[5]junio 2025'!H167+'[5]mayo 2025'!H167+[5]abril!H167+[5]marzo!H167+[5]febrero!H167+'[5]enero '!H167</f>
        <v>3776012.29</v>
      </c>
      <c r="I167" s="59">
        <f>SUM(I168:I176)</f>
        <v>0</v>
      </c>
      <c r="J167" s="59">
        <f t="shared" si="5"/>
        <v>6387240.4500000002</v>
      </c>
      <c r="K167" s="60"/>
    </row>
    <row r="168" spans="1:11" ht="77.25" x14ac:dyDescent="0.25">
      <c r="A168" s="61">
        <v>2</v>
      </c>
      <c r="B168" s="62">
        <v>2</v>
      </c>
      <c r="C168" s="62">
        <v>7</v>
      </c>
      <c r="D168" s="62">
        <v>2</v>
      </c>
      <c r="E168" s="63" t="s">
        <v>35</v>
      </c>
      <c r="F168" s="171" t="s">
        <v>151</v>
      </c>
      <c r="G168" s="64">
        <f>'[6]CUENTA T FONDO 100'!CE288</f>
        <v>0</v>
      </c>
      <c r="H168" s="169">
        <f>+'[5]junio 2025'!H168+'[5]mayo 2025'!H168+[5]abril!H168+[5]marzo!H168+[5]febrero!H168+'[5]enero '!H168</f>
        <v>0</v>
      </c>
      <c r="I168" s="169"/>
      <c r="J168" s="64">
        <f t="shared" si="5"/>
        <v>0</v>
      </c>
      <c r="K168" s="65">
        <f t="shared" ref="K168:K176" si="7">J168/$J$25</f>
        <v>0</v>
      </c>
    </row>
    <row r="169" spans="1:11" ht="64.5" x14ac:dyDescent="0.25">
      <c r="A169" s="61">
        <v>2</v>
      </c>
      <c r="B169" s="62">
        <v>2</v>
      </c>
      <c r="C169" s="62">
        <v>7</v>
      </c>
      <c r="D169" s="62">
        <v>2</v>
      </c>
      <c r="E169" s="63" t="s">
        <v>37</v>
      </c>
      <c r="F169" s="171" t="s">
        <v>152</v>
      </c>
      <c r="G169" s="64">
        <f>'[6]CUENTA T FONDO 100'!CF288</f>
        <v>0</v>
      </c>
      <c r="H169" s="169">
        <f>+'[5]junio 2025'!H169+'[5]mayo 2025'!H169+[5]abril!H169+[5]marzo!H169+[5]febrero!H169+'[5]enero '!H169</f>
        <v>0</v>
      </c>
      <c r="I169" s="169"/>
      <c r="J169" s="64">
        <f t="shared" si="5"/>
        <v>0</v>
      </c>
      <c r="K169" s="65">
        <f t="shared" si="7"/>
        <v>0</v>
      </c>
    </row>
    <row r="170" spans="1:11" ht="64.5" x14ac:dyDescent="0.25">
      <c r="A170" s="61">
        <v>2</v>
      </c>
      <c r="B170" s="62">
        <v>2</v>
      </c>
      <c r="C170" s="62">
        <v>7</v>
      </c>
      <c r="D170" s="62">
        <v>2</v>
      </c>
      <c r="E170" s="63" t="s">
        <v>39</v>
      </c>
      <c r="F170" s="171" t="s">
        <v>153</v>
      </c>
      <c r="G170" s="64">
        <f>'[6]CUENTA T FONDO 100'!CG288</f>
        <v>0</v>
      </c>
      <c r="H170" s="169">
        <f>+'[5]junio 2025'!H170+'[5]mayo 2025'!H170+[5]abril!H170+[5]marzo!H170+[5]febrero!H170+'[5]enero '!H170</f>
        <v>0</v>
      </c>
      <c r="I170" s="169"/>
      <c r="J170" s="64">
        <f t="shared" si="5"/>
        <v>0</v>
      </c>
      <c r="K170" s="65">
        <f t="shared" si="7"/>
        <v>0</v>
      </c>
    </row>
    <row r="171" spans="1:11" ht="90" x14ac:dyDescent="0.25">
      <c r="A171" s="61">
        <v>2</v>
      </c>
      <c r="B171" s="62">
        <v>2</v>
      </c>
      <c r="C171" s="62">
        <v>7</v>
      </c>
      <c r="D171" s="62">
        <v>2</v>
      </c>
      <c r="E171" s="63" t="s">
        <v>41</v>
      </c>
      <c r="F171" s="171" t="s">
        <v>154</v>
      </c>
      <c r="G171" s="64">
        <v>523061.81</v>
      </c>
      <c r="H171" s="169">
        <f>+'[5]junio 2025'!H171+'[5]mayo 2025'!H171+[5]abril!H171+[5]marzo!H171+[5]febrero!H171+'[5]enero '!H171</f>
        <v>1888000</v>
      </c>
      <c r="I171" s="169"/>
      <c r="J171" s="64">
        <f t="shared" si="5"/>
        <v>2411061.81</v>
      </c>
      <c r="K171" s="65">
        <f t="shared" si="7"/>
        <v>4.0773044647264382E-3</v>
      </c>
    </row>
    <row r="172" spans="1:11" ht="77.25" x14ac:dyDescent="0.25">
      <c r="A172" s="61">
        <v>2</v>
      </c>
      <c r="B172" s="62">
        <v>2</v>
      </c>
      <c r="C172" s="62">
        <v>7</v>
      </c>
      <c r="D172" s="62">
        <v>2</v>
      </c>
      <c r="E172" s="63" t="s">
        <v>43</v>
      </c>
      <c r="F172" s="171" t="s">
        <v>155</v>
      </c>
      <c r="G172" s="64">
        <f>'[6]CUENTA T FONDO 100'!CI288</f>
        <v>0</v>
      </c>
      <c r="H172" s="169">
        <f>+'[5]junio 2025'!H172+'[5]mayo 2025'!H172+[5]abril!H172+[5]marzo!H172+[5]febrero!H172+'[5]enero '!H172</f>
        <v>0</v>
      </c>
      <c r="I172" s="169"/>
      <c r="J172" s="64">
        <f t="shared" si="5"/>
        <v>0</v>
      </c>
      <c r="K172" s="65">
        <f t="shared" si="7"/>
        <v>0</v>
      </c>
    </row>
    <row r="173" spans="1:11" ht="102" x14ac:dyDescent="0.25">
      <c r="A173" s="61">
        <v>2</v>
      </c>
      <c r="B173" s="62">
        <v>2</v>
      </c>
      <c r="C173" s="62">
        <v>7</v>
      </c>
      <c r="D173" s="62">
        <v>2</v>
      </c>
      <c r="E173" s="63" t="s">
        <v>45</v>
      </c>
      <c r="F173" s="81" t="s">
        <v>156</v>
      </c>
      <c r="G173" s="64">
        <v>931766.35</v>
      </c>
      <c r="H173" s="64">
        <f>+'[5]junio 2025'!H173+'[5]mayo 2025'!H173+[5]abril!H173+[5]marzo!H173+[5]febrero!H173+'[5]enero '!H173</f>
        <v>769987.21</v>
      </c>
      <c r="I173" s="64"/>
      <c r="J173" s="64">
        <f t="shared" si="5"/>
        <v>1701753.56</v>
      </c>
      <c r="K173" s="65">
        <f t="shared" si="7"/>
        <v>2.8778056868032391E-3</v>
      </c>
    </row>
    <row r="174" spans="1:11" ht="63.75" x14ac:dyDescent="0.25">
      <c r="A174" s="61">
        <v>2</v>
      </c>
      <c r="B174" s="62">
        <v>2</v>
      </c>
      <c r="C174" s="62">
        <v>7</v>
      </c>
      <c r="D174" s="62">
        <v>2</v>
      </c>
      <c r="E174" s="63" t="s">
        <v>71</v>
      </c>
      <c r="F174" s="81" t="s">
        <v>157</v>
      </c>
      <c r="G174" s="64">
        <f>'[6]CUENTA T FONDO 100'!CK288</f>
        <v>0</v>
      </c>
      <c r="H174" s="64">
        <f>+'[5]junio 2025'!H174+'[5]mayo 2025'!H174+[5]abril!H174+[5]marzo!H174+[5]febrero!H174+'[5]enero '!H174</f>
        <v>0</v>
      </c>
      <c r="I174" s="64"/>
      <c r="J174" s="64">
        <f t="shared" si="5"/>
        <v>0</v>
      </c>
      <c r="K174" s="65">
        <f t="shared" si="7"/>
        <v>0</v>
      </c>
    </row>
    <row r="175" spans="1:11" ht="63.75" x14ac:dyDescent="0.25">
      <c r="A175" s="61">
        <v>2</v>
      </c>
      <c r="B175" s="62">
        <v>2</v>
      </c>
      <c r="C175" s="62">
        <v>7</v>
      </c>
      <c r="D175" s="62">
        <v>2</v>
      </c>
      <c r="E175" s="63" t="s">
        <v>51</v>
      </c>
      <c r="F175" s="81" t="s">
        <v>158</v>
      </c>
      <c r="G175" s="64">
        <v>1156400</v>
      </c>
      <c r="H175" s="64">
        <f>+'[5]junio 2025'!H175+'[5]mayo 2025'!H175+[5]abril!H175+[5]marzo!H175+[5]febrero!H175+'[5]enero '!H175</f>
        <v>1118025.0799999998</v>
      </c>
      <c r="I175" s="64"/>
      <c r="J175" s="64">
        <f t="shared" si="5"/>
        <v>2274425.08</v>
      </c>
      <c r="K175" s="65">
        <f t="shared" si="7"/>
        <v>3.8462404799857811E-3</v>
      </c>
    </row>
    <row r="176" spans="1:11" ht="140.25" x14ac:dyDescent="0.25">
      <c r="A176" s="61">
        <v>2</v>
      </c>
      <c r="B176" s="62">
        <v>2</v>
      </c>
      <c r="C176" s="62">
        <v>7</v>
      </c>
      <c r="D176" s="62">
        <v>2</v>
      </c>
      <c r="E176" s="63" t="s">
        <v>148</v>
      </c>
      <c r="F176" s="81" t="s">
        <v>159</v>
      </c>
      <c r="G176" s="64">
        <f>'[6]CUENTA T FONDO 100'!CM288</f>
        <v>0</v>
      </c>
      <c r="H176" s="64">
        <f>+'[5]junio 2025'!H176+'[5]mayo 2025'!H176+[5]abril!H176+[5]marzo!H176+[5]febrero!H176+'[5]enero '!H176</f>
        <v>0</v>
      </c>
      <c r="I176" s="64"/>
      <c r="J176" s="64">
        <f t="shared" si="5"/>
        <v>0</v>
      </c>
      <c r="K176" s="65">
        <f t="shared" si="7"/>
        <v>0</v>
      </c>
    </row>
    <row r="177" spans="1:11" x14ac:dyDescent="0.25">
      <c r="A177" s="57">
        <v>2</v>
      </c>
      <c r="B177" s="58">
        <v>2</v>
      </c>
      <c r="C177" s="58">
        <v>7</v>
      </c>
      <c r="D177" s="58">
        <v>3</v>
      </c>
      <c r="E177" s="77"/>
      <c r="F177" s="57" t="s">
        <v>160</v>
      </c>
      <c r="G177" s="59">
        <f>SUM(G178)</f>
        <v>0</v>
      </c>
      <c r="H177" s="59">
        <f>+'[5]junio 2025'!H177+'[5]mayo 2025'!H177+[5]abril!H177+[5]marzo!H177+[5]febrero!H177+'[5]enero '!H177</f>
        <v>0</v>
      </c>
      <c r="I177" s="59">
        <f>SUM(I178)</f>
        <v>0</v>
      </c>
      <c r="J177" s="59">
        <f t="shared" si="5"/>
        <v>0</v>
      </c>
      <c r="K177" s="60"/>
    </row>
    <row r="178" spans="1:11" x14ac:dyDescent="0.25">
      <c r="A178" s="61">
        <v>2</v>
      </c>
      <c r="B178" s="62">
        <v>2</v>
      </c>
      <c r="C178" s="62">
        <v>7</v>
      </c>
      <c r="D178" s="62">
        <v>3</v>
      </c>
      <c r="E178" s="63" t="s">
        <v>35</v>
      </c>
      <c r="F178" s="61" t="s">
        <v>160</v>
      </c>
      <c r="G178" s="64">
        <f>'[6]CUENTA T FONDO 100'!CN288</f>
        <v>0</v>
      </c>
      <c r="H178" s="169">
        <f>+'[5]junio 2025'!H178+'[5]mayo 2025'!H178+[5]abril!H178+[5]marzo!H178+[5]febrero!H178+'[5]enero '!H178</f>
        <v>0</v>
      </c>
      <c r="I178" s="169"/>
      <c r="J178" s="64">
        <f t="shared" si="5"/>
        <v>0</v>
      </c>
      <c r="K178" s="65">
        <f>J178/$J$25</f>
        <v>0</v>
      </c>
    </row>
    <row r="179" spans="1:11" x14ac:dyDescent="0.25">
      <c r="A179" s="54">
        <v>2</v>
      </c>
      <c r="B179" s="55">
        <v>2</v>
      </c>
      <c r="C179" s="55">
        <v>8</v>
      </c>
      <c r="D179" s="55"/>
      <c r="E179" s="55"/>
      <c r="F179" s="54" t="s">
        <v>161</v>
      </c>
      <c r="G179" s="56">
        <f>+G180+G182+G184+G186+G188+G192+G197+G204</f>
        <v>902700</v>
      </c>
      <c r="H179" s="56">
        <f>+'[5]junio 2025'!H179+'[5]mayo 2025'!H179+[5]abril!H179+[5]marzo!H179+[5]febrero!H179+'[5]enero '!H179</f>
        <v>2633402.25</v>
      </c>
      <c r="I179" s="56">
        <f>+I180+I182+I184+I186+I188+I192+I197+I204</f>
        <v>0</v>
      </c>
      <c r="J179" s="56">
        <f t="shared" si="5"/>
        <v>3536102.25</v>
      </c>
      <c r="K179" s="53"/>
    </row>
    <row r="180" spans="1:11" x14ac:dyDescent="0.25">
      <c r="A180" s="57">
        <v>2</v>
      </c>
      <c r="B180" s="58">
        <v>2</v>
      </c>
      <c r="C180" s="58">
        <v>8</v>
      </c>
      <c r="D180" s="58">
        <v>1</v>
      </c>
      <c r="E180" s="58"/>
      <c r="F180" s="57" t="s">
        <v>162</v>
      </c>
      <c r="G180" s="59">
        <f>SUM(G181)</f>
        <v>0</v>
      </c>
      <c r="H180" s="59">
        <f>+'[5]junio 2025'!H180+'[5]mayo 2025'!H180+[5]abril!H180+[5]marzo!H180+[5]febrero!H180+'[5]enero '!H180</f>
        <v>0</v>
      </c>
      <c r="I180" s="59">
        <f>SUM(I181)</f>
        <v>0</v>
      </c>
      <c r="J180" s="59">
        <f t="shared" si="5"/>
        <v>0</v>
      </c>
      <c r="K180" s="60"/>
    </row>
    <row r="181" spans="1:11" x14ac:dyDescent="0.25">
      <c r="A181" s="61">
        <v>2</v>
      </c>
      <c r="B181" s="62">
        <v>2</v>
      </c>
      <c r="C181" s="62">
        <v>8</v>
      </c>
      <c r="D181" s="62">
        <v>1</v>
      </c>
      <c r="E181" s="63" t="s">
        <v>35</v>
      </c>
      <c r="F181" s="61" t="s">
        <v>162</v>
      </c>
      <c r="G181" s="64">
        <f>'[6]CUENTA T FONDO 100'!CO288</f>
        <v>0</v>
      </c>
      <c r="H181" s="64">
        <f>+'[5]junio 2025'!H181+'[5]mayo 2025'!H181+[5]abril!H181+[5]marzo!H181+[5]febrero!H181+'[5]enero '!H181</f>
        <v>0</v>
      </c>
      <c r="I181" s="64"/>
      <c r="J181" s="64">
        <f t="shared" si="5"/>
        <v>0</v>
      </c>
      <c r="K181" s="65">
        <f>J181/$J$25</f>
        <v>0</v>
      </c>
    </row>
    <row r="182" spans="1:11" x14ac:dyDescent="0.25">
      <c r="A182" s="57">
        <v>2</v>
      </c>
      <c r="B182" s="58">
        <v>2</v>
      </c>
      <c r="C182" s="58">
        <v>8</v>
      </c>
      <c r="D182" s="58">
        <v>2</v>
      </c>
      <c r="E182" s="58"/>
      <c r="F182" s="57" t="s">
        <v>163</v>
      </c>
      <c r="G182" s="59">
        <f>SUM(G183)</f>
        <v>0</v>
      </c>
      <c r="H182" s="59">
        <f>+'[5]junio 2025'!H182+'[5]mayo 2025'!H182+[5]abril!H182+[5]marzo!H182+[5]febrero!H182+'[5]enero '!H182</f>
        <v>76391.45</v>
      </c>
      <c r="I182" s="59">
        <f>SUM(I183)</f>
        <v>0</v>
      </c>
      <c r="J182" s="59">
        <f t="shared" si="5"/>
        <v>76391.45</v>
      </c>
      <c r="K182" s="60"/>
    </row>
    <row r="183" spans="1:11" x14ac:dyDescent="0.25">
      <c r="A183" s="61">
        <v>2</v>
      </c>
      <c r="B183" s="62">
        <v>2</v>
      </c>
      <c r="C183" s="62">
        <v>8</v>
      </c>
      <c r="D183" s="62">
        <v>2</v>
      </c>
      <c r="E183" s="63" t="s">
        <v>35</v>
      </c>
      <c r="F183" s="61" t="s">
        <v>163</v>
      </c>
      <c r="G183" s="64">
        <f>'[6]CUENTA T FONDO 100'!CP288</f>
        <v>0</v>
      </c>
      <c r="H183" s="64">
        <f>+'[5]junio 2025'!H183+'[5]mayo 2025'!H183+[5]abril!H183+[5]marzo!H183+[5]febrero!H183+'[5]enero '!H183</f>
        <v>76391.45</v>
      </c>
      <c r="I183" s="64"/>
      <c r="J183" s="64">
        <f t="shared" si="5"/>
        <v>76391.45</v>
      </c>
      <c r="K183" s="65">
        <f>J183/$J$25</f>
        <v>1.2918424524003655E-4</v>
      </c>
    </row>
    <row r="184" spans="1:11" x14ac:dyDescent="0.25">
      <c r="A184" s="57">
        <v>2</v>
      </c>
      <c r="B184" s="58">
        <v>2</v>
      </c>
      <c r="C184" s="58">
        <v>8</v>
      </c>
      <c r="D184" s="58">
        <v>3</v>
      </c>
      <c r="E184" s="58"/>
      <c r="F184" s="57" t="s">
        <v>164</v>
      </c>
      <c r="G184" s="59">
        <f>SUM(G185)</f>
        <v>0</v>
      </c>
      <c r="H184" s="59">
        <f>+'[5]junio 2025'!H184+'[5]mayo 2025'!H184+[5]abril!H184+[5]marzo!H184+[5]febrero!H184+'[5]enero '!H184</f>
        <v>0</v>
      </c>
      <c r="I184" s="59">
        <f>SUM(I185)</f>
        <v>0</v>
      </c>
      <c r="J184" s="59">
        <f t="shared" si="5"/>
        <v>0</v>
      </c>
      <c r="K184" s="60"/>
    </row>
    <row r="185" spans="1:11" x14ac:dyDescent="0.25">
      <c r="A185" s="61">
        <v>2</v>
      </c>
      <c r="B185" s="62">
        <v>2</v>
      </c>
      <c r="C185" s="62">
        <v>8</v>
      </c>
      <c r="D185" s="62">
        <v>3</v>
      </c>
      <c r="E185" s="63" t="s">
        <v>35</v>
      </c>
      <c r="F185" s="61" t="s">
        <v>164</v>
      </c>
      <c r="G185" s="64">
        <f>'[6]CUENTA T FONDO 100'!CQ288</f>
        <v>0</v>
      </c>
      <c r="H185" s="64">
        <f>+'[5]junio 2025'!H185+'[5]mayo 2025'!H185+[5]abril!H185+[5]marzo!H185+[5]febrero!H185+'[5]enero '!H185</f>
        <v>0</v>
      </c>
      <c r="I185" s="64"/>
      <c r="J185" s="64">
        <f t="shared" si="5"/>
        <v>0</v>
      </c>
      <c r="K185" s="65">
        <f>J185/$J$25</f>
        <v>0</v>
      </c>
    </row>
    <row r="186" spans="1:11" x14ac:dyDescent="0.25">
      <c r="A186" s="57">
        <v>2</v>
      </c>
      <c r="B186" s="58">
        <v>2</v>
      </c>
      <c r="C186" s="58">
        <v>8</v>
      </c>
      <c r="D186" s="58">
        <v>4</v>
      </c>
      <c r="E186" s="58"/>
      <c r="F186" s="57" t="s">
        <v>165</v>
      </c>
      <c r="G186" s="59">
        <f>SUM(G187)</f>
        <v>0</v>
      </c>
      <c r="H186" s="59">
        <f>+'[5]junio 2025'!H186+'[5]mayo 2025'!H186+[5]abril!H186+[5]marzo!H186+[5]febrero!H186+'[5]enero '!H186</f>
        <v>0</v>
      </c>
      <c r="I186" s="59">
        <f>SUM(I187)</f>
        <v>0</v>
      </c>
      <c r="J186" s="59">
        <f t="shared" si="5"/>
        <v>0</v>
      </c>
      <c r="K186" s="60"/>
    </row>
    <row r="187" spans="1:11" x14ac:dyDescent="0.25">
      <c r="A187" s="61">
        <v>2</v>
      </c>
      <c r="B187" s="62">
        <v>2</v>
      </c>
      <c r="C187" s="62">
        <v>8</v>
      </c>
      <c r="D187" s="62">
        <v>4</v>
      </c>
      <c r="E187" s="63" t="s">
        <v>35</v>
      </c>
      <c r="F187" s="61" t="s">
        <v>165</v>
      </c>
      <c r="G187" s="64">
        <f>'[6]CUENTA T FONDO 100'!CR288</f>
        <v>0</v>
      </c>
      <c r="H187" s="64">
        <f>+'[5]junio 2025'!H187+'[5]mayo 2025'!H187+[5]abril!H187+[5]marzo!H187+[5]febrero!H187+'[5]enero '!H187</f>
        <v>0</v>
      </c>
      <c r="I187" s="64"/>
      <c r="J187" s="64">
        <f t="shared" si="5"/>
        <v>0</v>
      </c>
      <c r="K187" s="65">
        <f>J187/$J$25</f>
        <v>0</v>
      </c>
    </row>
    <row r="188" spans="1:11" x14ac:dyDescent="0.25">
      <c r="A188" s="57">
        <v>2</v>
      </c>
      <c r="B188" s="58">
        <v>2</v>
      </c>
      <c r="C188" s="58">
        <v>8</v>
      </c>
      <c r="D188" s="58">
        <v>5</v>
      </c>
      <c r="E188" s="58"/>
      <c r="F188" s="57" t="s">
        <v>166</v>
      </c>
      <c r="G188" s="59">
        <f>SUM(G189:G191)</f>
        <v>0</v>
      </c>
      <c r="H188" s="59">
        <f>+'[5]junio 2025'!H188+'[5]mayo 2025'!H188+[5]abril!H188+[5]marzo!H188+[5]febrero!H188+'[5]enero '!H188</f>
        <v>813728</v>
      </c>
      <c r="I188" s="59">
        <f>SUM(I189:I191)</f>
        <v>0</v>
      </c>
      <c r="J188" s="59">
        <f t="shared" si="5"/>
        <v>813728</v>
      </c>
      <c r="K188" s="60"/>
    </row>
    <row r="189" spans="1:11" x14ac:dyDescent="0.25">
      <c r="A189" s="61">
        <v>2</v>
      </c>
      <c r="B189" s="62">
        <v>2</v>
      </c>
      <c r="C189" s="62">
        <v>8</v>
      </c>
      <c r="D189" s="62">
        <v>5</v>
      </c>
      <c r="E189" s="63" t="s">
        <v>35</v>
      </c>
      <c r="F189" s="61" t="s">
        <v>167</v>
      </c>
      <c r="G189" s="64">
        <f>'[6]CUENTA T FONDO 100'!CS288</f>
        <v>0</v>
      </c>
      <c r="H189" s="64">
        <f>+'[5]junio 2025'!H189+'[5]mayo 2025'!H189+[5]abril!H189+[5]marzo!H189+[5]febrero!H189+'[5]enero '!H189</f>
        <v>0</v>
      </c>
      <c r="I189" s="64"/>
      <c r="J189" s="64">
        <f t="shared" si="5"/>
        <v>0</v>
      </c>
      <c r="K189" s="65">
        <f>J189/$J$25</f>
        <v>0</v>
      </c>
    </row>
    <row r="190" spans="1:11" x14ac:dyDescent="0.25">
      <c r="A190" s="61">
        <v>2</v>
      </c>
      <c r="B190" s="62">
        <v>2</v>
      </c>
      <c r="C190" s="62">
        <v>8</v>
      </c>
      <c r="D190" s="62">
        <v>5</v>
      </c>
      <c r="E190" s="63" t="s">
        <v>37</v>
      </c>
      <c r="F190" s="61" t="s">
        <v>168</v>
      </c>
      <c r="G190" s="64">
        <f>'[6]CUENTA T FONDO 100'!CT288</f>
        <v>0</v>
      </c>
      <c r="H190" s="64">
        <f>+'[5]junio 2025'!H190+'[5]mayo 2025'!H190+[5]abril!H190+[5]marzo!H190+[5]febrero!H190+'[5]enero '!H190</f>
        <v>0</v>
      </c>
      <c r="I190" s="64"/>
      <c r="J190" s="64">
        <f t="shared" si="5"/>
        <v>0</v>
      </c>
      <c r="K190" s="65">
        <f>J190/$J$25</f>
        <v>0</v>
      </c>
    </row>
    <row r="191" spans="1:11" x14ac:dyDescent="0.25">
      <c r="A191" s="61">
        <v>2</v>
      </c>
      <c r="B191" s="62">
        <v>2</v>
      </c>
      <c r="C191" s="62">
        <v>8</v>
      </c>
      <c r="D191" s="62">
        <v>5</v>
      </c>
      <c r="E191" s="63" t="s">
        <v>39</v>
      </c>
      <c r="F191" s="61" t="s">
        <v>169</v>
      </c>
      <c r="G191" s="64">
        <f>'[6]CUENTA T FONDO 100'!CU288</f>
        <v>0</v>
      </c>
      <c r="H191" s="64">
        <f>+'[5]junio 2025'!H191+'[5]mayo 2025'!H191+[5]abril!H191+[5]marzo!H191+[5]febrero!H191+'[5]enero '!H191</f>
        <v>813728</v>
      </c>
      <c r="I191" s="64"/>
      <c r="J191" s="64">
        <f t="shared" si="5"/>
        <v>813728</v>
      </c>
      <c r="K191" s="65">
        <f>J191/$J$25</f>
        <v>1.3760811911632056E-3</v>
      </c>
    </row>
    <row r="192" spans="1:11" x14ac:dyDescent="0.25">
      <c r="A192" s="57">
        <v>2</v>
      </c>
      <c r="B192" s="58">
        <v>2</v>
      </c>
      <c r="C192" s="58">
        <v>8</v>
      </c>
      <c r="D192" s="58">
        <v>6</v>
      </c>
      <c r="E192" s="58"/>
      <c r="F192" s="57" t="s">
        <v>170</v>
      </c>
      <c r="G192" s="59">
        <f>SUM(G193:G196)</f>
        <v>0</v>
      </c>
      <c r="H192" s="59">
        <f>+'[5]junio 2025'!H192+'[5]mayo 2025'!H192+[5]abril!H192+[5]marzo!H192+[5]febrero!H192+'[5]enero '!H192</f>
        <v>240720</v>
      </c>
      <c r="I192" s="59">
        <f>SUM(I193:I196)</f>
        <v>0</v>
      </c>
      <c r="J192" s="59">
        <f t="shared" si="5"/>
        <v>240720</v>
      </c>
      <c r="K192" s="60"/>
    </row>
    <row r="193" spans="1:11" x14ac:dyDescent="0.25">
      <c r="A193" s="61">
        <v>2</v>
      </c>
      <c r="B193" s="62">
        <v>2</v>
      </c>
      <c r="C193" s="62">
        <v>8</v>
      </c>
      <c r="D193" s="62">
        <v>6</v>
      </c>
      <c r="E193" s="63" t="s">
        <v>35</v>
      </c>
      <c r="F193" s="61" t="s">
        <v>171</v>
      </c>
      <c r="G193" s="64">
        <f>'[6]CUENTA T FONDO 100'!CV288</f>
        <v>0</v>
      </c>
      <c r="H193" s="64">
        <f>+'[5]junio 2025'!H193+'[5]mayo 2025'!H193+[5]abril!H193+[5]marzo!H193+[5]febrero!H193+'[5]enero '!H193</f>
        <v>240720</v>
      </c>
      <c r="I193" s="64"/>
      <c r="J193" s="64">
        <f t="shared" si="5"/>
        <v>240720</v>
      </c>
      <c r="K193" s="65">
        <f>J193/$J$25</f>
        <v>4.0707738253667919E-4</v>
      </c>
    </row>
    <row r="194" spans="1:11" x14ac:dyDescent="0.25">
      <c r="A194" s="61">
        <v>2</v>
      </c>
      <c r="B194" s="62">
        <v>2</v>
      </c>
      <c r="C194" s="62">
        <v>8</v>
      </c>
      <c r="D194" s="62">
        <v>6</v>
      </c>
      <c r="E194" s="63" t="s">
        <v>37</v>
      </c>
      <c r="F194" s="61" t="s">
        <v>172</v>
      </c>
      <c r="G194" s="64">
        <f>'[6]CUENTA T FONDO 100'!CW288</f>
        <v>0</v>
      </c>
      <c r="H194" s="64">
        <f>+'[5]junio 2025'!H194+'[5]mayo 2025'!H194+[5]abril!H194+[5]marzo!H194+[5]febrero!H194+'[5]enero '!H194</f>
        <v>0</v>
      </c>
      <c r="I194" s="64"/>
      <c r="J194" s="64">
        <f t="shared" si="5"/>
        <v>0</v>
      </c>
      <c r="K194" s="65">
        <f>J194/$J$25</f>
        <v>0</v>
      </c>
    </row>
    <row r="195" spans="1:11" x14ac:dyDescent="0.25">
      <c r="A195" s="61">
        <v>2</v>
      </c>
      <c r="B195" s="62">
        <v>2</v>
      </c>
      <c r="C195" s="62">
        <v>8</v>
      </c>
      <c r="D195" s="62">
        <v>6</v>
      </c>
      <c r="E195" s="63" t="s">
        <v>39</v>
      </c>
      <c r="F195" s="61" t="s">
        <v>173</v>
      </c>
      <c r="G195" s="64">
        <f>'[6]CUENTA T FONDO 100'!CX288</f>
        <v>0</v>
      </c>
      <c r="H195" s="64">
        <f>+'[5]junio 2025'!H195+'[5]mayo 2025'!H195+[5]abril!H195+[5]marzo!H195+[5]febrero!H195+'[5]enero '!H195</f>
        <v>0</v>
      </c>
      <c r="I195" s="64"/>
      <c r="J195" s="64">
        <f t="shared" si="5"/>
        <v>0</v>
      </c>
      <c r="K195" s="65">
        <f>J195/$J$25</f>
        <v>0</v>
      </c>
    </row>
    <row r="196" spans="1:11" x14ac:dyDescent="0.25">
      <c r="A196" s="61">
        <v>2</v>
      </c>
      <c r="B196" s="62">
        <v>2</v>
      </c>
      <c r="C196" s="62">
        <v>8</v>
      </c>
      <c r="D196" s="62">
        <v>6</v>
      </c>
      <c r="E196" s="63" t="s">
        <v>41</v>
      </c>
      <c r="F196" s="61" t="s">
        <v>174</v>
      </c>
      <c r="G196" s="64">
        <f>'[6]CUENTA T FONDO 100'!CY288</f>
        <v>0</v>
      </c>
      <c r="H196" s="64">
        <f>+'[5]junio 2025'!H196+'[5]mayo 2025'!H196+[5]abril!H196+[5]marzo!H196+[5]febrero!H196+'[5]enero '!H196</f>
        <v>0</v>
      </c>
      <c r="I196" s="64"/>
      <c r="J196" s="64">
        <f t="shared" si="5"/>
        <v>0</v>
      </c>
      <c r="K196" s="65">
        <f>J196/$J$25</f>
        <v>0</v>
      </c>
    </row>
    <row r="197" spans="1:11" x14ac:dyDescent="0.25">
      <c r="A197" s="57">
        <v>2</v>
      </c>
      <c r="B197" s="58">
        <v>2</v>
      </c>
      <c r="C197" s="58">
        <v>8</v>
      </c>
      <c r="D197" s="58">
        <v>7</v>
      </c>
      <c r="E197" s="58"/>
      <c r="F197" s="57" t="s">
        <v>175</v>
      </c>
      <c r="G197" s="59">
        <f>SUM(G198:G203)</f>
        <v>902700</v>
      </c>
      <c r="H197" s="59">
        <f>+'[5]junio 2025'!H197+'[5]mayo 2025'!H197+[5]abril!H197+[5]marzo!H197+[5]febrero!H197+'[5]enero '!H197</f>
        <v>1502562.8</v>
      </c>
      <c r="I197" s="59">
        <f>SUM(I198:I203)</f>
        <v>0</v>
      </c>
      <c r="J197" s="59">
        <f t="shared" si="5"/>
        <v>2405262.7999999998</v>
      </c>
      <c r="K197" s="60"/>
    </row>
    <row r="198" spans="1:11" ht="63.75" x14ac:dyDescent="0.25">
      <c r="A198" s="61">
        <v>2</v>
      </c>
      <c r="B198" s="62">
        <v>2</v>
      </c>
      <c r="C198" s="62">
        <v>8</v>
      </c>
      <c r="D198" s="62">
        <v>7</v>
      </c>
      <c r="E198" s="63" t="s">
        <v>35</v>
      </c>
      <c r="F198" s="81" t="s">
        <v>176</v>
      </c>
      <c r="G198" s="64">
        <v>902700</v>
      </c>
      <c r="H198" s="64">
        <f>+'[5]junio 2025'!H198+'[5]mayo 2025'!H198+[5]abril!H198+[5]marzo!H198+[5]febrero!H198+'[5]enero '!H198</f>
        <v>0</v>
      </c>
      <c r="I198" s="64"/>
      <c r="J198" s="64">
        <f t="shared" si="5"/>
        <v>902700</v>
      </c>
      <c r="K198" s="65">
        <f t="shared" ref="K198:K203" si="8">J198/$J$25</f>
        <v>1.526540184512547E-3</v>
      </c>
    </row>
    <row r="199" spans="1:11" ht="25.5" x14ac:dyDescent="0.25">
      <c r="A199" s="61">
        <v>2</v>
      </c>
      <c r="B199" s="62">
        <v>2</v>
      </c>
      <c r="C199" s="62">
        <v>8</v>
      </c>
      <c r="D199" s="62">
        <v>7</v>
      </c>
      <c r="E199" s="63" t="s">
        <v>37</v>
      </c>
      <c r="F199" s="81" t="s">
        <v>177</v>
      </c>
      <c r="G199" s="64">
        <f>'[6]CUENTA T FONDO 100'!DA288</f>
        <v>0</v>
      </c>
      <c r="H199" s="64">
        <f>+'[5]junio 2025'!H199+'[5]mayo 2025'!H199+[5]abril!H199+[5]marzo!H199+[5]febrero!H199+'[5]enero '!H199</f>
        <v>0</v>
      </c>
      <c r="I199" s="64"/>
      <c r="J199" s="64">
        <f t="shared" si="5"/>
        <v>0</v>
      </c>
      <c r="K199" s="65">
        <f t="shared" si="8"/>
        <v>0</v>
      </c>
    </row>
    <row r="200" spans="1:11" ht="38.25" x14ac:dyDescent="0.25">
      <c r="A200" s="61">
        <v>2</v>
      </c>
      <c r="B200" s="62">
        <v>2</v>
      </c>
      <c r="C200" s="62">
        <v>8</v>
      </c>
      <c r="D200" s="62">
        <v>7</v>
      </c>
      <c r="E200" s="63" t="s">
        <v>39</v>
      </c>
      <c r="F200" s="81" t="s">
        <v>178</v>
      </c>
      <c r="G200" s="64">
        <f>'[6]CUENTA T FONDO 100'!DB288</f>
        <v>0</v>
      </c>
      <c r="H200" s="64">
        <f>+'[5]junio 2025'!H200+'[5]mayo 2025'!H200+[5]abril!H200+[5]marzo!H200+[5]febrero!H200+'[5]enero '!H200</f>
        <v>0</v>
      </c>
      <c r="I200" s="64"/>
      <c r="J200" s="64">
        <f t="shared" si="5"/>
        <v>0</v>
      </c>
      <c r="K200" s="65">
        <f t="shared" si="8"/>
        <v>0</v>
      </c>
    </row>
    <row r="201" spans="1:11" ht="25.5" x14ac:dyDescent="0.25">
      <c r="A201" s="61">
        <v>2</v>
      </c>
      <c r="B201" s="62">
        <v>2</v>
      </c>
      <c r="C201" s="62">
        <v>8</v>
      </c>
      <c r="D201" s="62">
        <v>7</v>
      </c>
      <c r="E201" s="63" t="s">
        <v>41</v>
      </c>
      <c r="F201" s="81" t="s">
        <v>179</v>
      </c>
      <c r="G201" s="64">
        <f>'[6]CUENTA T FONDO 100'!DC288</f>
        <v>0</v>
      </c>
      <c r="H201" s="64">
        <f>+'[5]junio 2025'!H201+'[5]mayo 2025'!H201+[5]abril!H201+[5]marzo!H201+[5]febrero!H201+'[5]enero '!H201</f>
        <v>29305.8</v>
      </c>
      <c r="I201" s="64"/>
      <c r="J201" s="64">
        <f t="shared" si="5"/>
        <v>29305.8</v>
      </c>
      <c r="K201" s="65">
        <f t="shared" si="8"/>
        <v>4.9558525910366453E-5</v>
      </c>
    </row>
    <row r="202" spans="1:11" ht="63.75" x14ac:dyDescent="0.25">
      <c r="A202" s="61">
        <v>2</v>
      </c>
      <c r="B202" s="62">
        <v>2</v>
      </c>
      <c r="C202" s="62">
        <v>8</v>
      </c>
      <c r="D202" s="62">
        <v>7</v>
      </c>
      <c r="E202" s="63" t="s">
        <v>43</v>
      </c>
      <c r="F202" s="81" t="s">
        <v>180</v>
      </c>
      <c r="G202" s="64">
        <f>'[6]CUENTA T FONDO 100'!DD288</f>
        <v>0</v>
      </c>
      <c r="H202" s="64">
        <f>+'[5]junio 2025'!H202+'[5]mayo 2025'!H202+[5]abril!H202+[5]marzo!H202+[5]febrero!H202+'[5]enero '!H202</f>
        <v>97704</v>
      </c>
      <c r="I202" s="64"/>
      <c r="J202" s="64">
        <f t="shared" si="5"/>
        <v>97704</v>
      </c>
      <c r="K202" s="65">
        <f t="shared" si="8"/>
        <v>1.6522552585312273E-4</v>
      </c>
    </row>
    <row r="203" spans="1:11" ht="63.75" x14ac:dyDescent="0.25">
      <c r="A203" s="61">
        <v>2</v>
      </c>
      <c r="B203" s="62">
        <v>2</v>
      </c>
      <c r="C203" s="62">
        <v>8</v>
      </c>
      <c r="D203" s="62">
        <v>7</v>
      </c>
      <c r="E203" s="63" t="s">
        <v>45</v>
      </c>
      <c r="F203" s="81" t="s">
        <v>181</v>
      </c>
      <c r="G203" s="64">
        <f>'[6]CUENTA T FONDO 100'!DE288</f>
        <v>0</v>
      </c>
      <c r="H203" s="64">
        <f>+'[5]junio 2025'!H203+'[5]mayo 2025'!H203+[5]abril!H203+[5]marzo!H203+[5]febrero!H203+'[5]enero '!H203</f>
        <v>1375553</v>
      </c>
      <c r="I203" s="64"/>
      <c r="J203" s="64">
        <f t="shared" si="5"/>
        <v>1375553</v>
      </c>
      <c r="K203" s="65">
        <f t="shared" si="8"/>
        <v>2.3261736240465132E-3</v>
      </c>
    </row>
    <row r="204" spans="1:11" ht="38.25" x14ac:dyDescent="0.25">
      <c r="A204" s="57">
        <v>2</v>
      </c>
      <c r="B204" s="58">
        <v>2</v>
      </c>
      <c r="C204" s="58">
        <v>8</v>
      </c>
      <c r="D204" s="58">
        <v>8</v>
      </c>
      <c r="E204" s="58"/>
      <c r="F204" s="82" t="s">
        <v>182</v>
      </c>
      <c r="G204" s="59">
        <f>SUM(G205:G207)</f>
        <v>0</v>
      </c>
      <c r="H204" s="59">
        <f>+'[5]junio 2025'!H204+'[5]mayo 2025'!H204+[5]abril!H204+[5]marzo!H204+[5]febrero!H204+'[5]enero '!H204</f>
        <v>0</v>
      </c>
      <c r="I204" s="59">
        <f>SUM(I205:I207)</f>
        <v>0</v>
      </c>
      <c r="J204" s="59">
        <f t="shared" si="5"/>
        <v>0</v>
      </c>
      <c r="K204" s="60"/>
    </row>
    <row r="205" spans="1:11" x14ac:dyDescent="0.25">
      <c r="A205" s="61">
        <v>2</v>
      </c>
      <c r="B205" s="62">
        <v>2</v>
      </c>
      <c r="C205" s="62">
        <v>8</v>
      </c>
      <c r="D205" s="62">
        <v>8</v>
      </c>
      <c r="E205" s="63" t="s">
        <v>35</v>
      </c>
      <c r="F205" s="81" t="s">
        <v>183</v>
      </c>
      <c r="G205" s="64">
        <f>'[6]CUENTA T FONDO 100'!DF288</f>
        <v>0</v>
      </c>
      <c r="H205" s="64">
        <f>+'[5]junio 2025'!H205+'[5]mayo 2025'!H205+[5]abril!H205+[5]marzo!H205+[5]febrero!H205+'[5]enero '!H205</f>
        <v>0</v>
      </c>
      <c r="I205" s="64"/>
      <c r="J205" s="64">
        <f t="shared" si="5"/>
        <v>0</v>
      </c>
      <c r="K205" s="65">
        <f>J205/$J$25</f>
        <v>0</v>
      </c>
    </row>
    <row r="206" spans="1:11" x14ac:dyDescent="0.25">
      <c r="A206" s="61">
        <v>2</v>
      </c>
      <c r="B206" s="62">
        <v>2</v>
      </c>
      <c r="C206" s="62">
        <v>8</v>
      </c>
      <c r="D206" s="62">
        <v>8</v>
      </c>
      <c r="E206" s="63" t="s">
        <v>37</v>
      </c>
      <c r="F206" s="81" t="s">
        <v>184</v>
      </c>
      <c r="G206" s="64">
        <f>'[6]CUENTA T FONDO 100'!DG288</f>
        <v>0</v>
      </c>
      <c r="H206" s="64">
        <f>+'[5]junio 2025'!H206+'[5]mayo 2025'!H206+[5]abril!H206+[5]marzo!H206+[5]febrero!H206+'[5]enero '!H206</f>
        <v>0</v>
      </c>
      <c r="I206" s="64"/>
      <c r="J206" s="64">
        <f t="shared" si="5"/>
        <v>0</v>
      </c>
      <c r="K206" s="65">
        <f>J206/$J$25</f>
        <v>0</v>
      </c>
    </row>
    <row r="207" spans="1:11" x14ac:dyDescent="0.25">
      <c r="A207" s="61">
        <v>2</v>
      </c>
      <c r="B207" s="62">
        <v>2</v>
      </c>
      <c r="C207" s="62">
        <v>8</v>
      </c>
      <c r="D207" s="62">
        <v>8</v>
      </c>
      <c r="E207" s="63" t="s">
        <v>39</v>
      </c>
      <c r="F207" s="81" t="s">
        <v>185</v>
      </c>
      <c r="G207" s="64">
        <f>'[6]CUENTA T FONDO 100'!DH288</f>
        <v>0</v>
      </c>
      <c r="H207" s="64">
        <f>+'[5]junio 2025'!H207+'[5]mayo 2025'!H207+[5]abril!H207+[5]marzo!H207+[5]febrero!H207+'[5]enero '!H207</f>
        <v>0</v>
      </c>
      <c r="I207" s="64"/>
      <c r="J207" s="64">
        <f t="shared" si="5"/>
        <v>0</v>
      </c>
      <c r="K207" s="65">
        <f>J207/$J$25</f>
        <v>0</v>
      </c>
    </row>
    <row r="208" spans="1:11" x14ac:dyDescent="0.25">
      <c r="A208" s="54">
        <v>2</v>
      </c>
      <c r="B208" s="55">
        <v>2</v>
      </c>
      <c r="C208" s="55">
        <v>9</v>
      </c>
      <c r="D208" s="55"/>
      <c r="E208" s="55"/>
      <c r="F208" s="54" t="s">
        <v>186</v>
      </c>
      <c r="G208" s="56">
        <f>+G209</f>
        <v>3423745.04</v>
      </c>
      <c r="H208" s="56">
        <f>+'[5]junio 2025'!H208+'[5]mayo 2025'!H208+[5]abril!H208+[5]marzo!H208+[5]febrero!H208+'[5]enero '!H208</f>
        <v>910287.4</v>
      </c>
      <c r="I208" s="56">
        <f>+I209</f>
        <v>0</v>
      </c>
      <c r="J208" s="56">
        <f t="shared" si="5"/>
        <v>4334032.4400000004</v>
      </c>
      <c r="K208" s="53"/>
    </row>
    <row r="209" spans="1:11" x14ac:dyDescent="0.25">
      <c r="A209" s="57">
        <v>2</v>
      </c>
      <c r="B209" s="58">
        <v>2</v>
      </c>
      <c r="C209" s="58">
        <v>9</v>
      </c>
      <c r="D209" s="58">
        <v>2</v>
      </c>
      <c r="E209" s="58"/>
      <c r="F209" s="57" t="s">
        <v>187</v>
      </c>
      <c r="G209" s="59">
        <f>G210+G211</f>
        <v>3423745.04</v>
      </c>
      <c r="H209" s="59">
        <f>+'[5]junio 2025'!H209+'[5]mayo 2025'!H209+[5]abril!H209+[5]marzo!H209+[5]febrero!H209+'[5]enero '!H209</f>
        <v>910287.4</v>
      </c>
      <c r="I209" s="59">
        <f>I210+I211</f>
        <v>0</v>
      </c>
      <c r="J209" s="59">
        <f t="shared" si="5"/>
        <v>4334032.4400000004</v>
      </c>
      <c r="K209" s="60"/>
    </row>
    <row r="210" spans="1:11" ht="25.5" x14ac:dyDescent="0.25">
      <c r="A210" s="61">
        <v>2</v>
      </c>
      <c r="B210" s="62">
        <v>2</v>
      </c>
      <c r="C210" s="62">
        <v>9</v>
      </c>
      <c r="D210" s="62">
        <v>2</v>
      </c>
      <c r="E210" s="63" t="s">
        <v>35</v>
      </c>
      <c r="F210" s="81" t="s">
        <v>188</v>
      </c>
      <c r="G210" s="64">
        <v>1726315.04</v>
      </c>
      <c r="H210" s="64">
        <f>+'[5]junio 2025'!H210+'[5]mayo 2025'!H210+[5]abril!H210+[5]marzo!H210+[5]febrero!H210+'[5]enero '!H210</f>
        <v>910287.4</v>
      </c>
      <c r="I210" s="64"/>
      <c r="J210" s="64">
        <f t="shared" si="5"/>
        <v>2636602.44</v>
      </c>
      <c r="K210" s="65">
        <f>J210/$J$25</f>
        <v>4.4587122800972987E-3</v>
      </c>
    </row>
    <row r="211" spans="1:11" ht="25.5" x14ac:dyDescent="0.25">
      <c r="A211" s="61">
        <v>2</v>
      </c>
      <c r="B211" s="62">
        <v>2</v>
      </c>
      <c r="C211" s="62">
        <v>9</v>
      </c>
      <c r="D211" s="62">
        <v>2</v>
      </c>
      <c r="E211" s="63" t="s">
        <v>39</v>
      </c>
      <c r="F211" s="81" t="s">
        <v>189</v>
      </c>
      <c r="G211" s="64">
        <v>1697430</v>
      </c>
      <c r="H211" s="64">
        <f>+'[5]junio 2025'!H211+'[5]mayo 2025'!H211+[5]abril!H211+[5]marzo!H211+[5]febrero!H211+'[5]enero '!H211</f>
        <v>0</v>
      </c>
      <c r="I211" s="64"/>
      <c r="J211" s="64">
        <f t="shared" si="5"/>
        <v>1697430</v>
      </c>
      <c r="K211" s="65">
        <f>J211/$J$25</f>
        <v>2.8704941900932011E-3</v>
      </c>
    </row>
    <row r="212" spans="1:11" x14ac:dyDescent="0.25">
      <c r="A212" s="70">
        <v>2</v>
      </c>
      <c r="B212" s="55">
        <v>3</v>
      </c>
      <c r="C212" s="55"/>
      <c r="D212" s="55"/>
      <c r="E212" s="55"/>
      <c r="F212" s="54" t="s">
        <v>190</v>
      </c>
      <c r="G212" s="56">
        <f>G213+G225+G232+G245+G250+G261+G286+G303+G308</f>
        <v>95158374.879999995</v>
      </c>
      <c r="H212" s="56">
        <f>+'[5]junio 2025'!H212+'[5]mayo 2025'!H212+[5]abril!H212+[5]marzo!H212+[5]febrero!H212+'[5]enero '!H212</f>
        <v>13849727.889999999</v>
      </c>
      <c r="I212" s="56">
        <f>I213+I225+I232+I245+I250+I261+I286+I303+I308</f>
        <v>0</v>
      </c>
      <c r="J212" s="56">
        <f t="shared" si="5"/>
        <v>109008102.77</v>
      </c>
      <c r="K212" s="53">
        <f>J212/$J$25</f>
        <v>0.18434169637296829</v>
      </c>
    </row>
    <row r="213" spans="1:11" x14ac:dyDescent="0.25">
      <c r="A213" s="70">
        <v>2</v>
      </c>
      <c r="B213" s="55">
        <v>3</v>
      </c>
      <c r="C213" s="55">
        <v>1</v>
      </c>
      <c r="D213" s="55"/>
      <c r="E213" s="55"/>
      <c r="F213" s="54" t="s">
        <v>191</v>
      </c>
      <c r="G213" s="56">
        <f>+G214+G217+G219+G223</f>
        <v>8580897.2899999991</v>
      </c>
      <c r="H213" s="56">
        <f>+'[5]junio 2025'!H213+'[5]mayo 2025'!H213+[5]abril!H213+[5]marzo!H213+[5]febrero!H213+'[5]enero '!H213</f>
        <v>2163985.7999999998</v>
      </c>
      <c r="I213" s="56">
        <f>+I214+I217+I219+I223</f>
        <v>0</v>
      </c>
      <c r="J213" s="56">
        <f t="shared" si="5"/>
        <v>10744883.09</v>
      </c>
      <c r="K213" s="53"/>
    </row>
    <row r="214" spans="1:11" x14ac:dyDescent="0.25">
      <c r="A214" s="72">
        <v>2</v>
      </c>
      <c r="B214" s="58">
        <v>3</v>
      </c>
      <c r="C214" s="58">
        <v>1</v>
      </c>
      <c r="D214" s="58">
        <v>1</v>
      </c>
      <c r="E214" s="77"/>
      <c r="F214" s="57" t="s">
        <v>192</v>
      </c>
      <c r="G214" s="59">
        <f>SUM(G215:G216)</f>
        <v>8580897.2899999991</v>
      </c>
      <c r="H214" s="59">
        <f>+'[5]junio 2025'!H214+'[5]mayo 2025'!H214+[5]abril!H214+[5]marzo!H214+[5]febrero!H214+'[5]enero '!H214</f>
        <v>2163985.7999999998</v>
      </c>
      <c r="I214" s="59">
        <f>SUM(I215:I216)</f>
        <v>0</v>
      </c>
      <c r="J214" s="59">
        <f t="shared" si="5"/>
        <v>10744883.09</v>
      </c>
      <c r="K214" s="60"/>
    </row>
    <row r="215" spans="1:11" x14ac:dyDescent="0.25">
      <c r="A215" s="74">
        <v>2</v>
      </c>
      <c r="B215" s="62">
        <v>3</v>
      </c>
      <c r="C215" s="62">
        <v>1</v>
      </c>
      <c r="D215" s="62">
        <v>1</v>
      </c>
      <c r="E215" s="63" t="s">
        <v>35</v>
      </c>
      <c r="F215" s="61" t="s">
        <v>192</v>
      </c>
      <c r="G215" s="64">
        <v>8580897.2899999991</v>
      </c>
      <c r="H215" s="169">
        <f>+'[5]junio 2025'!H215+'[5]mayo 2025'!H215+[5]abril!H215+[5]marzo!H215+[5]febrero!H215+'[5]enero '!H215</f>
        <v>2163985.7999999998</v>
      </c>
      <c r="I215" s="169"/>
      <c r="J215" s="64">
        <f t="shared" si="5"/>
        <v>10744883.09</v>
      </c>
      <c r="K215" s="65">
        <f>J215/$J$25</f>
        <v>1.8170483898055107E-2</v>
      </c>
    </row>
    <row r="216" spans="1:11" x14ac:dyDescent="0.25">
      <c r="A216" s="74">
        <v>2</v>
      </c>
      <c r="B216" s="62">
        <v>3</v>
      </c>
      <c r="C216" s="62">
        <v>1</v>
      </c>
      <c r="D216" s="62">
        <v>1</v>
      </c>
      <c r="E216" s="63" t="s">
        <v>37</v>
      </c>
      <c r="F216" s="61" t="s">
        <v>193</v>
      </c>
      <c r="G216" s="64">
        <f>'[6]CUENTA T FONDO 100'!DL288</f>
        <v>0</v>
      </c>
      <c r="H216" s="169">
        <f>+'[5]junio 2025'!H216+'[5]mayo 2025'!H216+[5]abril!H216+[5]marzo!H216+[5]febrero!H216+'[5]enero '!H216</f>
        <v>0</v>
      </c>
      <c r="I216" s="169"/>
      <c r="J216" s="64">
        <f t="shared" si="5"/>
        <v>0</v>
      </c>
      <c r="K216" s="65">
        <f>J216/$J$25</f>
        <v>0</v>
      </c>
    </row>
    <row r="217" spans="1:11" x14ac:dyDescent="0.25">
      <c r="A217" s="72">
        <v>2</v>
      </c>
      <c r="B217" s="58">
        <v>3</v>
      </c>
      <c r="C217" s="58">
        <v>1</v>
      </c>
      <c r="D217" s="58">
        <v>2</v>
      </c>
      <c r="E217" s="77"/>
      <c r="F217" s="57" t="s">
        <v>194</v>
      </c>
      <c r="G217" s="59">
        <f>SUM(G218)</f>
        <v>0</v>
      </c>
      <c r="H217" s="59">
        <f>+'[5]junio 2025'!H217+'[5]mayo 2025'!H217+[5]abril!H217+[5]marzo!H217+[5]febrero!H217+'[5]enero '!H217</f>
        <v>0</v>
      </c>
      <c r="I217" s="59">
        <f>SUM(I218)</f>
        <v>0</v>
      </c>
      <c r="J217" s="59">
        <f t="shared" si="5"/>
        <v>0</v>
      </c>
      <c r="K217" s="60"/>
    </row>
    <row r="218" spans="1:11" x14ac:dyDescent="0.25">
      <c r="A218" s="74">
        <v>2</v>
      </c>
      <c r="B218" s="62">
        <v>3</v>
      </c>
      <c r="C218" s="62">
        <v>1</v>
      </c>
      <c r="D218" s="62">
        <v>2</v>
      </c>
      <c r="E218" s="63" t="s">
        <v>35</v>
      </c>
      <c r="F218" s="61" t="s">
        <v>194</v>
      </c>
      <c r="G218" s="64">
        <f>'[6]CUENTA T FONDO 100'!DM288</f>
        <v>0</v>
      </c>
      <c r="H218" s="169">
        <f>+'[5]junio 2025'!H218+'[5]mayo 2025'!H218+[5]abril!H218+[5]marzo!H218+[5]febrero!H218+'[5]enero '!H218</f>
        <v>0</v>
      </c>
      <c r="I218" s="169"/>
      <c r="J218" s="64">
        <f t="shared" si="5"/>
        <v>0</v>
      </c>
      <c r="K218" s="65">
        <f>J218/$J$25</f>
        <v>0</v>
      </c>
    </row>
    <row r="219" spans="1:11" x14ac:dyDescent="0.25">
      <c r="A219" s="72">
        <v>2</v>
      </c>
      <c r="B219" s="58">
        <v>3</v>
      </c>
      <c r="C219" s="58">
        <v>1</v>
      </c>
      <c r="D219" s="58">
        <v>3</v>
      </c>
      <c r="E219" s="58"/>
      <c r="F219" s="57" t="s">
        <v>195</v>
      </c>
      <c r="G219" s="59">
        <f>SUM(G220:G222)</f>
        <v>0</v>
      </c>
      <c r="H219" s="59">
        <f>+'[5]junio 2025'!H219+'[5]mayo 2025'!H219+[5]abril!H219+[5]marzo!H219+[5]febrero!H219+'[5]enero '!H219</f>
        <v>0</v>
      </c>
      <c r="I219" s="59">
        <f>SUM(I220:I222)</f>
        <v>0</v>
      </c>
      <c r="J219" s="59">
        <f t="shared" ref="J219:J282" si="9">SUM(G219:I219)</f>
        <v>0</v>
      </c>
      <c r="K219" s="60"/>
    </row>
    <row r="220" spans="1:11" x14ac:dyDescent="0.25">
      <c r="A220" s="74">
        <v>2</v>
      </c>
      <c r="B220" s="62">
        <v>3</v>
      </c>
      <c r="C220" s="62">
        <v>1</v>
      </c>
      <c r="D220" s="62">
        <v>3</v>
      </c>
      <c r="E220" s="63" t="s">
        <v>35</v>
      </c>
      <c r="F220" s="61" t="s">
        <v>196</v>
      </c>
      <c r="G220" s="64">
        <f>'[6]CUENTA T FONDO 100'!DN288</f>
        <v>0</v>
      </c>
      <c r="H220" s="169">
        <f>+'[5]junio 2025'!H220+'[5]mayo 2025'!H220+[5]abril!H220+[5]marzo!H220+[5]febrero!H220+'[5]enero '!H220</f>
        <v>0</v>
      </c>
      <c r="I220" s="169"/>
      <c r="J220" s="64">
        <f t="shared" si="9"/>
        <v>0</v>
      </c>
      <c r="K220" s="65">
        <f>J220/$J$25</f>
        <v>0</v>
      </c>
    </row>
    <row r="221" spans="1:11" x14ac:dyDescent="0.25">
      <c r="A221" s="74">
        <v>2</v>
      </c>
      <c r="B221" s="62">
        <v>3</v>
      </c>
      <c r="C221" s="62">
        <v>1</v>
      </c>
      <c r="D221" s="62">
        <v>3</v>
      </c>
      <c r="E221" s="63" t="s">
        <v>37</v>
      </c>
      <c r="F221" s="61" t="s">
        <v>197</v>
      </c>
      <c r="G221" s="64">
        <f>'[6]CUENTA T FONDO 100'!DO288</f>
        <v>0</v>
      </c>
      <c r="H221" s="169">
        <f>+'[5]junio 2025'!H221+'[5]mayo 2025'!H221+[5]abril!H221+[5]marzo!H221+[5]febrero!H221+'[5]enero '!H221</f>
        <v>0</v>
      </c>
      <c r="I221" s="169"/>
      <c r="J221" s="64">
        <f t="shared" si="9"/>
        <v>0</v>
      </c>
      <c r="K221" s="65">
        <f>J221/$J$25</f>
        <v>0</v>
      </c>
    </row>
    <row r="222" spans="1:11" x14ac:dyDescent="0.25">
      <c r="A222" s="74">
        <v>2</v>
      </c>
      <c r="B222" s="62">
        <v>3</v>
      </c>
      <c r="C222" s="62">
        <v>1</v>
      </c>
      <c r="D222" s="62">
        <v>3</v>
      </c>
      <c r="E222" s="63" t="s">
        <v>39</v>
      </c>
      <c r="F222" s="61" t="s">
        <v>198</v>
      </c>
      <c r="G222" s="64">
        <f>'[6]CUENTA T FONDO 100'!DP288</f>
        <v>0</v>
      </c>
      <c r="H222" s="169">
        <f>+'[5]junio 2025'!H222+'[5]mayo 2025'!H222+[5]abril!H222+[5]marzo!H222+[5]febrero!H222+'[5]enero '!H222</f>
        <v>0</v>
      </c>
      <c r="I222" s="169"/>
      <c r="J222" s="64">
        <f t="shared" si="9"/>
        <v>0</v>
      </c>
      <c r="K222" s="65">
        <f>J222/$J$25</f>
        <v>0</v>
      </c>
    </row>
    <row r="223" spans="1:11" x14ac:dyDescent="0.25">
      <c r="A223" s="72">
        <v>2</v>
      </c>
      <c r="B223" s="58">
        <v>3</v>
      </c>
      <c r="C223" s="58">
        <v>1</v>
      </c>
      <c r="D223" s="58">
        <v>4</v>
      </c>
      <c r="E223" s="58"/>
      <c r="F223" s="57" t="s">
        <v>199</v>
      </c>
      <c r="G223" s="59">
        <f>SUM(G224)</f>
        <v>0</v>
      </c>
      <c r="H223" s="59">
        <f>+'[5]junio 2025'!H223+'[5]mayo 2025'!H223+[5]abril!H223+[5]marzo!H223+[5]febrero!H223+'[5]enero '!H223</f>
        <v>0</v>
      </c>
      <c r="I223" s="59">
        <f>SUM(I224)</f>
        <v>0</v>
      </c>
      <c r="J223" s="59">
        <f t="shared" si="9"/>
        <v>0</v>
      </c>
      <c r="K223" s="60"/>
    </row>
    <row r="224" spans="1:11" x14ac:dyDescent="0.25">
      <c r="A224" s="74">
        <v>2</v>
      </c>
      <c r="B224" s="62">
        <v>3</v>
      </c>
      <c r="C224" s="62">
        <v>1</v>
      </c>
      <c r="D224" s="62">
        <v>4</v>
      </c>
      <c r="E224" s="63" t="s">
        <v>35</v>
      </c>
      <c r="F224" s="61" t="s">
        <v>199</v>
      </c>
      <c r="G224" s="64">
        <f>'[6]CUENTA T FONDO 100'!DQ288</f>
        <v>0</v>
      </c>
      <c r="H224" s="64">
        <f>+'[5]junio 2025'!H224+'[5]mayo 2025'!H224+[5]abril!H224+[5]marzo!H224+[5]febrero!H224+'[5]enero '!H224</f>
        <v>0</v>
      </c>
      <c r="I224" s="64"/>
      <c r="J224" s="64">
        <f t="shared" si="9"/>
        <v>0</v>
      </c>
      <c r="K224" s="65">
        <f>J224/$J$25</f>
        <v>0</v>
      </c>
    </row>
    <row r="225" spans="1:11" x14ac:dyDescent="0.25">
      <c r="A225" s="70">
        <v>2</v>
      </c>
      <c r="B225" s="55">
        <v>3</v>
      </c>
      <c r="C225" s="55">
        <v>2</v>
      </c>
      <c r="D225" s="55"/>
      <c r="E225" s="78"/>
      <c r="F225" s="54" t="s">
        <v>200</v>
      </c>
      <c r="G225" s="56">
        <f>+G226+G228+G230</f>
        <v>2515696.77</v>
      </c>
      <c r="H225" s="56">
        <f>+'[5]junio 2025'!H225+'[5]mayo 2025'!H225+[5]abril!H225+[5]marzo!H225+[5]febrero!H225+'[5]enero '!H225</f>
        <v>346306.4</v>
      </c>
      <c r="I225" s="56">
        <f>+I226+I228+I230</f>
        <v>0</v>
      </c>
      <c r="J225" s="56">
        <f t="shared" si="9"/>
        <v>2862003.17</v>
      </c>
      <c r="K225" s="53"/>
    </row>
    <row r="226" spans="1:11" x14ac:dyDescent="0.25">
      <c r="A226" s="72">
        <v>2</v>
      </c>
      <c r="B226" s="58">
        <v>3</v>
      </c>
      <c r="C226" s="58">
        <v>2</v>
      </c>
      <c r="D226" s="58">
        <v>1</v>
      </c>
      <c r="E226" s="58"/>
      <c r="F226" s="57" t="s">
        <v>201</v>
      </c>
      <c r="G226" s="59">
        <f>SUM(G227)</f>
        <v>0</v>
      </c>
      <c r="H226" s="59">
        <f>+'[5]junio 2025'!H226+'[5]mayo 2025'!H226+[5]abril!H226+[5]marzo!H226+[5]febrero!H226+'[5]enero '!H226</f>
        <v>141128</v>
      </c>
      <c r="I226" s="59">
        <f>SUM(I227)</f>
        <v>0</v>
      </c>
      <c r="J226" s="59">
        <f t="shared" si="9"/>
        <v>141128</v>
      </c>
      <c r="K226" s="60"/>
    </row>
    <row r="227" spans="1:11" x14ac:dyDescent="0.25">
      <c r="A227" s="74">
        <v>2</v>
      </c>
      <c r="B227" s="62">
        <v>3</v>
      </c>
      <c r="C227" s="62">
        <v>2</v>
      </c>
      <c r="D227" s="62">
        <v>1</v>
      </c>
      <c r="E227" s="63" t="s">
        <v>35</v>
      </c>
      <c r="F227" s="61" t="s">
        <v>201</v>
      </c>
      <c r="G227" s="64">
        <f>'[6]CUENTA T FONDO 100'!DR288</f>
        <v>0</v>
      </c>
      <c r="H227" s="64">
        <f>+'[5]junio 2025'!H227+'[5]mayo 2025'!H227+[5]abril!H227+[5]marzo!H227+[5]febrero!H227+'[5]enero '!H227</f>
        <v>141128</v>
      </c>
      <c r="I227" s="64"/>
      <c r="J227" s="64">
        <f t="shared" si="9"/>
        <v>141128</v>
      </c>
      <c r="K227" s="65">
        <f>J227/$J$25</f>
        <v>2.3865909289895506E-4</v>
      </c>
    </row>
    <row r="228" spans="1:11" x14ac:dyDescent="0.25">
      <c r="A228" s="72">
        <v>2</v>
      </c>
      <c r="B228" s="58">
        <v>3</v>
      </c>
      <c r="C228" s="58">
        <v>2</v>
      </c>
      <c r="D228" s="58">
        <v>2</v>
      </c>
      <c r="E228" s="58"/>
      <c r="F228" s="57" t="s">
        <v>202</v>
      </c>
      <c r="G228" s="59">
        <f>SUM(G229)</f>
        <v>2515696.77</v>
      </c>
      <c r="H228" s="59">
        <f>+'[5]junio 2025'!H228+'[5]mayo 2025'!H228+[5]abril!H228+[5]marzo!H228+[5]febrero!H228+'[5]enero '!H228</f>
        <v>0</v>
      </c>
      <c r="I228" s="59">
        <f>SUM(I229)</f>
        <v>0</v>
      </c>
      <c r="J228" s="59">
        <f t="shared" si="9"/>
        <v>2515696.77</v>
      </c>
      <c r="K228" s="60"/>
    </row>
    <row r="229" spans="1:11" x14ac:dyDescent="0.25">
      <c r="A229" s="74">
        <v>2</v>
      </c>
      <c r="B229" s="62">
        <v>3</v>
      </c>
      <c r="C229" s="62">
        <v>2</v>
      </c>
      <c r="D229" s="62">
        <v>2</v>
      </c>
      <c r="E229" s="63" t="s">
        <v>35</v>
      </c>
      <c r="F229" s="61" t="s">
        <v>202</v>
      </c>
      <c r="G229" s="64">
        <v>2515696.77</v>
      </c>
      <c r="H229" s="169">
        <f>+'[5]junio 2025'!H229+'[5]mayo 2025'!H229+[5]abril!H229+[5]marzo!H229+[5]febrero!H229+'[5]enero '!H229</f>
        <v>0</v>
      </c>
      <c r="I229" s="169"/>
      <c r="J229" s="64">
        <f t="shared" si="9"/>
        <v>2515696.77</v>
      </c>
      <c r="K229" s="65">
        <f>J229/$J$25</f>
        <v>4.2542508158340741E-3</v>
      </c>
    </row>
    <row r="230" spans="1:11" x14ac:dyDescent="0.25">
      <c r="A230" s="72">
        <v>2</v>
      </c>
      <c r="B230" s="58">
        <v>3</v>
      </c>
      <c r="C230" s="58">
        <v>2</v>
      </c>
      <c r="D230" s="58">
        <v>3</v>
      </c>
      <c r="E230" s="58"/>
      <c r="F230" s="57" t="s">
        <v>203</v>
      </c>
      <c r="G230" s="59">
        <f>SUM(G231)</f>
        <v>0</v>
      </c>
      <c r="H230" s="59">
        <f>+'[5]junio 2025'!H230+'[5]mayo 2025'!H230+[5]abril!H230+[5]marzo!H230+[5]febrero!H230+'[5]enero '!H230</f>
        <v>205178.4</v>
      </c>
      <c r="I230" s="59">
        <f>SUM(I231)</f>
        <v>0</v>
      </c>
      <c r="J230" s="59">
        <f t="shared" si="9"/>
        <v>205178.4</v>
      </c>
      <c r="K230" s="60"/>
    </row>
    <row r="231" spans="1:11" x14ac:dyDescent="0.25">
      <c r="A231" s="74">
        <v>2</v>
      </c>
      <c r="B231" s="62">
        <v>3</v>
      </c>
      <c r="C231" s="62">
        <v>2</v>
      </c>
      <c r="D231" s="62">
        <v>3</v>
      </c>
      <c r="E231" s="63" t="s">
        <v>35</v>
      </c>
      <c r="F231" s="61" t="s">
        <v>203</v>
      </c>
      <c r="G231" s="64">
        <f>'[6]CUENTA T FONDO 100'!DT288</f>
        <v>0</v>
      </c>
      <c r="H231" s="169">
        <f>+'[5]junio 2025'!H231+'[5]mayo 2025'!H231+[5]abril!H231+[5]marzo!H231+[5]febrero!H231+'[5]enero '!H231</f>
        <v>205178.4</v>
      </c>
      <c r="I231" s="169"/>
      <c r="J231" s="64">
        <f t="shared" si="9"/>
        <v>205178.4</v>
      </c>
      <c r="K231" s="65">
        <f>J231/$J$25</f>
        <v>3.469736042915577E-4</v>
      </c>
    </row>
    <row r="232" spans="1:11" x14ac:dyDescent="0.25">
      <c r="A232" s="70">
        <v>2</v>
      </c>
      <c r="B232" s="55">
        <v>3</v>
      </c>
      <c r="C232" s="55">
        <v>3</v>
      </c>
      <c r="D232" s="55"/>
      <c r="E232" s="78"/>
      <c r="F232" s="54" t="s">
        <v>204</v>
      </c>
      <c r="G232" s="56">
        <f>+G233+G235+G237+G239+G241+G243</f>
        <v>4739940.9400000004</v>
      </c>
      <c r="H232" s="56">
        <f>+'[5]junio 2025'!H232+'[5]mayo 2025'!H232+[5]abril!H232+[5]marzo!H232+[5]febrero!H232+'[5]enero '!H232</f>
        <v>1055152</v>
      </c>
      <c r="I232" s="56">
        <f>+I233+I235+I237+I239+I241+I243</f>
        <v>0</v>
      </c>
      <c r="J232" s="56">
        <f t="shared" si="9"/>
        <v>5795092.9400000004</v>
      </c>
      <c r="K232" s="53"/>
    </row>
    <row r="233" spans="1:11" x14ac:dyDescent="0.25">
      <c r="A233" s="72">
        <v>2</v>
      </c>
      <c r="B233" s="58">
        <v>3</v>
      </c>
      <c r="C233" s="58">
        <v>3</v>
      </c>
      <c r="D233" s="58">
        <v>1</v>
      </c>
      <c r="E233" s="58"/>
      <c r="F233" s="57" t="s">
        <v>205</v>
      </c>
      <c r="G233" s="59">
        <f>SUM(G234)</f>
        <v>10741.54</v>
      </c>
      <c r="H233" s="59">
        <f>+'[5]junio 2025'!H233+'[5]mayo 2025'!H233+[5]abril!H233+[5]marzo!H233+[5]febrero!H233+'[5]enero '!H233</f>
        <v>0</v>
      </c>
      <c r="I233" s="59">
        <f>SUM(I234)</f>
        <v>0</v>
      </c>
      <c r="J233" s="59">
        <f t="shared" si="9"/>
        <v>10741.54</v>
      </c>
      <c r="K233" s="60"/>
    </row>
    <row r="234" spans="1:11" x14ac:dyDescent="0.25">
      <c r="A234" s="74">
        <v>2</v>
      </c>
      <c r="B234" s="62">
        <v>3</v>
      </c>
      <c r="C234" s="62">
        <v>3</v>
      </c>
      <c r="D234" s="62">
        <v>1</v>
      </c>
      <c r="E234" s="63" t="s">
        <v>35</v>
      </c>
      <c r="F234" s="61" t="s">
        <v>205</v>
      </c>
      <c r="G234" s="64">
        <v>10741.54</v>
      </c>
      <c r="H234" s="169">
        <f>+'[5]junio 2025'!H234+'[5]mayo 2025'!H234+[5]abril!H234+[5]marzo!H234+[5]febrero!H234+'[5]enero '!H234</f>
        <v>0</v>
      </c>
      <c r="I234" s="169"/>
      <c r="J234" s="64">
        <f t="shared" si="9"/>
        <v>10741.54</v>
      </c>
      <c r="K234" s="65">
        <f>J234/$J$25</f>
        <v>1.8164830457016621E-5</v>
      </c>
    </row>
    <row r="235" spans="1:11" x14ac:dyDescent="0.25">
      <c r="A235" s="72">
        <v>2</v>
      </c>
      <c r="B235" s="58">
        <v>3</v>
      </c>
      <c r="C235" s="58">
        <v>3</v>
      </c>
      <c r="D235" s="58">
        <v>2</v>
      </c>
      <c r="E235" s="58"/>
      <c r="F235" s="57" t="s">
        <v>206</v>
      </c>
      <c r="G235" s="59">
        <f>SUM(G236)</f>
        <v>1490406.2</v>
      </c>
      <c r="H235" s="59">
        <f>+'[5]junio 2025'!H235+'[5]mayo 2025'!H235+[5]abril!H235+[5]marzo!H235+[5]febrero!H235+'[5]enero '!H235</f>
        <v>498900</v>
      </c>
      <c r="I235" s="59">
        <f>SUM(I236)</f>
        <v>0</v>
      </c>
      <c r="J235" s="59">
        <f t="shared" si="9"/>
        <v>1989306.2</v>
      </c>
      <c r="K235" s="60"/>
    </row>
    <row r="236" spans="1:11" x14ac:dyDescent="0.25">
      <c r="A236" s="74">
        <v>2</v>
      </c>
      <c r="B236" s="62">
        <v>3</v>
      </c>
      <c r="C236" s="62">
        <v>3</v>
      </c>
      <c r="D236" s="62">
        <v>2</v>
      </c>
      <c r="E236" s="63" t="s">
        <v>35</v>
      </c>
      <c r="F236" s="61" t="s">
        <v>206</v>
      </c>
      <c r="G236" s="64">
        <v>1490406.2</v>
      </c>
      <c r="H236" s="64">
        <f>+'[5]junio 2025'!H236+'[5]mayo 2025'!H236+[5]abril!H236+[5]marzo!H236+[5]febrero!H236+'[5]enero '!H236</f>
        <v>498900</v>
      </c>
      <c r="I236" s="64"/>
      <c r="J236" s="64">
        <f t="shared" si="9"/>
        <v>1989306.2</v>
      </c>
      <c r="K236" s="65">
        <f>J236/$J$25</f>
        <v>3.364080927882966E-3</v>
      </c>
    </row>
    <row r="237" spans="1:11" x14ac:dyDescent="0.25">
      <c r="A237" s="72">
        <v>2</v>
      </c>
      <c r="B237" s="58">
        <v>3</v>
      </c>
      <c r="C237" s="58">
        <v>3</v>
      </c>
      <c r="D237" s="58">
        <v>3</v>
      </c>
      <c r="E237" s="58"/>
      <c r="F237" s="57" t="s">
        <v>207</v>
      </c>
      <c r="G237" s="59">
        <f>SUM(G238)</f>
        <v>3238793.2</v>
      </c>
      <c r="H237" s="59">
        <f>+'[5]junio 2025'!H237+'[5]mayo 2025'!H237+[5]abril!H237+[5]marzo!H237+[5]febrero!H237+'[5]enero '!H237</f>
        <v>556252</v>
      </c>
      <c r="I237" s="59">
        <f>SUM(I238)</f>
        <v>0</v>
      </c>
      <c r="J237" s="59">
        <f t="shared" si="9"/>
        <v>3795045.2</v>
      </c>
      <c r="K237" s="60"/>
    </row>
    <row r="238" spans="1:11" x14ac:dyDescent="0.25">
      <c r="A238" s="74">
        <v>2</v>
      </c>
      <c r="B238" s="62">
        <v>3</v>
      </c>
      <c r="C238" s="62">
        <v>3</v>
      </c>
      <c r="D238" s="62">
        <v>3</v>
      </c>
      <c r="E238" s="63" t="s">
        <v>35</v>
      </c>
      <c r="F238" s="61" t="s">
        <v>207</v>
      </c>
      <c r="G238" s="64">
        <v>3238793.2</v>
      </c>
      <c r="H238" s="64">
        <f>+'[5]junio 2025'!H238+'[5]mayo 2025'!H238+[5]abril!H238+[5]marzo!H238+[5]febrero!H238+'[5]enero '!H238</f>
        <v>556252</v>
      </c>
      <c r="I238" s="64"/>
      <c r="J238" s="64">
        <f t="shared" si="9"/>
        <v>3795045.2</v>
      </c>
      <c r="K238" s="65">
        <f>J238/$J$25</f>
        <v>6.4177345738799779E-3</v>
      </c>
    </row>
    <row r="239" spans="1:11" x14ac:dyDescent="0.25">
      <c r="A239" s="72">
        <v>2</v>
      </c>
      <c r="B239" s="58">
        <v>3</v>
      </c>
      <c r="C239" s="58">
        <v>3</v>
      </c>
      <c r="D239" s="58">
        <v>4</v>
      </c>
      <c r="E239" s="58"/>
      <c r="F239" s="57" t="s">
        <v>208</v>
      </c>
      <c r="G239" s="59">
        <f>SUM(G240)</f>
        <v>0</v>
      </c>
      <c r="H239" s="59">
        <f>+'[5]junio 2025'!H239+'[5]mayo 2025'!H239+[5]abril!H239+[5]marzo!H239+[5]febrero!H239+'[5]enero '!H239</f>
        <v>0</v>
      </c>
      <c r="I239" s="59">
        <f>SUM(I240)</f>
        <v>0</v>
      </c>
      <c r="J239" s="59">
        <f t="shared" si="9"/>
        <v>0</v>
      </c>
      <c r="K239" s="60"/>
    </row>
    <row r="240" spans="1:11" x14ac:dyDescent="0.25">
      <c r="A240" s="74">
        <v>2</v>
      </c>
      <c r="B240" s="62">
        <v>3</v>
      </c>
      <c r="C240" s="62">
        <v>3</v>
      </c>
      <c r="D240" s="62">
        <v>4</v>
      </c>
      <c r="E240" s="63" t="s">
        <v>35</v>
      </c>
      <c r="F240" s="61" t="s">
        <v>208</v>
      </c>
      <c r="G240" s="64">
        <f>'[6]CUENTA T FONDO 100'!DX288</f>
        <v>0</v>
      </c>
      <c r="H240" s="64">
        <f>+'[5]junio 2025'!H240+'[5]mayo 2025'!H240+[5]abril!H240+[5]marzo!H240+[5]febrero!H240+'[5]enero '!H240</f>
        <v>0</v>
      </c>
      <c r="I240" s="64"/>
      <c r="J240" s="64">
        <f t="shared" si="9"/>
        <v>0</v>
      </c>
      <c r="K240" s="65">
        <f>J240/$J$25</f>
        <v>0</v>
      </c>
    </row>
    <row r="241" spans="1:11" x14ac:dyDescent="0.25">
      <c r="A241" s="72">
        <v>2</v>
      </c>
      <c r="B241" s="58">
        <v>3</v>
      </c>
      <c r="C241" s="58">
        <v>3</v>
      </c>
      <c r="D241" s="58">
        <v>5</v>
      </c>
      <c r="E241" s="58"/>
      <c r="F241" s="57" t="s">
        <v>209</v>
      </c>
      <c r="G241" s="59">
        <f>SUM(G242)</f>
        <v>0</v>
      </c>
      <c r="H241" s="59">
        <f>+'[5]junio 2025'!H241+'[5]mayo 2025'!H241+[5]abril!H241+[5]marzo!H241+[5]febrero!H241+'[5]enero '!H241</f>
        <v>0</v>
      </c>
      <c r="I241" s="59">
        <f>SUM(I242)</f>
        <v>0</v>
      </c>
      <c r="J241" s="59">
        <f t="shared" si="9"/>
        <v>0</v>
      </c>
      <c r="K241" s="60"/>
    </row>
    <row r="242" spans="1:11" x14ac:dyDescent="0.25">
      <c r="A242" s="74">
        <v>2</v>
      </c>
      <c r="B242" s="62">
        <v>3</v>
      </c>
      <c r="C242" s="62">
        <v>3</v>
      </c>
      <c r="D242" s="62">
        <v>5</v>
      </c>
      <c r="E242" s="63" t="s">
        <v>35</v>
      </c>
      <c r="F242" s="61" t="s">
        <v>209</v>
      </c>
      <c r="G242" s="64">
        <f>'[6]CUENTA T FONDO 100'!DY288</f>
        <v>0</v>
      </c>
      <c r="H242" s="64">
        <f>+'[5]junio 2025'!H242+'[5]mayo 2025'!H242+[5]abril!H242+[5]marzo!H242+[5]febrero!H242+'[5]enero '!H242</f>
        <v>0</v>
      </c>
      <c r="I242" s="64"/>
      <c r="J242" s="64">
        <f t="shared" si="9"/>
        <v>0</v>
      </c>
      <c r="K242" s="65">
        <f>J242/$J$25</f>
        <v>0</v>
      </c>
    </row>
    <row r="243" spans="1:11" x14ac:dyDescent="0.25">
      <c r="A243" s="72">
        <v>2</v>
      </c>
      <c r="B243" s="58">
        <v>3</v>
      </c>
      <c r="C243" s="58">
        <v>3</v>
      </c>
      <c r="D243" s="58">
        <v>6</v>
      </c>
      <c r="E243" s="58"/>
      <c r="F243" s="57" t="s">
        <v>210</v>
      </c>
      <c r="G243" s="59">
        <f>SUM(G244)</f>
        <v>0</v>
      </c>
      <c r="H243" s="59">
        <f>+'[5]junio 2025'!H243+'[5]mayo 2025'!H243+[5]abril!H243+[5]marzo!H243+[5]febrero!H243+'[5]enero '!H243</f>
        <v>0</v>
      </c>
      <c r="I243" s="59">
        <f>SUM(I244)</f>
        <v>0</v>
      </c>
      <c r="J243" s="59">
        <f t="shared" si="9"/>
        <v>0</v>
      </c>
      <c r="K243" s="60"/>
    </row>
    <row r="244" spans="1:11" x14ac:dyDescent="0.25">
      <c r="A244" s="74">
        <v>2</v>
      </c>
      <c r="B244" s="62">
        <v>3</v>
      </c>
      <c r="C244" s="62">
        <v>3</v>
      </c>
      <c r="D244" s="62">
        <v>6</v>
      </c>
      <c r="E244" s="63" t="s">
        <v>35</v>
      </c>
      <c r="F244" s="61" t="s">
        <v>210</v>
      </c>
      <c r="G244" s="64">
        <f>'[6]CUENTA T FONDO 100'!DZ288</f>
        <v>0</v>
      </c>
      <c r="H244" s="64">
        <f>+'[5]junio 2025'!H244+'[5]mayo 2025'!H244+[5]abril!H244+[5]marzo!H244+[5]febrero!H244+'[5]enero '!H244</f>
        <v>0</v>
      </c>
      <c r="I244" s="64"/>
      <c r="J244" s="64">
        <f t="shared" si="9"/>
        <v>0</v>
      </c>
      <c r="K244" s="65">
        <f>J244/$J$25</f>
        <v>0</v>
      </c>
    </row>
    <row r="245" spans="1:11" x14ac:dyDescent="0.25">
      <c r="A245" s="70">
        <v>2</v>
      </c>
      <c r="B245" s="55">
        <v>3</v>
      </c>
      <c r="C245" s="55">
        <v>4</v>
      </c>
      <c r="D245" s="55"/>
      <c r="E245" s="78"/>
      <c r="F245" s="54" t="s">
        <v>211</v>
      </c>
      <c r="G245" s="56">
        <f>+G246+G248</f>
        <v>22557406.399999999</v>
      </c>
      <c r="H245" s="56">
        <f>+'[5]junio 2025'!H245+'[5]mayo 2025'!H245+[5]abril!H245+[5]marzo!H245+[5]febrero!H245+'[5]enero '!H245</f>
        <v>960220.76</v>
      </c>
      <c r="I245" s="56">
        <f>+I246+I248</f>
        <v>0</v>
      </c>
      <c r="J245" s="56">
        <f t="shared" si="9"/>
        <v>23517627.16</v>
      </c>
      <c r="K245" s="53"/>
    </row>
    <row r="246" spans="1:11" x14ac:dyDescent="0.25">
      <c r="A246" s="72">
        <v>2</v>
      </c>
      <c r="B246" s="58">
        <v>3</v>
      </c>
      <c r="C246" s="58">
        <v>4</v>
      </c>
      <c r="D246" s="58">
        <v>1</v>
      </c>
      <c r="E246" s="58"/>
      <c r="F246" s="57" t="s">
        <v>212</v>
      </c>
      <c r="G246" s="59">
        <f>SUM(G247)</f>
        <v>22557406.399999999</v>
      </c>
      <c r="H246" s="59">
        <f>+'[5]junio 2025'!H246+'[5]mayo 2025'!H246+[5]abril!H246+[5]marzo!H246+[5]febrero!H246+'[5]enero '!H246</f>
        <v>960220.76</v>
      </c>
      <c r="I246" s="59">
        <f>SUM(I247)</f>
        <v>0</v>
      </c>
      <c r="J246" s="59">
        <f t="shared" si="9"/>
        <v>23517627.16</v>
      </c>
      <c r="K246" s="60"/>
    </row>
    <row r="247" spans="1:11" x14ac:dyDescent="0.25">
      <c r="A247" s="74">
        <v>2</v>
      </c>
      <c r="B247" s="62">
        <v>3</v>
      </c>
      <c r="C247" s="62">
        <v>4</v>
      </c>
      <c r="D247" s="62">
        <v>1</v>
      </c>
      <c r="E247" s="63" t="s">
        <v>35</v>
      </c>
      <c r="F247" s="61" t="s">
        <v>212</v>
      </c>
      <c r="G247" s="64">
        <v>22557406.399999999</v>
      </c>
      <c r="H247" s="64">
        <f>+'[5]junio 2025'!H247+'[5]mayo 2025'!H247+[5]abril!H247+[5]marzo!H247+[5]febrero!H247+'[5]enero '!H247</f>
        <v>960220.76</v>
      </c>
      <c r="I247" s="64"/>
      <c r="J247" s="64">
        <f t="shared" si="9"/>
        <v>23517627.16</v>
      </c>
      <c r="K247" s="65">
        <f>J247/$J$25</f>
        <v>3.9770248038244915E-2</v>
      </c>
    </row>
    <row r="248" spans="1:11" x14ac:dyDescent="0.25">
      <c r="A248" s="72">
        <v>2</v>
      </c>
      <c r="B248" s="58">
        <v>3</v>
      </c>
      <c r="C248" s="58">
        <v>4</v>
      </c>
      <c r="D248" s="58">
        <v>2</v>
      </c>
      <c r="E248" s="58"/>
      <c r="F248" s="57" t="s">
        <v>213</v>
      </c>
      <c r="G248" s="59">
        <f>SUM(G249)</f>
        <v>0</v>
      </c>
      <c r="H248" s="59">
        <f>+'[5]junio 2025'!H248+'[5]mayo 2025'!H248+[5]abril!H248+[5]marzo!H248+[5]febrero!H248+'[5]enero '!H248</f>
        <v>0</v>
      </c>
      <c r="I248" s="59">
        <f>SUM(I249)</f>
        <v>0</v>
      </c>
      <c r="J248" s="59">
        <f t="shared" si="9"/>
        <v>0</v>
      </c>
      <c r="K248" s="60"/>
    </row>
    <row r="249" spans="1:11" x14ac:dyDescent="0.25">
      <c r="A249" s="74">
        <v>2</v>
      </c>
      <c r="B249" s="62">
        <v>3</v>
      </c>
      <c r="C249" s="62">
        <v>4</v>
      </c>
      <c r="D249" s="62">
        <v>2</v>
      </c>
      <c r="E249" s="63" t="s">
        <v>35</v>
      </c>
      <c r="F249" s="61" t="s">
        <v>213</v>
      </c>
      <c r="G249" s="64">
        <f>'[6]CUENTA T FONDO 100'!EB288</f>
        <v>0</v>
      </c>
      <c r="H249" s="64">
        <f>+'[5]junio 2025'!H249+'[5]mayo 2025'!H249+[5]abril!H249+[5]marzo!H249+[5]febrero!H249+'[5]enero '!H249</f>
        <v>0</v>
      </c>
      <c r="I249" s="64"/>
      <c r="J249" s="64">
        <f t="shared" si="9"/>
        <v>0</v>
      </c>
      <c r="K249" s="65">
        <f>J249/$J$25</f>
        <v>0</v>
      </c>
    </row>
    <row r="250" spans="1:11" x14ac:dyDescent="0.25">
      <c r="A250" s="70">
        <v>2</v>
      </c>
      <c r="B250" s="55">
        <v>3</v>
      </c>
      <c r="C250" s="55">
        <v>5</v>
      </c>
      <c r="D250" s="55"/>
      <c r="E250" s="78"/>
      <c r="F250" s="54" t="s">
        <v>214</v>
      </c>
      <c r="G250" s="56">
        <f>+G251+G253+G255+G257+G259</f>
        <v>1358949.38</v>
      </c>
      <c r="H250" s="56">
        <f>+'[5]junio 2025'!H250+'[5]mayo 2025'!H250+[5]abril!H250+[5]marzo!H250+[5]febrero!H250+'[5]enero '!H250</f>
        <v>567494.87000000011</v>
      </c>
      <c r="I250" s="56">
        <f>+I251+I253+I255+I257+I259</f>
        <v>0</v>
      </c>
      <c r="J250" s="56">
        <f t="shared" si="9"/>
        <v>1926444.25</v>
      </c>
      <c r="K250" s="53"/>
    </row>
    <row r="251" spans="1:11" x14ac:dyDescent="0.25">
      <c r="A251" s="72">
        <v>2</v>
      </c>
      <c r="B251" s="58">
        <v>3</v>
      </c>
      <c r="C251" s="58">
        <v>5</v>
      </c>
      <c r="D251" s="58">
        <v>1</v>
      </c>
      <c r="E251" s="58"/>
      <c r="F251" s="57" t="s">
        <v>215</v>
      </c>
      <c r="G251" s="59">
        <f>SUM(G252)</f>
        <v>0</v>
      </c>
      <c r="H251" s="59">
        <f>+'[5]junio 2025'!H251+'[5]mayo 2025'!H251+[5]abril!H251+[5]marzo!H251+[5]febrero!H251+'[5]enero '!H251</f>
        <v>0</v>
      </c>
      <c r="I251" s="59">
        <f>SUM(I252)</f>
        <v>0</v>
      </c>
      <c r="J251" s="59">
        <f t="shared" si="9"/>
        <v>0</v>
      </c>
      <c r="K251" s="60"/>
    </row>
    <row r="252" spans="1:11" x14ac:dyDescent="0.25">
      <c r="A252" s="74">
        <v>2</v>
      </c>
      <c r="B252" s="62">
        <v>3</v>
      </c>
      <c r="C252" s="62">
        <v>5</v>
      </c>
      <c r="D252" s="62">
        <v>1</v>
      </c>
      <c r="E252" s="63" t="s">
        <v>35</v>
      </c>
      <c r="F252" s="61" t="s">
        <v>215</v>
      </c>
      <c r="G252" s="64">
        <f>'[6]CUENTA T FONDO 100'!EC288</f>
        <v>0</v>
      </c>
      <c r="H252" s="64">
        <f>+'[5]junio 2025'!H252+'[5]mayo 2025'!H252+[5]abril!H252+[5]marzo!H252+[5]febrero!H252+'[5]enero '!H252</f>
        <v>0</v>
      </c>
      <c r="I252" s="64"/>
      <c r="J252" s="64">
        <f t="shared" si="9"/>
        <v>0</v>
      </c>
      <c r="K252" s="65">
        <f>J252/$J$25</f>
        <v>0</v>
      </c>
    </row>
    <row r="253" spans="1:11" x14ac:dyDescent="0.25">
      <c r="A253" s="72">
        <v>2</v>
      </c>
      <c r="B253" s="58">
        <v>3</v>
      </c>
      <c r="C253" s="58">
        <v>5</v>
      </c>
      <c r="D253" s="58">
        <v>2</v>
      </c>
      <c r="E253" s="58"/>
      <c r="F253" s="57" t="s">
        <v>216</v>
      </c>
      <c r="G253" s="59">
        <f>SUM(G254)</f>
        <v>0</v>
      </c>
      <c r="H253" s="59">
        <f>+'[5]junio 2025'!H253+'[5]mayo 2025'!H253+[5]abril!H253+[5]marzo!H253+[5]febrero!H253+'[5]enero '!H253</f>
        <v>0</v>
      </c>
      <c r="I253" s="59">
        <f>SUM(I254)</f>
        <v>0</v>
      </c>
      <c r="J253" s="59">
        <f t="shared" si="9"/>
        <v>0</v>
      </c>
      <c r="K253" s="60"/>
    </row>
    <row r="254" spans="1:11" x14ac:dyDescent="0.25">
      <c r="A254" s="74">
        <v>2</v>
      </c>
      <c r="B254" s="62">
        <v>3</v>
      </c>
      <c r="C254" s="62">
        <v>5</v>
      </c>
      <c r="D254" s="62">
        <v>2</v>
      </c>
      <c r="E254" s="63" t="s">
        <v>35</v>
      </c>
      <c r="F254" s="61" t="s">
        <v>216</v>
      </c>
      <c r="G254" s="64">
        <f>'[6]CUENTA T FONDO 100'!ED288</f>
        <v>0</v>
      </c>
      <c r="H254" s="64">
        <f>+'[5]junio 2025'!H254+'[5]mayo 2025'!H254+[5]abril!H254+[5]marzo!H254+[5]febrero!H254+'[5]enero '!H254</f>
        <v>0</v>
      </c>
      <c r="I254" s="64"/>
      <c r="J254" s="64">
        <f t="shared" si="9"/>
        <v>0</v>
      </c>
      <c r="K254" s="65">
        <f>J254/$J$25</f>
        <v>0</v>
      </c>
    </row>
    <row r="255" spans="1:11" x14ac:dyDescent="0.25">
      <c r="A255" s="72">
        <v>2</v>
      </c>
      <c r="B255" s="58">
        <v>3</v>
      </c>
      <c r="C255" s="58">
        <v>5</v>
      </c>
      <c r="D255" s="58">
        <v>3</v>
      </c>
      <c r="E255" s="58"/>
      <c r="F255" s="57" t="s">
        <v>217</v>
      </c>
      <c r="G255" s="59">
        <f>SUM(G256)</f>
        <v>0</v>
      </c>
      <c r="H255" s="59">
        <f>+'[5]junio 2025'!H255+'[5]mayo 2025'!H255+[5]abril!H255+[5]marzo!H255+[5]febrero!H255+'[5]enero '!H255</f>
        <v>282823.65000000002</v>
      </c>
      <c r="I255" s="59">
        <f>SUM(I256)</f>
        <v>0</v>
      </c>
      <c r="J255" s="59">
        <f t="shared" si="9"/>
        <v>282823.65000000002</v>
      </c>
      <c r="K255" s="60"/>
    </row>
    <row r="256" spans="1:11" x14ac:dyDescent="0.25">
      <c r="A256" s="74">
        <v>2</v>
      </c>
      <c r="B256" s="62">
        <v>3</v>
      </c>
      <c r="C256" s="62">
        <v>5</v>
      </c>
      <c r="D256" s="62">
        <v>3</v>
      </c>
      <c r="E256" s="63" t="s">
        <v>35</v>
      </c>
      <c r="F256" s="61" t="s">
        <v>217</v>
      </c>
      <c r="G256" s="64">
        <f>'[6]CUENTA T FONDO 100'!EE288</f>
        <v>0</v>
      </c>
      <c r="H256" s="64">
        <f>+'[5]junio 2025'!H256+'[5]mayo 2025'!H256+[5]abril!H256+[5]marzo!H256+[5]febrero!H256+'[5]enero '!H256</f>
        <v>282823.65000000002</v>
      </c>
      <c r="I256" s="64"/>
      <c r="J256" s="64">
        <f t="shared" si="9"/>
        <v>282823.65000000002</v>
      </c>
      <c r="K256" s="65">
        <f>J256/$J$25</f>
        <v>4.7827812878643188E-4</v>
      </c>
    </row>
    <row r="257" spans="1:11" x14ac:dyDescent="0.25">
      <c r="A257" s="72">
        <v>2</v>
      </c>
      <c r="B257" s="58">
        <v>3</v>
      </c>
      <c r="C257" s="58">
        <v>5</v>
      </c>
      <c r="D257" s="58">
        <v>4</v>
      </c>
      <c r="E257" s="58"/>
      <c r="F257" s="57" t="s">
        <v>218</v>
      </c>
      <c r="G257" s="59">
        <f>SUM(G258)</f>
        <v>13349.69</v>
      </c>
      <c r="H257" s="59">
        <f>+'[5]junio 2025'!H257+'[5]mayo 2025'!H257+[5]abril!H257+[5]marzo!H257+[5]febrero!H257+'[5]enero '!H257</f>
        <v>0</v>
      </c>
      <c r="I257" s="59">
        <f>SUM(I258)</f>
        <v>0</v>
      </c>
      <c r="J257" s="59">
        <f t="shared" si="9"/>
        <v>13349.69</v>
      </c>
      <c r="K257" s="60"/>
    </row>
    <row r="258" spans="1:11" x14ac:dyDescent="0.25">
      <c r="A258" s="74">
        <v>2</v>
      </c>
      <c r="B258" s="62">
        <v>3</v>
      </c>
      <c r="C258" s="62">
        <v>5</v>
      </c>
      <c r="D258" s="62">
        <v>4</v>
      </c>
      <c r="E258" s="63" t="s">
        <v>35</v>
      </c>
      <c r="F258" s="61" t="s">
        <v>218</v>
      </c>
      <c r="G258" s="64">
        <v>13349.69</v>
      </c>
      <c r="H258" s="64">
        <f>+'[5]junio 2025'!H258+'[5]mayo 2025'!H258+[5]abril!H258+[5]marzo!H258+[5]febrero!H258+'[5]enero '!H258</f>
        <v>0</v>
      </c>
      <c r="I258" s="64"/>
      <c r="J258" s="64">
        <f t="shared" si="9"/>
        <v>13349.69</v>
      </c>
      <c r="K258" s="65">
        <f>J258/$J$25</f>
        <v>2.2575427313376872E-5</v>
      </c>
    </row>
    <row r="259" spans="1:11" x14ac:dyDescent="0.25">
      <c r="A259" s="72">
        <v>2</v>
      </c>
      <c r="B259" s="58">
        <v>3</v>
      </c>
      <c r="C259" s="58">
        <v>5</v>
      </c>
      <c r="D259" s="58">
        <v>5</v>
      </c>
      <c r="E259" s="58"/>
      <c r="F259" s="57" t="s">
        <v>219</v>
      </c>
      <c r="G259" s="59">
        <f>SUM(G260)</f>
        <v>1345599.69</v>
      </c>
      <c r="H259" s="59">
        <f>+'[5]junio 2025'!H259+'[5]mayo 2025'!H259+[5]abril!H259+[5]marzo!H259+[5]febrero!H259+'[5]enero '!H259</f>
        <v>284671.22000000003</v>
      </c>
      <c r="I259" s="59">
        <f>SUM(I260)</f>
        <v>0</v>
      </c>
      <c r="J259" s="59">
        <f t="shared" si="9"/>
        <v>1630270.91</v>
      </c>
      <c r="K259" s="60"/>
    </row>
    <row r="260" spans="1:11" x14ac:dyDescent="0.25">
      <c r="A260" s="74">
        <v>2</v>
      </c>
      <c r="B260" s="62">
        <v>3</v>
      </c>
      <c r="C260" s="62">
        <v>5</v>
      </c>
      <c r="D260" s="62">
        <v>5</v>
      </c>
      <c r="E260" s="63" t="s">
        <v>35</v>
      </c>
      <c r="F260" s="61" t="s">
        <v>219</v>
      </c>
      <c r="G260" s="64">
        <v>1345599.69</v>
      </c>
      <c r="H260" s="64">
        <f>+'[5]junio 2025'!H260+'[5]mayo 2025'!H260+[5]abril!H260+[5]marzo!H260+[5]febrero!H260+'[5]enero '!H260</f>
        <v>284671.22000000003</v>
      </c>
      <c r="I260" s="64"/>
      <c r="J260" s="64">
        <f t="shared" si="9"/>
        <v>1630270.91</v>
      </c>
      <c r="K260" s="65">
        <f>J260/$J$25</f>
        <v>2.7569226274031656E-3</v>
      </c>
    </row>
    <row r="261" spans="1:11" x14ac:dyDescent="0.25">
      <c r="A261" s="70">
        <v>2</v>
      </c>
      <c r="B261" s="55">
        <v>3</v>
      </c>
      <c r="C261" s="55">
        <v>6</v>
      </c>
      <c r="D261" s="55"/>
      <c r="E261" s="55"/>
      <c r="F261" s="54" t="s">
        <v>220</v>
      </c>
      <c r="G261" s="56">
        <f>+G262+G268+G272+G276+G284</f>
        <v>679251.57</v>
      </c>
      <c r="H261" s="56">
        <f>+'[5]junio 2025'!H261+'[5]mayo 2025'!H261+[5]abril!H261+[5]marzo!H261+[5]febrero!H261+'[5]enero '!H261</f>
        <v>293957.30000000005</v>
      </c>
      <c r="I261" s="56">
        <f>+I262+I268+I272+I276+I284</f>
        <v>0</v>
      </c>
      <c r="J261" s="56">
        <f t="shared" si="9"/>
        <v>973208.87</v>
      </c>
      <c r="K261" s="53"/>
    </row>
    <row r="262" spans="1:11" x14ac:dyDescent="0.25">
      <c r="A262" s="72">
        <v>2</v>
      </c>
      <c r="B262" s="58">
        <v>3</v>
      </c>
      <c r="C262" s="58">
        <v>6</v>
      </c>
      <c r="D262" s="58">
        <v>1</v>
      </c>
      <c r="E262" s="58"/>
      <c r="F262" s="57" t="s">
        <v>221</v>
      </c>
      <c r="G262" s="59">
        <f>SUM(G263:G267)</f>
        <v>26668</v>
      </c>
      <c r="H262" s="59">
        <f>+'[5]junio 2025'!H262+'[5]mayo 2025'!H262+[5]abril!H262+[5]marzo!H262+[5]febrero!H262+'[5]enero '!H262</f>
        <v>989.98</v>
      </c>
      <c r="I262" s="59">
        <f>SUM(I263:I267)</f>
        <v>0</v>
      </c>
      <c r="J262" s="59">
        <f t="shared" si="9"/>
        <v>27657.98</v>
      </c>
      <c r="K262" s="60"/>
    </row>
    <row r="263" spans="1:11" x14ac:dyDescent="0.25">
      <c r="A263" s="74">
        <v>2</v>
      </c>
      <c r="B263" s="62">
        <v>3</v>
      </c>
      <c r="C263" s="62">
        <v>6</v>
      </c>
      <c r="D263" s="62">
        <v>1</v>
      </c>
      <c r="E263" s="63" t="s">
        <v>35</v>
      </c>
      <c r="F263" s="61" t="s">
        <v>222</v>
      </c>
      <c r="G263" s="64">
        <f>'[6]CUENTA T FONDO 100'!EH288</f>
        <v>0</v>
      </c>
      <c r="H263" s="64">
        <f>+'[5]junio 2025'!H263+'[5]mayo 2025'!H263+[5]abril!H263+[5]marzo!H263+[5]febrero!H263+'[5]enero '!H263</f>
        <v>989.98</v>
      </c>
      <c r="I263" s="64"/>
      <c r="J263" s="64">
        <f t="shared" si="9"/>
        <v>989.98</v>
      </c>
      <c r="K263" s="65">
        <f>J263/$J$25</f>
        <v>1.6741378662498408E-6</v>
      </c>
    </row>
    <row r="264" spans="1:11" x14ac:dyDescent="0.25">
      <c r="A264" s="74">
        <v>2</v>
      </c>
      <c r="B264" s="62">
        <v>3</v>
      </c>
      <c r="C264" s="62">
        <v>6</v>
      </c>
      <c r="D264" s="62">
        <v>1</v>
      </c>
      <c r="E264" s="63" t="s">
        <v>37</v>
      </c>
      <c r="F264" s="61" t="s">
        <v>223</v>
      </c>
      <c r="G264" s="64">
        <f>'[6]CUENTA T FONDO 100'!EI288</f>
        <v>0</v>
      </c>
      <c r="H264" s="64">
        <f>+'[5]junio 2025'!H264+'[5]mayo 2025'!H264+[5]abril!H264+[5]marzo!H264+[5]febrero!H264+'[5]enero '!H264</f>
        <v>0</v>
      </c>
      <c r="I264" s="64"/>
      <c r="J264" s="64">
        <f t="shared" si="9"/>
        <v>0</v>
      </c>
      <c r="K264" s="65">
        <f>J264/$J$25</f>
        <v>0</v>
      </c>
    </row>
    <row r="265" spans="1:11" x14ac:dyDescent="0.25">
      <c r="A265" s="74">
        <v>2</v>
      </c>
      <c r="B265" s="62">
        <v>3</v>
      </c>
      <c r="C265" s="62">
        <v>6</v>
      </c>
      <c r="D265" s="62">
        <v>1</v>
      </c>
      <c r="E265" s="63" t="s">
        <v>39</v>
      </c>
      <c r="F265" s="61" t="s">
        <v>224</v>
      </c>
      <c r="G265" s="64">
        <f>'[6]CUENTA T FONDO 100'!EJ288</f>
        <v>0</v>
      </c>
      <c r="H265" s="64">
        <f>+'[5]junio 2025'!H265+'[5]mayo 2025'!H265+[5]abril!H265+[5]marzo!H265+[5]febrero!H265+'[5]enero '!H265</f>
        <v>0</v>
      </c>
      <c r="I265" s="64"/>
      <c r="J265" s="64">
        <f t="shared" si="9"/>
        <v>0</v>
      </c>
      <c r="K265" s="65">
        <f>J265/$J$25</f>
        <v>0</v>
      </c>
    </row>
    <row r="266" spans="1:11" x14ac:dyDescent="0.25">
      <c r="A266" s="74">
        <v>2</v>
      </c>
      <c r="B266" s="62">
        <v>3</v>
      </c>
      <c r="C266" s="62">
        <v>6</v>
      </c>
      <c r="D266" s="62">
        <v>1</v>
      </c>
      <c r="E266" s="63" t="s">
        <v>41</v>
      </c>
      <c r="F266" s="61" t="s">
        <v>225</v>
      </c>
      <c r="G266" s="64">
        <v>26668</v>
      </c>
      <c r="H266" s="64">
        <f>+'[5]junio 2025'!H266+'[5]mayo 2025'!H266+[5]abril!H266+[5]marzo!H266+[5]febrero!H266+'[5]enero '!H266</f>
        <v>0</v>
      </c>
      <c r="I266" s="64"/>
      <c r="J266" s="64">
        <f t="shared" si="9"/>
        <v>26668</v>
      </c>
      <c r="K266" s="65">
        <f>J266/$J$25</f>
        <v>4.5097788457494849E-5</v>
      </c>
    </row>
    <row r="267" spans="1:11" x14ac:dyDescent="0.25">
      <c r="A267" s="74">
        <v>2</v>
      </c>
      <c r="B267" s="62">
        <v>3</v>
      </c>
      <c r="C267" s="62">
        <v>6</v>
      </c>
      <c r="D267" s="62">
        <v>1</v>
      </c>
      <c r="E267" s="63" t="s">
        <v>43</v>
      </c>
      <c r="F267" s="61" t="s">
        <v>226</v>
      </c>
      <c r="G267" s="64">
        <f>'[6]CUENTA T FONDO 100'!EL288</f>
        <v>0</v>
      </c>
      <c r="H267" s="64">
        <f>+'[5]junio 2025'!H267+'[5]mayo 2025'!H267+[5]abril!H267+[5]marzo!H267+[5]febrero!H267+'[5]enero '!H267</f>
        <v>0</v>
      </c>
      <c r="I267" s="64"/>
      <c r="J267" s="64">
        <f t="shared" si="9"/>
        <v>0</v>
      </c>
      <c r="K267" s="65">
        <f>J267/$J$25</f>
        <v>0</v>
      </c>
    </row>
    <row r="268" spans="1:11" x14ac:dyDescent="0.25">
      <c r="A268" s="72">
        <v>2</v>
      </c>
      <c r="B268" s="58">
        <v>3</v>
      </c>
      <c r="C268" s="58">
        <v>6</v>
      </c>
      <c r="D268" s="58">
        <v>2</v>
      </c>
      <c r="E268" s="58"/>
      <c r="F268" s="57" t="s">
        <v>227</v>
      </c>
      <c r="G268" s="59">
        <f>SUM(G269:G271)</f>
        <v>245706.09</v>
      </c>
      <c r="H268" s="59">
        <f>+'[5]junio 2025'!H268+'[5]mayo 2025'!H268+[5]abril!H268+[5]marzo!H268+[5]febrero!H268+'[5]enero '!H268</f>
        <v>138195.21</v>
      </c>
      <c r="I268" s="59">
        <f>SUM(I269:I271)</f>
        <v>0</v>
      </c>
      <c r="J268" s="59">
        <f t="shared" si="9"/>
        <v>383901.3</v>
      </c>
      <c r="K268" s="60"/>
    </row>
    <row r="269" spans="1:11" x14ac:dyDescent="0.25">
      <c r="A269" s="74">
        <v>2</v>
      </c>
      <c r="B269" s="62">
        <v>3</v>
      </c>
      <c r="C269" s="62">
        <v>6</v>
      </c>
      <c r="D269" s="62">
        <v>2</v>
      </c>
      <c r="E269" s="63" t="s">
        <v>35</v>
      </c>
      <c r="F269" s="61" t="s">
        <v>228</v>
      </c>
      <c r="G269" s="64">
        <v>40356</v>
      </c>
      <c r="H269" s="64">
        <f>+'[5]junio 2025'!H269+'[5]mayo 2025'!H269+[5]abril!H269+[5]marzo!H269+[5]febrero!H269+'[5]enero '!H269</f>
        <v>15149.94</v>
      </c>
      <c r="I269" s="64"/>
      <c r="J269" s="64">
        <f t="shared" si="9"/>
        <v>55505.94</v>
      </c>
      <c r="K269" s="65">
        <f>J269/$J$25</f>
        <v>9.3865124503314908E-5</v>
      </c>
    </row>
    <row r="270" spans="1:11" x14ac:dyDescent="0.25">
      <c r="A270" s="74">
        <v>2</v>
      </c>
      <c r="B270" s="62">
        <v>3</v>
      </c>
      <c r="C270" s="62">
        <v>6</v>
      </c>
      <c r="D270" s="62">
        <v>2</v>
      </c>
      <c r="E270" s="63" t="s">
        <v>37</v>
      </c>
      <c r="F270" s="61" t="s">
        <v>229</v>
      </c>
      <c r="G270" s="64">
        <f>'[6]CUENTA T FONDO 100'!EN288</f>
        <v>0</v>
      </c>
      <c r="H270" s="64">
        <f>+'[5]junio 2025'!H270+'[5]mayo 2025'!H270+[5]abril!H270+[5]marzo!H270+[5]febrero!H270+'[5]enero '!H270</f>
        <v>0</v>
      </c>
      <c r="I270" s="64"/>
      <c r="J270" s="64">
        <f t="shared" si="9"/>
        <v>0</v>
      </c>
      <c r="K270" s="65">
        <f>J270/$J$25</f>
        <v>0</v>
      </c>
    </row>
    <row r="271" spans="1:11" x14ac:dyDescent="0.25">
      <c r="A271" s="74">
        <v>2</v>
      </c>
      <c r="B271" s="62">
        <v>3</v>
      </c>
      <c r="C271" s="62">
        <v>6</v>
      </c>
      <c r="D271" s="62">
        <v>2</v>
      </c>
      <c r="E271" s="63" t="s">
        <v>39</v>
      </c>
      <c r="F271" s="61" t="s">
        <v>230</v>
      </c>
      <c r="G271" s="64">
        <v>205350.09</v>
      </c>
      <c r="H271" s="64">
        <f>+'[5]junio 2025'!H271+'[5]mayo 2025'!H271+[5]abril!H271+[5]marzo!H271+[5]febrero!H271+'[5]enero '!H271</f>
        <v>123045.27</v>
      </c>
      <c r="I271" s="64"/>
      <c r="J271" s="64">
        <f t="shared" si="9"/>
        <v>328395.36</v>
      </c>
      <c r="K271" s="65">
        <f>J271/$J$25</f>
        <v>5.5534365065632463E-4</v>
      </c>
    </row>
    <row r="272" spans="1:11" x14ac:dyDescent="0.25">
      <c r="A272" s="72">
        <v>2</v>
      </c>
      <c r="B272" s="58">
        <v>3</v>
      </c>
      <c r="C272" s="58">
        <v>6</v>
      </c>
      <c r="D272" s="58">
        <v>3</v>
      </c>
      <c r="E272" s="58"/>
      <c r="F272" s="57" t="s">
        <v>231</v>
      </c>
      <c r="G272" s="59">
        <f>SUM(G273:G275)</f>
        <v>406877.48</v>
      </c>
      <c r="H272" s="59">
        <f>+'[5]junio 2025'!H272+'[5]mayo 2025'!H272+[5]abril!H272+[5]marzo!H272+[5]febrero!H272+'[5]enero '!H272</f>
        <v>154772.10999999999</v>
      </c>
      <c r="I272" s="59">
        <f>SUM(I273:I275)</f>
        <v>0</v>
      </c>
      <c r="J272" s="59">
        <f t="shared" si="9"/>
        <v>561649.59</v>
      </c>
      <c r="K272" s="60"/>
    </row>
    <row r="273" spans="1:11" ht="25.5" x14ac:dyDescent="0.25">
      <c r="A273" s="74">
        <v>2</v>
      </c>
      <c r="B273" s="62">
        <v>3</v>
      </c>
      <c r="C273" s="62">
        <v>6</v>
      </c>
      <c r="D273" s="62">
        <v>3</v>
      </c>
      <c r="E273" s="63" t="s">
        <v>41</v>
      </c>
      <c r="F273" s="81" t="s">
        <v>232</v>
      </c>
      <c r="G273" s="64">
        <v>216080.13</v>
      </c>
      <c r="H273" s="64">
        <f>+'[5]junio 2025'!H273+'[5]mayo 2025'!H273+[5]abril!H273+[5]marzo!H273+[5]febrero!H273+'[5]enero '!H273</f>
        <v>87250.03</v>
      </c>
      <c r="I273" s="64"/>
      <c r="J273" s="64">
        <f t="shared" si="9"/>
        <v>303330.16000000003</v>
      </c>
      <c r="K273" s="65">
        <f>J273/$J$25</f>
        <v>5.1295632925071498E-4</v>
      </c>
    </row>
    <row r="274" spans="1:11" x14ac:dyDescent="0.25">
      <c r="A274" s="74">
        <v>2</v>
      </c>
      <c r="B274" s="62">
        <v>3</v>
      </c>
      <c r="C274" s="62">
        <v>6</v>
      </c>
      <c r="D274" s="62">
        <v>3</v>
      </c>
      <c r="E274" s="63" t="s">
        <v>43</v>
      </c>
      <c r="F274" s="61" t="s">
        <v>233</v>
      </c>
      <c r="G274" s="64">
        <f>'[6]CUENTA T FONDO 100'!EQ288</f>
        <v>0</v>
      </c>
      <c r="H274" s="64">
        <f>+'[5]junio 2025'!H274+'[5]mayo 2025'!H274+[5]abril!H274+[5]marzo!H274+[5]febrero!H274+'[5]enero '!H274</f>
        <v>0</v>
      </c>
      <c r="I274" s="64"/>
      <c r="J274" s="64">
        <f t="shared" si="9"/>
        <v>0</v>
      </c>
      <c r="K274" s="65">
        <f>J274/$J$25</f>
        <v>0</v>
      </c>
    </row>
    <row r="275" spans="1:11" x14ac:dyDescent="0.25">
      <c r="A275" s="74">
        <v>2</v>
      </c>
      <c r="B275" s="62">
        <v>3</v>
      </c>
      <c r="C275" s="62">
        <v>6</v>
      </c>
      <c r="D275" s="62">
        <v>3</v>
      </c>
      <c r="E275" s="63" t="s">
        <v>45</v>
      </c>
      <c r="F275" s="61" t="s">
        <v>234</v>
      </c>
      <c r="G275" s="64">
        <v>190797.35</v>
      </c>
      <c r="H275" s="64">
        <f>+'[5]junio 2025'!H275+'[5]mayo 2025'!H275+[5]abril!H275+[5]marzo!H275+[5]febrero!H275+'[5]enero '!H275</f>
        <v>67522.080000000002</v>
      </c>
      <c r="I275" s="64"/>
      <c r="J275" s="64">
        <f t="shared" si="9"/>
        <v>258319.43</v>
      </c>
      <c r="K275" s="65">
        <f>J275/$J$25</f>
        <v>4.3683947084898188E-4</v>
      </c>
    </row>
    <row r="276" spans="1:11" x14ac:dyDescent="0.25">
      <c r="A276" s="72">
        <v>2</v>
      </c>
      <c r="B276" s="58">
        <v>3</v>
      </c>
      <c r="C276" s="58">
        <v>6</v>
      </c>
      <c r="D276" s="58">
        <v>4</v>
      </c>
      <c r="E276" s="58"/>
      <c r="F276" s="57" t="s">
        <v>235</v>
      </c>
      <c r="G276" s="59">
        <f>SUM(G277:G283)</f>
        <v>0</v>
      </c>
      <c r="H276" s="59">
        <f>+'[5]junio 2025'!H276+'[5]mayo 2025'!H276+[5]abril!H276+[5]marzo!H276+[5]febrero!H276+'[5]enero '!H276</f>
        <v>0</v>
      </c>
      <c r="I276" s="59">
        <f>SUM(I277:I283)</f>
        <v>0</v>
      </c>
      <c r="J276" s="59">
        <f t="shared" si="9"/>
        <v>0</v>
      </c>
      <c r="K276" s="60"/>
    </row>
    <row r="277" spans="1:11" x14ac:dyDescent="0.25">
      <c r="A277" s="74">
        <v>2</v>
      </c>
      <c r="B277" s="62">
        <v>3</v>
      </c>
      <c r="C277" s="62">
        <v>6</v>
      </c>
      <c r="D277" s="62">
        <v>4</v>
      </c>
      <c r="E277" s="63" t="s">
        <v>35</v>
      </c>
      <c r="F277" s="61" t="s">
        <v>236</v>
      </c>
      <c r="G277" s="64">
        <f>'[6]CUENTA T FONDO 100'!ES288</f>
        <v>0</v>
      </c>
      <c r="H277" s="169">
        <f>+'[5]junio 2025'!H277+'[5]mayo 2025'!H277+[5]abril!H277+[5]marzo!H277+[5]febrero!H277+'[5]enero '!H277</f>
        <v>0</v>
      </c>
      <c r="I277" s="169"/>
      <c r="J277" s="64">
        <f t="shared" si="9"/>
        <v>0</v>
      </c>
      <c r="K277" s="65">
        <f t="shared" ref="K277:K283" si="10">J277/$J$25</f>
        <v>0</v>
      </c>
    </row>
    <row r="278" spans="1:11" x14ac:dyDescent="0.25">
      <c r="A278" s="74">
        <v>2</v>
      </c>
      <c r="B278" s="62">
        <v>3</v>
      </c>
      <c r="C278" s="62">
        <v>6</v>
      </c>
      <c r="D278" s="62">
        <v>4</v>
      </c>
      <c r="E278" s="63" t="s">
        <v>37</v>
      </c>
      <c r="F278" s="61" t="s">
        <v>237</v>
      </c>
      <c r="G278" s="64">
        <f>'[6]CUENTA T FONDO 100'!ET288</f>
        <v>0</v>
      </c>
      <c r="H278" s="169">
        <f>+'[5]junio 2025'!H278+'[5]mayo 2025'!H278+[5]abril!H278+[5]marzo!H278+[5]febrero!H278+'[5]enero '!H278</f>
        <v>0</v>
      </c>
      <c r="I278" s="169"/>
      <c r="J278" s="64">
        <f t="shared" si="9"/>
        <v>0</v>
      </c>
      <c r="K278" s="65">
        <f t="shared" si="10"/>
        <v>0</v>
      </c>
    </row>
    <row r="279" spans="1:11" x14ac:dyDescent="0.25">
      <c r="A279" s="74">
        <v>2</v>
      </c>
      <c r="B279" s="62">
        <v>3</v>
      </c>
      <c r="C279" s="62">
        <v>6</v>
      </c>
      <c r="D279" s="62">
        <v>4</v>
      </c>
      <c r="E279" s="63" t="s">
        <v>39</v>
      </c>
      <c r="F279" s="61" t="s">
        <v>238</v>
      </c>
      <c r="G279" s="64">
        <f>'[6]CUENTA T FONDO 100'!EU288</f>
        <v>0</v>
      </c>
      <c r="H279" s="169">
        <f>+'[5]junio 2025'!H279+'[5]mayo 2025'!H279+[5]abril!H279+[5]marzo!H279+[5]febrero!H279+'[5]enero '!H279</f>
        <v>0</v>
      </c>
      <c r="I279" s="169"/>
      <c r="J279" s="64">
        <f t="shared" si="9"/>
        <v>0</v>
      </c>
      <c r="K279" s="65">
        <f t="shared" si="10"/>
        <v>0</v>
      </c>
    </row>
    <row r="280" spans="1:11" x14ac:dyDescent="0.25">
      <c r="A280" s="74">
        <v>2</v>
      </c>
      <c r="B280" s="62">
        <v>3</v>
      </c>
      <c r="C280" s="62">
        <v>6</v>
      </c>
      <c r="D280" s="62">
        <v>4</v>
      </c>
      <c r="E280" s="63" t="s">
        <v>41</v>
      </c>
      <c r="F280" s="61" t="s">
        <v>239</v>
      </c>
      <c r="G280" s="64">
        <f>'[6]CUENTA T FONDO 100'!EV288</f>
        <v>0</v>
      </c>
      <c r="H280" s="169">
        <f>+'[5]junio 2025'!H280+'[5]mayo 2025'!H280+[5]abril!H280+[5]marzo!H280+[5]febrero!H280+'[5]enero '!H280</f>
        <v>0</v>
      </c>
      <c r="I280" s="169"/>
      <c r="J280" s="64">
        <f t="shared" si="9"/>
        <v>0</v>
      </c>
      <c r="K280" s="65">
        <f t="shared" si="10"/>
        <v>0</v>
      </c>
    </row>
    <row r="281" spans="1:11" x14ac:dyDescent="0.25">
      <c r="A281" s="74">
        <v>2</v>
      </c>
      <c r="B281" s="62">
        <v>3</v>
      </c>
      <c r="C281" s="62">
        <v>6</v>
      </c>
      <c r="D281" s="62">
        <v>4</v>
      </c>
      <c r="E281" s="63" t="s">
        <v>43</v>
      </c>
      <c r="F281" s="61" t="s">
        <v>240</v>
      </c>
      <c r="G281" s="64">
        <f>'[6]CUENTA T FONDO 100'!EW288</f>
        <v>0</v>
      </c>
      <c r="H281" s="169">
        <f>+'[5]junio 2025'!H281+'[5]mayo 2025'!H281+[5]abril!H281+[5]marzo!H281+[5]febrero!H281+'[5]enero '!H281</f>
        <v>0</v>
      </c>
      <c r="I281" s="169"/>
      <c r="J281" s="64">
        <f t="shared" si="9"/>
        <v>0</v>
      </c>
      <c r="K281" s="65">
        <f t="shared" si="10"/>
        <v>0</v>
      </c>
    </row>
    <row r="282" spans="1:11" x14ac:dyDescent="0.25">
      <c r="A282" s="74">
        <v>2</v>
      </c>
      <c r="B282" s="62">
        <v>3</v>
      </c>
      <c r="C282" s="62">
        <v>6</v>
      </c>
      <c r="D282" s="62">
        <v>4</v>
      </c>
      <c r="E282" s="63" t="s">
        <v>45</v>
      </c>
      <c r="F282" s="61" t="s">
        <v>241</v>
      </c>
      <c r="G282" s="64">
        <f>'[6]CUENTA T FONDO 100'!EX288</f>
        <v>0</v>
      </c>
      <c r="H282" s="169">
        <f>+'[5]junio 2025'!H282+'[5]mayo 2025'!H282+[5]abril!H282+[5]marzo!H282+[5]febrero!H282+'[5]enero '!H282</f>
        <v>0</v>
      </c>
      <c r="I282" s="169"/>
      <c r="J282" s="64">
        <f t="shared" si="9"/>
        <v>0</v>
      </c>
      <c r="K282" s="65">
        <f t="shared" si="10"/>
        <v>0</v>
      </c>
    </row>
    <row r="283" spans="1:11" x14ac:dyDescent="0.25">
      <c r="A283" s="74">
        <v>2</v>
      </c>
      <c r="B283" s="62">
        <v>3</v>
      </c>
      <c r="C283" s="62">
        <v>6</v>
      </c>
      <c r="D283" s="62">
        <v>4</v>
      </c>
      <c r="E283" s="63" t="s">
        <v>71</v>
      </c>
      <c r="F283" s="61" t="s">
        <v>242</v>
      </c>
      <c r="G283" s="64">
        <f>'[6]CUENTA T FONDO 100'!EY288</f>
        <v>0</v>
      </c>
      <c r="H283" s="169">
        <f>+'[5]junio 2025'!H283+'[5]mayo 2025'!H283+[5]abril!H283+[5]marzo!H283+[5]febrero!H283+'[5]enero '!H283</f>
        <v>0</v>
      </c>
      <c r="I283" s="169"/>
      <c r="J283" s="64">
        <f t="shared" ref="J283:J348" si="11">SUM(G283:I283)</f>
        <v>0</v>
      </c>
      <c r="K283" s="65">
        <f t="shared" si="10"/>
        <v>0</v>
      </c>
    </row>
    <row r="284" spans="1:11" x14ac:dyDescent="0.25">
      <c r="A284" s="72">
        <v>2</v>
      </c>
      <c r="B284" s="58">
        <v>3</v>
      </c>
      <c r="C284" s="58">
        <v>6</v>
      </c>
      <c r="D284" s="58">
        <v>9</v>
      </c>
      <c r="E284" s="58"/>
      <c r="F284" s="57" t="s">
        <v>243</v>
      </c>
      <c r="G284" s="59">
        <f>SUM(G285)</f>
        <v>0</v>
      </c>
      <c r="H284" s="59">
        <f>+'[5]junio 2025'!H284+'[5]mayo 2025'!H284+[5]abril!H284+[5]marzo!H284+[5]febrero!H284+'[5]enero '!H284</f>
        <v>0</v>
      </c>
      <c r="I284" s="59">
        <f>SUM(I285)</f>
        <v>0</v>
      </c>
      <c r="J284" s="59">
        <f t="shared" si="11"/>
        <v>0</v>
      </c>
      <c r="K284" s="60"/>
    </row>
    <row r="285" spans="1:11" x14ac:dyDescent="0.25">
      <c r="A285" s="74">
        <v>2</v>
      </c>
      <c r="B285" s="62">
        <v>3</v>
      </c>
      <c r="C285" s="62">
        <v>6</v>
      </c>
      <c r="D285" s="62">
        <v>9</v>
      </c>
      <c r="E285" s="63" t="s">
        <v>35</v>
      </c>
      <c r="F285" s="61" t="s">
        <v>244</v>
      </c>
      <c r="G285" s="64">
        <f>'[6]CUENTA T FONDO 100'!EZ288</f>
        <v>0</v>
      </c>
      <c r="H285" s="64">
        <f>+'[5]junio 2025'!H285+'[5]mayo 2025'!H285+[5]abril!H285+[5]marzo!H285+[5]febrero!H285+'[5]enero '!H285</f>
        <v>0</v>
      </c>
      <c r="I285" s="64"/>
      <c r="J285" s="64">
        <f t="shared" si="11"/>
        <v>0</v>
      </c>
      <c r="K285" s="65">
        <f>J285/$J$25</f>
        <v>0</v>
      </c>
    </row>
    <row r="286" spans="1:11" ht="76.5" x14ac:dyDescent="0.25">
      <c r="A286" s="54">
        <v>2</v>
      </c>
      <c r="B286" s="55">
        <v>3</v>
      </c>
      <c r="C286" s="55">
        <v>7</v>
      </c>
      <c r="D286" s="55"/>
      <c r="E286" s="55"/>
      <c r="F286" s="83" t="s">
        <v>245</v>
      </c>
      <c r="G286" s="56">
        <f>G287+G295</f>
        <v>16626151.210000001</v>
      </c>
      <c r="H286" s="56">
        <f>+'[5]junio 2025'!H286+'[5]mayo 2025'!H286+[5]abril!H286+[5]marzo!H286+[5]febrero!H286+'[5]enero '!H286</f>
        <v>3160536.5599999996</v>
      </c>
      <c r="I286" s="56">
        <f>I287+I295</f>
        <v>0</v>
      </c>
      <c r="J286" s="56">
        <f t="shared" si="11"/>
        <v>19786687.77</v>
      </c>
      <c r="K286" s="53"/>
    </row>
    <row r="287" spans="1:11" x14ac:dyDescent="0.25">
      <c r="A287" s="72">
        <v>2</v>
      </c>
      <c r="B287" s="58">
        <v>3</v>
      </c>
      <c r="C287" s="58">
        <v>7</v>
      </c>
      <c r="D287" s="58">
        <v>1</v>
      </c>
      <c r="E287" s="58"/>
      <c r="F287" s="57" t="s">
        <v>246</v>
      </c>
      <c r="G287" s="59">
        <f>SUM(G288:G294)</f>
        <v>1218800</v>
      </c>
      <c r="H287" s="59">
        <f>+'[5]junio 2025'!H287+'[5]mayo 2025'!H287+[5]abril!H287+[5]marzo!H287+[5]febrero!H287+'[5]enero '!H287</f>
        <v>1298289.97</v>
      </c>
      <c r="I287" s="59">
        <f>SUM(I288:I294)</f>
        <v>0</v>
      </c>
      <c r="J287" s="59">
        <f t="shared" si="11"/>
        <v>2517089.9699999997</v>
      </c>
      <c r="K287" s="60"/>
    </row>
    <row r="288" spans="1:11" x14ac:dyDescent="0.25">
      <c r="A288" s="74">
        <v>2</v>
      </c>
      <c r="B288" s="62">
        <v>3</v>
      </c>
      <c r="C288" s="62">
        <v>7</v>
      </c>
      <c r="D288" s="62">
        <v>1</v>
      </c>
      <c r="E288" s="63" t="s">
        <v>35</v>
      </c>
      <c r="F288" s="61" t="s">
        <v>247</v>
      </c>
      <c r="G288" s="64">
        <f>'[6]CUENTA T FONDO 100'!FA288</f>
        <v>0</v>
      </c>
      <c r="H288" s="64">
        <f>+'[5]junio 2025'!H288+'[5]mayo 2025'!H288+[5]abril!H288+[5]marzo!H288+[5]febrero!H288+'[5]enero '!H288</f>
        <v>1032000</v>
      </c>
      <c r="I288" s="64"/>
      <c r="J288" s="64">
        <f t="shared" si="11"/>
        <v>1032000</v>
      </c>
      <c r="K288" s="65">
        <f t="shared" ref="K288:K294" si="12">J288/$J$25</f>
        <v>1.7451971534473783E-3</v>
      </c>
    </row>
    <row r="289" spans="1:11" x14ac:dyDescent="0.25">
      <c r="A289" s="74">
        <v>2</v>
      </c>
      <c r="B289" s="62">
        <v>3</v>
      </c>
      <c r="C289" s="62">
        <v>7</v>
      </c>
      <c r="D289" s="62">
        <v>1</v>
      </c>
      <c r="E289" s="63" t="s">
        <v>37</v>
      </c>
      <c r="F289" s="61" t="s">
        <v>248</v>
      </c>
      <c r="G289" s="64">
        <v>1218800</v>
      </c>
      <c r="H289" s="64">
        <f>+'[5]junio 2025'!H289+'[5]mayo 2025'!H289+[5]abril!H289+[5]marzo!H289+[5]febrero!H289+'[5]enero '!H289</f>
        <v>0</v>
      </c>
      <c r="I289" s="64"/>
      <c r="J289" s="64">
        <f t="shared" si="11"/>
        <v>1218800</v>
      </c>
      <c r="K289" s="65">
        <f t="shared" si="12"/>
        <v>2.0610913668814581E-3</v>
      </c>
    </row>
    <row r="290" spans="1:11" x14ac:dyDescent="0.25">
      <c r="A290" s="74">
        <v>2</v>
      </c>
      <c r="B290" s="62">
        <v>3</v>
      </c>
      <c r="C290" s="62">
        <v>7</v>
      </c>
      <c r="D290" s="62">
        <v>1</v>
      </c>
      <c r="E290" s="63" t="s">
        <v>39</v>
      </c>
      <c r="F290" s="61" t="s">
        <v>249</v>
      </c>
      <c r="G290" s="64">
        <f>'[6]CUENTA T FONDO 100'!FC288</f>
        <v>0</v>
      </c>
      <c r="H290" s="64">
        <f>+'[5]junio 2025'!H290+'[5]mayo 2025'!H290+[5]abril!H290+[5]marzo!H290+[5]febrero!H290+'[5]enero '!H290</f>
        <v>0</v>
      </c>
      <c r="I290" s="64"/>
      <c r="J290" s="64">
        <f t="shared" si="11"/>
        <v>0</v>
      </c>
      <c r="K290" s="65">
        <f t="shared" si="12"/>
        <v>0</v>
      </c>
    </row>
    <row r="291" spans="1:11" x14ac:dyDescent="0.25">
      <c r="A291" s="74">
        <v>2</v>
      </c>
      <c r="B291" s="62">
        <v>3</v>
      </c>
      <c r="C291" s="62">
        <v>7</v>
      </c>
      <c r="D291" s="62">
        <v>1</v>
      </c>
      <c r="E291" s="63" t="s">
        <v>41</v>
      </c>
      <c r="F291" s="61" t="s">
        <v>250</v>
      </c>
      <c r="G291" s="64">
        <f>'[6]CUENTA T FONDO 100'!FD288</f>
        <v>0</v>
      </c>
      <c r="H291" s="64">
        <f>+'[5]junio 2025'!H291+'[5]mayo 2025'!H291+[5]abril!H291+[5]marzo!H291+[5]febrero!H291+'[5]enero '!H291</f>
        <v>266289.96999999997</v>
      </c>
      <c r="I291" s="64"/>
      <c r="J291" s="64">
        <f t="shared" si="11"/>
        <v>266289.96999999997</v>
      </c>
      <c r="K291" s="65">
        <f t="shared" si="12"/>
        <v>4.5031831166239121E-4</v>
      </c>
    </row>
    <row r="292" spans="1:11" x14ac:dyDescent="0.25">
      <c r="A292" s="74">
        <v>2</v>
      </c>
      <c r="B292" s="62">
        <v>3</v>
      </c>
      <c r="C292" s="62">
        <v>7</v>
      </c>
      <c r="D292" s="62">
        <v>1</v>
      </c>
      <c r="E292" s="63" t="s">
        <v>43</v>
      </c>
      <c r="F292" s="61" t="s">
        <v>251</v>
      </c>
      <c r="G292" s="64">
        <f>'[6]CUENTA T FONDO 100'!FE288</f>
        <v>0</v>
      </c>
      <c r="H292" s="64">
        <f>+'[5]junio 2025'!H292+'[5]mayo 2025'!H292+[5]abril!H292+[5]marzo!H292+[5]febrero!H292+'[5]enero '!H292</f>
        <v>0</v>
      </c>
      <c r="I292" s="64"/>
      <c r="J292" s="64">
        <f t="shared" si="11"/>
        <v>0</v>
      </c>
      <c r="K292" s="65">
        <f t="shared" si="12"/>
        <v>0</v>
      </c>
    </row>
    <row r="293" spans="1:11" x14ac:dyDescent="0.25">
      <c r="A293" s="74">
        <v>2</v>
      </c>
      <c r="B293" s="62">
        <v>3</v>
      </c>
      <c r="C293" s="62">
        <v>7</v>
      </c>
      <c r="D293" s="62">
        <v>1</v>
      </c>
      <c r="E293" s="63" t="s">
        <v>45</v>
      </c>
      <c r="F293" s="61" t="s">
        <v>252</v>
      </c>
      <c r="G293" s="64">
        <f>'[6]CUENTA T FONDO 100'!FF288</f>
        <v>0</v>
      </c>
      <c r="H293" s="64">
        <f>+'[5]junio 2025'!H293+'[5]mayo 2025'!H293+[5]abril!H293+[5]marzo!H293+[5]febrero!H293+'[5]enero '!H293</f>
        <v>0</v>
      </c>
      <c r="I293" s="64"/>
      <c r="J293" s="64">
        <f t="shared" si="11"/>
        <v>0</v>
      </c>
      <c r="K293" s="65">
        <f t="shared" si="12"/>
        <v>0</v>
      </c>
    </row>
    <row r="294" spans="1:11" x14ac:dyDescent="0.25">
      <c r="A294" s="74">
        <v>2</v>
      </c>
      <c r="B294" s="62">
        <v>3</v>
      </c>
      <c r="C294" s="62">
        <v>7</v>
      </c>
      <c r="D294" s="62">
        <v>1</v>
      </c>
      <c r="E294" s="63" t="s">
        <v>71</v>
      </c>
      <c r="F294" s="61" t="s">
        <v>253</v>
      </c>
      <c r="G294" s="64">
        <f>'[6]CUENTA T FONDO 100'!FG288</f>
        <v>0</v>
      </c>
      <c r="H294" s="169">
        <f>+'[5]junio 2025'!H294+'[5]mayo 2025'!H294+[5]abril!H294+[5]marzo!H294+[5]febrero!H294+'[5]enero '!H294</f>
        <v>0</v>
      </c>
      <c r="I294" s="169"/>
      <c r="J294" s="64">
        <f t="shared" si="11"/>
        <v>0</v>
      </c>
      <c r="K294" s="65">
        <f t="shared" si="12"/>
        <v>0</v>
      </c>
    </row>
    <row r="295" spans="1:11" x14ac:dyDescent="0.25">
      <c r="A295" s="72">
        <v>2</v>
      </c>
      <c r="B295" s="58">
        <v>3</v>
      </c>
      <c r="C295" s="58">
        <v>7</v>
      </c>
      <c r="D295" s="58">
        <v>2</v>
      </c>
      <c r="E295" s="58"/>
      <c r="F295" s="57" t="s">
        <v>254</v>
      </c>
      <c r="G295" s="59">
        <f>SUM(G296:G302)</f>
        <v>15407351.210000001</v>
      </c>
      <c r="H295" s="59">
        <f>+'[5]junio 2025'!H295+'[5]mayo 2025'!H295+[5]abril!H295+[5]marzo!H295+[5]febrero!H295+'[5]enero '!H295</f>
        <v>1862246.5899999999</v>
      </c>
      <c r="I295" s="59">
        <f>SUM(I296:I302)</f>
        <v>0</v>
      </c>
      <c r="J295" s="59">
        <f t="shared" si="11"/>
        <v>17269597.800000001</v>
      </c>
      <c r="K295" s="60"/>
    </row>
    <row r="296" spans="1:11" x14ac:dyDescent="0.25">
      <c r="A296" s="74">
        <v>2</v>
      </c>
      <c r="B296" s="62">
        <v>3</v>
      </c>
      <c r="C296" s="62">
        <v>7</v>
      </c>
      <c r="D296" s="62">
        <v>2</v>
      </c>
      <c r="E296" s="63" t="s">
        <v>35</v>
      </c>
      <c r="F296" s="61" t="s">
        <v>255</v>
      </c>
      <c r="G296" s="64">
        <v>3953</v>
      </c>
      <c r="H296" s="64">
        <f>+'[5]junio 2025'!H296+'[5]mayo 2025'!H296+[5]abril!H296+[5]marzo!H296+[5]febrero!H296+'[5]enero '!H296</f>
        <v>0</v>
      </c>
      <c r="I296" s="64"/>
      <c r="J296" s="64">
        <f t="shared" si="11"/>
        <v>3953</v>
      </c>
      <c r="K296" s="65">
        <f t="shared" ref="K296:K302" si="13">J296/$J$25</f>
        <v>6.6848491740091926E-6</v>
      </c>
    </row>
    <row r="297" spans="1:11" x14ac:dyDescent="0.25">
      <c r="A297" s="74">
        <v>2</v>
      </c>
      <c r="B297" s="62">
        <v>3</v>
      </c>
      <c r="C297" s="62">
        <v>7</v>
      </c>
      <c r="D297" s="62">
        <v>2</v>
      </c>
      <c r="E297" s="63" t="s">
        <v>37</v>
      </c>
      <c r="F297" s="61" t="s">
        <v>256</v>
      </c>
      <c r="G297" s="64">
        <f>'[6]CUENTA T FONDO 100'!FI288</f>
        <v>0</v>
      </c>
      <c r="H297" s="64">
        <f>+'[5]junio 2025'!H297+'[5]mayo 2025'!H297+[5]abril!H297+[5]marzo!H297+[5]febrero!H297+'[5]enero '!H297</f>
        <v>0</v>
      </c>
      <c r="I297" s="64"/>
      <c r="J297" s="64">
        <f t="shared" si="11"/>
        <v>0</v>
      </c>
      <c r="K297" s="65">
        <f t="shared" si="13"/>
        <v>0</v>
      </c>
    </row>
    <row r="298" spans="1:11" x14ac:dyDescent="0.25">
      <c r="A298" s="74">
        <v>2</v>
      </c>
      <c r="B298" s="62">
        <v>3</v>
      </c>
      <c r="C298" s="62">
        <v>7</v>
      </c>
      <c r="D298" s="62">
        <v>2</v>
      </c>
      <c r="E298" s="63" t="s">
        <v>39</v>
      </c>
      <c r="F298" s="61" t="s">
        <v>257</v>
      </c>
      <c r="G298" s="64">
        <v>12784377.24</v>
      </c>
      <c r="H298" s="64">
        <f>+'[5]junio 2025'!H298+'[5]mayo 2025'!H298+[5]abril!H298+[5]marzo!H298+[5]febrero!H298+'[5]enero '!H298</f>
        <v>918583</v>
      </c>
      <c r="I298" s="64"/>
      <c r="J298" s="64">
        <f t="shared" si="11"/>
        <v>13702960.24</v>
      </c>
      <c r="K298" s="65">
        <f t="shared" si="13"/>
        <v>2.3172836438614928E-2</v>
      </c>
    </row>
    <row r="299" spans="1:11" x14ac:dyDescent="0.25">
      <c r="A299" s="74">
        <v>2</v>
      </c>
      <c r="B299" s="62">
        <v>3</v>
      </c>
      <c r="C299" s="62">
        <v>7</v>
      </c>
      <c r="D299" s="62">
        <v>2</v>
      </c>
      <c r="E299" s="63" t="s">
        <v>41</v>
      </c>
      <c r="F299" s="61" t="s">
        <v>258</v>
      </c>
      <c r="G299" s="64">
        <f>'[6]CUENTA T FONDO 100'!FK288</f>
        <v>0</v>
      </c>
      <c r="H299" s="64">
        <f>+'[5]junio 2025'!H299+'[5]mayo 2025'!H299+[5]abril!H299+[5]marzo!H299+[5]febrero!H299+'[5]enero '!H299</f>
        <v>0</v>
      </c>
      <c r="I299" s="64"/>
      <c r="J299" s="64">
        <f t="shared" si="11"/>
        <v>0</v>
      </c>
      <c r="K299" s="65">
        <f t="shared" si="13"/>
        <v>0</v>
      </c>
    </row>
    <row r="300" spans="1:11" x14ac:dyDescent="0.25">
      <c r="A300" s="74">
        <v>2</v>
      </c>
      <c r="B300" s="62">
        <v>3</v>
      </c>
      <c r="C300" s="62">
        <v>7</v>
      </c>
      <c r="D300" s="62">
        <v>2</v>
      </c>
      <c r="E300" s="63" t="s">
        <v>43</v>
      </c>
      <c r="F300" s="61" t="s">
        <v>259</v>
      </c>
      <c r="G300" s="64">
        <f>'[6]CUENTA T FONDO 100'!FL288</f>
        <v>0</v>
      </c>
      <c r="H300" s="64">
        <f>+'[5]junio 2025'!H300+'[5]mayo 2025'!H300+[5]abril!H300+[5]marzo!H300+[5]febrero!H300+'[5]enero '!H300</f>
        <v>0</v>
      </c>
      <c r="I300" s="64"/>
      <c r="J300" s="64">
        <f t="shared" si="11"/>
        <v>0</v>
      </c>
      <c r="K300" s="65">
        <f t="shared" si="13"/>
        <v>0</v>
      </c>
    </row>
    <row r="301" spans="1:11" ht="76.5" x14ac:dyDescent="0.25">
      <c r="A301" s="61">
        <v>2</v>
      </c>
      <c r="B301" s="62">
        <v>3</v>
      </c>
      <c r="C301" s="62">
        <v>7</v>
      </c>
      <c r="D301" s="62">
        <v>2</v>
      </c>
      <c r="E301" s="63" t="s">
        <v>45</v>
      </c>
      <c r="F301" s="84" t="s">
        <v>260</v>
      </c>
      <c r="G301" s="64">
        <v>531353.99</v>
      </c>
      <c r="H301" s="64">
        <f>+'[5]junio 2025'!H301+'[5]mayo 2025'!H301+[5]abril!H301+[5]marzo!H301+[5]febrero!H301+'[5]enero '!H301</f>
        <v>0</v>
      </c>
      <c r="I301" s="64"/>
      <c r="J301" s="64">
        <f t="shared" si="11"/>
        <v>531353.99</v>
      </c>
      <c r="K301" s="65">
        <f t="shared" si="13"/>
        <v>8.9856344071793286E-4</v>
      </c>
    </row>
    <row r="302" spans="1:11" ht="51" x14ac:dyDescent="0.25">
      <c r="A302" s="61">
        <v>2</v>
      </c>
      <c r="B302" s="62">
        <v>3</v>
      </c>
      <c r="C302" s="62">
        <v>7</v>
      </c>
      <c r="D302" s="62">
        <v>2</v>
      </c>
      <c r="E302" s="63">
        <v>99</v>
      </c>
      <c r="F302" s="84" t="s">
        <v>261</v>
      </c>
      <c r="G302" s="64">
        <v>2087666.98</v>
      </c>
      <c r="H302" s="64">
        <f>+'[5]junio 2025'!H302+'[5]mayo 2025'!H302+[5]abril!H302+[5]marzo!H302+[5]febrero!H302+'[5]enero '!H302</f>
        <v>943663.59</v>
      </c>
      <c r="I302" s="64"/>
      <c r="J302" s="64">
        <f t="shared" si="11"/>
        <v>3031330.57</v>
      </c>
      <c r="K302" s="65">
        <f t="shared" si="13"/>
        <v>5.1262301181414912E-3</v>
      </c>
    </row>
    <row r="303" spans="1:11" ht="76.5" x14ac:dyDescent="0.25">
      <c r="A303" s="54">
        <v>2</v>
      </c>
      <c r="B303" s="55">
        <v>3</v>
      </c>
      <c r="C303" s="55">
        <v>8</v>
      </c>
      <c r="D303" s="55"/>
      <c r="E303" s="55"/>
      <c r="F303" s="83" t="s">
        <v>262</v>
      </c>
      <c r="G303" s="56">
        <f>+G304+G306</f>
        <v>0</v>
      </c>
      <c r="H303" s="56">
        <f>+'[5]junio 2025'!H303+'[5]mayo 2025'!H303+[5]abril!H303+[5]marzo!H303+[5]febrero!H303+'[5]enero '!H303</f>
        <v>0</v>
      </c>
      <c r="I303" s="56">
        <f>+I304+I306</f>
        <v>0</v>
      </c>
      <c r="J303" s="56">
        <f t="shared" si="11"/>
        <v>0</v>
      </c>
      <c r="K303" s="53"/>
    </row>
    <row r="304" spans="1:11" x14ac:dyDescent="0.25">
      <c r="A304" s="57">
        <v>2</v>
      </c>
      <c r="B304" s="58">
        <v>3</v>
      </c>
      <c r="C304" s="58">
        <v>8</v>
      </c>
      <c r="D304" s="58">
        <v>1</v>
      </c>
      <c r="E304" s="58"/>
      <c r="F304" s="57" t="s">
        <v>263</v>
      </c>
      <c r="G304" s="59">
        <f>SUM(G305)</f>
        <v>0</v>
      </c>
      <c r="H304" s="59">
        <f>+'[5]junio 2025'!H304+'[5]mayo 2025'!H304+[5]abril!H304+[5]marzo!H304+[5]febrero!H304+'[5]enero '!H304</f>
        <v>0</v>
      </c>
      <c r="I304" s="59">
        <f>SUM(I305)</f>
        <v>0</v>
      </c>
      <c r="J304" s="59">
        <f t="shared" si="11"/>
        <v>0</v>
      </c>
      <c r="K304" s="60"/>
    </row>
    <row r="305" spans="1:11" x14ac:dyDescent="0.25">
      <c r="A305" s="61">
        <v>2</v>
      </c>
      <c r="B305" s="62">
        <v>3</v>
      </c>
      <c r="C305" s="62">
        <v>8</v>
      </c>
      <c r="D305" s="62">
        <v>1</v>
      </c>
      <c r="E305" s="63" t="s">
        <v>35</v>
      </c>
      <c r="F305" s="61" t="s">
        <v>263</v>
      </c>
      <c r="G305" s="64">
        <f>'[6]CUENTA T FONDO 100'!FO288</f>
        <v>0</v>
      </c>
      <c r="H305" s="64">
        <f>+'[5]junio 2025'!H305+'[5]mayo 2025'!H305+[5]abril!H305+[5]marzo!H305+[5]febrero!H305+'[5]enero '!H305</f>
        <v>0</v>
      </c>
      <c r="I305" s="64"/>
      <c r="J305" s="64">
        <f t="shared" si="11"/>
        <v>0</v>
      </c>
      <c r="K305" s="65">
        <f>J305/$J$25</f>
        <v>0</v>
      </c>
    </row>
    <row r="306" spans="1:11" ht="102" x14ac:dyDescent="0.25">
      <c r="A306" s="57">
        <v>2</v>
      </c>
      <c r="B306" s="58">
        <v>3</v>
      </c>
      <c r="C306" s="58">
        <v>8</v>
      </c>
      <c r="D306" s="58">
        <v>2</v>
      </c>
      <c r="E306" s="58"/>
      <c r="F306" s="82" t="s">
        <v>264</v>
      </c>
      <c r="G306" s="59">
        <f>SUM(G307)</f>
        <v>0</v>
      </c>
      <c r="H306" s="59">
        <f>+'[5]junio 2025'!H306+'[5]mayo 2025'!H306+[5]abril!H306+[5]marzo!H306+[5]febrero!H306+'[5]enero '!H306</f>
        <v>0</v>
      </c>
      <c r="I306" s="59">
        <f>SUM(I307)</f>
        <v>0</v>
      </c>
      <c r="J306" s="59">
        <f t="shared" si="11"/>
        <v>0</v>
      </c>
      <c r="K306" s="60"/>
    </row>
    <row r="307" spans="1:11" ht="102" x14ac:dyDescent="0.25">
      <c r="A307" s="61">
        <v>2</v>
      </c>
      <c r="B307" s="62">
        <v>3</v>
      </c>
      <c r="C307" s="62">
        <v>8</v>
      </c>
      <c r="D307" s="62">
        <v>2</v>
      </c>
      <c r="E307" s="63" t="s">
        <v>35</v>
      </c>
      <c r="F307" s="81" t="s">
        <v>264</v>
      </c>
      <c r="G307" s="64">
        <f>'[6]CUENTA T FONDO 100'!FP288</f>
        <v>0</v>
      </c>
      <c r="H307" s="64">
        <f>+'[5]junio 2025'!H307+'[5]mayo 2025'!H307+[5]abril!H307+[5]marzo!H307+[5]febrero!H307+'[5]enero '!H307</f>
        <v>0</v>
      </c>
      <c r="I307" s="64"/>
      <c r="J307" s="64">
        <f t="shared" si="11"/>
        <v>0</v>
      </c>
      <c r="K307" s="65">
        <f>J307/$J$25</f>
        <v>0</v>
      </c>
    </row>
    <row r="308" spans="1:11" x14ac:dyDescent="0.25">
      <c r="A308" s="54">
        <v>2</v>
      </c>
      <c r="B308" s="55">
        <v>3</v>
      </c>
      <c r="C308" s="55">
        <v>9</v>
      </c>
      <c r="D308" s="55"/>
      <c r="E308" s="55"/>
      <c r="F308" s="54" t="s">
        <v>265</v>
      </c>
      <c r="G308" s="56">
        <f>+G309+G312+G314+G316+G318+G320+G322+G324+G327</f>
        <v>38100081.319999993</v>
      </c>
      <c r="H308" s="56">
        <f>+'[5]junio 2025'!H308+'[5]mayo 2025'!H308+[5]abril!H308+[5]marzo!H308+[5]febrero!H308+'[5]enero '!H308</f>
        <v>5302074.1999999993</v>
      </c>
      <c r="I308" s="56">
        <f>+I309+I312+I314+I316+I318+I320+I322+I324+I327</f>
        <v>0</v>
      </c>
      <c r="J308" s="56">
        <f t="shared" si="11"/>
        <v>43402155.519999996</v>
      </c>
      <c r="K308" s="53"/>
    </row>
    <row r="309" spans="1:11" x14ac:dyDescent="0.25">
      <c r="A309" s="72">
        <v>2</v>
      </c>
      <c r="B309" s="58">
        <v>3</v>
      </c>
      <c r="C309" s="58">
        <v>9</v>
      </c>
      <c r="D309" s="58">
        <v>1</v>
      </c>
      <c r="E309" s="58"/>
      <c r="F309" s="57" t="s">
        <v>266</v>
      </c>
      <c r="G309" s="59">
        <f>SUM(G310:G311)</f>
        <v>3421570.71</v>
      </c>
      <c r="H309" s="59">
        <f>+'[5]junio 2025'!H309+'[5]mayo 2025'!H309+[5]abril!H309+[5]marzo!H309+[5]febrero!H309+'[5]enero '!H309</f>
        <v>1965797.4</v>
      </c>
      <c r="I309" s="59">
        <f>SUM(I310:I311)</f>
        <v>0</v>
      </c>
      <c r="J309" s="59">
        <f>SUM(G309:I309)</f>
        <v>5387368.1099999994</v>
      </c>
      <c r="K309" s="60"/>
    </row>
    <row r="310" spans="1:11" x14ac:dyDescent="0.25">
      <c r="A310" s="74">
        <v>2</v>
      </c>
      <c r="B310" s="62">
        <v>3</v>
      </c>
      <c r="C310" s="62">
        <v>9</v>
      </c>
      <c r="D310" s="62">
        <v>1</v>
      </c>
      <c r="E310" s="63" t="s">
        <v>35</v>
      </c>
      <c r="F310" s="61" t="s">
        <v>267</v>
      </c>
      <c r="G310" s="64">
        <v>3421570.71</v>
      </c>
      <c r="H310" s="64">
        <f>+'[5]junio 2025'!H310+'[5]mayo 2025'!H310+[5]abril!H310+[5]marzo!H310+[5]febrero!H310+'[5]enero '!H310</f>
        <v>1965797.4</v>
      </c>
      <c r="I310" s="64"/>
      <c r="J310" s="64">
        <f t="shared" si="11"/>
        <v>5387368.1099999994</v>
      </c>
      <c r="K310" s="65">
        <f>J310/$J$25</f>
        <v>9.1104840020786639E-3</v>
      </c>
    </row>
    <row r="311" spans="1:11" x14ac:dyDescent="0.25">
      <c r="A311" s="74">
        <v>2</v>
      </c>
      <c r="B311" s="62">
        <v>3</v>
      </c>
      <c r="C311" s="62">
        <v>9</v>
      </c>
      <c r="D311" s="62">
        <v>1</v>
      </c>
      <c r="E311" s="63" t="s">
        <v>37</v>
      </c>
      <c r="F311" s="61" t="s">
        <v>268</v>
      </c>
      <c r="G311" s="64">
        <f>'[6]CUENTA T FONDO 100'!FR288</f>
        <v>0</v>
      </c>
      <c r="H311" s="64">
        <f>+'[5]junio 2025'!H311+'[5]mayo 2025'!H311+[5]abril!H311+[5]marzo!H311+[5]febrero!H311+'[5]enero '!H311</f>
        <v>0</v>
      </c>
      <c r="I311" s="64"/>
      <c r="J311" s="64">
        <f t="shared" si="11"/>
        <v>0</v>
      </c>
      <c r="K311" s="65">
        <f>J311/$J$25</f>
        <v>0</v>
      </c>
    </row>
    <row r="312" spans="1:11" x14ac:dyDescent="0.25">
      <c r="A312" s="72">
        <v>2</v>
      </c>
      <c r="B312" s="58">
        <v>3</v>
      </c>
      <c r="C312" s="58">
        <v>9</v>
      </c>
      <c r="D312" s="58">
        <v>2</v>
      </c>
      <c r="E312" s="58"/>
      <c r="F312" s="57" t="s">
        <v>269</v>
      </c>
      <c r="G312" s="59">
        <f>SUM(G313)</f>
        <v>478037.79</v>
      </c>
      <c r="H312" s="59">
        <f>+'[5]junio 2025'!H312+'[5]mayo 2025'!H312+[5]abril!H312+[5]marzo!H312+[5]febrero!H312+'[5]enero '!H312</f>
        <v>0</v>
      </c>
      <c r="I312" s="59">
        <f>SUM(I313)</f>
        <v>0</v>
      </c>
      <c r="J312" s="59">
        <f t="shared" si="11"/>
        <v>478037.79</v>
      </c>
      <c r="K312" s="60"/>
    </row>
    <row r="313" spans="1:11" x14ac:dyDescent="0.25">
      <c r="A313" s="74">
        <v>2</v>
      </c>
      <c r="B313" s="62">
        <v>3</v>
      </c>
      <c r="C313" s="62">
        <v>9</v>
      </c>
      <c r="D313" s="62">
        <v>2</v>
      </c>
      <c r="E313" s="63" t="s">
        <v>35</v>
      </c>
      <c r="F313" s="61" t="s">
        <v>270</v>
      </c>
      <c r="G313" s="64">
        <f>467417.79+10620</f>
        <v>478037.79</v>
      </c>
      <c r="H313" s="64">
        <f>+'[5]junio 2025'!H313+'[5]mayo 2025'!H313+[5]abril!H313+[5]marzo!H313+[5]febrero!H313+'[5]enero '!H313</f>
        <v>0</v>
      </c>
      <c r="I313" s="64"/>
      <c r="J313" s="64">
        <f t="shared" si="11"/>
        <v>478037.79</v>
      </c>
      <c r="K313" s="65">
        <f>J313/$J$25</f>
        <v>8.0840134723670113E-4</v>
      </c>
    </row>
    <row r="314" spans="1:11" x14ac:dyDescent="0.25">
      <c r="A314" s="72">
        <v>2</v>
      </c>
      <c r="B314" s="58">
        <v>3</v>
      </c>
      <c r="C314" s="58">
        <v>9</v>
      </c>
      <c r="D314" s="58">
        <v>3</v>
      </c>
      <c r="E314" s="58"/>
      <c r="F314" s="57" t="s">
        <v>271</v>
      </c>
      <c r="G314" s="59">
        <f>SUM(G315)</f>
        <v>31950568.239999998</v>
      </c>
      <c r="H314" s="59">
        <f>+'[5]junio 2025'!H314+'[5]mayo 2025'!H314+[5]abril!H314+[5]marzo!H314+[5]febrero!H314+'[5]enero '!H314</f>
        <v>2903668.17</v>
      </c>
      <c r="I314" s="59">
        <f>SUM(I315)</f>
        <v>0</v>
      </c>
      <c r="J314" s="59">
        <f t="shared" si="11"/>
        <v>34854236.409999996</v>
      </c>
      <c r="K314" s="60"/>
    </row>
    <row r="315" spans="1:11" x14ac:dyDescent="0.25">
      <c r="A315" s="74">
        <v>2</v>
      </c>
      <c r="B315" s="62">
        <v>3</v>
      </c>
      <c r="C315" s="62">
        <v>9</v>
      </c>
      <c r="D315" s="62">
        <v>3</v>
      </c>
      <c r="E315" s="63" t="s">
        <v>35</v>
      </c>
      <c r="F315" s="61" t="s">
        <v>271</v>
      </c>
      <c r="G315" s="64">
        <v>31950568.239999998</v>
      </c>
      <c r="H315" s="64">
        <f>+'[5]junio 2025'!H315+'[5]mayo 2025'!H315+[5]abril!H315+[5]marzo!H315+[5]febrero!H315+'[5]enero '!H315</f>
        <v>2903668.17</v>
      </c>
      <c r="I315" s="64"/>
      <c r="J315" s="64">
        <f t="shared" si="11"/>
        <v>34854236.409999996</v>
      </c>
      <c r="K315" s="65">
        <f>J315/$J$25</f>
        <v>5.8941389697978651E-2</v>
      </c>
    </row>
    <row r="316" spans="1:11" x14ac:dyDescent="0.25">
      <c r="A316" s="72">
        <v>2</v>
      </c>
      <c r="B316" s="58">
        <v>3</v>
      </c>
      <c r="C316" s="58">
        <v>9</v>
      </c>
      <c r="D316" s="58">
        <v>4</v>
      </c>
      <c r="E316" s="58"/>
      <c r="F316" s="57" t="s">
        <v>272</v>
      </c>
      <c r="G316" s="59">
        <f>SUM(G317)</f>
        <v>0</v>
      </c>
      <c r="H316" s="59">
        <f>+'[5]junio 2025'!H316+'[5]mayo 2025'!H316+[5]abril!H316+[5]marzo!H316+[5]febrero!H316+'[5]enero '!H316</f>
        <v>0</v>
      </c>
      <c r="I316" s="59">
        <f>SUM(I317)</f>
        <v>0</v>
      </c>
      <c r="J316" s="59">
        <f t="shared" si="11"/>
        <v>0</v>
      </c>
      <c r="K316" s="60"/>
    </row>
    <row r="317" spans="1:11" x14ac:dyDescent="0.25">
      <c r="A317" s="74">
        <v>2</v>
      </c>
      <c r="B317" s="62">
        <v>3</v>
      </c>
      <c r="C317" s="62">
        <v>9</v>
      </c>
      <c r="D317" s="62">
        <v>4</v>
      </c>
      <c r="E317" s="63" t="s">
        <v>35</v>
      </c>
      <c r="F317" s="61" t="s">
        <v>272</v>
      </c>
      <c r="G317" s="64">
        <f>'[6]CUENTA T FONDO 100'!FU288</f>
        <v>0</v>
      </c>
      <c r="H317" s="64">
        <f>+'[5]junio 2025'!H317+'[5]mayo 2025'!H317+[5]abril!H317+[5]marzo!H317+[5]febrero!H317+'[5]enero '!H317</f>
        <v>0</v>
      </c>
      <c r="I317" s="64"/>
      <c r="J317" s="64">
        <f t="shared" si="11"/>
        <v>0</v>
      </c>
      <c r="K317" s="65">
        <f>J317/$J$25</f>
        <v>0</v>
      </c>
    </row>
    <row r="318" spans="1:11" x14ac:dyDescent="0.25">
      <c r="A318" s="72">
        <v>2</v>
      </c>
      <c r="B318" s="58">
        <v>3</v>
      </c>
      <c r="C318" s="58">
        <v>9</v>
      </c>
      <c r="D318" s="58">
        <v>5</v>
      </c>
      <c r="E318" s="58"/>
      <c r="F318" s="57" t="s">
        <v>273</v>
      </c>
      <c r="G318" s="59">
        <f>SUM(G319)</f>
        <v>0</v>
      </c>
      <c r="H318" s="59">
        <f>+'[5]junio 2025'!H318+'[5]mayo 2025'!H318+[5]abril!H318+[5]marzo!H318+[5]febrero!H318+'[5]enero '!H318</f>
        <v>0</v>
      </c>
      <c r="I318" s="59">
        <f>SUM(I319)</f>
        <v>0</v>
      </c>
      <c r="J318" s="59">
        <f t="shared" si="11"/>
        <v>0</v>
      </c>
      <c r="K318" s="60"/>
    </row>
    <row r="319" spans="1:11" x14ac:dyDescent="0.25">
      <c r="A319" s="74">
        <v>2</v>
      </c>
      <c r="B319" s="62">
        <v>3</v>
      </c>
      <c r="C319" s="62">
        <v>9</v>
      </c>
      <c r="D319" s="62">
        <v>5</v>
      </c>
      <c r="E319" s="63" t="s">
        <v>35</v>
      </c>
      <c r="F319" s="61" t="s">
        <v>273</v>
      </c>
      <c r="G319" s="64">
        <f>'[6]CUENTA T FONDO 100'!FV288</f>
        <v>0</v>
      </c>
      <c r="H319" s="64">
        <f>+'[5]junio 2025'!H319+'[5]mayo 2025'!H319+[5]abril!H319+[5]marzo!H319+[5]febrero!H319+'[5]enero '!H319</f>
        <v>0</v>
      </c>
      <c r="I319" s="64"/>
      <c r="J319" s="64">
        <f t="shared" si="11"/>
        <v>0</v>
      </c>
      <c r="K319" s="65">
        <f>J319/$J$25</f>
        <v>0</v>
      </c>
    </row>
    <row r="320" spans="1:11" x14ac:dyDescent="0.25">
      <c r="A320" s="72">
        <v>2</v>
      </c>
      <c r="B320" s="58">
        <v>3</v>
      </c>
      <c r="C320" s="58">
        <v>9</v>
      </c>
      <c r="D320" s="58">
        <v>6</v>
      </c>
      <c r="E320" s="58"/>
      <c r="F320" s="57" t="s">
        <v>274</v>
      </c>
      <c r="G320" s="59">
        <f>SUM(G321)</f>
        <v>1142282.26</v>
      </c>
      <c r="H320" s="59">
        <f>+'[5]junio 2025'!H320+'[5]mayo 2025'!H320+[5]abril!H320+[5]marzo!H320+[5]febrero!H320+'[5]enero '!H320</f>
        <v>4050.01</v>
      </c>
      <c r="I320" s="59">
        <f>SUM(I321)</f>
        <v>0</v>
      </c>
      <c r="J320" s="59">
        <f t="shared" si="11"/>
        <v>1146332.27</v>
      </c>
      <c r="K320" s="60"/>
    </row>
    <row r="321" spans="1:11" x14ac:dyDescent="0.25">
      <c r="A321" s="74">
        <v>2</v>
      </c>
      <c r="B321" s="62">
        <v>3</v>
      </c>
      <c r="C321" s="62">
        <v>9</v>
      </c>
      <c r="D321" s="62">
        <v>6</v>
      </c>
      <c r="E321" s="63" t="s">
        <v>35</v>
      </c>
      <c r="F321" s="61" t="s">
        <v>274</v>
      </c>
      <c r="G321" s="64">
        <v>1142282.26</v>
      </c>
      <c r="H321" s="64">
        <f>+'[5]junio 2025'!H321+'[5]mayo 2025'!H321+[5]abril!H321+[5]marzo!H321+[5]febrero!H321+'[5]enero '!H321</f>
        <v>4050.01</v>
      </c>
      <c r="I321" s="64"/>
      <c r="J321" s="64">
        <f t="shared" si="11"/>
        <v>1146332.27</v>
      </c>
      <c r="K321" s="65">
        <f>J321/$J$25</f>
        <v>1.9385424559194492E-3</v>
      </c>
    </row>
    <row r="322" spans="1:11" x14ac:dyDescent="0.25">
      <c r="A322" s="72">
        <v>2</v>
      </c>
      <c r="B322" s="58">
        <v>3</v>
      </c>
      <c r="C322" s="58">
        <v>9</v>
      </c>
      <c r="D322" s="58">
        <v>7</v>
      </c>
      <c r="E322" s="58"/>
      <c r="F322" s="57" t="s">
        <v>275</v>
      </c>
      <c r="G322" s="59">
        <f>SUM(G323)</f>
        <v>0</v>
      </c>
      <c r="H322" s="59">
        <f>+'[5]junio 2025'!H322+'[5]mayo 2025'!H322+[5]abril!H322+[5]marzo!H322+[5]febrero!H322+'[5]enero '!H322</f>
        <v>0</v>
      </c>
      <c r="I322" s="59">
        <f>SUM(I323)</f>
        <v>0</v>
      </c>
      <c r="J322" s="59">
        <f t="shared" si="11"/>
        <v>0</v>
      </c>
      <c r="K322" s="60"/>
    </row>
    <row r="323" spans="1:11" x14ac:dyDescent="0.25">
      <c r="A323" s="74">
        <v>2</v>
      </c>
      <c r="B323" s="62">
        <v>3</v>
      </c>
      <c r="C323" s="62">
        <v>9</v>
      </c>
      <c r="D323" s="62">
        <v>7</v>
      </c>
      <c r="E323" s="63" t="s">
        <v>35</v>
      </c>
      <c r="F323" s="61" t="s">
        <v>275</v>
      </c>
      <c r="G323" s="64">
        <f>'[6]CUENTA T FONDO 100'!FX288</f>
        <v>0</v>
      </c>
      <c r="H323" s="64">
        <f>+'[5]junio 2025'!H323+'[5]mayo 2025'!H323+[5]abril!H323+[5]marzo!H323+[5]febrero!H323+'[5]enero '!H323</f>
        <v>0</v>
      </c>
      <c r="I323" s="64"/>
      <c r="J323" s="64">
        <f t="shared" si="11"/>
        <v>0</v>
      </c>
      <c r="K323" s="65">
        <f>J323/$J$25</f>
        <v>0</v>
      </c>
    </row>
    <row r="324" spans="1:11" x14ac:dyDescent="0.25">
      <c r="A324" s="72">
        <v>2</v>
      </c>
      <c r="B324" s="58">
        <v>3</v>
      </c>
      <c r="C324" s="58">
        <v>9</v>
      </c>
      <c r="D324" s="58">
        <v>8</v>
      </c>
      <c r="E324" s="58"/>
      <c r="F324" s="57" t="s">
        <v>276</v>
      </c>
      <c r="G324" s="59">
        <f>SUM(G325:G326)</f>
        <v>1035970.21</v>
      </c>
      <c r="H324" s="59">
        <f>+'[5]junio 2025'!H324+'[5]mayo 2025'!H324+[5]abril!H324+[5]marzo!H324+[5]febrero!H324+'[5]enero '!H324</f>
        <v>0</v>
      </c>
      <c r="I324" s="59">
        <f>SUM(I325:I326)</f>
        <v>0</v>
      </c>
      <c r="J324" s="59">
        <f t="shared" si="11"/>
        <v>1035970.21</v>
      </c>
      <c r="K324" s="60"/>
    </row>
    <row r="325" spans="1:11" x14ac:dyDescent="0.25">
      <c r="A325" s="74">
        <v>2</v>
      </c>
      <c r="B325" s="62">
        <v>3</v>
      </c>
      <c r="C325" s="62">
        <v>9</v>
      </c>
      <c r="D325" s="62">
        <v>8</v>
      </c>
      <c r="E325" s="63" t="s">
        <v>35</v>
      </c>
      <c r="F325" s="61" t="s">
        <v>277</v>
      </c>
      <c r="G325" s="64">
        <v>34537.370000000003</v>
      </c>
      <c r="H325" s="64">
        <f>+'[5]junio 2025'!H325+'[5]mayo 2025'!H325+[5]abril!H325+[5]marzo!H325+[5]febrero!H325+'[5]enero '!H325</f>
        <v>0</v>
      </c>
      <c r="I325" s="64"/>
      <c r="J325" s="64">
        <f t="shared" si="11"/>
        <v>34537.370000000003</v>
      </c>
      <c r="K325" s="65">
        <f>J325/$J$25</f>
        <v>5.8405542453060939E-5</v>
      </c>
    </row>
    <row r="326" spans="1:11" x14ac:dyDescent="0.25">
      <c r="A326" s="74">
        <v>2</v>
      </c>
      <c r="B326" s="62">
        <v>3</v>
      </c>
      <c r="C326" s="62">
        <v>9</v>
      </c>
      <c r="D326" s="62">
        <v>8</v>
      </c>
      <c r="E326" s="63" t="s">
        <v>37</v>
      </c>
      <c r="F326" s="61" t="s">
        <v>278</v>
      </c>
      <c r="G326" s="64">
        <v>1001432.84</v>
      </c>
      <c r="H326" s="64">
        <f>+'[5]junio 2025'!H326+'[5]mayo 2025'!H326+[5]abril!H326+[5]marzo!H326+[5]febrero!H326+'[5]enero '!H326</f>
        <v>0</v>
      </c>
      <c r="I326" s="64"/>
      <c r="J326" s="64">
        <f t="shared" si="11"/>
        <v>1001432.84</v>
      </c>
      <c r="K326" s="65">
        <f>J326/$J$25</f>
        <v>1.6935055636983758E-3</v>
      </c>
    </row>
    <row r="327" spans="1:11" x14ac:dyDescent="0.25">
      <c r="A327" s="72">
        <v>2</v>
      </c>
      <c r="B327" s="58">
        <v>3</v>
      </c>
      <c r="C327" s="58">
        <v>9</v>
      </c>
      <c r="D327" s="58">
        <v>9</v>
      </c>
      <c r="E327" s="58"/>
      <c r="F327" s="57" t="s">
        <v>279</v>
      </c>
      <c r="G327" s="59">
        <f>SUM(G328:G329)</f>
        <v>71652.11</v>
      </c>
      <c r="H327" s="59">
        <f>+'[5]junio 2025'!H327+'[5]mayo 2025'!H327+[5]abril!H327+[5]marzo!H327+[5]febrero!H327+'[5]enero '!H327</f>
        <v>428558.62000000005</v>
      </c>
      <c r="I327" s="59">
        <f>SUM(I328)</f>
        <v>0</v>
      </c>
      <c r="J327" s="59">
        <f t="shared" si="11"/>
        <v>500210.73000000004</v>
      </c>
      <c r="K327" s="60"/>
    </row>
    <row r="328" spans="1:11" x14ac:dyDescent="0.25">
      <c r="A328" s="74">
        <v>2</v>
      </c>
      <c r="B328" s="62">
        <v>3</v>
      </c>
      <c r="C328" s="62">
        <v>9</v>
      </c>
      <c r="D328" s="62">
        <v>9</v>
      </c>
      <c r="E328" s="63" t="s">
        <v>35</v>
      </c>
      <c r="F328" s="61" t="s">
        <v>279</v>
      </c>
      <c r="G328" s="64">
        <f>'[6]CUENTA T FONDO 100'!GA288</f>
        <v>0</v>
      </c>
      <c r="H328" s="64">
        <f>+'[5]junio 2025'!H328+'[5]mayo 2025'!H328+[5]abril!H328+[5]marzo!H328+[5]febrero!H328+'[5]enero '!H328</f>
        <v>366608.62000000005</v>
      </c>
      <c r="I328" s="64"/>
      <c r="J328" s="64">
        <f t="shared" si="11"/>
        <v>366608.62000000005</v>
      </c>
      <c r="K328" s="65">
        <f>J328/$J$25</f>
        <v>6.1996542640820908E-4</v>
      </c>
    </row>
    <row r="329" spans="1:11" x14ac:dyDescent="0.25">
      <c r="A329" s="74">
        <v>2</v>
      </c>
      <c r="B329" s="62">
        <v>3</v>
      </c>
      <c r="C329" s="62">
        <v>9</v>
      </c>
      <c r="D329" s="62">
        <v>9</v>
      </c>
      <c r="E329" s="63" t="s">
        <v>41</v>
      </c>
      <c r="F329" s="61" t="s">
        <v>280</v>
      </c>
      <c r="G329" s="64">
        <f>38403.64+33248.47</f>
        <v>71652.11</v>
      </c>
      <c r="H329" s="64">
        <f>+'[5]junio 2025'!H329+'[5]mayo 2025'!H329+[5]abril!H329+[5]marzo!H329+[5]febrero!H329+'[5]enero '!H329</f>
        <v>61950</v>
      </c>
      <c r="I329" s="64"/>
      <c r="J329" s="64">
        <f>SUM(G329:I329)</f>
        <v>133602.10999999999</v>
      </c>
      <c r="K329" s="65">
        <f>J329/$J$25</f>
        <v>2.2593219192496464E-4</v>
      </c>
    </row>
    <row r="330" spans="1:11" ht="38.25" x14ac:dyDescent="0.25">
      <c r="A330" s="70">
        <v>2</v>
      </c>
      <c r="B330" s="55">
        <v>4</v>
      </c>
      <c r="C330" s="55">
        <v>1</v>
      </c>
      <c r="D330" s="55">
        <v>2</v>
      </c>
      <c r="E330" s="55"/>
      <c r="F330" s="83" t="s">
        <v>281</v>
      </c>
      <c r="G330" s="56">
        <f>G331+G332+G333+G334+G335</f>
        <v>0</v>
      </c>
      <c r="H330" s="56">
        <f>+'[5]junio 2025'!H330+'[5]mayo 2025'!H330+[5]abril!H330+[5]marzo!H330+[5]febrero!H330+'[5]enero '!H330</f>
        <v>1511767.7</v>
      </c>
      <c r="I330" s="56">
        <f>I331+I332+I333+I334+I335</f>
        <v>0</v>
      </c>
      <c r="J330" s="56">
        <f t="shared" si="11"/>
        <v>1511767.7</v>
      </c>
      <c r="K330" s="53">
        <f>+J330/J25</f>
        <v>2.5565239212341959E-3</v>
      </c>
    </row>
    <row r="331" spans="1:11" x14ac:dyDescent="0.25">
      <c r="A331" s="74">
        <v>2</v>
      </c>
      <c r="B331" s="62">
        <v>4</v>
      </c>
      <c r="C331" s="62">
        <v>1</v>
      </c>
      <c r="D331" s="62">
        <v>2</v>
      </c>
      <c r="E331" s="63" t="s">
        <v>35</v>
      </c>
      <c r="F331" s="61" t="s">
        <v>282</v>
      </c>
      <c r="G331" s="64">
        <f>'[6]CUENTA T FONDO 100'!GC288</f>
        <v>0</v>
      </c>
      <c r="H331" s="64">
        <f>+'[5]junio 2025'!H331+'[5]mayo 2025'!H331+[5]abril!H331+[5]marzo!H331+[5]febrero!H331+'[5]enero '!H331</f>
        <v>269015</v>
      </c>
      <c r="I331" s="64"/>
      <c r="J331" s="64">
        <f t="shared" si="11"/>
        <v>269015</v>
      </c>
      <c r="K331" s="65">
        <f t="shared" ref="K331:K336" si="14">J331/$J$25</f>
        <v>4.5492656224287452E-4</v>
      </c>
    </row>
    <row r="332" spans="1:11" x14ac:dyDescent="0.25">
      <c r="A332" s="74">
        <v>2</v>
      </c>
      <c r="B332" s="62">
        <v>4</v>
      </c>
      <c r="C332" s="62">
        <v>1</v>
      </c>
      <c r="D332" s="62">
        <v>2</v>
      </c>
      <c r="E332" s="63" t="s">
        <v>37</v>
      </c>
      <c r="F332" s="61" t="s">
        <v>283</v>
      </c>
      <c r="G332" s="64">
        <f>'[6]CUENTA T FONDO 100'!GD288</f>
        <v>0</v>
      </c>
      <c r="H332" s="64">
        <f>+'[5]junio 2025'!H332+'[5]mayo 2025'!H332+[5]abril!H332+[5]marzo!H332+[5]febrero!H332+'[5]enero '!H332</f>
        <v>1242752.7</v>
      </c>
      <c r="I332" s="64"/>
      <c r="J332" s="64">
        <f t="shared" si="11"/>
        <v>1242752.7</v>
      </c>
      <c r="K332" s="65">
        <f t="shared" si="14"/>
        <v>2.1015973589913212E-3</v>
      </c>
    </row>
    <row r="333" spans="1:11" x14ac:dyDescent="0.25">
      <c r="A333" s="74">
        <v>2</v>
      </c>
      <c r="B333" s="62">
        <v>4</v>
      </c>
      <c r="C333" s="62">
        <v>1</v>
      </c>
      <c r="D333" s="62">
        <v>2</v>
      </c>
      <c r="E333" s="63" t="s">
        <v>39</v>
      </c>
      <c r="F333" s="61" t="s">
        <v>284</v>
      </c>
      <c r="G333" s="64">
        <f>'[6]CUENTA T FONDO 100'!GE288</f>
        <v>0</v>
      </c>
      <c r="H333" s="64">
        <f>+'[5]junio 2025'!H333+'[5]mayo 2025'!H333+[5]abril!H333+[5]marzo!H333+[5]febrero!H333+'[5]enero '!H333</f>
        <v>0</v>
      </c>
      <c r="I333" s="64"/>
      <c r="J333" s="64">
        <f t="shared" si="11"/>
        <v>0</v>
      </c>
      <c r="K333" s="65">
        <f t="shared" si="14"/>
        <v>0</v>
      </c>
    </row>
    <row r="334" spans="1:11" x14ac:dyDescent="0.25">
      <c r="A334" s="74">
        <v>2</v>
      </c>
      <c r="B334" s="62">
        <v>4</v>
      </c>
      <c r="C334" s="62">
        <v>1</v>
      </c>
      <c r="D334" s="62">
        <v>2</v>
      </c>
      <c r="E334" s="63" t="s">
        <v>41</v>
      </c>
      <c r="F334" s="61" t="s">
        <v>285</v>
      </c>
      <c r="G334" s="64">
        <f>'[6]CUENTA T FONDO 100'!GF288</f>
        <v>0</v>
      </c>
      <c r="H334" s="64">
        <f>+'[5]junio 2025'!H334+'[5]mayo 2025'!H334+[5]abril!H334+[5]marzo!H334+[5]febrero!H334+'[5]enero '!H334</f>
        <v>0</v>
      </c>
      <c r="I334" s="64"/>
      <c r="J334" s="64">
        <f t="shared" si="11"/>
        <v>0</v>
      </c>
      <c r="K334" s="65">
        <f t="shared" si="14"/>
        <v>0</v>
      </c>
    </row>
    <row r="335" spans="1:11" x14ac:dyDescent="0.25">
      <c r="A335" s="74">
        <v>2</v>
      </c>
      <c r="B335" s="62">
        <v>4</v>
      </c>
      <c r="C335" s="62">
        <v>1</v>
      </c>
      <c r="D335" s="62">
        <v>2</v>
      </c>
      <c r="E335" s="63" t="s">
        <v>43</v>
      </c>
      <c r="F335" s="61" t="s">
        <v>286</v>
      </c>
      <c r="G335" s="64">
        <f>'[6]CUENTA T FONDO 100'!GG288</f>
        <v>0</v>
      </c>
      <c r="H335" s="64">
        <f>+'[5]junio 2025'!H335+'[5]mayo 2025'!H335+[5]abril!H335+[5]marzo!H335+[5]febrero!H335+'[5]enero '!H335</f>
        <v>0</v>
      </c>
      <c r="I335" s="64"/>
      <c r="J335" s="64">
        <f t="shared" si="11"/>
        <v>0</v>
      </c>
      <c r="K335" s="65">
        <f t="shared" si="14"/>
        <v>0</v>
      </c>
    </row>
    <row r="336" spans="1:11" ht="51" x14ac:dyDescent="0.25">
      <c r="A336" s="70">
        <v>2</v>
      </c>
      <c r="B336" s="55">
        <v>6</v>
      </c>
      <c r="C336" s="55"/>
      <c r="D336" s="55"/>
      <c r="E336" s="55"/>
      <c r="F336" s="83" t="s">
        <v>287</v>
      </c>
      <c r="G336" s="56">
        <f>G337+G348+G357+G366+G383+G400+G405+G424+G446</f>
        <v>31782626.099999998</v>
      </c>
      <c r="H336" s="56">
        <f>+'[5]junio 2025'!H336+'[5]mayo 2025'!H336+[5]abril!H336+[5]marzo!H336+[5]febrero!H336+'[5]enero '!H336</f>
        <v>10459475.359999999</v>
      </c>
      <c r="I336" s="56">
        <f>I337+I348+I357+I366+I383+I400+I405+I424+I446</f>
        <v>0</v>
      </c>
      <c r="J336" s="56">
        <f t="shared" si="11"/>
        <v>42242101.459999993</v>
      </c>
      <c r="K336" s="53">
        <f t="shared" si="14"/>
        <v>7.1434879092662149E-2</v>
      </c>
    </row>
    <row r="337" spans="1:11" ht="25.5" x14ac:dyDescent="0.25">
      <c r="A337" s="54">
        <v>2</v>
      </c>
      <c r="B337" s="55">
        <v>6</v>
      </c>
      <c r="C337" s="55">
        <v>1</v>
      </c>
      <c r="D337" s="55"/>
      <c r="E337" s="55"/>
      <c r="F337" s="83" t="s">
        <v>288</v>
      </c>
      <c r="G337" s="56">
        <f>+G338+G340+G342+G344+G346</f>
        <v>4697060.93</v>
      </c>
      <c r="H337" s="56">
        <f>+'[5]junio 2025'!H337+'[5]mayo 2025'!H337+[5]abril!H337+[5]marzo!H337+[5]febrero!H337+'[5]enero '!H337</f>
        <v>7995.01</v>
      </c>
      <c r="I337" s="56">
        <f>+I338+I340+I342+I344+I346</f>
        <v>0</v>
      </c>
      <c r="J337" s="56">
        <f t="shared" si="11"/>
        <v>4705055.9399999995</v>
      </c>
      <c r="K337" s="53"/>
    </row>
    <row r="338" spans="1:11" ht="51" x14ac:dyDescent="0.25">
      <c r="A338" s="57">
        <v>2</v>
      </c>
      <c r="B338" s="58">
        <v>6</v>
      </c>
      <c r="C338" s="58">
        <v>1</v>
      </c>
      <c r="D338" s="58">
        <v>1</v>
      </c>
      <c r="E338" s="58"/>
      <c r="F338" s="82" t="s">
        <v>289</v>
      </c>
      <c r="G338" s="59">
        <f>SUM(G339)</f>
        <v>3446282.51</v>
      </c>
      <c r="H338" s="59">
        <f>+'[5]junio 2025'!H338+'[5]mayo 2025'!H338+[5]abril!H338+[5]marzo!H338+[5]febrero!H338+'[5]enero '!H338</f>
        <v>0</v>
      </c>
      <c r="I338" s="59">
        <f>SUM(I339)</f>
        <v>0</v>
      </c>
      <c r="J338" s="59">
        <f t="shared" si="11"/>
        <v>3446282.51</v>
      </c>
      <c r="K338" s="60"/>
    </row>
    <row r="339" spans="1:11" ht="51" x14ac:dyDescent="0.25">
      <c r="A339" s="61">
        <v>2</v>
      </c>
      <c r="B339" s="62">
        <v>6</v>
      </c>
      <c r="C339" s="62">
        <v>1</v>
      </c>
      <c r="D339" s="62">
        <v>1</v>
      </c>
      <c r="E339" s="63" t="s">
        <v>35</v>
      </c>
      <c r="F339" s="81" t="s">
        <v>289</v>
      </c>
      <c r="G339" s="64">
        <v>3446282.51</v>
      </c>
      <c r="H339" s="169">
        <f>+'[5]junio 2025'!H339+'[5]mayo 2025'!H339+[5]abril!H339+[5]marzo!H339+[5]febrero!H339+'[5]enero '!H339</f>
        <v>0</v>
      </c>
      <c r="I339" s="169"/>
      <c r="J339" s="64">
        <f t="shared" si="11"/>
        <v>3446282.51</v>
      </c>
      <c r="K339" s="65">
        <f>J339/$J$25</f>
        <v>5.8279480876235329E-3</v>
      </c>
    </row>
    <row r="340" spans="1:11" ht="63.75" x14ac:dyDescent="0.25">
      <c r="A340" s="57">
        <v>2</v>
      </c>
      <c r="B340" s="58">
        <v>6</v>
      </c>
      <c r="C340" s="58">
        <v>1</v>
      </c>
      <c r="D340" s="58">
        <v>2</v>
      </c>
      <c r="E340" s="58"/>
      <c r="F340" s="82" t="s">
        <v>290</v>
      </c>
      <c r="G340" s="59">
        <f>SUM(G341)</f>
        <v>127620.76</v>
      </c>
      <c r="H340" s="59">
        <f>+'[5]junio 2025'!H340+'[5]mayo 2025'!H340+[5]abril!H340+[5]marzo!H340+[5]febrero!H340+'[5]enero '!H340</f>
        <v>7995.01</v>
      </c>
      <c r="I340" s="59">
        <f>SUM(I341)</f>
        <v>0</v>
      </c>
      <c r="J340" s="59">
        <f t="shared" si="11"/>
        <v>135615.76999999999</v>
      </c>
      <c r="K340" s="60"/>
    </row>
    <row r="341" spans="1:11" ht="63.75" x14ac:dyDescent="0.25">
      <c r="A341" s="61">
        <v>2</v>
      </c>
      <c r="B341" s="62">
        <v>6</v>
      </c>
      <c r="C341" s="62">
        <v>1</v>
      </c>
      <c r="D341" s="62">
        <v>2</v>
      </c>
      <c r="E341" s="63" t="s">
        <v>35</v>
      </c>
      <c r="F341" s="81" t="s">
        <v>290</v>
      </c>
      <c r="G341" s="64">
        <v>127620.76</v>
      </c>
      <c r="H341" s="169">
        <f>+'[5]junio 2025'!H341+'[5]mayo 2025'!H341+[5]abril!H341+[5]marzo!H341+[5]febrero!H341+'[5]enero '!H341</f>
        <v>7995.01</v>
      </c>
      <c r="I341" s="169"/>
      <c r="J341" s="64">
        <f t="shared" si="11"/>
        <v>135615.76999999999</v>
      </c>
      <c r="K341" s="65">
        <f>J341/$J$25</f>
        <v>2.2933745713815345E-4</v>
      </c>
    </row>
    <row r="342" spans="1:11" ht="89.25" x14ac:dyDescent="0.25">
      <c r="A342" s="57">
        <v>2</v>
      </c>
      <c r="B342" s="58">
        <v>6</v>
      </c>
      <c r="C342" s="58">
        <v>1</v>
      </c>
      <c r="D342" s="58">
        <v>3</v>
      </c>
      <c r="E342" s="58"/>
      <c r="F342" s="82" t="s">
        <v>291</v>
      </c>
      <c r="G342" s="59">
        <f>SUM(G343)</f>
        <v>468912.73</v>
      </c>
      <c r="H342" s="59">
        <f>+'[5]junio 2025'!H342+'[5]mayo 2025'!H342+[5]abril!H342+[5]marzo!H342+[5]febrero!H342+'[5]enero '!H342</f>
        <v>0</v>
      </c>
      <c r="I342" s="59">
        <f>SUM(I343)</f>
        <v>0</v>
      </c>
      <c r="J342" s="59">
        <f t="shared" si="11"/>
        <v>468912.73</v>
      </c>
      <c r="K342" s="60"/>
    </row>
    <row r="343" spans="1:11" ht="89.25" x14ac:dyDescent="0.25">
      <c r="A343" s="61">
        <v>2</v>
      </c>
      <c r="B343" s="62">
        <v>6</v>
      </c>
      <c r="C343" s="62">
        <v>1</v>
      </c>
      <c r="D343" s="62">
        <v>3</v>
      </c>
      <c r="E343" s="63" t="s">
        <v>35</v>
      </c>
      <c r="F343" s="81" t="s">
        <v>291</v>
      </c>
      <c r="G343" s="64">
        <v>468912.73</v>
      </c>
      <c r="H343" s="169">
        <f>+'[5]junio 2025'!H343+'[5]mayo 2025'!H343+[5]abril!H343+[5]marzo!H343+[5]febrero!H343+'[5]enero '!H343</f>
        <v>0</v>
      </c>
      <c r="I343" s="169"/>
      <c r="J343" s="64">
        <f t="shared" si="11"/>
        <v>468912.73</v>
      </c>
      <c r="K343" s="65">
        <f>J343/$J$25</f>
        <v>7.9297011784034799E-4</v>
      </c>
    </row>
    <row r="344" spans="1:11" ht="25.5" x14ac:dyDescent="0.25">
      <c r="A344" s="57">
        <v>2</v>
      </c>
      <c r="B344" s="58">
        <v>6</v>
      </c>
      <c r="C344" s="58">
        <v>1</v>
      </c>
      <c r="D344" s="58">
        <v>4</v>
      </c>
      <c r="E344" s="58"/>
      <c r="F344" s="82" t="s">
        <v>292</v>
      </c>
      <c r="G344" s="59">
        <f>SUM(G345)</f>
        <v>465682.25</v>
      </c>
      <c r="H344" s="59">
        <f>+'[5]junio 2025'!H344+'[5]mayo 2025'!H344+[5]abril!H344+[5]marzo!H344+[5]febrero!H344+'[5]enero '!H344</f>
        <v>0</v>
      </c>
      <c r="I344" s="59">
        <f>SUM(I345)</f>
        <v>0</v>
      </c>
      <c r="J344" s="59">
        <f t="shared" si="11"/>
        <v>465682.25</v>
      </c>
      <c r="K344" s="60"/>
    </row>
    <row r="345" spans="1:11" ht="25.5" x14ac:dyDescent="0.25">
      <c r="A345" s="61">
        <v>2</v>
      </c>
      <c r="B345" s="62">
        <v>6</v>
      </c>
      <c r="C345" s="62">
        <v>1</v>
      </c>
      <c r="D345" s="62">
        <v>4</v>
      </c>
      <c r="E345" s="63" t="s">
        <v>35</v>
      </c>
      <c r="F345" s="81" t="s">
        <v>292</v>
      </c>
      <c r="G345" s="64">
        <v>465682.25</v>
      </c>
      <c r="H345" s="169">
        <f>+'[5]junio 2025'!H345+'[5]mayo 2025'!H345+[5]abril!H345+[5]marzo!H345+[5]febrero!H345+'[5]enero '!H345</f>
        <v>0</v>
      </c>
      <c r="I345" s="169"/>
      <c r="J345" s="64">
        <f t="shared" si="11"/>
        <v>465682.25</v>
      </c>
      <c r="K345" s="65">
        <f>J345/$J$25</f>
        <v>7.8750710960365353E-4</v>
      </c>
    </row>
    <row r="346" spans="1:11" ht="76.5" x14ac:dyDescent="0.25">
      <c r="A346" s="57">
        <v>2</v>
      </c>
      <c r="B346" s="58">
        <v>6</v>
      </c>
      <c r="C346" s="58">
        <v>1</v>
      </c>
      <c r="D346" s="58">
        <v>9</v>
      </c>
      <c r="E346" s="58"/>
      <c r="F346" s="82" t="s">
        <v>293</v>
      </c>
      <c r="G346" s="59">
        <f>SUM(G347)</f>
        <v>188562.68</v>
      </c>
      <c r="H346" s="59">
        <f>+'[5]junio 2025'!H346+'[5]mayo 2025'!H346+[5]abril!H346+[5]marzo!H346+[5]febrero!H346+'[5]enero '!H346</f>
        <v>0</v>
      </c>
      <c r="I346" s="59">
        <f>SUM(I347)</f>
        <v>0</v>
      </c>
      <c r="J346" s="59">
        <f t="shared" si="11"/>
        <v>188562.68</v>
      </c>
      <c r="K346" s="60"/>
    </row>
    <row r="347" spans="1:11" ht="76.5" x14ac:dyDescent="0.25">
      <c r="A347" s="61">
        <v>2</v>
      </c>
      <c r="B347" s="62">
        <v>6</v>
      </c>
      <c r="C347" s="62">
        <v>1</v>
      </c>
      <c r="D347" s="62">
        <v>9</v>
      </c>
      <c r="E347" s="63" t="s">
        <v>35</v>
      </c>
      <c r="F347" s="81" t="s">
        <v>293</v>
      </c>
      <c r="G347" s="64">
        <v>188562.68</v>
      </c>
      <c r="H347" s="169">
        <f>+'[5]junio 2025'!H347+'[5]mayo 2025'!H347+[5]abril!H347+[5]marzo!H347+[5]febrero!H347+'[5]enero '!H347</f>
        <v>0</v>
      </c>
      <c r="I347" s="169"/>
      <c r="J347" s="64">
        <f t="shared" si="11"/>
        <v>188562.68</v>
      </c>
      <c r="K347" s="65">
        <f>J347/$J$25</f>
        <v>3.1887505075814816E-4</v>
      </c>
    </row>
    <row r="348" spans="1:11" x14ac:dyDescent="0.25">
      <c r="A348" s="87">
        <v>2</v>
      </c>
      <c r="B348" s="87">
        <v>6</v>
      </c>
      <c r="C348" s="87">
        <v>2</v>
      </c>
      <c r="D348" s="87"/>
      <c r="E348" s="87"/>
      <c r="F348" s="88" t="s">
        <v>294</v>
      </c>
      <c r="G348" s="56">
        <f>+G349+G351+G353+G355</f>
        <v>182926.74</v>
      </c>
      <c r="H348" s="56">
        <f>+'[5]junio 2025'!H348+'[5]mayo 2025'!H348+[5]abril!H348+[5]marzo!H348+[5]febrero!H348+'[5]enero '!H348</f>
        <v>1399834</v>
      </c>
      <c r="I348" s="56">
        <f>+I349+I351+I353+I355</f>
        <v>0</v>
      </c>
      <c r="J348" s="56">
        <f t="shared" si="11"/>
        <v>1582760.74</v>
      </c>
      <c r="K348" s="53"/>
    </row>
    <row r="349" spans="1:11" ht="51" x14ac:dyDescent="0.25">
      <c r="A349" s="72">
        <v>2</v>
      </c>
      <c r="B349" s="58">
        <v>6</v>
      </c>
      <c r="C349" s="58">
        <v>2</v>
      </c>
      <c r="D349" s="58">
        <v>1</v>
      </c>
      <c r="E349" s="77"/>
      <c r="F349" s="82" t="s">
        <v>295</v>
      </c>
      <c r="G349" s="59">
        <f>SUM(G350)</f>
        <v>47202.36</v>
      </c>
      <c r="H349" s="59">
        <f>+'[5]junio 2025'!H349+'[5]mayo 2025'!H349+[5]abril!H349+[5]marzo!H349+[5]febrero!H349+'[5]enero '!H349</f>
        <v>1399834</v>
      </c>
      <c r="I349" s="59">
        <f>SUM(I350)</f>
        <v>0</v>
      </c>
      <c r="J349" s="59">
        <f t="shared" ref="J349:J412" si="15">SUM(G349:I349)</f>
        <v>1447036.36</v>
      </c>
      <c r="K349" s="60"/>
    </row>
    <row r="350" spans="1:11" ht="51" x14ac:dyDescent="0.25">
      <c r="A350" s="74">
        <v>2</v>
      </c>
      <c r="B350" s="62">
        <v>6</v>
      </c>
      <c r="C350" s="62">
        <v>2</v>
      </c>
      <c r="D350" s="62">
        <v>1</v>
      </c>
      <c r="E350" s="63" t="s">
        <v>35</v>
      </c>
      <c r="F350" s="81" t="s">
        <v>295</v>
      </c>
      <c r="G350" s="64">
        <v>47202.36</v>
      </c>
      <c r="H350" s="169">
        <f>+'[5]junio 2025'!H350+'[5]mayo 2025'!H350+[5]abril!H350+[5]marzo!H350+[5]febrero!H350+'[5]enero '!H350</f>
        <v>1399834</v>
      </c>
      <c r="I350" s="169"/>
      <c r="J350" s="64">
        <f t="shared" si="15"/>
        <v>1447036.36</v>
      </c>
      <c r="K350" s="65">
        <f>J350/$J$25</f>
        <v>2.4470578841151707E-3</v>
      </c>
    </row>
    <row r="351" spans="1:11" ht="25.5" x14ac:dyDescent="0.25">
      <c r="A351" s="72">
        <v>2</v>
      </c>
      <c r="B351" s="58">
        <v>6</v>
      </c>
      <c r="C351" s="58">
        <v>2</v>
      </c>
      <c r="D351" s="58">
        <v>2</v>
      </c>
      <c r="E351" s="77"/>
      <c r="F351" s="82" t="s">
        <v>296</v>
      </c>
      <c r="G351" s="59">
        <f>SUM(G352)</f>
        <v>0</v>
      </c>
      <c r="H351" s="59">
        <f>+'[5]junio 2025'!H351+'[5]mayo 2025'!H351+[5]abril!H351+[5]marzo!H351+[5]febrero!H351+'[5]enero '!H351</f>
        <v>0</v>
      </c>
      <c r="I351" s="59">
        <f>SUM(I352)</f>
        <v>0</v>
      </c>
      <c r="J351" s="59">
        <f t="shared" si="15"/>
        <v>0</v>
      </c>
      <c r="K351" s="60"/>
    </row>
    <row r="352" spans="1:11" ht="25.5" x14ac:dyDescent="0.25">
      <c r="A352" s="74">
        <v>2</v>
      </c>
      <c r="B352" s="62">
        <v>6</v>
      </c>
      <c r="C352" s="62">
        <v>2</v>
      </c>
      <c r="D352" s="62">
        <v>2</v>
      </c>
      <c r="E352" s="63" t="s">
        <v>35</v>
      </c>
      <c r="F352" s="81" t="s">
        <v>296</v>
      </c>
      <c r="G352" s="64">
        <f>'[6]CUENTA T FONDO 100'!GN288</f>
        <v>0</v>
      </c>
      <c r="H352" s="169">
        <f>+'[5]junio 2025'!H352+'[5]mayo 2025'!H352+[5]abril!H352+[5]marzo!H352+[5]febrero!H352+'[5]enero '!H352</f>
        <v>0</v>
      </c>
      <c r="I352" s="169"/>
      <c r="J352" s="64">
        <f t="shared" si="15"/>
        <v>0</v>
      </c>
      <c r="K352" s="65">
        <f>J352/$J$25</f>
        <v>0</v>
      </c>
    </row>
    <row r="353" spans="1:11" ht="38.25" x14ac:dyDescent="0.25">
      <c r="A353" s="72">
        <v>2</v>
      </c>
      <c r="B353" s="58">
        <v>6</v>
      </c>
      <c r="C353" s="58">
        <v>2</v>
      </c>
      <c r="D353" s="58">
        <v>3</v>
      </c>
      <c r="E353" s="77"/>
      <c r="F353" s="82" t="s">
        <v>297</v>
      </c>
      <c r="G353" s="59">
        <f>SUM(G354)</f>
        <v>0</v>
      </c>
      <c r="H353" s="59">
        <f>+'[5]junio 2025'!H353+'[5]mayo 2025'!H353+[5]abril!H353+[5]marzo!H353+[5]febrero!H353+'[5]enero '!H353</f>
        <v>0</v>
      </c>
      <c r="I353" s="59">
        <f>SUM(I354)</f>
        <v>0</v>
      </c>
      <c r="J353" s="59">
        <f t="shared" si="15"/>
        <v>0</v>
      </c>
      <c r="K353" s="60"/>
    </row>
    <row r="354" spans="1:11" ht="38.25" x14ac:dyDescent="0.25">
      <c r="A354" s="74">
        <v>2</v>
      </c>
      <c r="B354" s="62">
        <v>6</v>
      </c>
      <c r="C354" s="62">
        <v>2</v>
      </c>
      <c r="D354" s="62">
        <v>3</v>
      </c>
      <c r="E354" s="63" t="s">
        <v>35</v>
      </c>
      <c r="F354" s="81" t="s">
        <v>297</v>
      </c>
      <c r="G354" s="64">
        <f>'[6]CUENTA T FONDO 100'!GO288</f>
        <v>0</v>
      </c>
      <c r="H354" s="169">
        <f>+'[5]junio 2025'!H354+'[5]mayo 2025'!H354+[5]abril!H354+[5]marzo!H354+[5]febrero!H354+'[5]enero '!H354</f>
        <v>0</v>
      </c>
      <c r="I354" s="169"/>
      <c r="J354" s="64">
        <f t="shared" si="15"/>
        <v>0</v>
      </c>
      <c r="K354" s="65">
        <f>J354/$J$25</f>
        <v>0</v>
      </c>
    </row>
    <row r="355" spans="1:11" ht="51" x14ac:dyDescent="0.25">
      <c r="A355" s="72">
        <v>2</v>
      </c>
      <c r="B355" s="58">
        <v>6</v>
      </c>
      <c r="C355" s="58">
        <v>2</v>
      </c>
      <c r="D355" s="58">
        <v>4</v>
      </c>
      <c r="E355" s="77"/>
      <c r="F355" s="82" t="s">
        <v>298</v>
      </c>
      <c r="G355" s="59">
        <f>SUM(G356)</f>
        <v>135724.38</v>
      </c>
      <c r="H355" s="59">
        <f>+'[5]junio 2025'!H355+'[5]mayo 2025'!H355+[5]abril!H355+[5]marzo!H355+[5]febrero!H355+'[5]enero '!H355</f>
        <v>0</v>
      </c>
      <c r="I355" s="59">
        <f>SUM(I356)</f>
        <v>0</v>
      </c>
      <c r="J355" s="59">
        <f t="shared" si="15"/>
        <v>135724.38</v>
      </c>
      <c r="K355" s="60"/>
    </row>
    <row r="356" spans="1:11" ht="51" x14ac:dyDescent="0.25">
      <c r="A356" s="74">
        <v>2</v>
      </c>
      <c r="B356" s="62">
        <v>6</v>
      </c>
      <c r="C356" s="62">
        <v>2</v>
      </c>
      <c r="D356" s="62">
        <v>4</v>
      </c>
      <c r="E356" s="63" t="s">
        <v>35</v>
      </c>
      <c r="F356" s="81" t="s">
        <v>298</v>
      </c>
      <c r="G356" s="64">
        <v>135724.38</v>
      </c>
      <c r="H356" s="169">
        <f>+'[5]junio 2025'!H356+'[5]mayo 2025'!H356+[5]abril!H356+[5]marzo!H356+[5]febrero!H356+'[5]enero '!H356</f>
        <v>0</v>
      </c>
      <c r="I356" s="169"/>
      <c r="J356" s="64">
        <f t="shared" si="15"/>
        <v>135724.38</v>
      </c>
      <c r="K356" s="65">
        <f>J356/$J$25</f>
        <v>2.2952112560989369E-4</v>
      </c>
    </row>
    <row r="357" spans="1:11" x14ac:dyDescent="0.25">
      <c r="A357" s="87">
        <v>2</v>
      </c>
      <c r="B357" s="87">
        <v>6</v>
      </c>
      <c r="C357" s="87">
        <v>3</v>
      </c>
      <c r="D357" s="87"/>
      <c r="E357" s="87"/>
      <c r="F357" s="88" t="s">
        <v>299</v>
      </c>
      <c r="G357" s="56">
        <f>+G358+G360+G362+G364</f>
        <v>22377004.159999996</v>
      </c>
      <c r="H357" s="56">
        <f>+'[5]junio 2025'!H357+'[5]mayo 2025'!H357+[5]abril!H357+[5]marzo!H357+[5]febrero!H357+'[5]enero '!H357</f>
        <v>6938626.9800000004</v>
      </c>
      <c r="I357" s="56">
        <f>+I358+I360+I362+I364</f>
        <v>0</v>
      </c>
      <c r="J357" s="56">
        <f t="shared" si="15"/>
        <v>29315631.139999997</v>
      </c>
      <c r="K357" s="53"/>
    </row>
    <row r="358" spans="1:11" ht="38.25" x14ac:dyDescent="0.25">
      <c r="A358" s="72">
        <v>2</v>
      </c>
      <c r="B358" s="58">
        <v>6</v>
      </c>
      <c r="C358" s="58">
        <v>3</v>
      </c>
      <c r="D358" s="58">
        <v>1</v>
      </c>
      <c r="E358" s="77"/>
      <c r="F358" s="82" t="s">
        <v>300</v>
      </c>
      <c r="G358" s="59">
        <f>SUM(G359)</f>
        <v>16823625.899999999</v>
      </c>
      <c r="H358" s="59">
        <f>+'[5]junio 2025'!H358+'[5]mayo 2025'!H358+[5]abril!H358+[5]marzo!H358+[5]febrero!H358+'[5]enero '!H358</f>
        <v>1300994.8399999999</v>
      </c>
      <c r="I358" s="59">
        <f>SUM(I359)</f>
        <v>0</v>
      </c>
      <c r="J358" s="59">
        <f t="shared" si="15"/>
        <v>18124620.739999998</v>
      </c>
      <c r="K358" s="60"/>
    </row>
    <row r="359" spans="1:11" ht="38.25" x14ac:dyDescent="0.25">
      <c r="A359" s="74">
        <v>2</v>
      </c>
      <c r="B359" s="62">
        <v>6</v>
      </c>
      <c r="C359" s="62">
        <v>3</v>
      </c>
      <c r="D359" s="62">
        <v>1</v>
      </c>
      <c r="E359" s="63" t="s">
        <v>35</v>
      </c>
      <c r="F359" s="81" t="s">
        <v>300</v>
      </c>
      <c r="G359" s="64">
        <v>16823625.899999999</v>
      </c>
      <c r="H359" s="169">
        <f>+'[5]junio 2025'!H359+'[5]mayo 2025'!H359+[5]abril!H359+[5]marzo!H359+[5]febrero!H359+'[5]enero '!H359</f>
        <v>1300994.8399999999</v>
      </c>
      <c r="I359" s="169"/>
      <c r="J359" s="64">
        <f t="shared" si="15"/>
        <v>18124620.739999998</v>
      </c>
      <c r="K359" s="65">
        <f>J359/$J$25</f>
        <v>3.0650229188722202E-2</v>
      </c>
    </row>
    <row r="360" spans="1:11" ht="38.25" x14ac:dyDescent="0.25">
      <c r="A360" s="72">
        <v>2</v>
      </c>
      <c r="B360" s="58">
        <v>6</v>
      </c>
      <c r="C360" s="58">
        <v>3</v>
      </c>
      <c r="D360" s="58">
        <v>2</v>
      </c>
      <c r="E360" s="77"/>
      <c r="F360" s="82" t="s">
        <v>301</v>
      </c>
      <c r="G360" s="59">
        <f>SUM(G361)</f>
        <v>4552113.26</v>
      </c>
      <c r="H360" s="59">
        <f>+'[5]junio 2025'!H360+'[5]mayo 2025'!H360+[5]abril!H360+[5]marzo!H360+[5]febrero!H360+'[5]enero '!H360</f>
        <v>3883972.19</v>
      </c>
      <c r="I360" s="59">
        <f>SUM(I361)</f>
        <v>0</v>
      </c>
      <c r="J360" s="59">
        <f t="shared" si="15"/>
        <v>8436085.4499999993</v>
      </c>
      <c r="K360" s="60"/>
    </row>
    <row r="361" spans="1:11" ht="38.25" x14ac:dyDescent="0.25">
      <c r="A361" s="74">
        <v>2</v>
      </c>
      <c r="B361" s="62">
        <v>6</v>
      </c>
      <c r="C361" s="62">
        <v>3</v>
      </c>
      <c r="D361" s="62">
        <v>2</v>
      </c>
      <c r="E361" s="63" t="s">
        <v>35</v>
      </c>
      <c r="F361" s="81" t="s">
        <v>301</v>
      </c>
      <c r="G361" s="64">
        <v>4552113.26</v>
      </c>
      <c r="H361" s="169">
        <f>+'[5]junio 2025'!H361+'[5]mayo 2025'!H361+[5]abril!H361+[5]marzo!H361+[5]febrero!H361+'[5]enero '!H361</f>
        <v>3883972.19</v>
      </c>
      <c r="I361" s="169"/>
      <c r="J361" s="64">
        <f t="shared" si="15"/>
        <v>8436085.4499999993</v>
      </c>
      <c r="K361" s="65">
        <f>J361/$J$25</f>
        <v>1.4266116582925236E-2</v>
      </c>
    </row>
    <row r="362" spans="1:11" ht="25.5" x14ac:dyDescent="0.25">
      <c r="A362" s="72">
        <v>2</v>
      </c>
      <c r="B362" s="58">
        <v>6</v>
      </c>
      <c r="C362" s="58">
        <v>3</v>
      </c>
      <c r="D362" s="58">
        <v>3</v>
      </c>
      <c r="E362" s="77"/>
      <c r="F362" s="82" t="s">
        <v>302</v>
      </c>
      <c r="G362" s="59">
        <f>SUM(G363)</f>
        <v>0</v>
      </c>
      <c r="H362" s="59">
        <f>+'[5]junio 2025'!H362+'[5]mayo 2025'!H362+[5]abril!H362+[5]marzo!H362+[5]febrero!H362+'[5]enero '!H362</f>
        <v>0</v>
      </c>
      <c r="I362" s="59">
        <f>SUM(I363)</f>
        <v>0</v>
      </c>
      <c r="J362" s="59">
        <f t="shared" si="15"/>
        <v>0</v>
      </c>
      <c r="K362" s="60"/>
    </row>
    <row r="363" spans="1:11" ht="25.5" x14ac:dyDescent="0.25">
      <c r="A363" s="74">
        <v>2</v>
      </c>
      <c r="B363" s="62">
        <v>6</v>
      </c>
      <c r="C363" s="62">
        <v>3</v>
      </c>
      <c r="D363" s="62">
        <v>3</v>
      </c>
      <c r="E363" s="63" t="s">
        <v>35</v>
      </c>
      <c r="F363" s="81" t="s">
        <v>302</v>
      </c>
      <c r="G363" s="64">
        <f>'[6]CUENTA T FONDO 100'!GS288</f>
        <v>0</v>
      </c>
      <c r="H363" s="169">
        <f>+'[5]junio 2025'!H363+'[5]mayo 2025'!H363+[5]abril!H363+[5]marzo!H363+[5]febrero!H363+'[5]enero '!H363</f>
        <v>0</v>
      </c>
      <c r="I363" s="169"/>
      <c r="J363" s="64">
        <f t="shared" si="15"/>
        <v>0</v>
      </c>
      <c r="K363" s="65">
        <f>J363/$J$25</f>
        <v>0</v>
      </c>
    </row>
    <row r="364" spans="1:11" ht="51" x14ac:dyDescent="0.25">
      <c r="A364" s="72">
        <v>2</v>
      </c>
      <c r="B364" s="58">
        <v>6</v>
      </c>
      <c r="C364" s="58">
        <v>3</v>
      </c>
      <c r="D364" s="58">
        <v>4</v>
      </c>
      <c r="E364" s="58"/>
      <c r="F364" s="82" t="s">
        <v>303</v>
      </c>
      <c r="G364" s="59">
        <f>+G365</f>
        <v>1001265</v>
      </c>
      <c r="H364" s="59">
        <f>+'[5]junio 2025'!H364+'[5]mayo 2025'!H364+[5]abril!H364+[5]marzo!H364+[5]febrero!H364+'[5]enero '!H364</f>
        <v>1753659.95</v>
      </c>
      <c r="I364" s="59">
        <f>+I365</f>
        <v>0</v>
      </c>
      <c r="J364" s="59">
        <f t="shared" si="15"/>
        <v>2754924.95</v>
      </c>
      <c r="K364" s="60"/>
    </row>
    <row r="365" spans="1:11" ht="51" x14ac:dyDescent="0.25">
      <c r="A365" s="74">
        <v>2</v>
      </c>
      <c r="B365" s="62">
        <v>6</v>
      </c>
      <c r="C365" s="62">
        <v>3</v>
      </c>
      <c r="D365" s="62">
        <v>4</v>
      </c>
      <c r="E365" s="63" t="s">
        <v>35</v>
      </c>
      <c r="F365" s="81" t="s">
        <v>303</v>
      </c>
      <c r="G365" s="64">
        <v>1001265</v>
      </c>
      <c r="H365" s="169">
        <f>+'[5]junio 2025'!H365+'[5]mayo 2025'!H365+[5]abril!H365+[5]marzo!H365+[5]febrero!H365+'[5]enero '!H365</f>
        <v>1753659.95</v>
      </c>
      <c r="I365" s="169"/>
      <c r="J365" s="64">
        <f t="shared" si="15"/>
        <v>2754924.95</v>
      </c>
      <c r="K365" s="65">
        <f>J365/$J$25</f>
        <v>4.6588054076561643E-3</v>
      </c>
    </row>
    <row r="366" spans="1:11" ht="63.75" x14ac:dyDescent="0.25">
      <c r="A366" s="54">
        <v>2</v>
      </c>
      <c r="B366" s="55">
        <v>6</v>
      </c>
      <c r="C366" s="55">
        <v>4</v>
      </c>
      <c r="D366" s="55"/>
      <c r="E366" s="78"/>
      <c r="F366" s="83" t="s">
        <v>304</v>
      </c>
      <c r="G366" s="56">
        <f>+G367+G369+G371+G373+G375+G377+G379+G381</f>
        <v>0</v>
      </c>
      <c r="H366" s="56">
        <f>+'[5]junio 2025'!H366+'[5]mayo 2025'!H366+[5]abril!H366+[5]marzo!H366+[5]febrero!H366+'[5]enero '!H366</f>
        <v>107609.37</v>
      </c>
      <c r="I366" s="56">
        <f>+I367+I369+I371+I373+I375+I377+I379+I381</f>
        <v>0</v>
      </c>
      <c r="J366" s="56">
        <f t="shared" si="15"/>
        <v>107609.37</v>
      </c>
      <c r="K366" s="53"/>
    </row>
    <row r="367" spans="1:11" ht="25.5" x14ac:dyDescent="0.25">
      <c r="A367" s="72">
        <v>2</v>
      </c>
      <c r="B367" s="58">
        <v>6</v>
      </c>
      <c r="C367" s="58">
        <v>4</v>
      </c>
      <c r="D367" s="58">
        <v>1</v>
      </c>
      <c r="E367" s="58"/>
      <c r="F367" s="82" t="s">
        <v>305</v>
      </c>
      <c r="G367" s="59">
        <f>SUM(G368)</f>
        <v>0</v>
      </c>
      <c r="H367" s="59">
        <f>+'[5]junio 2025'!H367+'[5]mayo 2025'!H367+[5]abril!H367+[5]marzo!H367+[5]febrero!H367+'[5]enero '!H367</f>
        <v>0</v>
      </c>
      <c r="I367" s="59">
        <f>SUM(I368)</f>
        <v>0</v>
      </c>
      <c r="J367" s="59">
        <f t="shared" si="15"/>
        <v>0</v>
      </c>
      <c r="K367" s="60"/>
    </row>
    <row r="368" spans="1:11" ht="25.5" x14ac:dyDescent="0.25">
      <c r="A368" s="74">
        <v>2</v>
      </c>
      <c r="B368" s="62">
        <v>6</v>
      </c>
      <c r="C368" s="62">
        <v>4</v>
      </c>
      <c r="D368" s="62">
        <v>1</v>
      </c>
      <c r="E368" s="63" t="s">
        <v>35</v>
      </c>
      <c r="F368" s="81" t="s">
        <v>305</v>
      </c>
      <c r="G368" s="64">
        <f>'[6]CUENTA T FONDO 100'!GU288</f>
        <v>0</v>
      </c>
      <c r="H368" s="169">
        <f>+'[5]junio 2025'!H368+'[5]mayo 2025'!H368+[5]abril!H368+[5]marzo!H368+[5]febrero!H368+'[5]enero '!H368</f>
        <v>0</v>
      </c>
      <c r="I368" s="169"/>
      <c r="J368" s="64">
        <f t="shared" si="15"/>
        <v>0</v>
      </c>
      <c r="K368" s="65">
        <f>J368/$J$25</f>
        <v>0</v>
      </c>
    </row>
    <row r="369" spans="1:11" ht="25.5" x14ac:dyDescent="0.25">
      <c r="A369" s="72">
        <v>2</v>
      </c>
      <c r="B369" s="58">
        <v>6</v>
      </c>
      <c r="C369" s="58">
        <v>4</v>
      </c>
      <c r="D369" s="58">
        <v>2</v>
      </c>
      <c r="E369" s="58"/>
      <c r="F369" s="82" t="s">
        <v>306</v>
      </c>
      <c r="G369" s="59">
        <f>SUM(G370)</f>
        <v>0</v>
      </c>
      <c r="H369" s="59">
        <f>+'[5]junio 2025'!H369+'[5]mayo 2025'!H369+[5]abril!H369+[5]marzo!H369+[5]febrero!H369+'[5]enero '!H369</f>
        <v>0</v>
      </c>
      <c r="I369" s="59">
        <f>SUM(I370)</f>
        <v>0</v>
      </c>
      <c r="J369" s="59">
        <f t="shared" si="15"/>
        <v>0</v>
      </c>
      <c r="K369" s="60"/>
    </row>
    <row r="370" spans="1:11" ht="25.5" x14ac:dyDescent="0.25">
      <c r="A370" s="74">
        <v>2</v>
      </c>
      <c r="B370" s="62">
        <v>6</v>
      </c>
      <c r="C370" s="62">
        <v>4</v>
      </c>
      <c r="D370" s="62">
        <v>2</v>
      </c>
      <c r="E370" s="63" t="s">
        <v>35</v>
      </c>
      <c r="F370" s="81" t="s">
        <v>306</v>
      </c>
      <c r="G370" s="64">
        <f>'[6]CUENTA T FONDO 100'!GV288</f>
        <v>0</v>
      </c>
      <c r="H370" s="169">
        <f>+'[5]junio 2025'!H370+'[5]mayo 2025'!H370+[5]abril!H370+[5]marzo!H370+[5]febrero!H370+'[5]enero '!H370</f>
        <v>0</v>
      </c>
      <c r="I370" s="169"/>
      <c r="J370" s="64">
        <f t="shared" si="15"/>
        <v>0</v>
      </c>
      <c r="K370" s="65">
        <f>J370/$J$25</f>
        <v>0</v>
      </c>
    </row>
    <row r="371" spans="1:11" ht="25.5" x14ac:dyDescent="0.25">
      <c r="A371" s="72">
        <v>2</v>
      </c>
      <c r="B371" s="58">
        <v>6</v>
      </c>
      <c r="C371" s="58">
        <v>4</v>
      </c>
      <c r="D371" s="58">
        <v>3</v>
      </c>
      <c r="E371" s="58"/>
      <c r="F371" s="82" t="s">
        <v>307</v>
      </c>
      <c r="G371" s="59">
        <f>SUM(G372)</f>
        <v>0</v>
      </c>
      <c r="H371" s="59">
        <f>+'[5]junio 2025'!H371+'[5]mayo 2025'!H371+[5]abril!H371+[5]marzo!H371+[5]febrero!H371+'[5]enero '!H371</f>
        <v>0</v>
      </c>
      <c r="I371" s="59">
        <f>SUM(I372)</f>
        <v>0</v>
      </c>
      <c r="J371" s="59">
        <f t="shared" si="15"/>
        <v>0</v>
      </c>
      <c r="K371" s="60"/>
    </row>
    <row r="372" spans="1:11" ht="25.5" x14ac:dyDescent="0.25">
      <c r="A372" s="74">
        <v>2</v>
      </c>
      <c r="B372" s="62">
        <v>6</v>
      </c>
      <c r="C372" s="62">
        <v>4</v>
      </c>
      <c r="D372" s="62">
        <v>3</v>
      </c>
      <c r="E372" s="63" t="s">
        <v>35</v>
      </c>
      <c r="F372" s="81" t="s">
        <v>307</v>
      </c>
      <c r="G372" s="64">
        <f>'[6]CUENTA T FONDO 100'!GW288</f>
        <v>0</v>
      </c>
      <c r="H372" s="169">
        <f>+'[5]junio 2025'!H372+'[5]mayo 2025'!H372+[5]abril!H372+[5]marzo!H372+[5]febrero!H372+'[5]enero '!H372</f>
        <v>0</v>
      </c>
      <c r="I372" s="169"/>
      <c r="J372" s="64">
        <f t="shared" si="15"/>
        <v>0</v>
      </c>
      <c r="K372" s="65">
        <f>J372/$J$25</f>
        <v>0</v>
      </c>
    </row>
    <row r="373" spans="1:11" ht="25.5" x14ac:dyDescent="0.25">
      <c r="A373" s="72">
        <v>2</v>
      </c>
      <c r="B373" s="58">
        <v>6</v>
      </c>
      <c r="C373" s="58">
        <v>4</v>
      </c>
      <c r="D373" s="58">
        <v>4</v>
      </c>
      <c r="E373" s="58"/>
      <c r="F373" s="82" t="s">
        <v>308</v>
      </c>
      <c r="G373" s="59">
        <f>SUM(G374)</f>
        <v>0</v>
      </c>
      <c r="H373" s="59">
        <f>+'[5]junio 2025'!H373+'[5]mayo 2025'!H373+[5]abril!H373+[5]marzo!H373+[5]febrero!H373+'[5]enero '!H373</f>
        <v>0</v>
      </c>
      <c r="I373" s="59">
        <f>SUM(I374)</f>
        <v>0</v>
      </c>
      <c r="J373" s="59">
        <f t="shared" si="15"/>
        <v>0</v>
      </c>
      <c r="K373" s="60"/>
    </row>
    <row r="374" spans="1:11" ht="25.5" x14ac:dyDescent="0.25">
      <c r="A374" s="74">
        <v>2</v>
      </c>
      <c r="B374" s="62">
        <v>6</v>
      </c>
      <c r="C374" s="62">
        <v>4</v>
      </c>
      <c r="D374" s="62">
        <v>4</v>
      </c>
      <c r="E374" s="63" t="s">
        <v>35</v>
      </c>
      <c r="F374" s="81" t="s">
        <v>308</v>
      </c>
      <c r="G374" s="64">
        <f>'[6]CUENTA T FONDO 100'!GX288</f>
        <v>0</v>
      </c>
      <c r="H374" s="169">
        <f>+'[5]junio 2025'!H374+'[5]mayo 2025'!H374+[5]abril!H374+[5]marzo!H374+[5]febrero!H374+'[5]enero '!H374</f>
        <v>0</v>
      </c>
      <c r="I374" s="169"/>
      <c r="J374" s="64">
        <f t="shared" si="15"/>
        <v>0</v>
      </c>
      <c r="K374" s="65">
        <f>J374/$J$25</f>
        <v>0</v>
      </c>
    </row>
    <row r="375" spans="1:11" ht="25.5" x14ac:dyDescent="0.25">
      <c r="A375" s="72">
        <v>2</v>
      </c>
      <c r="B375" s="58">
        <v>6</v>
      </c>
      <c r="C375" s="58">
        <v>4</v>
      </c>
      <c r="D375" s="58">
        <v>5</v>
      </c>
      <c r="E375" s="58"/>
      <c r="F375" s="82" t="s">
        <v>309</v>
      </c>
      <c r="G375" s="59">
        <f>SUM(G376)</f>
        <v>0</v>
      </c>
      <c r="H375" s="59">
        <f>+'[5]junio 2025'!H375+'[5]mayo 2025'!H375+[5]abril!H375+[5]marzo!H375+[5]febrero!H375+'[5]enero '!H375</f>
        <v>0</v>
      </c>
      <c r="I375" s="59">
        <f>SUM(I376)</f>
        <v>0</v>
      </c>
      <c r="J375" s="59">
        <f t="shared" si="15"/>
        <v>0</v>
      </c>
      <c r="K375" s="60"/>
    </row>
    <row r="376" spans="1:11" ht="25.5" x14ac:dyDescent="0.25">
      <c r="A376" s="74">
        <v>2</v>
      </c>
      <c r="B376" s="62">
        <v>6</v>
      </c>
      <c r="C376" s="62">
        <v>4</v>
      </c>
      <c r="D376" s="62">
        <v>5</v>
      </c>
      <c r="E376" s="63" t="s">
        <v>35</v>
      </c>
      <c r="F376" s="81" t="s">
        <v>309</v>
      </c>
      <c r="G376" s="64">
        <f>'[6]CUENTA T FONDO 100'!GY288</f>
        <v>0</v>
      </c>
      <c r="H376" s="169">
        <f>+'[5]junio 2025'!H376+'[5]mayo 2025'!H376+[5]abril!H376+[5]marzo!H376+[5]febrero!H376+'[5]enero '!H376</f>
        <v>0</v>
      </c>
      <c r="I376" s="169"/>
      <c r="J376" s="64">
        <f t="shared" si="15"/>
        <v>0</v>
      </c>
      <c r="K376" s="65">
        <f>J376/$J$25</f>
        <v>0</v>
      </c>
    </row>
    <row r="377" spans="1:11" ht="25.5" x14ac:dyDescent="0.25">
      <c r="A377" s="72">
        <v>2</v>
      </c>
      <c r="B377" s="58">
        <v>6</v>
      </c>
      <c r="C377" s="58">
        <v>4</v>
      </c>
      <c r="D377" s="58">
        <v>6</v>
      </c>
      <c r="E377" s="58"/>
      <c r="F377" s="82" t="s">
        <v>310</v>
      </c>
      <c r="G377" s="59">
        <f>SUM(G378)</f>
        <v>0</v>
      </c>
      <c r="H377" s="59">
        <f>+'[5]junio 2025'!H377+'[5]mayo 2025'!H377+[5]abril!H377+[5]marzo!H377+[5]febrero!H377+'[5]enero '!H377</f>
        <v>107609.37</v>
      </c>
      <c r="I377" s="59">
        <f>SUM(I378)</f>
        <v>0</v>
      </c>
      <c r="J377" s="59">
        <f t="shared" si="15"/>
        <v>107609.37</v>
      </c>
      <c r="K377" s="60"/>
    </row>
    <row r="378" spans="1:11" ht="25.5" x14ac:dyDescent="0.25">
      <c r="A378" s="74">
        <v>2</v>
      </c>
      <c r="B378" s="62">
        <v>6</v>
      </c>
      <c r="C378" s="62">
        <v>4</v>
      </c>
      <c r="D378" s="62">
        <v>6</v>
      </c>
      <c r="E378" s="63" t="s">
        <v>35</v>
      </c>
      <c r="F378" s="81" t="s">
        <v>310</v>
      </c>
      <c r="G378" s="64">
        <f>'[6]CUENTA T FONDO 100'!GZ288</f>
        <v>0</v>
      </c>
      <c r="H378" s="169">
        <f>+'[5]junio 2025'!H378+'[5]mayo 2025'!H378+[5]abril!H378+[5]marzo!H378+[5]febrero!H378+'[5]enero '!H378</f>
        <v>107609.37</v>
      </c>
      <c r="I378" s="169"/>
      <c r="J378" s="64">
        <f t="shared" si="15"/>
        <v>107609.37</v>
      </c>
      <c r="K378" s="65">
        <f>J378/$J$25</f>
        <v>1.8197632384521872E-4</v>
      </c>
    </row>
    <row r="379" spans="1:11" ht="25.5" x14ac:dyDescent="0.25">
      <c r="A379" s="72">
        <v>2</v>
      </c>
      <c r="B379" s="58">
        <v>6</v>
      </c>
      <c r="C379" s="58">
        <v>4</v>
      </c>
      <c r="D379" s="58">
        <v>7</v>
      </c>
      <c r="E379" s="58"/>
      <c r="F379" s="82" t="s">
        <v>311</v>
      </c>
      <c r="G379" s="59">
        <f>SUM(G380)</f>
        <v>0</v>
      </c>
      <c r="H379" s="59">
        <f>+'[5]junio 2025'!H379+'[5]mayo 2025'!H379+[5]abril!H379+[5]marzo!H379+[5]febrero!H379+'[5]enero '!H379</f>
        <v>0</v>
      </c>
      <c r="I379" s="59">
        <f>SUM(I380)</f>
        <v>0</v>
      </c>
      <c r="J379" s="59">
        <f t="shared" si="15"/>
        <v>0</v>
      </c>
      <c r="K379" s="60"/>
    </row>
    <row r="380" spans="1:11" ht="25.5" x14ac:dyDescent="0.25">
      <c r="A380" s="74">
        <v>2</v>
      </c>
      <c r="B380" s="62">
        <v>6</v>
      </c>
      <c r="C380" s="62">
        <v>4</v>
      </c>
      <c r="D380" s="62">
        <v>7</v>
      </c>
      <c r="E380" s="63" t="s">
        <v>35</v>
      </c>
      <c r="F380" s="81" t="s">
        <v>311</v>
      </c>
      <c r="G380" s="64">
        <f>'[6]CUENTA T FONDO 100'!HA288</f>
        <v>0</v>
      </c>
      <c r="H380" s="169">
        <f>+'[5]junio 2025'!H380+'[5]mayo 2025'!H380+[5]abril!H380+[5]marzo!H380+[5]febrero!H380+'[5]enero '!H380</f>
        <v>0</v>
      </c>
      <c r="I380" s="169"/>
      <c r="J380" s="64">
        <f t="shared" si="15"/>
        <v>0</v>
      </c>
      <c r="K380" s="65">
        <f>J380/$J$25</f>
        <v>0</v>
      </c>
    </row>
    <row r="381" spans="1:11" ht="38.25" x14ac:dyDescent="0.25">
      <c r="A381" s="72">
        <v>2</v>
      </c>
      <c r="B381" s="58">
        <v>6</v>
      </c>
      <c r="C381" s="58">
        <v>4</v>
      </c>
      <c r="D381" s="58">
        <v>8</v>
      </c>
      <c r="E381" s="58"/>
      <c r="F381" s="82" t="s">
        <v>312</v>
      </c>
      <c r="G381" s="59">
        <f>SUM(G382)</f>
        <v>0</v>
      </c>
      <c r="H381" s="59">
        <f>+'[5]junio 2025'!H381+'[5]mayo 2025'!H381+[5]abril!H381+[5]marzo!H381+[5]febrero!H381+'[5]enero '!H381</f>
        <v>0</v>
      </c>
      <c r="I381" s="59">
        <f>SUM(I382)</f>
        <v>0</v>
      </c>
      <c r="J381" s="59">
        <f t="shared" si="15"/>
        <v>0</v>
      </c>
      <c r="K381" s="60"/>
    </row>
    <row r="382" spans="1:11" ht="38.25" x14ac:dyDescent="0.25">
      <c r="A382" s="74">
        <v>2</v>
      </c>
      <c r="B382" s="62">
        <v>6</v>
      </c>
      <c r="C382" s="62">
        <v>4</v>
      </c>
      <c r="D382" s="62">
        <v>8</v>
      </c>
      <c r="E382" s="63" t="s">
        <v>35</v>
      </c>
      <c r="F382" s="81" t="s">
        <v>312</v>
      </c>
      <c r="G382" s="64">
        <f>'[6]CUENTA T FONDO 100'!HB288</f>
        <v>0</v>
      </c>
      <c r="H382" s="169">
        <f>+'[5]junio 2025'!H382+'[5]mayo 2025'!H382+[5]abril!H382+[5]marzo!H382+[5]febrero!H382+'[5]enero '!H382</f>
        <v>0</v>
      </c>
      <c r="I382" s="169"/>
      <c r="J382" s="64">
        <f t="shared" si="15"/>
        <v>0</v>
      </c>
      <c r="K382" s="65">
        <f>J382/$J$25</f>
        <v>0</v>
      </c>
    </row>
    <row r="383" spans="1:11" ht="63.75" x14ac:dyDescent="0.25">
      <c r="A383" s="54">
        <v>2</v>
      </c>
      <c r="B383" s="55">
        <v>6</v>
      </c>
      <c r="C383" s="55">
        <v>5</v>
      </c>
      <c r="D383" s="55"/>
      <c r="E383" s="78"/>
      <c r="F383" s="83" t="s">
        <v>313</v>
      </c>
      <c r="G383" s="56">
        <f>+G384+G386+G388+G390+G392+G394+G396+G398</f>
        <v>4525634.2700000005</v>
      </c>
      <c r="H383" s="56">
        <f>+'[5]junio 2025'!H383+'[5]mayo 2025'!H383+[5]abril!H383+[5]marzo!H383+[5]febrero!H383+'[5]enero '!H383</f>
        <v>2005410</v>
      </c>
      <c r="I383" s="56">
        <f>+I384+I386+I388+I390+I392+I394+I396+I398</f>
        <v>0</v>
      </c>
      <c r="J383" s="56">
        <f t="shared" si="15"/>
        <v>6531044.2700000005</v>
      </c>
      <c r="K383" s="53"/>
    </row>
    <row r="384" spans="1:11" ht="51" x14ac:dyDescent="0.25">
      <c r="A384" s="57">
        <v>2</v>
      </c>
      <c r="B384" s="58">
        <v>6</v>
      </c>
      <c r="C384" s="58">
        <v>5</v>
      </c>
      <c r="D384" s="58">
        <v>1</v>
      </c>
      <c r="E384" s="58"/>
      <c r="F384" s="82" t="s">
        <v>314</v>
      </c>
      <c r="G384" s="59">
        <f>SUM(G385)</f>
        <v>0</v>
      </c>
      <c r="H384" s="59">
        <f>+'[5]junio 2025'!H384+'[5]mayo 2025'!H384+[5]abril!H384+[5]marzo!H384+[5]febrero!H384+'[5]enero '!H384</f>
        <v>0</v>
      </c>
      <c r="I384" s="59">
        <f>SUM(I385)</f>
        <v>0</v>
      </c>
      <c r="J384" s="59">
        <f t="shared" si="15"/>
        <v>0</v>
      </c>
      <c r="K384" s="60"/>
    </row>
    <row r="385" spans="1:11" ht="51" x14ac:dyDescent="0.25">
      <c r="A385" s="61">
        <v>2</v>
      </c>
      <c r="B385" s="62">
        <v>6</v>
      </c>
      <c r="C385" s="62">
        <v>5</v>
      </c>
      <c r="D385" s="62">
        <v>1</v>
      </c>
      <c r="E385" s="63" t="s">
        <v>35</v>
      </c>
      <c r="F385" s="81" t="s">
        <v>314</v>
      </c>
      <c r="G385" s="64">
        <f>'[6]CUENTA T FONDO 100'!HC288</f>
        <v>0</v>
      </c>
      <c r="H385" s="169">
        <f>+'[5]junio 2025'!H385+'[5]mayo 2025'!H385+[5]abril!H385+[5]marzo!H385+[5]febrero!H385+'[5]enero '!H385</f>
        <v>0</v>
      </c>
      <c r="I385" s="169"/>
      <c r="J385" s="64">
        <f t="shared" si="15"/>
        <v>0</v>
      </c>
      <c r="K385" s="65">
        <f>J385/$J$25</f>
        <v>0</v>
      </c>
    </row>
    <row r="386" spans="1:11" ht="38.25" x14ac:dyDescent="0.25">
      <c r="A386" s="57">
        <v>2</v>
      </c>
      <c r="B386" s="58">
        <v>6</v>
      </c>
      <c r="C386" s="58">
        <v>5</v>
      </c>
      <c r="D386" s="58">
        <v>2</v>
      </c>
      <c r="E386" s="58"/>
      <c r="F386" s="82" t="s">
        <v>315</v>
      </c>
      <c r="G386" s="59">
        <f>SUM(G387)</f>
        <v>74663.520000000004</v>
      </c>
      <c r="H386" s="59">
        <f>+'[5]junio 2025'!H386+'[5]mayo 2025'!H386+[5]abril!H386+[5]marzo!H386+[5]febrero!H386+'[5]enero '!H386</f>
        <v>1770000</v>
      </c>
      <c r="I386" s="59">
        <f>SUM(I387)</f>
        <v>0</v>
      </c>
      <c r="J386" s="59">
        <f t="shared" si="15"/>
        <v>1844663.52</v>
      </c>
      <c r="K386" s="60"/>
    </row>
    <row r="387" spans="1:11" ht="38.25" x14ac:dyDescent="0.25">
      <c r="A387" s="61">
        <v>2</v>
      </c>
      <c r="B387" s="62">
        <v>6</v>
      </c>
      <c r="C387" s="62">
        <v>5</v>
      </c>
      <c r="D387" s="62">
        <v>2</v>
      </c>
      <c r="E387" s="63" t="s">
        <v>35</v>
      </c>
      <c r="F387" s="81" t="s">
        <v>315</v>
      </c>
      <c r="G387" s="64">
        <f>15963.52+58700</f>
        <v>74663.520000000004</v>
      </c>
      <c r="H387" s="169">
        <f>+'[5]junio 2025'!H387+'[5]mayo 2025'!H387+[5]abril!H387+[5]marzo!H387+[5]febrero!H387+'[5]enero '!H387</f>
        <v>1770000</v>
      </c>
      <c r="I387" s="169"/>
      <c r="J387" s="64">
        <f t="shared" si="15"/>
        <v>1844663.52</v>
      </c>
      <c r="K387" s="65">
        <f>J387/$J$25</f>
        <v>3.1194782210971135E-3</v>
      </c>
    </row>
    <row r="388" spans="1:11" ht="38.25" x14ac:dyDescent="0.25">
      <c r="A388" s="57">
        <v>2</v>
      </c>
      <c r="B388" s="58">
        <v>6</v>
      </c>
      <c r="C388" s="58">
        <v>5</v>
      </c>
      <c r="D388" s="58">
        <v>3</v>
      </c>
      <c r="E388" s="58"/>
      <c r="F388" s="82" t="s">
        <v>316</v>
      </c>
      <c r="G388" s="59">
        <f>SUM(G389)</f>
        <v>0</v>
      </c>
      <c r="H388" s="59">
        <f>+'[5]junio 2025'!H388+'[5]mayo 2025'!H388+[5]abril!H388+[5]marzo!H388+[5]febrero!H388+'[5]enero '!H388</f>
        <v>0</v>
      </c>
      <c r="I388" s="59">
        <f>SUM(I389)</f>
        <v>0</v>
      </c>
      <c r="J388" s="59">
        <f t="shared" si="15"/>
        <v>0</v>
      </c>
      <c r="K388" s="60"/>
    </row>
    <row r="389" spans="1:11" ht="38.25" x14ac:dyDescent="0.25">
      <c r="A389" s="61">
        <v>2</v>
      </c>
      <c r="B389" s="62">
        <v>6</v>
      </c>
      <c r="C389" s="62">
        <v>5</v>
      </c>
      <c r="D389" s="62">
        <v>3</v>
      </c>
      <c r="E389" s="63" t="s">
        <v>35</v>
      </c>
      <c r="F389" s="81" t="s">
        <v>316</v>
      </c>
      <c r="G389" s="64">
        <f>'[6]CUENTA T FONDO 100'!HE288</f>
        <v>0</v>
      </c>
      <c r="H389" s="169">
        <f>+'[5]junio 2025'!H389+'[5]mayo 2025'!H389+[5]abril!H389+[5]marzo!H389+[5]febrero!H389+'[5]enero '!H389</f>
        <v>0</v>
      </c>
      <c r="I389" s="169"/>
      <c r="J389" s="64">
        <f t="shared" si="15"/>
        <v>0</v>
      </c>
      <c r="K389" s="65">
        <f>J389/$J$25</f>
        <v>0</v>
      </c>
    </row>
    <row r="390" spans="1:11" ht="51" x14ac:dyDescent="0.25">
      <c r="A390" s="57">
        <v>2</v>
      </c>
      <c r="B390" s="58">
        <v>6</v>
      </c>
      <c r="C390" s="58">
        <v>5</v>
      </c>
      <c r="D390" s="58">
        <v>4</v>
      </c>
      <c r="E390" s="58"/>
      <c r="F390" s="82" t="s">
        <v>317</v>
      </c>
      <c r="G390" s="59">
        <f>SUM(G391)</f>
        <v>3547837.04</v>
      </c>
      <c r="H390" s="59">
        <f>+'[5]junio 2025'!H390+'[5]mayo 2025'!H390+[5]abril!H390+[5]marzo!H390+[5]febrero!H390+'[5]enero '!H390</f>
        <v>192930</v>
      </c>
      <c r="I390" s="59">
        <f>SUM(I391)</f>
        <v>0</v>
      </c>
      <c r="J390" s="59">
        <f t="shared" si="15"/>
        <v>3740767.04</v>
      </c>
      <c r="K390" s="60"/>
    </row>
    <row r="391" spans="1:11" ht="51" x14ac:dyDescent="0.25">
      <c r="A391" s="61">
        <v>2</v>
      </c>
      <c r="B391" s="62">
        <v>6</v>
      </c>
      <c r="C391" s="62">
        <v>5</v>
      </c>
      <c r="D391" s="62">
        <v>4</v>
      </c>
      <c r="E391" s="63" t="s">
        <v>35</v>
      </c>
      <c r="F391" s="81" t="s">
        <v>317</v>
      </c>
      <c r="G391" s="64">
        <v>3547837.04</v>
      </c>
      <c r="H391" s="169">
        <f>+'[5]junio 2025'!H391+'[5]mayo 2025'!H391+[5]abril!H391+[5]marzo!H391+[5]febrero!H391+'[5]enero '!H391</f>
        <v>192930</v>
      </c>
      <c r="I391" s="169"/>
      <c r="J391" s="64">
        <f t="shared" si="15"/>
        <v>3740767.04</v>
      </c>
      <c r="K391" s="65">
        <f>J391/$J$25</f>
        <v>6.325945726664511E-3</v>
      </c>
    </row>
    <row r="392" spans="1:11" ht="89.25" x14ac:dyDescent="0.25">
      <c r="A392" s="57">
        <v>2</v>
      </c>
      <c r="B392" s="58">
        <v>6</v>
      </c>
      <c r="C392" s="58">
        <v>5</v>
      </c>
      <c r="D392" s="58">
        <v>5</v>
      </c>
      <c r="E392" s="58"/>
      <c r="F392" s="82" t="s">
        <v>318</v>
      </c>
      <c r="G392" s="59">
        <f>SUM(G393)</f>
        <v>0</v>
      </c>
      <c r="H392" s="59">
        <f>+'[5]junio 2025'!H392+'[5]mayo 2025'!H392+[5]abril!H392+[5]marzo!H392+[5]febrero!H392+'[5]enero '!H392</f>
        <v>0</v>
      </c>
      <c r="I392" s="59">
        <f>SUM(I393)</f>
        <v>0</v>
      </c>
      <c r="J392" s="59">
        <f t="shared" si="15"/>
        <v>0</v>
      </c>
      <c r="K392" s="60"/>
    </row>
    <row r="393" spans="1:11" ht="89.25" x14ac:dyDescent="0.25">
      <c r="A393" s="61">
        <v>2</v>
      </c>
      <c r="B393" s="62">
        <v>6</v>
      </c>
      <c r="C393" s="62">
        <v>5</v>
      </c>
      <c r="D393" s="62">
        <v>5</v>
      </c>
      <c r="E393" s="63" t="s">
        <v>35</v>
      </c>
      <c r="F393" s="81" t="s">
        <v>318</v>
      </c>
      <c r="G393" s="64">
        <f>'[6]CUENTA T FONDO 100'!HG288</f>
        <v>0</v>
      </c>
      <c r="H393" s="169">
        <f>+'[5]junio 2025'!H393+'[5]mayo 2025'!H393+[5]abril!H393+[5]marzo!H393+[5]febrero!H393+'[5]enero '!H393</f>
        <v>0</v>
      </c>
      <c r="I393" s="169"/>
      <c r="J393" s="64">
        <f t="shared" si="15"/>
        <v>0</v>
      </c>
      <c r="K393" s="65">
        <f>J393/$J$25</f>
        <v>0</v>
      </c>
    </row>
    <row r="394" spans="1:11" ht="51" x14ac:dyDescent="0.25">
      <c r="A394" s="57">
        <v>2</v>
      </c>
      <c r="B394" s="58">
        <v>6</v>
      </c>
      <c r="C394" s="58">
        <v>5</v>
      </c>
      <c r="D394" s="58">
        <v>6</v>
      </c>
      <c r="E394" s="58"/>
      <c r="F394" s="82" t="s">
        <v>319</v>
      </c>
      <c r="G394" s="59">
        <f>SUM(G395)</f>
        <v>416199.97</v>
      </c>
      <c r="H394" s="59">
        <f>+'[5]junio 2025'!H394+'[5]mayo 2025'!H394+[5]abril!H394+[5]marzo!H394+[5]febrero!H394+'[5]enero '!H394</f>
        <v>42480</v>
      </c>
      <c r="I394" s="59">
        <f>SUM(I395)</f>
        <v>0</v>
      </c>
      <c r="J394" s="59">
        <f t="shared" si="15"/>
        <v>458679.97</v>
      </c>
      <c r="K394" s="60"/>
    </row>
    <row r="395" spans="1:11" ht="51" x14ac:dyDescent="0.25">
      <c r="A395" s="61">
        <v>2</v>
      </c>
      <c r="B395" s="62">
        <v>6</v>
      </c>
      <c r="C395" s="62">
        <v>5</v>
      </c>
      <c r="D395" s="62">
        <v>6</v>
      </c>
      <c r="E395" s="63" t="s">
        <v>35</v>
      </c>
      <c r="F395" s="81" t="s">
        <v>319</v>
      </c>
      <c r="G395" s="64">
        <v>416199.97</v>
      </c>
      <c r="H395" s="169">
        <f>+'[5]junio 2025'!H395+'[5]mayo 2025'!H395+[5]abril!H395+[5]marzo!H395+[5]febrero!H395+'[5]enero '!H395</f>
        <v>42480</v>
      </c>
      <c r="I395" s="169"/>
      <c r="J395" s="64">
        <f t="shared" si="15"/>
        <v>458679.97</v>
      </c>
      <c r="K395" s="65">
        <f>J395/$J$25</f>
        <v>7.7566567634431089E-4</v>
      </c>
    </row>
    <row r="396" spans="1:11" ht="38.25" x14ac:dyDescent="0.25">
      <c r="A396" s="57">
        <v>2</v>
      </c>
      <c r="B396" s="58">
        <v>6</v>
      </c>
      <c r="C396" s="58">
        <v>5</v>
      </c>
      <c r="D396" s="58">
        <v>7</v>
      </c>
      <c r="E396" s="58"/>
      <c r="F396" s="82" t="s">
        <v>320</v>
      </c>
      <c r="G396" s="59">
        <f>SUM(G397)</f>
        <v>32104.99</v>
      </c>
      <c r="H396" s="59">
        <f>+'[5]junio 2025'!H396+'[5]mayo 2025'!H396+[5]abril!H396+[5]marzo!H396+[5]febrero!H396+'[5]enero '!H396</f>
        <v>0</v>
      </c>
      <c r="I396" s="59">
        <f>SUM(I397)</f>
        <v>0</v>
      </c>
      <c r="J396" s="59">
        <f t="shared" si="15"/>
        <v>32104.99</v>
      </c>
      <c r="K396" s="60"/>
    </row>
    <row r="397" spans="1:11" ht="38.25" x14ac:dyDescent="0.25">
      <c r="A397" s="61">
        <v>2</v>
      </c>
      <c r="B397" s="62">
        <v>6</v>
      </c>
      <c r="C397" s="62">
        <v>5</v>
      </c>
      <c r="D397" s="62">
        <v>7</v>
      </c>
      <c r="E397" s="63" t="s">
        <v>35</v>
      </c>
      <c r="F397" s="81" t="s">
        <v>320</v>
      </c>
      <c r="G397" s="64">
        <v>32104.99</v>
      </c>
      <c r="H397" s="169">
        <f>+'[5]junio 2025'!H397+'[5]mayo 2025'!H397+[5]abril!H397+[5]marzo!H397+[5]febrero!H397+'[5]enero '!H397</f>
        <v>0</v>
      </c>
      <c r="I397" s="169"/>
      <c r="J397" s="64">
        <f t="shared" si="15"/>
        <v>32104.99</v>
      </c>
      <c r="K397" s="65">
        <f>J397/$J$25</f>
        <v>5.4292187170016039E-5</v>
      </c>
    </row>
    <row r="398" spans="1:11" ht="25.5" x14ac:dyDescent="0.25">
      <c r="A398" s="57">
        <v>2</v>
      </c>
      <c r="B398" s="58">
        <v>6</v>
      </c>
      <c r="C398" s="58">
        <v>5</v>
      </c>
      <c r="D398" s="58">
        <v>8</v>
      </c>
      <c r="E398" s="58"/>
      <c r="F398" s="82" t="s">
        <v>321</v>
      </c>
      <c r="G398" s="59">
        <f>SUM(G399)</f>
        <v>454828.75</v>
      </c>
      <c r="H398" s="59">
        <f>+'[5]junio 2025'!H398+'[5]mayo 2025'!H398+[5]abril!H398+[5]marzo!H398+[5]febrero!H398+'[5]enero '!H398</f>
        <v>0</v>
      </c>
      <c r="I398" s="59">
        <f>SUM(I399)</f>
        <v>0</v>
      </c>
      <c r="J398" s="59">
        <f t="shared" si="15"/>
        <v>454828.75</v>
      </c>
      <c r="K398" s="60"/>
    </row>
    <row r="399" spans="1:11" ht="25.5" x14ac:dyDescent="0.25">
      <c r="A399" s="61">
        <v>2</v>
      </c>
      <c r="B399" s="62">
        <v>6</v>
      </c>
      <c r="C399" s="62">
        <v>5</v>
      </c>
      <c r="D399" s="62">
        <v>8</v>
      </c>
      <c r="E399" s="63" t="s">
        <v>35</v>
      </c>
      <c r="F399" s="81" t="s">
        <v>321</v>
      </c>
      <c r="G399" s="64">
        <f>97704+357124.75</f>
        <v>454828.75</v>
      </c>
      <c r="H399" s="169">
        <f>+'[5]junio 2025'!H399+'[5]mayo 2025'!H399+[5]abril!H399+[5]marzo!H399+[5]febrero!H399+'[5]enero '!H399</f>
        <v>0</v>
      </c>
      <c r="I399" s="169"/>
      <c r="J399" s="64">
        <f t="shared" si="15"/>
        <v>454828.75</v>
      </c>
      <c r="K399" s="65">
        <f>J399/$J$25</f>
        <v>7.69152945548478E-4</v>
      </c>
    </row>
    <row r="400" spans="1:11" ht="38.25" x14ac:dyDescent="0.25">
      <c r="A400" s="70">
        <v>2</v>
      </c>
      <c r="B400" s="55">
        <v>6</v>
      </c>
      <c r="C400" s="55">
        <v>6</v>
      </c>
      <c r="D400" s="55"/>
      <c r="E400" s="55"/>
      <c r="F400" s="83" t="s">
        <v>322</v>
      </c>
      <c r="G400" s="56">
        <f>+G401+G403</f>
        <v>0</v>
      </c>
      <c r="H400" s="56">
        <f>+'[5]junio 2025'!H400+'[5]mayo 2025'!H400+[5]abril!H400+[5]marzo!H400+[5]febrero!H400+'[5]enero '!H400</f>
        <v>0</v>
      </c>
      <c r="I400" s="56">
        <f>+I401+I403</f>
        <v>0</v>
      </c>
      <c r="J400" s="56">
        <f t="shared" si="15"/>
        <v>0</v>
      </c>
      <c r="K400" s="53">
        <f>J400/$J$25</f>
        <v>0</v>
      </c>
    </row>
    <row r="401" spans="1:11" ht="25.5" x14ac:dyDescent="0.25">
      <c r="A401" s="72">
        <v>2</v>
      </c>
      <c r="B401" s="58">
        <v>6</v>
      </c>
      <c r="C401" s="58">
        <v>6</v>
      </c>
      <c r="D401" s="58">
        <v>1</v>
      </c>
      <c r="E401" s="77"/>
      <c r="F401" s="82" t="s">
        <v>323</v>
      </c>
      <c r="G401" s="59">
        <f>+G402</f>
        <v>0</v>
      </c>
      <c r="H401" s="59">
        <f>+'[5]junio 2025'!H401+'[5]mayo 2025'!H401+[5]abril!H401+[5]marzo!H401+[5]febrero!H401+'[5]enero '!H401</f>
        <v>0</v>
      </c>
      <c r="I401" s="59">
        <f>+I402</f>
        <v>0</v>
      </c>
      <c r="J401" s="59">
        <f t="shared" si="15"/>
        <v>0</v>
      </c>
      <c r="K401" s="60"/>
    </row>
    <row r="402" spans="1:11" ht="25.5" x14ac:dyDescent="0.25">
      <c r="A402" s="74">
        <v>2</v>
      </c>
      <c r="B402" s="62">
        <v>6</v>
      </c>
      <c r="C402" s="62">
        <v>6</v>
      </c>
      <c r="D402" s="62">
        <v>1</v>
      </c>
      <c r="E402" s="62" t="s">
        <v>324</v>
      </c>
      <c r="F402" s="81" t="s">
        <v>323</v>
      </c>
      <c r="G402" s="64">
        <f>'[6]CUENTA T FONDO 100'!HK288</f>
        <v>0</v>
      </c>
      <c r="H402" s="169">
        <f>+'[5]junio 2025'!H402+'[5]mayo 2025'!H402+[5]abril!H402+[5]marzo!H402+[5]febrero!H402+'[5]enero '!H402</f>
        <v>0</v>
      </c>
      <c r="I402" s="169"/>
      <c r="J402" s="64">
        <f t="shared" si="15"/>
        <v>0</v>
      </c>
      <c r="K402" s="65">
        <f>J402/$J$25</f>
        <v>0</v>
      </c>
    </row>
    <row r="403" spans="1:11" ht="25.5" x14ac:dyDescent="0.25">
      <c r="A403" s="72">
        <v>2</v>
      </c>
      <c r="B403" s="58">
        <v>6</v>
      </c>
      <c r="C403" s="58">
        <v>6</v>
      </c>
      <c r="D403" s="58">
        <v>2</v>
      </c>
      <c r="E403" s="77"/>
      <c r="F403" s="82" t="s">
        <v>325</v>
      </c>
      <c r="G403" s="59">
        <f>+G404</f>
        <v>0</v>
      </c>
      <c r="H403" s="59">
        <f>+'[5]junio 2025'!H403+'[5]mayo 2025'!H403+[5]abril!H403+[5]marzo!H403+[5]febrero!H403+'[5]enero '!H403</f>
        <v>0</v>
      </c>
      <c r="I403" s="59">
        <f>+I404</f>
        <v>0</v>
      </c>
      <c r="J403" s="59">
        <f t="shared" si="15"/>
        <v>0</v>
      </c>
      <c r="K403" s="60"/>
    </row>
    <row r="404" spans="1:11" ht="25.5" x14ac:dyDescent="0.25">
      <c r="A404" s="74">
        <v>2</v>
      </c>
      <c r="B404" s="62">
        <v>6</v>
      </c>
      <c r="C404" s="62">
        <v>6</v>
      </c>
      <c r="D404" s="62">
        <v>2</v>
      </c>
      <c r="E404" s="62" t="s">
        <v>324</v>
      </c>
      <c r="F404" s="81" t="s">
        <v>325</v>
      </c>
      <c r="G404" s="64">
        <f>'[6]CUENTA T FONDO 100'!HL288</f>
        <v>0</v>
      </c>
      <c r="H404" s="169">
        <f>+'[5]junio 2025'!H404+'[5]mayo 2025'!H404+[5]abril!H404+[5]marzo!H404+[5]febrero!H404+'[5]enero '!H404</f>
        <v>0</v>
      </c>
      <c r="I404" s="169"/>
      <c r="J404" s="64">
        <f t="shared" si="15"/>
        <v>0</v>
      </c>
      <c r="K404" s="65">
        <f>J404/$J$25</f>
        <v>0</v>
      </c>
    </row>
    <row r="405" spans="1:11" ht="38.25" x14ac:dyDescent="0.25">
      <c r="A405" s="54">
        <v>2</v>
      </c>
      <c r="B405" s="55">
        <v>6</v>
      </c>
      <c r="C405" s="55">
        <v>7</v>
      </c>
      <c r="D405" s="55"/>
      <c r="E405" s="78"/>
      <c r="F405" s="83" t="s">
        <v>326</v>
      </c>
      <c r="G405" s="56">
        <f>+G406+G408+G410+G412+G414+G416+G418+G420+G422</f>
        <v>0</v>
      </c>
      <c r="H405" s="56">
        <f>+'[5]junio 2025'!H405+'[5]mayo 2025'!H405+[5]abril!H405+[5]marzo!H405+[5]febrero!H405+'[5]enero '!H405</f>
        <v>0</v>
      </c>
      <c r="I405" s="56">
        <f>+I406+I408+I410+I412+I414+I416+I418+I420+I422</f>
        <v>0</v>
      </c>
      <c r="J405" s="56">
        <f t="shared" si="15"/>
        <v>0</v>
      </c>
      <c r="K405" s="53"/>
    </row>
    <row r="406" spans="1:11" x14ac:dyDescent="0.25">
      <c r="A406" s="57">
        <v>2</v>
      </c>
      <c r="B406" s="58">
        <v>6</v>
      </c>
      <c r="C406" s="58">
        <v>7</v>
      </c>
      <c r="D406" s="58">
        <v>1</v>
      </c>
      <c r="E406" s="58"/>
      <c r="F406" s="82" t="s">
        <v>327</v>
      </c>
      <c r="G406" s="59">
        <f>SUM(G407)</f>
        <v>0</v>
      </c>
      <c r="H406" s="59">
        <f>+'[5]junio 2025'!H406+'[5]mayo 2025'!H406+[5]abril!H406+[5]marzo!H406+[5]febrero!H406+'[5]enero '!H406</f>
        <v>0</v>
      </c>
      <c r="I406" s="59">
        <f>SUM(I407)</f>
        <v>0</v>
      </c>
      <c r="J406" s="59">
        <f t="shared" si="15"/>
        <v>0</v>
      </c>
      <c r="K406" s="60"/>
    </row>
    <row r="407" spans="1:11" x14ac:dyDescent="0.25">
      <c r="A407" s="61">
        <v>2</v>
      </c>
      <c r="B407" s="62">
        <v>6</v>
      </c>
      <c r="C407" s="62">
        <v>7</v>
      </c>
      <c r="D407" s="62">
        <v>1</v>
      </c>
      <c r="E407" s="63" t="s">
        <v>35</v>
      </c>
      <c r="F407" s="81" t="s">
        <v>327</v>
      </c>
      <c r="G407" s="64">
        <f>'[6]CUENTA T FONDO 100'!HM288</f>
        <v>0</v>
      </c>
      <c r="H407" s="169">
        <f>+'[5]junio 2025'!H407+'[5]mayo 2025'!H407+[5]abril!H407+[5]marzo!H407+[5]febrero!H407+'[5]enero '!H407</f>
        <v>0</v>
      </c>
      <c r="I407" s="169"/>
      <c r="J407" s="64">
        <f t="shared" si="15"/>
        <v>0</v>
      </c>
      <c r="K407" s="65">
        <f>J407/$J$25</f>
        <v>0</v>
      </c>
    </row>
    <row r="408" spans="1:11" x14ac:dyDescent="0.25">
      <c r="A408" s="72">
        <v>2</v>
      </c>
      <c r="B408" s="58">
        <v>6</v>
      </c>
      <c r="C408" s="58">
        <v>7</v>
      </c>
      <c r="D408" s="58">
        <v>2</v>
      </c>
      <c r="E408" s="58"/>
      <c r="F408" s="82" t="s">
        <v>328</v>
      </c>
      <c r="G408" s="59">
        <f>SUM(G409)</f>
        <v>0</v>
      </c>
      <c r="H408" s="59">
        <f>+'[5]junio 2025'!H408+'[5]mayo 2025'!H408+[5]abril!H408+[5]marzo!H408+[5]febrero!H408+'[5]enero '!H408</f>
        <v>0</v>
      </c>
      <c r="I408" s="59">
        <f>SUM(I409)</f>
        <v>0</v>
      </c>
      <c r="J408" s="59">
        <f t="shared" si="15"/>
        <v>0</v>
      </c>
      <c r="K408" s="60"/>
    </row>
    <row r="409" spans="1:11" x14ac:dyDescent="0.25">
      <c r="A409" s="74">
        <v>2</v>
      </c>
      <c r="B409" s="62">
        <v>6</v>
      </c>
      <c r="C409" s="62">
        <v>7</v>
      </c>
      <c r="D409" s="62">
        <v>2</v>
      </c>
      <c r="E409" s="63" t="s">
        <v>35</v>
      </c>
      <c r="F409" s="81" t="s">
        <v>328</v>
      </c>
      <c r="G409" s="64">
        <f>'[6]CUENTA T FONDO 100'!HN288</f>
        <v>0</v>
      </c>
      <c r="H409" s="169">
        <f>+'[5]junio 2025'!H409+'[5]mayo 2025'!H409+[5]abril!H409+[5]marzo!H409+[5]febrero!H409+'[5]enero '!H409</f>
        <v>0</v>
      </c>
      <c r="I409" s="169"/>
      <c r="J409" s="64">
        <f t="shared" si="15"/>
        <v>0</v>
      </c>
      <c r="K409" s="65">
        <f>J409/$J$25</f>
        <v>0</v>
      </c>
    </row>
    <row r="410" spans="1:11" x14ac:dyDescent="0.25">
      <c r="A410" s="72">
        <v>2</v>
      </c>
      <c r="B410" s="58">
        <v>6</v>
      </c>
      <c r="C410" s="58">
        <v>7</v>
      </c>
      <c r="D410" s="58">
        <v>3</v>
      </c>
      <c r="E410" s="58"/>
      <c r="F410" s="82" t="s">
        <v>329</v>
      </c>
      <c r="G410" s="59">
        <f>SUM(G411)</f>
        <v>0</v>
      </c>
      <c r="H410" s="59">
        <f>+'[5]junio 2025'!H410+'[5]mayo 2025'!H410+[5]abril!H410+[5]marzo!H410+[5]febrero!H410+'[5]enero '!H410</f>
        <v>0</v>
      </c>
      <c r="I410" s="59">
        <f>SUM(I411)</f>
        <v>0</v>
      </c>
      <c r="J410" s="59">
        <f t="shared" si="15"/>
        <v>0</v>
      </c>
      <c r="K410" s="60"/>
    </row>
    <row r="411" spans="1:11" x14ac:dyDescent="0.25">
      <c r="A411" s="74">
        <v>2</v>
      </c>
      <c r="B411" s="62">
        <v>6</v>
      </c>
      <c r="C411" s="62">
        <v>7</v>
      </c>
      <c r="D411" s="62">
        <v>3</v>
      </c>
      <c r="E411" s="63" t="s">
        <v>35</v>
      </c>
      <c r="F411" s="81" t="s">
        <v>329</v>
      </c>
      <c r="G411" s="64">
        <f>'[6]CUENTA T FONDO 100'!HO288</f>
        <v>0</v>
      </c>
      <c r="H411" s="169">
        <f>+'[5]junio 2025'!H411+'[5]mayo 2025'!H411+[5]abril!H411+[5]marzo!H411+[5]febrero!H411+'[5]enero '!H411</f>
        <v>0</v>
      </c>
      <c r="I411" s="169"/>
      <c r="J411" s="64">
        <f t="shared" si="15"/>
        <v>0</v>
      </c>
      <c r="K411" s="65">
        <f>J411/$J$25</f>
        <v>0</v>
      </c>
    </row>
    <row r="412" spans="1:11" ht="25.5" x14ac:dyDescent="0.25">
      <c r="A412" s="72">
        <v>2</v>
      </c>
      <c r="B412" s="58">
        <v>6</v>
      </c>
      <c r="C412" s="58">
        <v>7</v>
      </c>
      <c r="D412" s="58">
        <v>4</v>
      </c>
      <c r="E412" s="58"/>
      <c r="F412" s="82" t="s">
        <v>330</v>
      </c>
      <c r="G412" s="59">
        <f>SUM(G413)</f>
        <v>0</v>
      </c>
      <c r="H412" s="59">
        <f>+'[5]junio 2025'!H412+'[5]mayo 2025'!H412+[5]abril!H412+[5]marzo!H412+[5]febrero!H412+'[5]enero '!H412</f>
        <v>0</v>
      </c>
      <c r="I412" s="59">
        <f>SUM(I413)</f>
        <v>0</v>
      </c>
      <c r="J412" s="59">
        <f t="shared" si="15"/>
        <v>0</v>
      </c>
      <c r="K412" s="60"/>
    </row>
    <row r="413" spans="1:11" ht="25.5" x14ac:dyDescent="0.25">
      <c r="A413" s="74">
        <v>2</v>
      </c>
      <c r="B413" s="62">
        <v>6</v>
      </c>
      <c r="C413" s="62">
        <v>7</v>
      </c>
      <c r="D413" s="62">
        <v>4</v>
      </c>
      <c r="E413" s="63" t="s">
        <v>35</v>
      </c>
      <c r="F413" s="81" t="s">
        <v>330</v>
      </c>
      <c r="G413" s="64">
        <f>'[6]CUENTA T FONDO 100'!HP288</f>
        <v>0</v>
      </c>
      <c r="H413" s="169">
        <f>+'[5]junio 2025'!H413+'[5]mayo 2025'!H413+[5]abril!H413+[5]marzo!H413+[5]febrero!H413+'[5]enero '!H413</f>
        <v>0</v>
      </c>
      <c r="I413" s="169"/>
      <c r="J413" s="64">
        <f t="shared" ref="J413:J477" si="16">SUM(G413:I413)</f>
        <v>0</v>
      </c>
      <c r="K413" s="65">
        <f>J413/$J$25</f>
        <v>0</v>
      </c>
    </row>
    <row r="414" spans="1:11" ht="25.5" x14ac:dyDescent="0.25">
      <c r="A414" s="72">
        <v>2</v>
      </c>
      <c r="B414" s="58">
        <v>6</v>
      </c>
      <c r="C414" s="58">
        <v>7</v>
      </c>
      <c r="D414" s="58">
        <v>5</v>
      </c>
      <c r="E414" s="58"/>
      <c r="F414" s="82" t="s">
        <v>331</v>
      </c>
      <c r="G414" s="59">
        <f>SUM(G415)</f>
        <v>0</v>
      </c>
      <c r="H414" s="59">
        <f>+'[5]junio 2025'!H414+'[5]mayo 2025'!H414+[5]abril!H414+[5]marzo!H414+[5]febrero!H414+'[5]enero '!H414</f>
        <v>0</v>
      </c>
      <c r="I414" s="59">
        <f>SUM(I415)</f>
        <v>0</v>
      </c>
      <c r="J414" s="59">
        <f t="shared" si="16"/>
        <v>0</v>
      </c>
      <c r="K414" s="60"/>
    </row>
    <row r="415" spans="1:11" ht="25.5" x14ac:dyDescent="0.25">
      <c r="A415" s="74">
        <v>2</v>
      </c>
      <c r="B415" s="62">
        <v>6</v>
      </c>
      <c r="C415" s="62">
        <v>7</v>
      </c>
      <c r="D415" s="62">
        <v>5</v>
      </c>
      <c r="E415" s="63" t="s">
        <v>35</v>
      </c>
      <c r="F415" s="81" t="s">
        <v>331</v>
      </c>
      <c r="G415" s="64">
        <f>'[6]CUENTA T FONDO 100'!HQ288</f>
        <v>0</v>
      </c>
      <c r="H415" s="169">
        <f>+'[5]junio 2025'!H415+'[5]mayo 2025'!H415+[5]abril!H415+[5]marzo!H415+[5]febrero!H415+'[5]enero '!H415</f>
        <v>0</v>
      </c>
      <c r="I415" s="169"/>
      <c r="J415" s="64">
        <f t="shared" si="16"/>
        <v>0</v>
      </c>
      <c r="K415" s="65">
        <f>J415/$J$25</f>
        <v>0</v>
      </c>
    </row>
    <row r="416" spans="1:11" x14ac:dyDescent="0.25">
      <c r="A416" s="72">
        <v>2</v>
      </c>
      <c r="B416" s="58">
        <v>6</v>
      </c>
      <c r="C416" s="58">
        <v>7</v>
      </c>
      <c r="D416" s="58">
        <v>6</v>
      </c>
      <c r="E416" s="58"/>
      <c r="F416" s="82" t="s">
        <v>332</v>
      </c>
      <c r="G416" s="59">
        <f>SUM(G417)</f>
        <v>0</v>
      </c>
      <c r="H416" s="59">
        <f>+'[5]junio 2025'!H416+'[5]mayo 2025'!H416+[5]abril!H416+[5]marzo!H416+[5]febrero!H416+'[5]enero '!H416</f>
        <v>0</v>
      </c>
      <c r="I416" s="59">
        <f>SUM(I417)</f>
        <v>0</v>
      </c>
      <c r="J416" s="59">
        <f t="shared" si="16"/>
        <v>0</v>
      </c>
      <c r="K416" s="60"/>
    </row>
    <row r="417" spans="1:11" x14ac:dyDescent="0.25">
      <c r="A417" s="74">
        <v>2</v>
      </c>
      <c r="B417" s="62">
        <v>6</v>
      </c>
      <c r="C417" s="62">
        <v>7</v>
      </c>
      <c r="D417" s="62">
        <v>6</v>
      </c>
      <c r="E417" s="63" t="s">
        <v>35</v>
      </c>
      <c r="F417" s="81" t="s">
        <v>332</v>
      </c>
      <c r="G417" s="64">
        <f>'[6]CUENTA T FONDO 100'!HR288</f>
        <v>0</v>
      </c>
      <c r="H417" s="169">
        <f>+'[5]junio 2025'!H417+'[5]mayo 2025'!H417+[5]abril!H417+[5]marzo!H417+[5]febrero!H417+'[5]enero '!H417</f>
        <v>0</v>
      </c>
      <c r="I417" s="169"/>
      <c r="J417" s="64">
        <f t="shared" si="16"/>
        <v>0</v>
      </c>
      <c r="K417" s="65">
        <f>J417/$J$25</f>
        <v>0</v>
      </c>
    </row>
    <row r="418" spans="1:11" ht="38.25" x14ac:dyDescent="0.25">
      <c r="A418" s="72">
        <v>2</v>
      </c>
      <c r="B418" s="58">
        <v>6</v>
      </c>
      <c r="C418" s="58">
        <v>7</v>
      </c>
      <c r="D418" s="58">
        <v>7</v>
      </c>
      <c r="E418" s="58"/>
      <c r="F418" s="82" t="s">
        <v>333</v>
      </c>
      <c r="G418" s="59">
        <f>SUM(G419)</f>
        <v>0</v>
      </c>
      <c r="H418" s="59">
        <f>+'[5]junio 2025'!H418+'[5]mayo 2025'!H418+[5]abril!H418+[5]marzo!H418+[5]febrero!H418+'[5]enero '!H418</f>
        <v>0</v>
      </c>
      <c r="I418" s="59">
        <f>SUM(I419)</f>
        <v>0</v>
      </c>
      <c r="J418" s="59">
        <f t="shared" si="16"/>
        <v>0</v>
      </c>
      <c r="K418" s="60"/>
    </row>
    <row r="419" spans="1:11" ht="38.25" x14ac:dyDescent="0.25">
      <c r="A419" s="74">
        <v>2</v>
      </c>
      <c r="B419" s="62">
        <v>6</v>
      </c>
      <c r="C419" s="62">
        <v>7</v>
      </c>
      <c r="D419" s="62">
        <v>7</v>
      </c>
      <c r="E419" s="63" t="s">
        <v>35</v>
      </c>
      <c r="F419" s="81" t="s">
        <v>333</v>
      </c>
      <c r="G419" s="64">
        <f>'[6]CUENTA T FONDO 100'!HS288</f>
        <v>0</v>
      </c>
      <c r="H419" s="169">
        <f>+'[5]junio 2025'!H419+'[5]mayo 2025'!H419+[5]abril!H419+[5]marzo!H419+[5]febrero!H419+'[5]enero '!H419</f>
        <v>0</v>
      </c>
      <c r="I419" s="169"/>
      <c r="J419" s="64">
        <f t="shared" si="16"/>
        <v>0</v>
      </c>
      <c r="K419" s="65">
        <f>J419/$J$25</f>
        <v>0</v>
      </c>
    </row>
    <row r="420" spans="1:11" ht="63.75" x14ac:dyDescent="0.25">
      <c r="A420" s="72">
        <v>2</v>
      </c>
      <c r="B420" s="58">
        <v>6</v>
      </c>
      <c r="C420" s="58">
        <v>7</v>
      </c>
      <c r="D420" s="58">
        <v>8</v>
      </c>
      <c r="E420" s="58"/>
      <c r="F420" s="82" t="s">
        <v>334</v>
      </c>
      <c r="G420" s="59">
        <f>SUM(G421)</f>
        <v>0</v>
      </c>
      <c r="H420" s="59">
        <f>+'[5]junio 2025'!H420+'[5]mayo 2025'!H420+[5]abril!H420+[5]marzo!H420+[5]febrero!H420+'[5]enero '!H420</f>
        <v>0</v>
      </c>
      <c r="I420" s="59">
        <f>SUM(I421)</f>
        <v>0</v>
      </c>
      <c r="J420" s="59">
        <f t="shared" si="16"/>
        <v>0</v>
      </c>
      <c r="K420" s="60"/>
    </row>
    <row r="421" spans="1:11" ht="63.75" x14ac:dyDescent="0.25">
      <c r="A421" s="74">
        <v>2</v>
      </c>
      <c r="B421" s="62">
        <v>6</v>
      </c>
      <c r="C421" s="62">
        <v>7</v>
      </c>
      <c r="D421" s="62">
        <v>8</v>
      </c>
      <c r="E421" s="63" t="s">
        <v>35</v>
      </c>
      <c r="F421" s="81" t="s">
        <v>334</v>
      </c>
      <c r="G421" s="64">
        <f>'[6]CUENTA T FONDO 100'!HT288</f>
        <v>0</v>
      </c>
      <c r="H421" s="169">
        <f>+'[5]junio 2025'!H421+'[5]mayo 2025'!H421+[5]abril!H421+[5]marzo!H421+[5]febrero!H421+'[5]enero '!H421</f>
        <v>0</v>
      </c>
      <c r="I421" s="169"/>
      <c r="J421" s="64">
        <f t="shared" si="16"/>
        <v>0</v>
      </c>
      <c r="K421" s="65">
        <f>J421/$J$25</f>
        <v>0</v>
      </c>
    </row>
    <row r="422" spans="1:11" ht="76.5" x14ac:dyDescent="0.25">
      <c r="A422" s="72">
        <v>2</v>
      </c>
      <c r="B422" s="58">
        <v>6</v>
      </c>
      <c r="C422" s="58">
        <v>7</v>
      </c>
      <c r="D422" s="58">
        <v>9</v>
      </c>
      <c r="E422" s="58"/>
      <c r="F422" s="82" t="s">
        <v>335</v>
      </c>
      <c r="G422" s="59">
        <f>SUM(G423)</f>
        <v>0</v>
      </c>
      <c r="H422" s="59">
        <f>+'[5]junio 2025'!H422+'[5]mayo 2025'!H422+[5]abril!H422+[5]marzo!H422+[5]febrero!H422+'[5]enero '!H422</f>
        <v>0</v>
      </c>
      <c r="I422" s="59">
        <f>SUM(I423)</f>
        <v>0</v>
      </c>
      <c r="J422" s="59">
        <f t="shared" si="16"/>
        <v>0</v>
      </c>
      <c r="K422" s="60"/>
    </row>
    <row r="423" spans="1:11" ht="76.5" x14ac:dyDescent="0.25">
      <c r="A423" s="74">
        <v>2</v>
      </c>
      <c r="B423" s="62">
        <v>6</v>
      </c>
      <c r="C423" s="62">
        <v>7</v>
      </c>
      <c r="D423" s="62">
        <v>9</v>
      </c>
      <c r="E423" s="63" t="s">
        <v>35</v>
      </c>
      <c r="F423" s="81" t="s">
        <v>335</v>
      </c>
      <c r="G423" s="64">
        <f>'[6]CUENTA T FONDO 100'!HU288</f>
        <v>0</v>
      </c>
      <c r="H423" s="169">
        <f>+'[5]junio 2025'!H423+'[5]mayo 2025'!H423+[5]abril!H423+[5]marzo!H423+[5]febrero!H423+'[5]enero '!H423</f>
        <v>0</v>
      </c>
      <c r="I423" s="169"/>
      <c r="J423" s="64">
        <f t="shared" si="16"/>
        <v>0</v>
      </c>
      <c r="K423" s="65">
        <f>J423/$J$25</f>
        <v>0</v>
      </c>
    </row>
    <row r="424" spans="1:11" ht="25.5" x14ac:dyDescent="0.25">
      <c r="A424" s="70">
        <v>2</v>
      </c>
      <c r="B424" s="55">
        <v>6</v>
      </c>
      <c r="C424" s="55">
        <v>8</v>
      </c>
      <c r="D424" s="55"/>
      <c r="E424" s="55"/>
      <c r="F424" s="83" t="s">
        <v>336</v>
      </c>
      <c r="G424" s="56">
        <f>G425+G427+G429+G432+G434+G436+G438+G440+G444</f>
        <v>0</v>
      </c>
      <c r="H424" s="56">
        <f>+'[5]junio 2025'!H424+'[5]mayo 2025'!H424+[5]abril!H424+[5]marzo!H424+[5]febrero!H424+'[5]enero '!H424</f>
        <v>0</v>
      </c>
      <c r="I424" s="56">
        <f>I425+I427+I429+I432+I434+I436+I438+I440+I444</f>
        <v>0</v>
      </c>
      <c r="J424" s="56">
        <f t="shared" si="16"/>
        <v>0</v>
      </c>
      <c r="K424" s="53"/>
    </row>
    <row r="425" spans="1:11" ht="38.25" x14ac:dyDescent="0.25">
      <c r="A425" s="72">
        <v>2</v>
      </c>
      <c r="B425" s="58">
        <v>6</v>
      </c>
      <c r="C425" s="58">
        <v>8</v>
      </c>
      <c r="D425" s="58">
        <v>1</v>
      </c>
      <c r="E425" s="58"/>
      <c r="F425" s="82" t="s">
        <v>337</v>
      </c>
      <c r="G425" s="59">
        <f>+G426</f>
        <v>0</v>
      </c>
      <c r="H425" s="59">
        <f>+'[5]junio 2025'!H425+'[5]mayo 2025'!H425+[5]abril!H425+[5]marzo!H425+[5]febrero!H425+'[5]enero '!H425</f>
        <v>0</v>
      </c>
      <c r="I425" s="59">
        <f>+I426</f>
        <v>0</v>
      </c>
      <c r="J425" s="59">
        <f t="shared" si="16"/>
        <v>0</v>
      </c>
      <c r="K425" s="60"/>
    </row>
    <row r="426" spans="1:11" ht="38.25" x14ac:dyDescent="0.25">
      <c r="A426" s="74">
        <v>2</v>
      </c>
      <c r="B426" s="62">
        <v>6</v>
      </c>
      <c r="C426" s="62">
        <v>8</v>
      </c>
      <c r="D426" s="62">
        <v>1</v>
      </c>
      <c r="E426" s="63" t="s">
        <v>35</v>
      </c>
      <c r="F426" s="81" t="s">
        <v>337</v>
      </c>
      <c r="G426" s="64">
        <f>'[6]CUENTA T FONDO 100'!HV288</f>
        <v>0</v>
      </c>
      <c r="H426" s="169">
        <f>+'[5]junio 2025'!H426+'[5]mayo 2025'!H426+[5]abril!H426+[5]marzo!H426+[5]febrero!H426+'[5]enero '!H426</f>
        <v>0</v>
      </c>
      <c r="I426" s="169"/>
      <c r="J426" s="64">
        <f t="shared" si="16"/>
        <v>0</v>
      </c>
      <c r="K426" s="65">
        <f>J426/$J$25</f>
        <v>0</v>
      </c>
    </row>
    <row r="427" spans="1:11" ht="38.25" x14ac:dyDescent="0.25">
      <c r="A427" s="72">
        <v>2</v>
      </c>
      <c r="B427" s="58">
        <v>6</v>
      </c>
      <c r="C427" s="58">
        <v>8</v>
      </c>
      <c r="D427" s="58">
        <v>2</v>
      </c>
      <c r="E427" s="58"/>
      <c r="F427" s="82" t="s">
        <v>338</v>
      </c>
      <c r="G427" s="59">
        <f>+G428</f>
        <v>0</v>
      </c>
      <c r="H427" s="59">
        <f>+'[5]junio 2025'!H427+'[5]mayo 2025'!H427+[5]abril!H427+[5]marzo!H427+[5]febrero!H427+'[5]enero '!H427</f>
        <v>0</v>
      </c>
      <c r="I427" s="59">
        <f>+I428</f>
        <v>0</v>
      </c>
      <c r="J427" s="59">
        <f t="shared" si="16"/>
        <v>0</v>
      </c>
      <c r="K427" s="60"/>
    </row>
    <row r="428" spans="1:11" ht="38.25" x14ac:dyDescent="0.25">
      <c r="A428" s="74">
        <v>2</v>
      </c>
      <c r="B428" s="62">
        <v>6</v>
      </c>
      <c r="C428" s="62">
        <v>8</v>
      </c>
      <c r="D428" s="62">
        <v>2</v>
      </c>
      <c r="E428" s="63" t="s">
        <v>35</v>
      </c>
      <c r="F428" s="81" t="s">
        <v>338</v>
      </c>
      <c r="G428" s="64">
        <f>'[6]CUENTA T FONDO 100'!HW288</f>
        <v>0</v>
      </c>
      <c r="H428" s="169">
        <f>+'[5]junio 2025'!H428+'[5]mayo 2025'!H428+[5]abril!H428+[5]marzo!H428+[5]febrero!H428+'[5]enero '!H428</f>
        <v>0</v>
      </c>
      <c r="I428" s="169"/>
      <c r="J428" s="64">
        <f t="shared" si="16"/>
        <v>0</v>
      </c>
      <c r="K428" s="65">
        <f>J428/$J$25</f>
        <v>0</v>
      </c>
    </row>
    <row r="429" spans="1:11" ht="63.75" x14ac:dyDescent="0.25">
      <c r="A429" s="72">
        <v>2</v>
      </c>
      <c r="B429" s="58">
        <v>6</v>
      </c>
      <c r="C429" s="58">
        <v>8</v>
      </c>
      <c r="D429" s="58">
        <v>3</v>
      </c>
      <c r="E429" s="58"/>
      <c r="F429" s="82" t="s">
        <v>339</v>
      </c>
      <c r="G429" s="59">
        <f>SUM(G430:G431)</f>
        <v>0</v>
      </c>
      <c r="H429" s="59">
        <f>+'[5]junio 2025'!H429+'[5]mayo 2025'!H429+[5]abril!H429+[5]marzo!H429+[5]febrero!H429+'[5]enero '!H429</f>
        <v>0</v>
      </c>
      <c r="I429" s="59">
        <f>SUM(I430:I431)</f>
        <v>0</v>
      </c>
      <c r="J429" s="59">
        <f t="shared" si="16"/>
        <v>0</v>
      </c>
      <c r="K429" s="60"/>
    </row>
    <row r="430" spans="1:11" ht="38.25" x14ac:dyDescent="0.25">
      <c r="A430" s="74">
        <v>2</v>
      </c>
      <c r="B430" s="62">
        <v>6</v>
      </c>
      <c r="C430" s="62">
        <v>8</v>
      </c>
      <c r="D430" s="62">
        <v>3</v>
      </c>
      <c r="E430" s="63" t="s">
        <v>35</v>
      </c>
      <c r="F430" s="81" t="s">
        <v>340</v>
      </c>
      <c r="G430" s="64">
        <f>'[6]CUENTA T FONDO 100'!HX288</f>
        <v>0</v>
      </c>
      <c r="H430" s="169">
        <f>+'[5]junio 2025'!H430+'[5]mayo 2025'!H430+[5]abril!H430+[5]marzo!H430+[5]febrero!H430+'[5]enero '!H430</f>
        <v>0</v>
      </c>
      <c r="I430" s="169"/>
      <c r="J430" s="64">
        <f t="shared" si="16"/>
        <v>0</v>
      </c>
      <c r="K430" s="65">
        <f>J430/$J$25</f>
        <v>0</v>
      </c>
    </row>
    <row r="431" spans="1:11" ht="25.5" x14ac:dyDescent="0.25">
      <c r="A431" s="74">
        <v>2</v>
      </c>
      <c r="B431" s="62">
        <v>6</v>
      </c>
      <c r="C431" s="62">
        <v>8</v>
      </c>
      <c r="D431" s="62">
        <v>3</v>
      </c>
      <c r="E431" s="63" t="s">
        <v>37</v>
      </c>
      <c r="F431" s="81" t="s">
        <v>341</v>
      </c>
      <c r="G431" s="64">
        <f>'[6]CUENTA T FONDO 100'!HY288</f>
        <v>0</v>
      </c>
      <c r="H431" s="169">
        <f>+'[5]junio 2025'!H431+'[5]mayo 2025'!H431+[5]abril!H431+[5]marzo!H431+[5]febrero!H431+'[5]enero '!H431</f>
        <v>0</v>
      </c>
      <c r="I431" s="169"/>
      <c r="J431" s="64">
        <f t="shared" si="16"/>
        <v>0</v>
      </c>
      <c r="K431" s="65">
        <f>J431/$J$25</f>
        <v>0</v>
      </c>
    </row>
    <row r="432" spans="1:11" ht="63.75" x14ac:dyDescent="0.25">
      <c r="A432" s="72">
        <v>2</v>
      </c>
      <c r="B432" s="58">
        <v>6</v>
      </c>
      <c r="C432" s="58">
        <v>8</v>
      </c>
      <c r="D432" s="58">
        <v>4</v>
      </c>
      <c r="E432" s="58"/>
      <c r="F432" s="82" t="s">
        <v>342</v>
      </c>
      <c r="G432" s="59">
        <f>+G433</f>
        <v>0</v>
      </c>
      <c r="H432" s="59">
        <f>+'[5]junio 2025'!H432+'[5]mayo 2025'!H432+[5]abril!H432+[5]marzo!H432+[5]febrero!H432+'[5]enero '!H432</f>
        <v>0</v>
      </c>
      <c r="I432" s="59">
        <f>+I433</f>
        <v>0</v>
      </c>
      <c r="J432" s="59">
        <f t="shared" si="16"/>
        <v>0</v>
      </c>
      <c r="K432" s="60"/>
    </row>
    <row r="433" spans="1:11" ht="63.75" x14ac:dyDescent="0.25">
      <c r="A433" s="74">
        <v>2</v>
      </c>
      <c r="B433" s="62">
        <v>6</v>
      </c>
      <c r="C433" s="62">
        <v>8</v>
      </c>
      <c r="D433" s="62">
        <v>4</v>
      </c>
      <c r="E433" s="63" t="s">
        <v>35</v>
      </c>
      <c r="F433" s="81" t="s">
        <v>342</v>
      </c>
      <c r="G433" s="64">
        <f>'[6]CUENTA T FONDO 100'!HZ288</f>
        <v>0</v>
      </c>
      <c r="H433" s="169">
        <f>+'[5]junio 2025'!H433+'[5]mayo 2025'!H433+[5]abril!H433+[5]marzo!H433+[5]febrero!H433+'[5]enero '!H433</f>
        <v>0</v>
      </c>
      <c r="I433" s="169"/>
      <c r="J433" s="64">
        <f t="shared" si="16"/>
        <v>0</v>
      </c>
      <c r="K433" s="65">
        <f>J433/$J$25</f>
        <v>0</v>
      </c>
    </row>
    <row r="434" spans="1:11" ht="25.5" x14ac:dyDescent="0.25">
      <c r="A434" s="72">
        <v>2</v>
      </c>
      <c r="B434" s="58">
        <v>6</v>
      </c>
      <c r="C434" s="58">
        <v>8</v>
      </c>
      <c r="D434" s="58">
        <v>5</v>
      </c>
      <c r="E434" s="58"/>
      <c r="F434" s="82" t="s">
        <v>343</v>
      </c>
      <c r="G434" s="59">
        <f>+G435</f>
        <v>0</v>
      </c>
      <c r="H434" s="59">
        <f>+'[5]junio 2025'!H434+'[5]mayo 2025'!H434+[5]abril!H434+[5]marzo!H434+[5]febrero!H434+'[5]enero '!H434</f>
        <v>0</v>
      </c>
      <c r="I434" s="59">
        <f>+I435</f>
        <v>0</v>
      </c>
      <c r="J434" s="59">
        <f t="shared" si="16"/>
        <v>0</v>
      </c>
      <c r="K434" s="60"/>
    </row>
    <row r="435" spans="1:11" ht="25.5" x14ac:dyDescent="0.25">
      <c r="A435" s="74">
        <v>2</v>
      </c>
      <c r="B435" s="62">
        <v>6</v>
      </c>
      <c r="C435" s="62">
        <v>8</v>
      </c>
      <c r="D435" s="62">
        <v>5</v>
      </c>
      <c r="E435" s="63" t="s">
        <v>35</v>
      </c>
      <c r="F435" s="81" t="s">
        <v>343</v>
      </c>
      <c r="G435" s="64">
        <f>'[6]CUENTA T FONDO 100'!IA288</f>
        <v>0</v>
      </c>
      <c r="H435" s="169">
        <f>+'[5]junio 2025'!H435+'[5]mayo 2025'!H435+[5]abril!H435+[5]marzo!H435+[5]febrero!H435+'[5]enero '!H435</f>
        <v>0</v>
      </c>
      <c r="I435" s="169"/>
      <c r="J435" s="64">
        <f t="shared" si="16"/>
        <v>0</v>
      </c>
      <c r="K435" s="65">
        <f>J435/$J$25</f>
        <v>0</v>
      </c>
    </row>
    <row r="436" spans="1:11" ht="25.5" x14ac:dyDescent="0.25">
      <c r="A436" s="72">
        <v>2</v>
      </c>
      <c r="B436" s="58">
        <v>6</v>
      </c>
      <c r="C436" s="58">
        <v>8</v>
      </c>
      <c r="D436" s="58">
        <v>6</v>
      </c>
      <c r="E436" s="58"/>
      <c r="F436" s="82" t="s">
        <v>344</v>
      </c>
      <c r="G436" s="59">
        <f>+G437</f>
        <v>0</v>
      </c>
      <c r="H436" s="59">
        <f>+'[5]junio 2025'!H436+'[5]mayo 2025'!H436+[5]abril!H436+[5]marzo!H436+[5]febrero!H436+'[5]enero '!H436</f>
        <v>0</v>
      </c>
      <c r="I436" s="59">
        <f>+I437</f>
        <v>0</v>
      </c>
      <c r="J436" s="59">
        <f t="shared" si="16"/>
        <v>0</v>
      </c>
      <c r="K436" s="60"/>
    </row>
    <row r="437" spans="1:11" ht="25.5" x14ac:dyDescent="0.25">
      <c r="A437" s="74">
        <v>2</v>
      </c>
      <c r="B437" s="62">
        <v>6</v>
      </c>
      <c r="C437" s="62">
        <v>8</v>
      </c>
      <c r="D437" s="62">
        <v>6</v>
      </c>
      <c r="E437" s="63" t="s">
        <v>35</v>
      </c>
      <c r="F437" s="81" t="s">
        <v>344</v>
      </c>
      <c r="G437" s="64">
        <f>'[6]CUENTA T FONDO 100'!IB288</f>
        <v>0</v>
      </c>
      <c r="H437" s="169">
        <f>+'[5]junio 2025'!H437+'[5]mayo 2025'!H437+[5]abril!H437+[5]marzo!H437+[5]febrero!H437+'[5]enero '!H437</f>
        <v>0</v>
      </c>
      <c r="I437" s="169"/>
      <c r="J437" s="64">
        <f t="shared" si="16"/>
        <v>0</v>
      </c>
      <c r="K437" s="65">
        <f>J437/$J$25</f>
        <v>0</v>
      </c>
    </row>
    <row r="438" spans="1:11" x14ac:dyDescent="0.25">
      <c r="A438" s="72">
        <v>2</v>
      </c>
      <c r="B438" s="58">
        <v>6</v>
      </c>
      <c r="C438" s="58">
        <v>8</v>
      </c>
      <c r="D438" s="58">
        <v>7</v>
      </c>
      <c r="E438" s="58"/>
      <c r="F438" s="82" t="s">
        <v>345</v>
      </c>
      <c r="G438" s="59">
        <f>+G439</f>
        <v>0</v>
      </c>
      <c r="H438" s="59">
        <f>+'[5]junio 2025'!H438+'[5]mayo 2025'!H438+[5]abril!H438+[5]marzo!H438+[5]febrero!H438+'[5]enero '!H438</f>
        <v>0</v>
      </c>
      <c r="I438" s="59">
        <f>+I439</f>
        <v>0</v>
      </c>
      <c r="J438" s="59">
        <f t="shared" si="16"/>
        <v>0</v>
      </c>
      <c r="K438" s="60"/>
    </row>
    <row r="439" spans="1:11" x14ac:dyDescent="0.25">
      <c r="A439" s="74">
        <v>2</v>
      </c>
      <c r="B439" s="62">
        <v>6</v>
      </c>
      <c r="C439" s="62">
        <v>8</v>
      </c>
      <c r="D439" s="62">
        <v>7</v>
      </c>
      <c r="E439" s="63" t="s">
        <v>35</v>
      </c>
      <c r="F439" s="81" t="s">
        <v>345</v>
      </c>
      <c r="G439" s="64">
        <f>'[6]CUENTA T FONDO 100'!IC288</f>
        <v>0</v>
      </c>
      <c r="H439" s="169">
        <f>+'[5]junio 2025'!H439+'[5]mayo 2025'!H439+[5]abril!H439+[5]marzo!H439+[5]febrero!H439+'[5]enero '!H439</f>
        <v>0</v>
      </c>
      <c r="I439" s="169"/>
      <c r="J439" s="64">
        <f t="shared" si="16"/>
        <v>0</v>
      </c>
      <c r="K439" s="65">
        <f>J439/$J$25</f>
        <v>0</v>
      </c>
    </row>
    <row r="440" spans="1:11" ht="63.75" x14ac:dyDescent="0.25">
      <c r="A440" s="57">
        <v>2</v>
      </c>
      <c r="B440" s="58">
        <v>6</v>
      </c>
      <c r="C440" s="58">
        <v>8</v>
      </c>
      <c r="D440" s="58">
        <v>8</v>
      </c>
      <c r="E440" s="58"/>
      <c r="F440" s="82" t="s">
        <v>346</v>
      </c>
      <c r="G440" s="59">
        <f>SUM(G441:G443)</f>
        <v>0</v>
      </c>
      <c r="H440" s="59">
        <f>+'[5]junio 2025'!H440+'[5]mayo 2025'!H440+[5]abril!H440+[5]marzo!H440+[5]febrero!H440+'[5]enero '!H440</f>
        <v>0</v>
      </c>
      <c r="I440" s="59">
        <f>SUM(I441:I443)</f>
        <v>0</v>
      </c>
      <c r="J440" s="59">
        <f t="shared" si="16"/>
        <v>0</v>
      </c>
      <c r="K440" s="60"/>
    </row>
    <row r="441" spans="1:11" x14ac:dyDescent="0.25">
      <c r="A441" s="74">
        <v>2</v>
      </c>
      <c r="B441" s="62">
        <v>6</v>
      </c>
      <c r="C441" s="62">
        <v>8</v>
      </c>
      <c r="D441" s="62">
        <v>8</v>
      </c>
      <c r="E441" s="62" t="s">
        <v>347</v>
      </c>
      <c r="F441" s="81" t="s">
        <v>348</v>
      </c>
      <c r="G441" s="64">
        <f>'[6]CUENTA T FONDO 100'!ID288</f>
        <v>0</v>
      </c>
      <c r="H441" s="64">
        <f>+'[5]junio 2025'!H441+'[5]mayo 2025'!H441+[5]abril!H441+[5]marzo!H441+[5]febrero!H441+'[5]enero '!H441</f>
        <v>0</v>
      </c>
      <c r="I441" s="64"/>
      <c r="J441" s="64">
        <f t="shared" si="16"/>
        <v>0</v>
      </c>
      <c r="K441" s="65">
        <f>J441/$J$25</f>
        <v>0</v>
      </c>
    </row>
    <row r="442" spans="1:11" x14ac:dyDescent="0.25">
      <c r="A442" s="74">
        <v>2</v>
      </c>
      <c r="B442" s="62">
        <v>6</v>
      </c>
      <c r="C442" s="62">
        <v>8</v>
      </c>
      <c r="D442" s="62">
        <v>8</v>
      </c>
      <c r="E442" s="62" t="s">
        <v>349</v>
      </c>
      <c r="F442" s="81" t="s">
        <v>350</v>
      </c>
      <c r="G442" s="64">
        <f>'[6]CUENTA T FONDO 100'!IE288</f>
        <v>0</v>
      </c>
      <c r="H442" s="64">
        <f>+'[5]junio 2025'!H442+'[5]mayo 2025'!H442+[5]abril!H442+[5]marzo!H442+[5]febrero!H442+'[5]enero '!H442</f>
        <v>0</v>
      </c>
      <c r="I442" s="64"/>
      <c r="J442" s="64">
        <f t="shared" si="16"/>
        <v>0</v>
      </c>
      <c r="K442" s="65">
        <f>J442/$J$25</f>
        <v>0</v>
      </c>
    </row>
    <row r="443" spans="1:11" x14ac:dyDescent="0.25">
      <c r="A443" s="74">
        <v>2</v>
      </c>
      <c r="B443" s="62">
        <v>6</v>
      </c>
      <c r="C443" s="62">
        <v>8</v>
      </c>
      <c r="D443" s="62">
        <v>8</v>
      </c>
      <c r="E443" s="62" t="s">
        <v>351</v>
      </c>
      <c r="F443" s="81" t="s">
        <v>352</v>
      </c>
      <c r="G443" s="64">
        <f>'[6]CUENTA T FONDO 100'!IF288</f>
        <v>0</v>
      </c>
      <c r="H443" s="64">
        <f>+'[5]junio 2025'!H443+'[5]mayo 2025'!H443+[5]abril!H443+[5]marzo!H443+[5]febrero!H443+'[5]enero '!H443</f>
        <v>0</v>
      </c>
      <c r="I443" s="64"/>
      <c r="J443" s="64">
        <f t="shared" si="16"/>
        <v>0</v>
      </c>
      <c r="K443" s="65">
        <f>J443/$J$25</f>
        <v>0</v>
      </c>
    </row>
    <row r="444" spans="1:11" ht="38.25" x14ac:dyDescent="0.25">
      <c r="A444" s="72">
        <v>2</v>
      </c>
      <c r="B444" s="58">
        <v>6</v>
      </c>
      <c r="C444" s="58">
        <v>8</v>
      </c>
      <c r="D444" s="58">
        <v>9</v>
      </c>
      <c r="E444" s="58"/>
      <c r="F444" s="82" t="s">
        <v>353</v>
      </c>
      <c r="G444" s="59">
        <f>+G445</f>
        <v>0</v>
      </c>
      <c r="H444" s="59">
        <f>+'[5]junio 2025'!H444+'[5]mayo 2025'!H444+[5]abril!H444+[5]marzo!H444+[5]febrero!H444+'[5]enero '!H444</f>
        <v>0</v>
      </c>
      <c r="I444" s="59">
        <f>+I445</f>
        <v>0</v>
      </c>
      <c r="J444" s="59">
        <f t="shared" si="16"/>
        <v>0</v>
      </c>
      <c r="K444" s="60"/>
    </row>
    <row r="445" spans="1:11" ht="38.25" x14ac:dyDescent="0.25">
      <c r="A445" s="74">
        <v>2</v>
      </c>
      <c r="B445" s="62">
        <v>6</v>
      </c>
      <c r="C445" s="62">
        <v>8</v>
      </c>
      <c r="D445" s="62">
        <v>9</v>
      </c>
      <c r="E445" s="62" t="s">
        <v>324</v>
      </c>
      <c r="F445" s="81" t="s">
        <v>353</v>
      </c>
      <c r="G445" s="64">
        <f>'[6]CUENTA T FONDO 100'!IG288</f>
        <v>0</v>
      </c>
      <c r="H445" s="64">
        <f>+'[5]junio 2025'!H445+'[5]mayo 2025'!H445+[5]abril!H445+[5]marzo!H445+[5]febrero!H445+'[5]enero '!H445</f>
        <v>0</v>
      </c>
      <c r="I445" s="64"/>
      <c r="J445" s="64">
        <f t="shared" si="16"/>
        <v>0</v>
      </c>
      <c r="K445" s="65">
        <f>J445/$J$25</f>
        <v>0</v>
      </c>
    </row>
    <row r="446" spans="1:11" ht="25.5" x14ac:dyDescent="0.25">
      <c r="A446" s="54">
        <v>2</v>
      </c>
      <c r="B446" s="55">
        <v>6</v>
      </c>
      <c r="C446" s="55">
        <v>9</v>
      </c>
      <c r="D446" s="55"/>
      <c r="E446" s="78"/>
      <c r="F446" s="83" t="s">
        <v>354</v>
      </c>
      <c r="G446" s="56">
        <f>+G447+G450+G453+G455+G457+G461</f>
        <v>0</v>
      </c>
      <c r="H446" s="56">
        <f>+'[5]junio 2025'!H446+'[5]mayo 2025'!H446+[5]abril!H446+[5]marzo!H446+[5]febrero!H446+'[5]enero '!H446</f>
        <v>0</v>
      </c>
      <c r="I446" s="56">
        <f>+I447+I450+I453+I455+I457+I461</f>
        <v>0</v>
      </c>
      <c r="J446" s="56">
        <f t="shared" si="16"/>
        <v>0</v>
      </c>
      <c r="K446" s="53"/>
    </row>
    <row r="447" spans="1:11" ht="38.25" x14ac:dyDescent="0.25">
      <c r="A447" s="72">
        <v>2</v>
      </c>
      <c r="B447" s="58">
        <v>6</v>
      </c>
      <c r="C447" s="58">
        <v>9</v>
      </c>
      <c r="D447" s="58">
        <v>1</v>
      </c>
      <c r="E447" s="58"/>
      <c r="F447" s="82" t="s">
        <v>355</v>
      </c>
      <c r="G447" s="59">
        <f>+G448+G449</f>
        <v>0</v>
      </c>
      <c r="H447" s="59">
        <f>+'[5]junio 2025'!H447+'[5]mayo 2025'!H447+[5]abril!H447+[5]marzo!H447+[5]febrero!H447+'[5]enero '!H447</f>
        <v>0</v>
      </c>
      <c r="I447" s="59">
        <f>+I448+I449</f>
        <v>0</v>
      </c>
      <c r="J447" s="59">
        <f t="shared" si="16"/>
        <v>0</v>
      </c>
      <c r="K447" s="59"/>
    </row>
    <row r="448" spans="1:11" ht="38.25" x14ac:dyDescent="0.25">
      <c r="A448" s="89">
        <v>2</v>
      </c>
      <c r="B448" s="90">
        <v>6</v>
      </c>
      <c r="C448" s="90">
        <v>9</v>
      </c>
      <c r="D448" s="90">
        <v>1</v>
      </c>
      <c r="E448" s="90" t="s">
        <v>35</v>
      </c>
      <c r="F448" s="172" t="s">
        <v>355</v>
      </c>
      <c r="G448" s="64">
        <f>'[6]CUENTA T FONDO 100'!IH288</f>
        <v>0</v>
      </c>
      <c r="H448" s="92">
        <f>+'[5]junio 2025'!H448+'[5]mayo 2025'!H448+[5]abril!H448+[5]marzo!H448+[5]febrero!H448+'[5]enero '!H448</f>
        <v>0</v>
      </c>
      <c r="I448" s="92"/>
      <c r="J448" s="92">
        <f t="shared" si="16"/>
        <v>0</v>
      </c>
      <c r="K448" s="65">
        <f>J448/$J$25</f>
        <v>0</v>
      </c>
    </row>
    <row r="449" spans="1:11" ht="51" x14ac:dyDescent="0.25">
      <c r="A449" s="89">
        <v>2</v>
      </c>
      <c r="B449" s="90">
        <v>6</v>
      </c>
      <c r="C449" s="90">
        <v>9</v>
      </c>
      <c r="D449" s="90">
        <v>1</v>
      </c>
      <c r="E449" s="90" t="s">
        <v>37</v>
      </c>
      <c r="F449" s="172" t="s">
        <v>356</v>
      </c>
      <c r="G449" s="64">
        <f>'[6]CUENTA T FONDO 100'!II288</f>
        <v>0</v>
      </c>
      <c r="H449" s="92">
        <f>+'[5]junio 2025'!H449+'[5]mayo 2025'!H449+[5]abril!H449+[5]marzo!H449+[5]febrero!H449+'[5]enero '!H449</f>
        <v>0</v>
      </c>
      <c r="I449" s="92"/>
      <c r="J449" s="92">
        <f t="shared" si="16"/>
        <v>0</v>
      </c>
      <c r="K449" s="65">
        <f>J449/$J$25</f>
        <v>0</v>
      </c>
    </row>
    <row r="450" spans="1:11" ht="38.25" x14ac:dyDescent="0.25">
      <c r="A450" s="72">
        <v>2</v>
      </c>
      <c r="B450" s="58">
        <v>6</v>
      </c>
      <c r="C450" s="58">
        <v>9</v>
      </c>
      <c r="D450" s="58">
        <v>2</v>
      </c>
      <c r="E450" s="58"/>
      <c r="F450" s="82" t="s">
        <v>357</v>
      </c>
      <c r="G450" s="59">
        <f>SUM(G451:G452)</f>
        <v>0</v>
      </c>
      <c r="H450" s="59">
        <f>+'[5]junio 2025'!H450+'[5]mayo 2025'!H450+[5]abril!H450+[5]marzo!H450+[5]febrero!H450+'[5]enero '!H450</f>
        <v>0</v>
      </c>
      <c r="I450" s="59">
        <f>SUM(I451:I452)</f>
        <v>0</v>
      </c>
      <c r="J450" s="59">
        <f t="shared" si="16"/>
        <v>0</v>
      </c>
      <c r="K450" s="60"/>
    </row>
    <row r="451" spans="1:11" ht="38.25" x14ac:dyDescent="0.25">
      <c r="A451" s="74">
        <v>2</v>
      </c>
      <c r="B451" s="62">
        <v>6</v>
      </c>
      <c r="C451" s="62">
        <v>9</v>
      </c>
      <c r="D451" s="62">
        <v>2</v>
      </c>
      <c r="E451" s="63" t="s">
        <v>35</v>
      </c>
      <c r="F451" s="81" t="s">
        <v>357</v>
      </c>
      <c r="G451" s="64">
        <f>'[6]CUENTA T FONDO 100'!IJ288</f>
        <v>0</v>
      </c>
      <c r="H451" s="169">
        <f>+'[5]junio 2025'!H451+'[5]mayo 2025'!H451+[5]abril!H451+[5]marzo!H451+[5]febrero!H451+'[5]enero '!H451</f>
        <v>0</v>
      </c>
      <c r="I451" s="169"/>
      <c r="J451" s="64">
        <f t="shared" si="16"/>
        <v>0</v>
      </c>
      <c r="K451" s="65">
        <f>J451/$J$25</f>
        <v>0</v>
      </c>
    </row>
    <row r="452" spans="1:11" ht="63.75" x14ac:dyDescent="0.25">
      <c r="A452" s="74">
        <v>2</v>
      </c>
      <c r="B452" s="62">
        <v>6</v>
      </c>
      <c r="C452" s="62">
        <v>9</v>
      </c>
      <c r="D452" s="62">
        <v>2</v>
      </c>
      <c r="E452" s="63" t="s">
        <v>37</v>
      </c>
      <c r="F452" s="81" t="s">
        <v>358</v>
      </c>
      <c r="G452" s="64">
        <f>'[6]CUENTA T FONDO 100'!IK288</f>
        <v>0</v>
      </c>
      <c r="H452" s="169">
        <f>+'[5]junio 2025'!H452+'[5]mayo 2025'!H452+[5]abril!H452+[5]marzo!H452+[5]febrero!H452+'[5]enero '!H452</f>
        <v>0</v>
      </c>
      <c r="I452" s="169"/>
      <c r="J452" s="64">
        <f t="shared" si="16"/>
        <v>0</v>
      </c>
      <c r="K452" s="65">
        <f>J452/$J$25</f>
        <v>0</v>
      </c>
    </row>
    <row r="453" spans="1:11" x14ac:dyDescent="0.25">
      <c r="A453" s="72">
        <v>2</v>
      </c>
      <c r="B453" s="58">
        <v>6</v>
      </c>
      <c r="C453" s="58">
        <v>9</v>
      </c>
      <c r="D453" s="58">
        <v>3</v>
      </c>
      <c r="E453" s="58"/>
      <c r="F453" s="82" t="s">
        <v>359</v>
      </c>
      <c r="G453" s="59">
        <f>SUM(G454)</f>
        <v>0</v>
      </c>
      <c r="H453" s="59">
        <f>+'[5]junio 2025'!H453+'[5]mayo 2025'!H453+[5]abril!H453+[5]marzo!H453+[5]febrero!H453+'[5]enero '!H453</f>
        <v>0</v>
      </c>
      <c r="I453" s="59">
        <f>SUM(I454)</f>
        <v>0</v>
      </c>
      <c r="J453" s="59">
        <f t="shared" si="16"/>
        <v>0</v>
      </c>
      <c r="K453" s="59"/>
    </row>
    <row r="454" spans="1:11" x14ac:dyDescent="0.25">
      <c r="A454" s="74">
        <v>2</v>
      </c>
      <c r="B454" s="62">
        <v>6</v>
      </c>
      <c r="C454" s="62">
        <v>9</v>
      </c>
      <c r="D454" s="62">
        <v>3</v>
      </c>
      <c r="E454" s="63" t="s">
        <v>35</v>
      </c>
      <c r="F454" s="81" t="s">
        <v>359</v>
      </c>
      <c r="G454" s="64">
        <f>'[6]CUENTA T FONDO 100'!IL288</f>
        <v>0</v>
      </c>
      <c r="H454" s="169">
        <f>+'[5]junio 2025'!H454+'[5]mayo 2025'!H454+[5]abril!H454+[5]marzo!H454+[5]febrero!H454+'[5]enero '!H454</f>
        <v>0</v>
      </c>
      <c r="I454" s="169"/>
      <c r="J454" s="64">
        <f t="shared" si="16"/>
        <v>0</v>
      </c>
      <c r="K454" s="65">
        <f>J454/$J$25</f>
        <v>0</v>
      </c>
    </row>
    <row r="455" spans="1:11" x14ac:dyDescent="0.25">
      <c r="A455" s="72">
        <v>2</v>
      </c>
      <c r="B455" s="58">
        <v>6</v>
      </c>
      <c r="C455" s="58">
        <v>9</v>
      </c>
      <c r="D455" s="58">
        <v>4</v>
      </c>
      <c r="E455" s="58"/>
      <c r="F455" s="82" t="s">
        <v>360</v>
      </c>
      <c r="G455" s="59">
        <f>SUM(G456)</f>
        <v>0</v>
      </c>
      <c r="H455" s="59">
        <f>+'[5]junio 2025'!H455+'[5]mayo 2025'!H455+[5]abril!H455+[5]marzo!H455+[5]febrero!H455+'[5]enero '!H455</f>
        <v>0</v>
      </c>
      <c r="I455" s="59">
        <f>SUM(I456)</f>
        <v>0</v>
      </c>
      <c r="J455" s="59">
        <f t="shared" si="16"/>
        <v>0</v>
      </c>
      <c r="K455" s="60"/>
    </row>
    <row r="456" spans="1:11" x14ac:dyDescent="0.25">
      <c r="A456" s="74">
        <v>2</v>
      </c>
      <c r="B456" s="62">
        <v>6</v>
      </c>
      <c r="C456" s="62">
        <v>9</v>
      </c>
      <c r="D456" s="62">
        <v>4</v>
      </c>
      <c r="E456" s="63" t="s">
        <v>35</v>
      </c>
      <c r="F456" s="81" t="s">
        <v>360</v>
      </c>
      <c r="G456" s="64">
        <f>'[6]CUENTA T FONDO 100'!IM288</f>
        <v>0</v>
      </c>
      <c r="H456" s="169">
        <f>+'[5]junio 2025'!H456+'[5]mayo 2025'!H456+[5]abril!H456+[5]marzo!H456+[5]febrero!H456+'[5]enero '!H456</f>
        <v>0</v>
      </c>
      <c r="I456" s="169"/>
      <c r="J456" s="64">
        <f t="shared" si="16"/>
        <v>0</v>
      </c>
      <c r="K456" s="65">
        <f>J456/$J$25</f>
        <v>0</v>
      </c>
    </row>
    <row r="457" spans="1:11" ht="25.5" x14ac:dyDescent="0.25">
      <c r="A457" s="72">
        <v>2</v>
      </c>
      <c r="B457" s="58">
        <v>6</v>
      </c>
      <c r="C457" s="58">
        <v>9</v>
      </c>
      <c r="D457" s="58">
        <v>5</v>
      </c>
      <c r="E457" s="58"/>
      <c r="F457" s="82" t="s">
        <v>361</v>
      </c>
      <c r="G457" s="59">
        <f>SUM(G458:G460)</f>
        <v>0</v>
      </c>
      <c r="H457" s="59">
        <f>+'[5]junio 2025'!H457+'[5]mayo 2025'!H457+[5]abril!H457+[5]marzo!H457+[5]febrero!H457+'[5]enero '!H457</f>
        <v>0</v>
      </c>
      <c r="I457" s="59">
        <f>SUM(I458:I460)</f>
        <v>0</v>
      </c>
      <c r="J457" s="59">
        <f t="shared" si="16"/>
        <v>0</v>
      </c>
      <c r="K457" s="60"/>
    </row>
    <row r="458" spans="1:11" ht="38.25" x14ac:dyDescent="0.25">
      <c r="A458" s="74">
        <v>2</v>
      </c>
      <c r="B458" s="62">
        <v>6</v>
      </c>
      <c r="C458" s="62">
        <v>9</v>
      </c>
      <c r="D458" s="62">
        <v>5</v>
      </c>
      <c r="E458" s="63" t="s">
        <v>35</v>
      </c>
      <c r="F458" s="81" t="s">
        <v>362</v>
      </c>
      <c r="G458" s="64">
        <f>'[6]CUENTA T FONDO 100'!IN288</f>
        <v>0</v>
      </c>
      <c r="H458" s="169">
        <f>+'[5]junio 2025'!H458+'[5]mayo 2025'!H458+[5]abril!H458+[5]marzo!H458+[5]febrero!H458+'[5]enero '!H458</f>
        <v>0</v>
      </c>
      <c r="I458" s="169"/>
      <c r="J458" s="64">
        <f t="shared" si="16"/>
        <v>0</v>
      </c>
      <c r="K458" s="65">
        <f>J458/$J$25</f>
        <v>0</v>
      </c>
    </row>
    <row r="459" spans="1:11" ht="63.75" x14ac:dyDescent="0.25">
      <c r="A459" s="74">
        <v>2</v>
      </c>
      <c r="B459" s="62">
        <v>6</v>
      </c>
      <c r="C459" s="62">
        <v>9</v>
      </c>
      <c r="D459" s="62">
        <v>5</v>
      </c>
      <c r="E459" s="63" t="s">
        <v>37</v>
      </c>
      <c r="F459" s="81" t="s">
        <v>363</v>
      </c>
      <c r="G459" s="64">
        <f>'[6]CUENTA T FONDO 100'!IO288</f>
        <v>0</v>
      </c>
      <c r="H459" s="169">
        <f>+'[5]junio 2025'!H459+'[5]mayo 2025'!H459+[5]abril!H459+[5]marzo!H459+[5]febrero!H459+'[5]enero '!H459</f>
        <v>0</v>
      </c>
      <c r="I459" s="169"/>
      <c r="J459" s="64">
        <f t="shared" si="16"/>
        <v>0</v>
      </c>
      <c r="K459" s="65">
        <f>J459/$J$25</f>
        <v>0</v>
      </c>
    </row>
    <row r="460" spans="1:11" ht="38.25" x14ac:dyDescent="0.25">
      <c r="A460" s="74">
        <v>2</v>
      </c>
      <c r="B460" s="62">
        <v>6</v>
      </c>
      <c r="C460" s="62">
        <v>9</v>
      </c>
      <c r="D460" s="62">
        <v>5</v>
      </c>
      <c r="E460" s="63" t="s">
        <v>39</v>
      </c>
      <c r="F460" s="81" t="s">
        <v>364</v>
      </c>
      <c r="G460" s="64">
        <f>'[6]CUENTA T FONDO 100'!IP288</f>
        <v>0</v>
      </c>
      <c r="H460" s="169">
        <f>+'[5]junio 2025'!H460+'[5]mayo 2025'!H460+[5]abril!H460+[5]marzo!H460+[5]febrero!H460+'[5]enero '!H460</f>
        <v>0</v>
      </c>
      <c r="I460" s="169"/>
      <c r="J460" s="64">
        <f t="shared" si="16"/>
        <v>0</v>
      </c>
      <c r="K460" s="65">
        <f>J460/$J$25</f>
        <v>0</v>
      </c>
    </row>
    <row r="461" spans="1:11" ht="25.5" x14ac:dyDescent="0.25">
      <c r="A461" s="72">
        <v>2</v>
      </c>
      <c r="B461" s="58">
        <v>6</v>
      </c>
      <c r="C461" s="58">
        <v>9</v>
      </c>
      <c r="D461" s="58">
        <v>9</v>
      </c>
      <c r="E461" s="58"/>
      <c r="F461" s="82" t="s">
        <v>365</v>
      </c>
      <c r="G461" s="59">
        <f>SUM(G462)</f>
        <v>0</v>
      </c>
      <c r="H461" s="59">
        <f>+'[5]junio 2025'!H461+'[5]mayo 2025'!H461+[5]abril!H461+[5]marzo!H461+[5]febrero!H461+'[5]enero '!H461</f>
        <v>0</v>
      </c>
      <c r="I461" s="59">
        <f>SUM(I462)</f>
        <v>0</v>
      </c>
      <c r="J461" s="59">
        <f t="shared" si="16"/>
        <v>0</v>
      </c>
      <c r="K461" s="60"/>
    </row>
    <row r="462" spans="1:11" ht="25.5" x14ac:dyDescent="0.25">
      <c r="A462" s="74">
        <v>2</v>
      </c>
      <c r="B462" s="62">
        <v>6</v>
      </c>
      <c r="C462" s="62">
        <v>9</v>
      </c>
      <c r="D462" s="62">
        <v>9</v>
      </c>
      <c r="E462" s="63" t="s">
        <v>35</v>
      </c>
      <c r="F462" s="81" t="s">
        <v>365</v>
      </c>
      <c r="G462" s="64">
        <f>'[6]CUENTA T FONDO 100'!IQ288</f>
        <v>0</v>
      </c>
      <c r="H462" s="169">
        <f>+'[5]junio 2025'!H462+'[5]mayo 2025'!H462+[5]abril!H462+[5]marzo!H462+[5]febrero!H462+'[5]enero '!H462</f>
        <v>0</v>
      </c>
      <c r="I462" s="169"/>
      <c r="J462" s="64">
        <f t="shared" si="16"/>
        <v>0</v>
      </c>
      <c r="K462" s="65">
        <f>J462/$J$25</f>
        <v>0</v>
      </c>
    </row>
    <row r="463" spans="1:11" x14ac:dyDescent="0.25">
      <c r="A463" s="70">
        <v>2</v>
      </c>
      <c r="B463" s="55">
        <v>7</v>
      </c>
      <c r="C463" s="55"/>
      <c r="D463" s="55"/>
      <c r="E463" s="55"/>
      <c r="F463" s="83" t="s">
        <v>366</v>
      </c>
      <c r="G463" s="56">
        <f>G464+G473+G492+G497</f>
        <v>0</v>
      </c>
      <c r="H463" s="56">
        <f>+'[5]junio 2025'!H463+'[5]mayo 2025'!H463+[5]abril!H463+[5]marzo!H463+[5]febrero!H463+'[5]enero '!H463</f>
        <v>0</v>
      </c>
      <c r="I463" s="56">
        <f>I464+I473+I492+I497</f>
        <v>0</v>
      </c>
      <c r="J463" s="56">
        <f t="shared" si="16"/>
        <v>0</v>
      </c>
      <c r="K463" s="53">
        <f>J463/$J$25</f>
        <v>0</v>
      </c>
    </row>
    <row r="464" spans="1:11" ht="25.5" x14ac:dyDescent="0.25">
      <c r="A464" s="70">
        <v>2</v>
      </c>
      <c r="B464" s="55">
        <v>7</v>
      </c>
      <c r="C464" s="55">
        <v>1</v>
      </c>
      <c r="D464" s="55"/>
      <c r="E464" s="55"/>
      <c r="F464" s="83" t="s">
        <v>367</v>
      </c>
      <c r="G464" s="56">
        <f>+G465+G467+G469+G471</f>
        <v>0</v>
      </c>
      <c r="H464" s="56">
        <f>+'[5]junio 2025'!H464+'[5]mayo 2025'!H464+[5]abril!H464+[5]marzo!H464+[5]febrero!H464+'[5]enero '!H464</f>
        <v>0</v>
      </c>
      <c r="I464" s="56">
        <f>+I465+I467+I469+I471</f>
        <v>0</v>
      </c>
      <c r="J464" s="56">
        <f t="shared" si="16"/>
        <v>0</v>
      </c>
      <c r="K464" s="53"/>
    </row>
    <row r="465" spans="1:11" ht="51" x14ac:dyDescent="0.25">
      <c r="A465" s="72">
        <v>2</v>
      </c>
      <c r="B465" s="58">
        <v>7</v>
      </c>
      <c r="C465" s="58">
        <v>1</v>
      </c>
      <c r="D465" s="58">
        <v>1</v>
      </c>
      <c r="E465" s="77"/>
      <c r="F465" s="82" t="s">
        <v>368</v>
      </c>
      <c r="G465" s="59">
        <f>+G466</f>
        <v>0</v>
      </c>
      <c r="H465" s="59">
        <f>+'[5]junio 2025'!H465+'[5]mayo 2025'!H465+[5]abril!H465+[5]marzo!H465+[5]febrero!H465+'[5]enero '!H465</f>
        <v>0</v>
      </c>
      <c r="I465" s="59">
        <f>+I466</f>
        <v>0</v>
      </c>
      <c r="J465" s="59">
        <f t="shared" si="16"/>
        <v>0</v>
      </c>
      <c r="K465" s="60"/>
    </row>
    <row r="466" spans="1:11" ht="51" x14ac:dyDescent="0.25">
      <c r="A466" s="74">
        <v>2</v>
      </c>
      <c r="B466" s="62">
        <v>7</v>
      </c>
      <c r="C466" s="62">
        <v>1</v>
      </c>
      <c r="D466" s="62">
        <v>1</v>
      </c>
      <c r="E466" s="62" t="s">
        <v>324</v>
      </c>
      <c r="F466" s="81" t="s">
        <v>368</v>
      </c>
      <c r="G466" s="64">
        <f>'[6]CUENTA T FONDO 100'!IR288</f>
        <v>0</v>
      </c>
      <c r="H466" s="169">
        <f>+'[5]junio 2025'!H466+'[5]mayo 2025'!H466+[5]abril!H466+[5]marzo!H466+[5]febrero!H466+'[5]enero '!H466</f>
        <v>0</v>
      </c>
      <c r="I466" s="169"/>
      <c r="J466" s="64">
        <f t="shared" si="16"/>
        <v>0</v>
      </c>
      <c r="K466" s="65">
        <f>J466/$J$25</f>
        <v>0</v>
      </c>
    </row>
    <row r="467" spans="1:11" ht="51" x14ac:dyDescent="0.25">
      <c r="A467" s="72">
        <v>2</v>
      </c>
      <c r="B467" s="58">
        <v>7</v>
      </c>
      <c r="C467" s="58">
        <v>1</v>
      </c>
      <c r="D467" s="58">
        <v>2</v>
      </c>
      <c r="E467" s="77"/>
      <c r="F467" s="82" t="s">
        <v>369</v>
      </c>
      <c r="G467" s="59">
        <f>+G468</f>
        <v>0</v>
      </c>
      <c r="H467" s="59">
        <f>+'[5]junio 2025'!H467+'[5]mayo 2025'!H467+[5]abril!H467+[5]marzo!H467+[5]febrero!H467+'[5]enero '!H467</f>
        <v>0</v>
      </c>
      <c r="I467" s="59">
        <f>+I468</f>
        <v>0</v>
      </c>
      <c r="J467" s="59">
        <f t="shared" si="16"/>
        <v>0</v>
      </c>
      <c r="K467" s="60"/>
    </row>
    <row r="468" spans="1:11" ht="51" x14ac:dyDescent="0.25">
      <c r="A468" s="74">
        <v>2</v>
      </c>
      <c r="B468" s="62">
        <v>7</v>
      </c>
      <c r="C468" s="62">
        <v>1</v>
      </c>
      <c r="D468" s="62">
        <v>2</v>
      </c>
      <c r="E468" s="62" t="s">
        <v>324</v>
      </c>
      <c r="F468" s="81" t="s">
        <v>369</v>
      </c>
      <c r="G468" s="64">
        <f>'[6]CUENTA T FONDO 100'!IS288</f>
        <v>0</v>
      </c>
      <c r="H468" s="169">
        <f>+'[5]junio 2025'!H468+'[5]mayo 2025'!H468+[5]abril!H468+[5]marzo!H468+[5]febrero!H468+'[5]enero '!H468</f>
        <v>0</v>
      </c>
      <c r="I468" s="169"/>
      <c r="J468" s="64">
        <f t="shared" si="16"/>
        <v>0</v>
      </c>
      <c r="K468" s="65">
        <f>J468/$J$25</f>
        <v>0</v>
      </c>
    </row>
    <row r="469" spans="1:11" ht="51" x14ac:dyDescent="0.25">
      <c r="A469" s="72">
        <v>2</v>
      </c>
      <c r="B469" s="58">
        <v>7</v>
      </c>
      <c r="C469" s="58">
        <v>1</v>
      </c>
      <c r="D469" s="58">
        <v>3</v>
      </c>
      <c r="E469" s="77"/>
      <c r="F469" s="82" t="s">
        <v>370</v>
      </c>
      <c r="G469" s="59">
        <f>+G470</f>
        <v>0</v>
      </c>
      <c r="H469" s="59">
        <f>+'[5]junio 2025'!H469+'[5]mayo 2025'!H469+[5]abril!H469+[5]marzo!H469+[5]febrero!H469+'[5]enero '!H469</f>
        <v>0</v>
      </c>
      <c r="I469" s="59">
        <f>+I470</f>
        <v>0</v>
      </c>
      <c r="J469" s="59">
        <f t="shared" si="16"/>
        <v>0</v>
      </c>
      <c r="K469" s="60"/>
    </row>
    <row r="470" spans="1:11" ht="51" x14ac:dyDescent="0.25">
      <c r="A470" s="74">
        <v>2</v>
      </c>
      <c r="B470" s="62">
        <v>7</v>
      </c>
      <c r="C470" s="62">
        <v>1</v>
      </c>
      <c r="D470" s="62">
        <v>3</v>
      </c>
      <c r="E470" s="62" t="s">
        <v>324</v>
      </c>
      <c r="F470" s="81" t="s">
        <v>370</v>
      </c>
      <c r="G470" s="64">
        <f>'[6]CUENTA T FONDO 100'!IT288</f>
        <v>0</v>
      </c>
      <c r="H470" s="169">
        <f>+'[5]junio 2025'!H470+'[5]mayo 2025'!H470+[5]abril!H470+[5]marzo!H470+[5]febrero!H470+'[5]enero '!H470</f>
        <v>0</v>
      </c>
      <c r="I470" s="169"/>
      <c r="J470" s="64">
        <f t="shared" si="16"/>
        <v>0</v>
      </c>
      <c r="K470" s="65">
        <f>J470/$J$25</f>
        <v>0</v>
      </c>
    </row>
    <row r="471" spans="1:11" ht="38.25" x14ac:dyDescent="0.25">
      <c r="A471" s="72">
        <v>2</v>
      </c>
      <c r="B471" s="58">
        <v>7</v>
      </c>
      <c r="C471" s="58">
        <v>1</v>
      </c>
      <c r="D471" s="58">
        <v>4</v>
      </c>
      <c r="E471" s="77"/>
      <c r="F471" s="82" t="s">
        <v>371</v>
      </c>
      <c r="G471" s="59">
        <f>+G472</f>
        <v>0</v>
      </c>
      <c r="H471" s="59">
        <f>+'[5]junio 2025'!H471+'[5]mayo 2025'!H471+[5]abril!H471+[5]marzo!H471+[5]febrero!H471+'[5]enero '!H471</f>
        <v>0</v>
      </c>
      <c r="I471" s="59">
        <f>+I472</f>
        <v>0</v>
      </c>
      <c r="J471" s="59">
        <f t="shared" si="16"/>
        <v>0</v>
      </c>
      <c r="K471" s="60"/>
    </row>
    <row r="472" spans="1:11" ht="38.25" x14ac:dyDescent="0.25">
      <c r="A472" s="74">
        <v>2</v>
      </c>
      <c r="B472" s="62">
        <v>7</v>
      </c>
      <c r="C472" s="62">
        <v>1</v>
      </c>
      <c r="D472" s="62">
        <v>4</v>
      </c>
      <c r="E472" s="62" t="s">
        <v>324</v>
      </c>
      <c r="F472" s="81" t="s">
        <v>371</v>
      </c>
      <c r="G472" s="64">
        <f>'[6]CUENTA T FONDO 100'!IU288</f>
        <v>0</v>
      </c>
      <c r="H472" s="169">
        <f>+'[5]junio 2025'!H472+'[5]mayo 2025'!H472+[5]abril!H472+[5]marzo!H472+[5]febrero!H472+'[5]enero '!H472</f>
        <v>0</v>
      </c>
      <c r="I472" s="169"/>
      <c r="J472" s="64">
        <f t="shared" si="16"/>
        <v>0</v>
      </c>
      <c r="K472" s="65">
        <f>J472/$J$25</f>
        <v>0</v>
      </c>
    </row>
    <row r="473" spans="1:11" ht="25.5" x14ac:dyDescent="0.25">
      <c r="A473" s="70">
        <v>2</v>
      </c>
      <c r="B473" s="55">
        <v>7</v>
      </c>
      <c r="C473" s="55">
        <v>2</v>
      </c>
      <c r="D473" s="55"/>
      <c r="E473" s="55"/>
      <c r="F473" s="83" t="s">
        <v>372</v>
      </c>
      <c r="G473" s="56">
        <f>+G474+G476+G478+G480+G482+G484+G486+G488+G490</f>
        <v>0</v>
      </c>
      <c r="H473" s="56">
        <f>+'[5]junio 2025'!H473+'[5]mayo 2025'!H473+[5]abril!H473+[5]marzo!H473+[5]febrero!H473+'[5]enero '!H473</f>
        <v>0</v>
      </c>
      <c r="I473" s="56">
        <f>+I474+I476+I478+I480+I482+I484+I486+I488+I490</f>
        <v>0</v>
      </c>
      <c r="J473" s="56">
        <f t="shared" si="16"/>
        <v>0</v>
      </c>
      <c r="K473" s="53"/>
    </row>
    <row r="474" spans="1:11" ht="38.25" x14ac:dyDescent="0.25">
      <c r="A474" s="72">
        <v>2</v>
      </c>
      <c r="B474" s="58">
        <v>7</v>
      </c>
      <c r="C474" s="58">
        <v>2</v>
      </c>
      <c r="D474" s="58">
        <v>1</v>
      </c>
      <c r="E474" s="77"/>
      <c r="F474" s="82" t="s">
        <v>373</v>
      </c>
      <c r="G474" s="59">
        <f>+G475</f>
        <v>0</v>
      </c>
      <c r="H474" s="59">
        <f>+'[5]junio 2025'!H474+'[5]mayo 2025'!H474+[5]abril!H474+[5]marzo!H474+[5]febrero!H474+'[5]enero '!H474</f>
        <v>0</v>
      </c>
      <c r="I474" s="59">
        <f>+I475</f>
        <v>0</v>
      </c>
      <c r="J474" s="59">
        <f t="shared" si="16"/>
        <v>0</v>
      </c>
      <c r="K474" s="60"/>
    </row>
    <row r="475" spans="1:11" ht="38.25" x14ac:dyDescent="0.25">
      <c r="A475" s="74">
        <v>2</v>
      </c>
      <c r="B475" s="62">
        <v>7</v>
      </c>
      <c r="C475" s="62">
        <v>2</v>
      </c>
      <c r="D475" s="62">
        <v>1</v>
      </c>
      <c r="E475" s="62" t="s">
        <v>324</v>
      </c>
      <c r="F475" s="81" t="s">
        <v>373</v>
      </c>
      <c r="G475" s="64">
        <f>'[6]CUENTA T FONDO 100'!IV288</f>
        <v>0</v>
      </c>
      <c r="H475" s="64">
        <f>+'[5]junio 2025'!H475+'[5]mayo 2025'!H475+[5]abril!H475+[5]marzo!H475+[5]febrero!H475+'[5]enero '!H475</f>
        <v>0</v>
      </c>
      <c r="I475" s="64"/>
      <c r="J475" s="64">
        <f t="shared" si="16"/>
        <v>0</v>
      </c>
      <c r="K475" s="65">
        <f>J475/$J$25</f>
        <v>0</v>
      </c>
    </row>
    <row r="476" spans="1:11" ht="25.5" x14ac:dyDescent="0.25">
      <c r="A476" s="72">
        <v>2</v>
      </c>
      <c r="B476" s="58">
        <v>7</v>
      </c>
      <c r="C476" s="58">
        <v>2</v>
      </c>
      <c r="D476" s="58">
        <v>2</v>
      </c>
      <c r="E476" s="77"/>
      <c r="F476" s="82" t="s">
        <v>374</v>
      </c>
      <c r="G476" s="59">
        <f>+G477</f>
        <v>0</v>
      </c>
      <c r="H476" s="59">
        <f>+'[5]junio 2025'!H476+'[5]mayo 2025'!H476+[5]abril!H476+[5]marzo!H476+[5]febrero!H476+'[5]enero '!H476</f>
        <v>0</v>
      </c>
      <c r="I476" s="59">
        <f>+I477</f>
        <v>0</v>
      </c>
      <c r="J476" s="59">
        <f t="shared" si="16"/>
        <v>0</v>
      </c>
      <c r="K476" s="60"/>
    </row>
    <row r="477" spans="1:11" ht="25.5" x14ac:dyDescent="0.25">
      <c r="A477" s="74">
        <v>2</v>
      </c>
      <c r="B477" s="62">
        <v>7</v>
      </c>
      <c r="C477" s="62">
        <v>2</v>
      </c>
      <c r="D477" s="62">
        <v>2</v>
      </c>
      <c r="E477" s="62" t="s">
        <v>324</v>
      </c>
      <c r="F477" s="81" t="s">
        <v>374</v>
      </c>
      <c r="G477" s="64">
        <f>'[6]CUENTA T FONDO 100'!IW288</f>
        <v>0</v>
      </c>
      <c r="H477" s="64">
        <f>+'[5]junio 2025'!H477+'[5]mayo 2025'!H477+[5]abril!H477+[5]marzo!H477+[5]febrero!H477+'[5]enero '!H477</f>
        <v>0</v>
      </c>
      <c r="I477" s="64"/>
      <c r="J477" s="64">
        <f t="shared" si="16"/>
        <v>0</v>
      </c>
      <c r="K477" s="65">
        <f>J477/$J$25</f>
        <v>0</v>
      </c>
    </row>
    <row r="478" spans="1:11" ht="38.25" x14ac:dyDescent="0.25">
      <c r="A478" s="72">
        <v>2</v>
      </c>
      <c r="B478" s="58">
        <v>7</v>
      </c>
      <c r="C478" s="58">
        <v>2</v>
      </c>
      <c r="D478" s="58">
        <v>3</v>
      </c>
      <c r="E478" s="77"/>
      <c r="F478" s="82" t="s">
        <v>375</v>
      </c>
      <c r="G478" s="59">
        <f>+G479</f>
        <v>0</v>
      </c>
      <c r="H478" s="59">
        <f>+'[5]junio 2025'!H478+'[5]mayo 2025'!H478+[5]abril!H478+[5]marzo!H478+[5]febrero!H478+'[5]enero '!H478</f>
        <v>0</v>
      </c>
      <c r="I478" s="59">
        <f>+I479</f>
        <v>0</v>
      </c>
      <c r="J478" s="59">
        <f t="shared" ref="J478:J501" si="17">SUM(G478:I478)</f>
        <v>0</v>
      </c>
      <c r="K478" s="60"/>
    </row>
    <row r="479" spans="1:11" ht="38.25" x14ac:dyDescent="0.25">
      <c r="A479" s="74">
        <v>2</v>
      </c>
      <c r="B479" s="62">
        <v>7</v>
      </c>
      <c r="C479" s="62">
        <v>2</v>
      </c>
      <c r="D479" s="62">
        <v>3</v>
      </c>
      <c r="E479" s="62" t="s">
        <v>324</v>
      </c>
      <c r="F479" s="81" t="s">
        <v>375</v>
      </c>
      <c r="G479" s="64">
        <f>'[6]CUENTA T FONDO 100'!IX288</f>
        <v>0</v>
      </c>
      <c r="H479" s="64">
        <f>+'[5]junio 2025'!H479+'[5]mayo 2025'!H479+[5]abril!H479+[5]marzo!H479+[5]febrero!H479+'[5]enero '!H479</f>
        <v>0</v>
      </c>
      <c r="I479" s="64"/>
      <c r="J479" s="64">
        <f t="shared" si="17"/>
        <v>0</v>
      </c>
      <c r="K479" s="65">
        <f>J479/$J$25</f>
        <v>0</v>
      </c>
    </row>
    <row r="480" spans="1:11" ht="51" x14ac:dyDescent="0.25">
      <c r="A480" s="72">
        <v>2</v>
      </c>
      <c r="B480" s="58">
        <v>7</v>
      </c>
      <c r="C480" s="58">
        <v>2</v>
      </c>
      <c r="D480" s="58">
        <v>4</v>
      </c>
      <c r="E480" s="77"/>
      <c r="F480" s="82" t="s">
        <v>376</v>
      </c>
      <c r="G480" s="59">
        <f>+G481</f>
        <v>0</v>
      </c>
      <c r="H480" s="59">
        <f>+'[5]junio 2025'!H480+'[5]mayo 2025'!H480+[5]abril!H480+[5]marzo!H480+[5]febrero!H480+'[5]enero '!H480</f>
        <v>0</v>
      </c>
      <c r="I480" s="59">
        <f>+I481</f>
        <v>0</v>
      </c>
      <c r="J480" s="59">
        <f t="shared" si="17"/>
        <v>0</v>
      </c>
      <c r="K480" s="60"/>
    </row>
    <row r="481" spans="1:11" ht="51" x14ac:dyDescent="0.25">
      <c r="A481" s="74">
        <v>2</v>
      </c>
      <c r="B481" s="62">
        <v>7</v>
      </c>
      <c r="C481" s="62">
        <v>2</v>
      </c>
      <c r="D481" s="62">
        <v>4</v>
      </c>
      <c r="E481" s="62" t="s">
        <v>324</v>
      </c>
      <c r="F481" s="81" t="s">
        <v>376</v>
      </c>
      <c r="G481" s="64">
        <f>'[6]CUENTA T FONDO 100'!IY288</f>
        <v>0</v>
      </c>
      <c r="H481" s="64">
        <f>+'[5]junio 2025'!H481+'[5]mayo 2025'!H481+[5]abril!H481+[5]marzo!H481+[5]febrero!H481+'[5]enero '!H481</f>
        <v>0</v>
      </c>
      <c r="I481" s="64"/>
      <c r="J481" s="64">
        <f t="shared" si="17"/>
        <v>0</v>
      </c>
      <c r="K481" s="65">
        <f>J481/$J$25</f>
        <v>0</v>
      </c>
    </row>
    <row r="482" spans="1:11" ht="38.25" x14ac:dyDescent="0.25">
      <c r="A482" s="72">
        <v>2</v>
      </c>
      <c r="B482" s="58">
        <v>7</v>
      </c>
      <c r="C482" s="58">
        <v>2</v>
      </c>
      <c r="D482" s="58">
        <v>5</v>
      </c>
      <c r="E482" s="77"/>
      <c r="F482" s="82" t="s">
        <v>377</v>
      </c>
      <c r="G482" s="59">
        <f>+G483</f>
        <v>0</v>
      </c>
      <c r="H482" s="59">
        <f>+'[5]junio 2025'!H482+'[5]mayo 2025'!H482+[5]abril!H482+[5]marzo!H482+[5]febrero!H482+'[5]enero '!H482</f>
        <v>0</v>
      </c>
      <c r="I482" s="59">
        <f>+I483</f>
        <v>0</v>
      </c>
      <c r="J482" s="59">
        <f t="shared" si="17"/>
        <v>0</v>
      </c>
      <c r="K482" s="60"/>
    </row>
    <row r="483" spans="1:11" ht="38.25" x14ac:dyDescent="0.25">
      <c r="A483" s="74">
        <v>2</v>
      </c>
      <c r="B483" s="62">
        <v>7</v>
      </c>
      <c r="C483" s="62">
        <v>2</v>
      </c>
      <c r="D483" s="62">
        <v>5</v>
      </c>
      <c r="E483" s="62" t="s">
        <v>324</v>
      </c>
      <c r="F483" s="81" t="s">
        <v>377</v>
      </c>
      <c r="G483" s="64">
        <f>'[6]CUENTA T FONDO 100'!IZ288</f>
        <v>0</v>
      </c>
      <c r="H483" s="64">
        <f>+'[5]junio 2025'!H483+'[5]mayo 2025'!H483+[5]abril!H483+[5]marzo!H483+[5]febrero!H483+'[5]enero '!H483</f>
        <v>0</v>
      </c>
      <c r="I483" s="64"/>
      <c r="J483" s="64">
        <f t="shared" si="17"/>
        <v>0</v>
      </c>
      <c r="K483" s="65">
        <f>J483/$J$25</f>
        <v>0</v>
      </c>
    </row>
    <row r="484" spans="1:11" ht="51" x14ac:dyDescent="0.25">
      <c r="A484" s="72">
        <v>2</v>
      </c>
      <c r="B484" s="58">
        <v>7</v>
      </c>
      <c r="C484" s="58">
        <v>2</v>
      </c>
      <c r="D484" s="58">
        <v>6</v>
      </c>
      <c r="E484" s="77"/>
      <c r="F484" s="82" t="s">
        <v>378</v>
      </c>
      <c r="G484" s="59">
        <f>+G485</f>
        <v>0</v>
      </c>
      <c r="H484" s="59">
        <f>+'[5]junio 2025'!H484+'[5]mayo 2025'!H484+[5]abril!H484+[5]marzo!H484+[5]febrero!H484+'[5]enero '!H484</f>
        <v>0</v>
      </c>
      <c r="I484" s="59">
        <f>+I485</f>
        <v>0</v>
      </c>
      <c r="J484" s="59">
        <f t="shared" si="17"/>
        <v>0</v>
      </c>
      <c r="K484" s="60"/>
    </row>
    <row r="485" spans="1:11" ht="51" x14ac:dyDescent="0.25">
      <c r="A485" s="74">
        <v>2</v>
      </c>
      <c r="B485" s="62">
        <v>7</v>
      </c>
      <c r="C485" s="62">
        <v>2</v>
      </c>
      <c r="D485" s="62">
        <v>6</v>
      </c>
      <c r="E485" s="62" t="s">
        <v>324</v>
      </c>
      <c r="F485" s="81" t="s">
        <v>378</v>
      </c>
      <c r="G485" s="64">
        <f>'[6]CUENTA T FONDO 100'!JA288</f>
        <v>0</v>
      </c>
      <c r="H485" s="64">
        <f>+'[5]junio 2025'!H485+'[5]mayo 2025'!H485+[5]abril!H485+[5]marzo!H485+[5]febrero!H485+'[5]enero '!H485</f>
        <v>0</v>
      </c>
      <c r="I485" s="64"/>
      <c r="J485" s="64">
        <f t="shared" si="17"/>
        <v>0</v>
      </c>
      <c r="K485" s="65">
        <f>J485/$J$25</f>
        <v>0</v>
      </c>
    </row>
    <row r="486" spans="1:11" ht="25.5" x14ac:dyDescent="0.25">
      <c r="A486" s="72">
        <v>2</v>
      </c>
      <c r="B486" s="58">
        <v>7</v>
      </c>
      <c r="C486" s="58">
        <v>2</v>
      </c>
      <c r="D486" s="58">
        <v>7</v>
      </c>
      <c r="E486" s="77"/>
      <c r="F486" s="82" t="s">
        <v>379</v>
      </c>
      <c r="G486" s="59">
        <f>+G487</f>
        <v>0</v>
      </c>
      <c r="H486" s="59">
        <f>+'[5]junio 2025'!H486+'[5]mayo 2025'!H486+[5]abril!H486+[5]marzo!H486+[5]febrero!H486+'[5]enero '!H486</f>
        <v>0</v>
      </c>
      <c r="I486" s="59">
        <f>+I487</f>
        <v>0</v>
      </c>
      <c r="J486" s="59">
        <f t="shared" si="17"/>
        <v>0</v>
      </c>
      <c r="K486" s="60"/>
    </row>
    <row r="487" spans="1:11" ht="25.5" x14ac:dyDescent="0.25">
      <c r="A487" s="74">
        <v>2</v>
      </c>
      <c r="B487" s="62">
        <v>7</v>
      </c>
      <c r="C487" s="62">
        <v>2</v>
      </c>
      <c r="D487" s="62">
        <v>7</v>
      </c>
      <c r="E487" s="62" t="s">
        <v>324</v>
      </c>
      <c r="F487" s="81" t="s">
        <v>379</v>
      </c>
      <c r="G487" s="64">
        <f>'[6]CUENTA T FONDO 100'!JB288</f>
        <v>0</v>
      </c>
      <c r="H487" s="64">
        <f>+'[5]junio 2025'!H487+'[5]mayo 2025'!H487+[5]abril!H487+[5]marzo!H487+[5]febrero!H487+'[5]enero '!H487</f>
        <v>0</v>
      </c>
      <c r="I487" s="64"/>
      <c r="J487" s="64">
        <f t="shared" si="17"/>
        <v>0</v>
      </c>
      <c r="K487" s="65">
        <f>J487/$J$25</f>
        <v>0</v>
      </c>
    </row>
    <row r="488" spans="1:11" ht="25.5" x14ac:dyDescent="0.25">
      <c r="A488" s="72">
        <v>2</v>
      </c>
      <c r="B488" s="58">
        <v>7</v>
      </c>
      <c r="C488" s="58">
        <v>2</v>
      </c>
      <c r="D488" s="58">
        <v>8</v>
      </c>
      <c r="E488" s="77"/>
      <c r="F488" s="82" t="s">
        <v>380</v>
      </c>
      <c r="G488" s="59">
        <f>+G489</f>
        <v>0</v>
      </c>
      <c r="H488" s="59">
        <f>+'[5]junio 2025'!H488+'[5]mayo 2025'!H488+[5]abril!H488+[5]marzo!H488+[5]febrero!H488+'[5]enero '!H488</f>
        <v>0</v>
      </c>
      <c r="I488" s="59">
        <f>+I489</f>
        <v>0</v>
      </c>
      <c r="J488" s="59">
        <f t="shared" si="17"/>
        <v>0</v>
      </c>
      <c r="K488" s="60"/>
    </row>
    <row r="489" spans="1:11" ht="25.5" x14ac:dyDescent="0.25">
      <c r="A489" s="74">
        <v>2</v>
      </c>
      <c r="B489" s="62">
        <v>7</v>
      </c>
      <c r="C489" s="62">
        <v>2</v>
      </c>
      <c r="D489" s="62">
        <v>8</v>
      </c>
      <c r="E489" s="62" t="s">
        <v>324</v>
      </c>
      <c r="F489" s="81" t="s">
        <v>380</v>
      </c>
      <c r="G489" s="64">
        <f>'[6]CUENTA T FONDO 100'!JC288</f>
        <v>0</v>
      </c>
      <c r="H489" s="64">
        <f>+'[5]junio 2025'!H489+'[5]mayo 2025'!H489+[5]abril!H489+[5]marzo!H489+[5]febrero!H489+'[5]enero '!H489</f>
        <v>0</v>
      </c>
      <c r="I489" s="64"/>
      <c r="J489" s="64">
        <f t="shared" si="17"/>
        <v>0</v>
      </c>
      <c r="K489" s="65">
        <f>J489/$J$25</f>
        <v>0</v>
      </c>
    </row>
    <row r="490" spans="1:11" ht="63.75" x14ac:dyDescent="0.25">
      <c r="A490" s="72">
        <v>2</v>
      </c>
      <c r="B490" s="58">
        <v>7</v>
      </c>
      <c r="C490" s="58">
        <v>2</v>
      </c>
      <c r="D490" s="58">
        <v>9</v>
      </c>
      <c r="E490" s="77"/>
      <c r="F490" s="82" t="s">
        <v>381</v>
      </c>
      <c r="G490" s="59">
        <f>+G491</f>
        <v>0</v>
      </c>
      <c r="H490" s="59">
        <f>+'[5]junio 2025'!H490+'[5]mayo 2025'!H490+[5]abril!H490+[5]marzo!H490+[5]febrero!H490+'[5]enero '!H490</f>
        <v>0</v>
      </c>
      <c r="I490" s="59">
        <f>+I491</f>
        <v>0</v>
      </c>
      <c r="J490" s="59">
        <f t="shared" si="17"/>
        <v>0</v>
      </c>
      <c r="K490" s="60"/>
    </row>
    <row r="491" spans="1:11" ht="63.75" x14ac:dyDescent="0.25">
      <c r="A491" s="74">
        <v>2</v>
      </c>
      <c r="B491" s="62">
        <v>7</v>
      </c>
      <c r="C491" s="62">
        <v>2</v>
      </c>
      <c r="D491" s="62">
        <v>9</v>
      </c>
      <c r="E491" s="62" t="s">
        <v>324</v>
      </c>
      <c r="F491" s="81" t="s">
        <v>381</v>
      </c>
      <c r="G491" s="64">
        <f>'[6]CUENTA T FONDO 100'!JD288</f>
        <v>0</v>
      </c>
      <c r="H491" s="64">
        <f>+'[5]junio 2025'!H491+'[5]mayo 2025'!H491+[5]abril!H491+[5]marzo!H491+[5]febrero!H491+'[5]enero '!H491</f>
        <v>0</v>
      </c>
      <c r="I491" s="64"/>
      <c r="J491" s="64">
        <f t="shared" si="17"/>
        <v>0</v>
      </c>
      <c r="K491" s="65">
        <f>J491/$J$25</f>
        <v>0</v>
      </c>
    </row>
    <row r="492" spans="1:11" ht="51" x14ac:dyDescent="0.25">
      <c r="A492" s="70">
        <v>2</v>
      </c>
      <c r="B492" s="55">
        <v>7</v>
      </c>
      <c r="C492" s="55">
        <v>3</v>
      </c>
      <c r="D492" s="55"/>
      <c r="E492" s="55"/>
      <c r="F492" s="83" t="s">
        <v>382</v>
      </c>
      <c r="G492" s="56">
        <f>+G493+G495</f>
        <v>0</v>
      </c>
      <c r="H492" s="56">
        <f>+'[5]junio 2025'!H492+'[5]mayo 2025'!H492+[5]abril!H492+[5]marzo!H492+[5]febrero!H492+'[5]enero '!H492</f>
        <v>0</v>
      </c>
      <c r="I492" s="56">
        <f>+I493+I495</f>
        <v>0</v>
      </c>
      <c r="J492" s="56">
        <f t="shared" si="17"/>
        <v>0</v>
      </c>
      <c r="K492" s="53"/>
    </row>
    <row r="493" spans="1:11" ht="76.5" x14ac:dyDescent="0.25">
      <c r="A493" s="72">
        <v>2</v>
      </c>
      <c r="B493" s="58">
        <v>7</v>
      </c>
      <c r="C493" s="58">
        <v>3</v>
      </c>
      <c r="D493" s="58">
        <v>1</v>
      </c>
      <c r="E493" s="77"/>
      <c r="F493" s="82" t="s">
        <v>383</v>
      </c>
      <c r="G493" s="59">
        <f>+G494</f>
        <v>0</v>
      </c>
      <c r="H493" s="59">
        <f>+'[5]junio 2025'!H493+'[5]mayo 2025'!H493+[5]abril!H493+[5]marzo!H493+[5]febrero!H493+'[5]enero '!H493</f>
        <v>0</v>
      </c>
      <c r="I493" s="59">
        <f>+I494</f>
        <v>0</v>
      </c>
      <c r="J493" s="59">
        <f t="shared" si="17"/>
        <v>0</v>
      </c>
      <c r="K493" s="60"/>
    </row>
    <row r="494" spans="1:11" ht="76.5" x14ac:dyDescent="0.25">
      <c r="A494" s="74">
        <v>2</v>
      </c>
      <c r="B494" s="62">
        <v>7</v>
      </c>
      <c r="C494" s="62">
        <v>3</v>
      </c>
      <c r="D494" s="62">
        <v>1</v>
      </c>
      <c r="E494" s="62" t="s">
        <v>324</v>
      </c>
      <c r="F494" s="81" t="s">
        <v>383</v>
      </c>
      <c r="G494" s="64">
        <f>'[6]CUENTA T FONDO 100'!JE288</f>
        <v>0</v>
      </c>
      <c r="H494" s="64">
        <f>+'[5]junio 2025'!H494+'[5]mayo 2025'!H494+[5]abril!H494+[5]marzo!H494+[5]febrero!H494+'[5]enero '!H494</f>
        <v>0</v>
      </c>
      <c r="I494" s="64"/>
      <c r="J494" s="64">
        <f t="shared" si="17"/>
        <v>0</v>
      </c>
      <c r="K494" s="65">
        <f>J494/$J$25</f>
        <v>0</v>
      </c>
    </row>
    <row r="495" spans="1:11" ht="76.5" x14ac:dyDescent="0.25">
      <c r="A495" s="72">
        <v>2</v>
      </c>
      <c r="B495" s="58">
        <v>7</v>
      </c>
      <c r="C495" s="58">
        <v>3</v>
      </c>
      <c r="D495" s="58">
        <v>2</v>
      </c>
      <c r="E495" s="77"/>
      <c r="F495" s="82" t="s">
        <v>384</v>
      </c>
      <c r="G495" s="59">
        <f>+G496</f>
        <v>0</v>
      </c>
      <c r="H495" s="59">
        <f>+'[5]junio 2025'!H495+'[5]mayo 2025'!H495+[5]abril!H495+[5]marzo!H495+[5]febrero!H495+'[5]enero '!H495</f>
        <v>0</v>
      </c>
      <c r="I495" s="59">
        <f>+I496</f>
        <v>0</v>
      </c>
      <c r="J495" s="59">
        <f t="shared" si="17"/>
        <v>0</v>
      </c>
      <c r="K495" s="60"/>
    </row>
    <row r="496" spans="1:11" ht="76.5" x14ac:dyDescent="0.25">
      <c r="A496" s="74">
        <v>2</v>
      </c>
      <c r="B496" s="62">
        <v>7</v>
      </c>
      <c r="C496" s="62">
        <v>3</v>
      </c>
      <c r="D496" s="62">
        <v>2</v>
      </c>
      <c r="E496" s="62" t="s">
        <v>324</v>
      </c>
      <c r="F496" s="81" t="s">
        <v>384</v>
      </c>
      <c r="G496" s="64">
        <f>'[6]CUENTA T FONDO 100'!JF288</f>
        <v>0</v>
      </c>
      <c r="H496" s="64">
        <f>+'[5]junio 2025'!H496+'[5]mayo 2025'!H496+[5]abril!H496+[5]marzo!H496+[5]febrero!H496+'[5]enero '!H496</f>
        <v>0</v>
      </c>
      <c r="I496" s="64"/>
      <c r="J496" s="64">
        <f t="shared" si="17"/>
        <v>0</v>
      </c>
      <c r="K496" s="65">
        <f>J496/$J$25</f>
        <v>0</v>
      </c>
    </row>
    <row r="497" spans="1:11" ht="89.25" x14ac:dyDescent="0.25">
      <c r="A497" s="70">
        <v>2</v>
      </c>
      <c r="B497" s="55">
        <v>7</v>
      </c>
      <c r="C497" s="55">
        <v>4</v>
      </c>
      <c r="D497" s="55"/>
      <c r="E497" s="55"/>
      <c r="F497" s="83" t="s">
        <v>385</v>
      </c>
      <c r="G497" s="56">
        <f>+G498+G500</f>
        <v>0</v>
      </c>
      <c r="H497" s="56">
        <f>+'[5]junio 2025'!H497+'[5]mayo 2025'!H497+[5]abril!H497+[5]marzo!H497+[5]febrero!H497+'[5]enero '!H497</f>
        <v>0</v>
      </c>
      <c r="I497" s="56">
        <f>+I498+I500</f>
        <v>0</v>
      </c>
      <c r="J497" s="56">
        <f t="shared" si="17"/>
        <v>0</v>
      </c>
      <c r="K497" s="53"/>
    </row>
    <row r="498" spans="1:11" ht="76.5" x14ac:dyDescent="0.25">
      <c r="A498" s="72">
        <v>2</v>
      </c>
      <c r="B498" s="58">
        <v>7</v>
      </c>
      <c r="C498" s="58">
        <v>4</v>
      </c>
      <c r="D498" s="58">
        <v>1</v>
      </c>
      <c r="E498" s="77"/>
      <c r="F498" s="82" t="s">
        <v>386</v>
      </c>
      <c r="G498" s="59">
        <f>+G499</f>
        <v>0</v>
      </c>
      <c r="H498" s="59">
        <f>+'[5]junio 2025'!H498+'[5]mayo 2025'!H498+[5]abril!H498+[5]marzo!H498+[5]febrero!H498+'[5]enero '!H498</f>
        <v>0</v>
      </c>
      <c r="I498" s="59">
        <f>+I499</f>
        <v>0</v>
      </c>
      <c r="J498" s="59">
        <f t="shared" si="17"/>
        <v>0</v>
      </c>
      <c r="K498" s="60"/>
    </row>
    <row r="499" spans="1:11" ht="76.5" x14ac:dyDescent="0.25">
      <c r="A499" s="74">
        <v>2</v>
      </c>
      <c r="B499" s="62">
        <v>7</v>
      </c>
      <c r="C499" s="62">
        <v>4</v>
      </c>
      <c r="D499" s="62">
        <v>1</v>
      </c>
      <c r="E499" s="62" t="s">
        <v>324</v>
      </c>
      <c r="F499" s="81" t="s">
        <v>386</v>
      </c>
      <c r="G499" s="64">
        <f>'[6]CUENTA T FONDO 100'!JG288</f>
        <v>0</v>
      </c>
      <c r="H499" s="64">
        <f>+'[5]junio 2025'!H499+'[5]mayo 2025'!H499+[5]abril!H499+[5]marzo!H499+[5]febrero!H499+'[5]enero '!H499</f>
        <v>0</v>
      </c>
      <c r="I499" s="64"/>
      <c r="J499" s="64">
        <f t="shared" si="17"/>
        <v>0</v>
      </c>
      <c r="K499" s="65">
        <f>J499/$J$25</f>
        <v>0</v>
      </c>
    </row>
    <row r="500" spans="1:11" ht="114.75" x14ac:dyDescent="0.25">
      <c r="A500" s="57">
        <v>2</v>
      </c>
      <c r="B500" s="58">
        <v>7</v>
      </c>
      <c r="C500" s="58">
        <v>4</v>
      </c>
      <c r="D500" s="58">
        <v>2</v>
      </c>
      <c r="E500" s="77"/>
      <c r="F500" s="82" t="s">
        <v>387</v>
      </c>
      <c r="G500" s="59">
        <f>+G501</f>
        <v>0</v>
      </c>
      <c r="H500" s="59">
        <f>+'[5]junio 2025'!H500+'[5]mayo 2025'!H500+[5]abril!H500+[5]marzo!H500+[5]febrero!H500+'[5]enero '!H500</f>
        <v>0</v>
      </c>
      <c r="I500" s="59">
        <f>+I501</f>
        <v>0</v>
      </c>
      <c r="J500" s="59">
        <f t="shared" si="17"/>
        <v>0</v>
      </c>
      <c r="K500" s="60"/>
    </row>
    <row r="501" spans="1:11" ht="114.75" x14ac:dyDescent="0.25">
      <c r="A501" s="61">
        <v>2</v>
      </c>
      <c r="B501" s="62">
        <v>7</v>
      </c>
      <c r="C501" s="62">
        <v>4</v>
      </c>
      <c r="D501" s="62">
        <v>2</v>
      </c>
      <c r="E501" s="62" t="s">
        <v>324</v>
      </c>
      <c r="F501" s="81" t="s">
        <v>387</v>
      </c>
      <c r="G501" s="64">
        <f>'[6]CUENTA T FONDO 100'!JH288</f>
        <v>0</v>
      </c>
      <c r="H501" s="169">
        <f>+'[5]junio 2025'!H501+'[5]mayo 2025'!H501+[5]abril!H501+[5]marzo!H501+[5]febrero!H501+'[5]enero '!H501</f>
        <v>0</v>
      </c>
      <c r="I501" s="169"/>
      <c r="J501" s="64">
        <f t="shared" si="17"/>
        <v>0</v>
      </c>
      <c r="K501" s="65">
        <f>J501/$J$25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1"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  <mergeCell ref="A21:E21"/>
    <mergeCell ref="G21:I21"/>
    <mergeCell ref="A22:E22"/>
    <mergeCell ref="F22:F24"/>
    <mergeCell ref="G22:I22"/>
    <mergeCell ref="A7:K7"/>
    <mergeCell ref="A2:I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RESUMEN</vt:lpstr>
      <vt:lpstr>SEPTIEMBRE</vt:lpstr>
      <vt:lpstr>AGOSTO </vt:lpstr>
      <vt:lpstr>JULIO</vt:lpstr>
      <vt:lpstr>OCTUBRE </vt:lpstr>
      <vt:lpstr>NOVIEMBRE</vt:lpstr>
      <vt:lpstr>DICIEMBRE 2025</vt:lpstr>
      <vt:lpstr>RESUMEN TRIMESTRE OCTUBRE-DIC</vt:lpstr>
      <vt:lpstr>ENERO-JUNIO 2025</vt:lpstr>
      <vt:lpstr>RESUMEN!Área_de_impresión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2025-11-13T18:48:47Z</cp:lastPrinted>
  <dcterms:created xsi:type="dcterms:W3CDTF">2025-10-03T14:17:48Z</dcterms:created>
  <dcterms:modified xsi:type="dcterms:W3CDTF">2026-01-06T20:44:41Z</dcterms:modified>
</cp:coreProperties>
</file>